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CF91061E-520E-48BC-B82D-A2F538364F83}" xr6:coauthVersionLast="47" xr6:coauthVersionMax="47" xr10:uidLastSave="{00000000-0000-0000-0000-000000000000}"/>
  <bookViews>
    <workbookView xWindow="-110" yWindow="-110" windowWidth="19420" windowHeight="11020" firstSheet="2" activeTab="5" xr2:uid="{0708DDB2-1DC8-4103-B40C-F87B68CF511C}"/>
  </bookViews>
  <sheets>
    <sheet name="all_india_districts_aqi" sheetId="1" r:id="rId1"/>
    <sheet name="Transformed_data" sheetId="2" r:id="rId2"/>
    <sheet name="Calculations" sheetId="7" r:id="rId3"/>
    <sheet name="Chart-Source_Contribution" sheetId="11" r:id="rId4"/>
    <sheet name="Chart-Category_%Areas" sheetId="14" r:id="rId5"/>
    <sheet name="AQI_Analysis_Dashboard" sheetId="8" r:id="rId6"/>
  </sheets>
  <definedNames>
    <definedName name="_xlnm._FilterDatabase" localSheetId="2" hidden="1">Calculations!$A$4:$A$38</definedName>
    <definedName name="_xlnm._FilterDatabase" localSheetId="1" hidden="1">Transformed_data!$A$2:$A$5055</definedName>
    <definedName name="_xlchart.v5.0" hidden="1">Calculations!$A$3</definedName>
    <definedName name="_xlchart.v5.1" hidden="1">Calculations!$A$4:$A$38</definedName>
    <definedName name="_xlchart.v5.2" hidden="1">Calculations!$F$3</definedName>
    <definedName name="_xlchart.v5.3" hidden="1">Calculations!$F$4:$F$38</definedName>
    <definedName name="_xlnm.Extract" localSheetId="1">Transformed_data!$I$2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O7" i="7" l="1"/>
  <c r="P46" i="8" s="1"/>
  <c r="K3" i="14"/>
  <c r="K4" i="14"/>
  <c r="K5" i="14"/>
  <c r="K6" i="14"/>
  <c r="K7" i="14"/>
  <c r="K2" i="14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I5" i="7"/>
  <c r="D5" i="7"/>
  <c r="C5" i="7"/>
  <c r="B5" i="7"/>
  <c r="D4" i="7"/>
  <c r="C4" i="7"/>
  <c r="B4" i="7"/>
  <c r="H5055" i="2"/>
  <c r="G5055" i="2"/>
  <c r="F5055" i="2"/>
  <c r="H5054" i="2"/>
  <c r="G5054" i="2"/>
  <c r="F5054" i="2"/>
  <c r="H5053" i="2"/>
  <c r="G5053" i="2"/>
  <c r="F5053" i="2"/>
  <c r="H5052" i="2"/>
  <c r="G5052" i="2"/>
  <c r="F5052" i="2"/>
  <c r="H5051" i="2"/>
  <c r="G5051" i="2"/>
  <c r="F5051" i="2"/>
  <c r="H5050" i="2"/>
  <c r="G5050" i="2"/>
  <c r="F5050" i="2"/>
  <c r="H5049" i="2"/>
  <c r="G5049" i="2"/>
  <c r="F5049" i="2"/>
  <c r="H5048" i="2"/>
  <c r="G5048" i="2"/>
  <c r="F5048" i="2"/>
  <c r="H5047" i="2"/>
  <c r="G5047" i="2"/>
  <c r="F5047" i="2"/>
  <c r="H5046" i="2"/>
  <c r="G5046" i="2"/>
  <c r="F5046" i="2"/>
  <c r="H5045" i="2"/>
  <c r="G5045" i="2"/>
  <c r="F5045" i="2"/>
  <c r="H5044" i="2"/>
  <c r="G5044" i="2"/>
  <c r="F5044" i="2"/>
  <c r="H5043" i="2"/>
  <c r="G5043" i="2"/>
  <c r="F5043" i="2"/>
  <c r="H5042" i="2"/>
  <c r="G5042" i="2"/>
  <c r="F5042" i="2"/>
  <c r="H5041" i="2"/>
  <c r="G5041" i="2"/>
  <c r="F5041" i="2"/>
  <c r="H5040" i="2"/>
  <c r="G5040" i="2"/>
  <c r="F5040" i="2"/>
  <c r="H5039" i="2"/>
  <c r="G5039" i="2"/>
  <c r="F5039" i="2"/>
  <c r="H5038" i="2"/>
  <c r="G5038" i="2"/>
  <c r="F5038" i="2"/>
  <c r="H5037" i="2"/>
  <c r="G5037" i="2"/>
  <c r="F5037" i="2"/>
  <c r="H5036" i="2"/>
  <c r="G5036" i="2"/>
  <c r="F5036" i="2"/>
  <c r="H5035" i="2"/>
  <c r="G5035" i="2"/>
  <c r="F5035" i="2"/>
  <c r="H5034" i="2"/>
  <c r="G5034" i="2"/>
  <c r="F5034" i="2"/>
  <c r="H5033" i="2"/>
  <c r="G5033" i="2"/>
  <c r="F5033" i="2"/>
  <c r="H5032" i="2"/>
  <c r="G5032" i="2"/>
  <c r="F5032" i="2"/>
  <c r="H5031" i="2"/>
  <c r="G5031" i="2"/>
  <c r="F5031" i="2"/>
  <c r="H5030" i="2"/>
  <c r="G5030" i="2"/>
  <c r="F5030" i="2"/>
  <c r="H5029" i="2"/>
  <c r="G5029" i="2"/>
  <c r="F5029" i="2"/>
  <c r="H5028" i="2"/>
  <c r="G5028" i="2"/>
  <c r="F5028" i="2"/>
  <c r="H5027" i="2"/>
  <c r="G5027" i="2"/>
  <c r="F5027" i="2"/>
  <c r="H5026" i="2"/>
  <c r="G5026" i="2"/>
  <c r="F5026" i="2"/>
  <c r="H5025" i="2"/>
  <c r="G5025" i="2"/>
  <c r="F5025" i="2"/>
  <c r="H5024" i="2"/>
  <c r="G5024" i="2"/>
  <c r="F5024" i="2"/>
  <c r="H5023" i="2"/>
  <c r="G5023" i="2"/>
  <c r="F5023" i="2"/>
  <c r="H5022" i="2"/>
  <c r="G5022" i="2"/>
  <c r="F5022" i="2"/>
  <c r="H5021" i="2"/>
  <c r="G5021" i="2"/>
  <c r="F5021" i="2"/>
  <c r="H5020" i="2"/>
  <c r="G5020" i="2"/>
  <c r="F5020" i="2"/>
  <c r="H5019" i="2"/>
  <c r="G5019" i="2"/>
  <c r="F5019" i="2"/>
  <c r="H5018" i="2"/>
  <c r="G5018" i="2"/>
  <c r="F5018" i="2"/>
  <c r="H5017" i="2"/>
  <c r="G5017" i="2"/>
  <c r="F5017" i="2"/>
  <c r="H5016" i="2"/>
  <c r="G5016" i="2"/>
  <c r="F5016" i="2"/>
  <c r="H5015" i="2"/>
  <c r="G5015" i="2"/>
  <c r="F5015" i="2"/>
  <c r="H5014" i="2"/>
  <c r="G5014" i="2"/>
  <c r="F5014" i="2"/>
  <c r="H5013" i="2"/>
  <c r="G5013" i="2"/>
  <c r="F5013" i="2"/>
  <c r="H5012" i="2"/>
  <c r="G5012" i="2"/>
  <c r="F5012" i="2"/>
  <c r="H5011" i="2"/>
  <c r="G5011" i="2"/>
  <c r="F5011" i="2"/>
  <c r="H5010" i="2"/>
  <c r="G5010" i="2"/>
  <c r="F5010" i="2"/>
  <c r="H5009" i="2"/>
  <c r="G5009" i="2"/>
  <c r="F5009" i="2"/>
  <c r="H5008" i="2"/>
  <c r="G5008" i="2"/>
  <c r="F5008" i="2"/>
  <c r="H5007" i="2"/>
  <c r="G5007" i="2"/>
  <c r="F5007" i="2"/>
  <c r="H5006" i="2"/>
  <c r="G5006" i="2"/>
  <c r="F5006" i="2"/>
  <c r="H5005" i="2"/>
  <c r="G5005" i="2"/>
  <c r="F5005" i="2"/>
  <c r="H5004" i="2"/>
  <c r="G5004" i="2"/>
  <c r="F5004" i="2"/>
  <c r="H5003" i="2"/>
  <c r="G5003" i="2"/>
  <c r="F5003" i="2"/>
  <c r="H5002" i="2"/>
  <c r="G5002" i="2"/>
  <c r="F5002" i="2"/>
  <c r="H5001" i="2"/>
  <c r="G5001" i="2"/>
  <c r="F5001" i="2"/>
  <c r="H5000" i="2"/>
  <c r="G5000" i="2"/>
  <c r="F5000" i="2"/>
  <c r="H4999" i="2"/>
  <c r="G4999" i="2"/>
  <c r="F4999" i="2"/>
  <c r="H4998" i="2"/>
  <c r="G4998" i="2"/>
  <c r="F4998" i="2"/>
  <c r="H4997" i="2"/>
  <c r="G4997" i="2"/>
  <c r="F4997" i="2"/>
  <c r="H4996" i="2"/>
  <c r="G4996" i="2"/>
  <c r="F4996" i="2"/>
  <c r="H4995" i="2"/>
  <c r="G4995" i="2"/>
  <c r="F4995" i="2"/>
  <c r="H4994" i="2"/>
  <c r="G4994" i="2"/>
  <c r="F4994" i="2"/>
  <c r="H4993" i="2"/>
  <c r="G4993" i="2"/>
  <c r="F4993" i="2"/>
  <c r="H4992" i="2"/>
  <c r="G4992" i="2"/>
  <c r="F4992" i="2"/>
  <c r="H4991" i="2"/>
  <c r="G4991" i="2"/>
  <c r="F4991" i="2"/>
  <c r="H4990" i="2"/>
  <c r="G4990" i="2"/>
  <c r="F4990" i="2"/>
  <c r="H4989" i="2"/>
  <c r="G4989" i="2"/>
  <c r="F4989" i="2"/>
  <c r="H4988" i="2"/>
  <c r="G4988" i="2"/>
  <c r="F4988" i="2"/>
  <c r="H4987" i="2"/>
  <c r="G4987" i="2"/>
  <c r="F4987" i="2"/>
  <c r="H4986" i="2"/>
  <c r="G4986" i="2"/>
  <c r="F4986" i="2"/>
  <c r="H4985" i="2"/>
  <c r="G4985" i="2"/>
  <c r="F4985" i="2"/>
  <c r="H4984" i="2"/>
  <c r="G4984" i="2"/>
  <c r="F4984" i="2"/>
  <c r="H4983" i="2"/>
  <c r="G4983" i="2"/>
  <c r="F4983" i="2"/>
  <c r="H4982" i="2"/>
  <c r="G4982" i="2"/>
  <c r="F4982" i="2"/>
  <c r="H4981" i="2"/>
  <c r="G4981" i="2"/>
  <c r="F4981" i="2"/>
  <c r="H4980" i="2"/>
  <c r="G4980" i="2"/>
  <c r="F4980" i="2"/>
  <c r="H4979" i="2"/>
  <c r="G4979" i="2"/>
  <c r="F4979" i="2"/>
  <c r="H4978" i="2"/>
  <c r="G4978" i="2"/>
  <c r="F4978" i="2"/>
  <c r="H4977" i="2"/>
  <c r="G4977" i="2"/>
  <c r="F4977" i="2"/>
  <c r="H4976" i="2"/>
  <c r="G4976" i="2"/>
  <c r="F4976" i="2"/>
  <c r="H4975" i="2"/>
  <c r="G4975" i="2"/>
  <c r="F4975" i="2"/>
  <c r="H4974" i="2"/>
  <c r="G4974" i="2"/>
  <c r="F4974" i="2"/>
  <c r="H4973" i="2"/>
  <c r="G4973" i="2"/>
  <c r="F4973" i="2"/>
  <c r="H4972" i="2"/>
  <c r="G4972" i="2"/>
  <c r="F4972" i="2"/>
  <c r="H4971" i="2"/>
  <c r="G4971" i="2"/>
  <c r="F4971" i="2"/>
  <c r="H4970" i="2"/>
  <c r="G4970" i="2"/>
  <c r="F4970" i="2"/>
  <c r="H4969" i="2"/>
  <c r="G4969" i="2"/>
  <c r="F4969" i="2"/>
  <c r="H4968" i="2"/>
  <c r="G4968" i="2"/>
  <c r="F4968" i="2"/>
  <c r="H4967" i="2"/>
  <c r="G4967" i="2"/>
  <c r="F4967" i="2"/>
  <c r="H4966" i="2"/>
  <c r="G4966" i="2"/>
  <c r="F4966" i="2"/>
  <c r="H4965" i="2"/>
  <c r="G4965" i="2"/>
  <c r="F4965" i="2"/>
  <c r="H4964" i="2"/>
  <c r="G4964" i="2"/>
  <c r="F4964" i="2"/>
  <c r="H4963" i="2"/>
  <c r="G4963" i="2"/>
  <c r="F4963" i="2"/>
  <c r="H4962" i="2"/>
  <c r="G4962" i="2"/>
  <c r="F4962" i="2"/>
  <c r="H4961" i="2"/>
  <c r="G4961" i="2"/>
  <c r="F4961" i="2"/>
  <c r="H4960" i="2"/>
  <c r="G4960" i="2"/>
  <c r="F4960" i="2"/>
  <c r="H4959" i="2"/>
  <c r="G4959" i="2"/>
  <c r="F4959" i="2"/>
  <c r="H4958" i="2"/>
  <c r="G4958" i="2"/>
  <c r="F4958" i="2"/>
  <c r="H4957" i="2"/>
  <c r="G4957" i="2"/>
  <c r="F4957" i="2"/>
  <c r="H4956" i="2"/>
  <c r="G4956" i="2"/>
  <c r="F4956" i="2"/>
  <c r="H4955" i="2"/>
  <c r="G4955" i="2"/>
  <c r="F4955" i="2"/>
  <c r="H4954" i="2"/>
  <c r="G4954" i="2"/>
  <c r="F4954" i="2"/>
  <c r="H4953" i="2"/>
  <c r="G4953" i="2"/>
  <c r="F4953" i="2"/>
  <c r="H4952" i="2"/>
  <c r="G4952" i="2"/>
  <c r="F4952" i="2"/>
  <c r="H4951" i="2"/>
  <c r="G4951" i="2"/>
  <c r="F4951" i="2"/>
  <c r="H4950" i="2"/>
  <c r="G4950" i="2"/>
  <c r="F4950" i="2"/>
  <c r="H4949" i="2"/>
  <c r="G4949" i="2"/>
  <c r="F4949" i="2"/>
  <c r="H4948" i="2"/>
  <c r="G4948" i="2"/>
  <c r="F4948" i="2"/>
  <c r="H4947" i="2"/>
  <c r="G4947" i="2"/>
  <c r="F4947" i="2"/>
  <c r="H4946" i="2"/>
  <c r="G4946" i="2"/>
  <c r="F4946" i="2"/>
  <c r="H4945" i="2"/>
  <c r="G4945" i="2"/>
  <c r="F4945" i="2"/>
  <c r="H4944" i="2"/>
  <c r="G4944" i="2"/>
  <c r="F4944" i="2"/>
  <c r="H4943" i="2"/>
  <c r="G4943" i="2"/>
  <c r="F4943" i="2"/>
  <c r="H4942" i="2"/>
  <c r="G4942" i="2"/>
  <c r="F4942" i="2"/>
  <c r="H4941" i="2"/>
  <c r="G4941" i="2"/>
  <c r="F4941" i="2"/>
  <c r="H4940" i="2"/>
  <c r="G4940" i="2"/>
  <c r="F4940" i="2"/>
  <c r="H4939" i="2"/>
  <c r="G4939" i="2"/>
  <c r="F4939" i="2"/>
  <c r="H4938" i="2"/>
  <c r="G4938" i="2"/>
  <c r="F4938" i="2"/>
  <c r="H4937" i="2"/>
  <c r="G4937" i="2"/>
  <c r="F4937" i="2"/>
  <c r="H4936" i="2"/>
  <c r="G4936" i="2"/>
  <c r="F4936" i="2"/>
  <c r="H4935" i="2"/>
  <c r="G4935" i="2"/>
  <c r="F4935" i="2"/>
  <c r="H4934" i="2"/>
  <c r="G4934" i="2"/>
  <c r="F4934" i="2"/>
  <c r="H4933" i="2"/>
  <c r="G4933" i="2"/>
  <c r="F4933" i="2"/>
  <c r="H4932" i="2"/>
  <c r="G4932" i="2"/>
  <c r="F4932" i="2"/>
  <c r="H4931" i="2"/>
  <c r="G4931" i="2"/>
  <c r="F4931" i="2"/>
  <c r="H4930" i="2"/>
  <c r="G4930" i="2"/>
  <c r="F4930" i="2"/>
  <c r="H4929" i="2"/>
  <c r="G4929" i="2"/>
  <c r="F4929" i="2"/>
  <c r="H4928" i="2"/>
  <c r="G4928" i="2"/>
  <c r="F4928" i="2"/>
  <c r="H4927" i="2"/>
  <c r="G4927" i="2"/>
  <c r="F4927" i="2"/>
  <c r="H4926" i="2"/>
  <c r="G4926" i="2"/>
  <c r="F4926" i="2"/>
  <c r="H4925" i="2"/>
  <c r="G4925" i="2"/>
  <c r="F4925" i="2"/>
  <c r="H4924" i="2"/>
  <c r="G4924" i="2"/>
  <c r="F4924" i="2"/>
  <c r="H4923" i="2"/>
  <c r="G4923" i="2"/>
  <c r="F4923" i="2"/>
  <c r="H4922" i="2"/>
  <c r="G4922" i="2"/>
  <c r="F4922" i="2"/>
  <c r="H4921" i="2"/>
  <c r="G4921" i="2"/>
  <c r="F4921" i="2"/>
  <c r="H4920" i="2"/>
  <c r="G4920" i="2"/>
  <c r="F4920" i="2"/>
  <c r="H4919" i="2"/>
  <c r="G4919" i="2"/>
  <c r="F4919" i="2"/>
  <c r="H4918" i="2"/>
  <c r="G4918" i="2"/>
  <c r="F4918" i="2"/>
  <c r="H4917" i="2"/>
  <c r="G4917" i="2"/>
  <c r="F4917" i="2"/>
  <c r="H4916" i="2"/>
  <c r="G4916" i="2"/>
  <c r="F4916" i="2"/>
  <c r="H4915" i="2"/>
  <c r="G4915" i="2"/>
  <c r="F4915" i="2"/>
  <c r="H4914" i="2"/>
  <c r="G4914" i="2"/>
  <c r="F4914" i="2"/>
  <c r="H4913" i="2"/>
  <c r="G4913" i="2"/>
  <c r="F4913" i="2"/>
  <c r="H4912" i="2"/>
  <c r="G4912" i="2"/>
  <c r="F4912" i="2"/>
  <c r="H4911" i="2"/>
  <c r="G4911" i="2"/>
  <c r="F4911" i="2"/>
  <c r="H4910" i="2"/>
  <c r="G4910" i="2"/>
  <c r="F4910" i="2"/>
  <c r="H4909" i="2"/>
  <c r="G4909" i="2"/>
  <c r="F4909" i="2"/>
  <c r="H4908" i="2"/>
  <c r="G4908" i="2"/>
  <c r="F4908" i="2"/>
  <c r="H4907" i="2"/>
  <c r="G4907" i="2"/>
  <c r="F4907" i="2"/>
  <c r="H4906" i="2"/>
  <c r="G4906" i="2"/>
  <c r="F4906" i="2"/>
  <c r="H4905" i="2"/>
  <c r="G4905" i="2"/>
  <c r="F4905" i="2"/>
  <c r="H4904" i="2"/>
  <c r="G4904" i="2"/>
  <c r="F4904" i="2"/>
  <c r="H4903" i="2"/>
  <c r="G4903" i="2"/>
  <c r="F4903" i="2"/>
  <c r="H4902" i="2"/>
  <c r="G4902" i="2"/>
  <c r="F4902" i="2"/>
  <c r="H4901" i="2"/>
  <c r="G4901" i="2"/>
  <c r="F4901" i="2"/>
  <c r="H4900" i="2"/>
  <c r="G4900" i="2"/>
  <c r="F4900" i="2"/>
  <c r="H4899" i="2"/>
  <c r="G4899" i="2"/>
  <c r="F4899" i="2"/>
  <c r="H4898" i="2"/>
  <c r="G4898" i="2"/>
  <c r="F4898" i="2"/>
  <c r="H4897" i="2"/>
  <c r="G4897" i="2"/>
  <c r="F4897" i="2"/>
  <c r="H4896" i="2"/>
  <c r="G4896" i="2"/>
  <c r="F4896" i="2"/>
  <c r="H4895" i="2"/>
  <c r="G4895" i="2"/>
  <c r="F4895" i="2"/>
  <c r="H4894" i="2"/>
  <c r="G4894" i="2"/>
  <c r="F4894" i="2"/>
  <c r="H4893" i="2"/>
  <c r="G4893" i="2"/>
  <c r="F4893" i="2"/>
  <c r="H4892" i="2"/>
  <c r="G4892" i="2"/>
  <c r="F4892" i="2"/>
  <c r="H4891" i="2"/>
  <c r="G4891" i="2"/>
  <c r="F4891" i="2"/>
  <c r="H4890" i="2"/>
  <c r="G4890" i="2"/>
  <c r="F4890" i="2"/>
  <c r="H4889" i="2"/>
  <c r="G4889" i="2"/>
  <c r="F4889" i="2"/>
  <c r="H4888" i="2"/>
  <c r="G4888" i="2"/>
  <c r="F4888" i="2"/>
  <c r="H4887" i="2"/>
  <c r="G4887" i="2"/>
  <c r="F4887" i="2"/>
  <c r="H4886" i="2"/>
  <c r="G4886" i="2"/>
  <c r="F4886" i="2"/>
  <c r="H4885" i="2"/>
  <c r="G4885" i="2"/>
  <c r="F4885" i="2"/>
  <c r="H4884" i="2"/>
  <c r="G4884" i="2"/>
  <c r="F4884" i="2"/>
  <c r="H4883" i="2"/>
  <c r="G4883" i="2"/>
  <c r="F4883" i="2"/>
  <c r="H4882" i="2"/>
  <c r="G4882" i="2"/>
  <c r="F4882" i="2"/>
  <c r="H4881" i="2"/>
  <c r="G4881" i="2"/>
  <c r="F4881" i="2"/>
  <c r="H4880" i="2"/>
  <c r="G4880" i="2"/>
  <c r="F4880" i="2"/>
  <c r="H4879" i="2"/>
  <c r="G4879" i="2"/>
  <c r="F4879" i="2"/>
  <c r="H4878" i="2"/>
  <c r="G4878" i="2"/>
  <c r="F4878" i="2"/>
  <c r="H4877" i="2"/>
  <c r="G4877" i="2"/>
  <c r="F4877" i="2"/>
  <c r="H4876" i="2"/>
  <c r="G4876" i="2"/>
  <c r="F4876" i="2"/>
  <c r="H4875" i="2"/>
  <c r="G4875" i="2"/>
  <c r="F4875" i="2"/>
  <c r="H4874" i="2"/>
  <c r="G4874" i="2"/>
  <c r="F4874" i="2"/>
  <c r="H4873" i="2"/>
  <c r="G4873" i="2"/>
  <c r="F4873" i="2"/>
  <c r="H4872" i="2"/>
  <c r="G4872" i="2"/>
  <c r="F4872" i="2"/>
  <c r="H4871" i="2"/>
  <c r="G4871" i="2"/>
  <c r="F4871" i="2"/>
  <c r="H4870" i="2"/>
  <c r="G4870" i="2"/>
  <c r="F4870" i="2"/>
  <c r="H4869" i="2"/>
  <c r="G4869" i="2"/>
  <c r="F4869" i="2"/>
  <c r="H4868" i="2"/>
  <c r="G4868" i="2"/>
  <c r="F4868" i="2"/>
  <c r="H4867" i="2"/>
  <c r="G4867" i="2"/>
  <c r="F4867" i="2"/>
  <c r="H4866" i="2"/>
  <c r="G4866" i="2"/>
  <c r="F4866" i="2"/>
  <c r="H4865" i="2"/>
  <c r="G4865" i="2"/>
  <c r="F4865" i="2"/>
  <c r="H4864" i="2"/>
  <c r="G4864" i="2"/>
  <c r="F4864" i="2"/>
  <c r="H4863" i="2"/>
  <c r="G4863" i="2"/>
  <c r="F4863" i="2"/>
  <c r="H4862" i="2"/>
  <c r="G4862" i="2"/>
  <c r="F4862" i="2"/>
  <c r="H4861" i="2"/>
  <c r="G4861" i="2"/>
  <c r="F4861" i="2"/>
  <c r="H4860" i="2"/>
  <c r="G4860" i="2"/>
  <c r="F4860" i="2"/>
  <c r="H4859" i="2"/>
  <c r="G4859" i="2"/>
  <c r="F4859" i="2"/>
  <c r="H4858" i="2"/>
  <c r="G4858" i="2"/>
  <c r="F4858" i="2"/>
  <c r="H4857" i="2"/>
  <c r="G4857" i="2"/>
  <c r="F4857" i="2"/>
  <c r="H4856" i="2"/>
  <c r="G4856" i="2"/>
  <c r="F4856" i="2"/>
  <c r="H4855" i="2"/>
  <c r="G4855" i="2"/>
  <c r="F4855" i="2"/>
  <c r="H4854" i="2"/>
  <c r="G4854" i="2"/>
  <c r="F4854" i="2"/>
  <c r="H4853" i="2"/>
  <c r="G4853" i="2"/>
  <c r="F4853" i="2"/>
  <c r="H4852" i="2"/>
  <c r="G4852" i="2"/>
  <c r="F4852" i="2"/>
  <c r="H4851" i="2"/>
  <c r="G4851" i="2"/>
  <c r="F4851" i="2"/>
  <c r="H4850" i="2"/>
  <c r="G4850" i="2"/>
  <c r="F4850" i="2"/>
  <c r="H4849" i="2"/>
  <c r="G4849" i="2"/>
  <c r="F4849" i="2"/>
  <c r="H4848" i="2"/>
  <c r="G4848" i="2"/>
  <c r="F4848" i="2"/>
  <c r="H4847" i="2"/>
  <c r="G4847" i="2"/>
  <c r="F4847" i="2"/>
  <c r="H4846" i="2"/>
  <c r="G4846" i="2"/>
  <c r="F4846" i="2"/>
  <c r="H4845" i="2"/>
  <c r="G4845" i="2"/>
  <c r="F4845" i="2"/>
  <c r="H4844" i="2"/>
  <c r="G4844" i="2"/>
  <c r="F4844" i="2"/>
  <c r="H4843" i="2"/>
  <c r="G4843" i="2"/>
  <c r="F4843" i="2"/>
  <c r="H4842" i="2"/>
  <c r="G4842" i="2"/>
  <c r="F4842" i="2"/>
  <c r="H4841" i="2"/>
  <c r="G4841" i="2"/>
  <c r="F4841" i="2"/>
  <c r="H4840" i="2"/>
  <c r="G4840" i="2"/>
  <c r="F4840" i="2"/>
  <c r="H4839" i="2"/>
  <c r="G4839" i="2"/>
  <c r="F4839" i="2"/>
  <c r="H4838" i="2"/>
  <c r="G4838" i="2"/>
  <c r="F4838" i="2"/>
  <c r="H4837" i="2"/>
  <c r="G4837" i="2"/>
  <c r="F4837" i="2"/>
  <c r="H4836" i="2"/>
  <c r="G4836" i="2"/>
  <c r="F4836" i="2"/>
  <c r="H4835" i="2"/>
  <c r="G4835" i="2"/>
  <c r="F4835" i="2"/>
  <c r="H4834" i="2"/>
  <c r="G4834" i="2"/>
  <c r="F4834" i="2"/>
  <c r="H4833" i="2"/>
  <c r="G4833" i="2"/>
  <c r="F4833" i="2"/>
  <c r="H4832" i="2"/>
  <c r="G4832" i="2"/>
  <c r="F4832" i="2"/>
  <c r="H4831" i="2"/>
  <c r="G4831" i="2"/>
  <c r="F4831" i="2"/>
  <c r="H4830" i="2"/>
  <c r="G4830" i="2"/>
  <c r="F4830" i="2"/>
  <c r="H4829" i="2"/>
  <c r="G4829" i="2"/>
  <c r="F4829" i="2"/>
  <c r="H4828" i="2"/>
  <c r="G4828" i="2"/>
  <c r="F4828" i="2"/>
  <c r="H4827" i="2"/>
  <c r="G4827" i="2"/>
  <c r="F4827" i="2"/>
  <c r="H4826" i="2"/>
  <c r="G4826" i="2"/>
  <c r="F4826" i="2"/>
  <c r="H4825" i="2"/>
  <c r="G4825" i="2"/>
  <c r="F4825" i="2"/>
  <c r="H4824" i="2"/>
  <c r="G4824" i="2"/>
  <c r="F4824" i="2"/>
  <c r="H4823" i="2"/>
  <c r="G4823" i="2"/>
  <c r="F4823" i="2"/>
  <c r="H4822" i="2"/>
  <c r="G4822" i="2"/>
  <c r="F4822" i="2"/>
  <c r="H4821" i="2"/>
  <c r="G4821" i="2"/>
  <c r="F4821" i="2"/>
  <c r="H4820" i="2"/>
  <c r="G4820" i="2"/>
  <c r="F4820" i="2"/>
  <c r="H4819" i="2"/>
  <c r="G4819" i="2"/>
  <c r="F4819" i="2"/>
  <c r="H4818" i="2"/>
  <c r="G4818" i="2"/>
  <c r="F4818" i="2"/>
  <c r="H4817" i="2"/>
  <c r="G4817" i="2"/>
  <c r="F4817" i="2"/>
  <c r="H4816" i="2"/>
  <c r="G4816" i="2"/>
  <c r="F4816" i="2"/>
  <c r="H4815" i="2"/>
  <c r="G4815" i="2"/>
  <c r="F4815" i="2"/>
  <c r="H4814" i="2"/>
  <c r="G4814" i="2"/>
  <c r="F4814" i="2"/>
  <c r="H4813" i="2"/>
  <c r="G4813" i="2"/>
  <c r="F4813" i="2"/>
  <c r="H4812" i="2"/>
  <c r="G4812" i="2"/>
  <c r="F4812" i="2"/>
  <c r="H4811" i="2"/>
  <c r="G4811" i="2"/>
  <c r="F4811" i="2"/>
  <c r="H4810" i="2"/>
  <c r="G4810" i="2"/>
  <c r="F4810" i="2"/>
  <c r="H4809" i="2"/>
  <c r="G4809" i="2"/>
  <c r="F4809" i="2"/>
  <c r="H4808" i="2"/>
  <c r="G4808" i="2"/>
  <c r="F4808" i="2"/>
  <c r="H4807" i="2"/>
  <c r="G4807" i="2"/>
  <c r="F4807" i="2"/>
  <c r="H4806" i="2"/>
  <c r="G4806" i="2"/>
  <c r="F4806" i="2"/>
  <c r="H4805" i="2"/>
  <c r="G4805" i="2"/>
  <c r="F4805" i="2"/>
  <c r="H4804" i="2"/>
  <c r="G4804" i="2"/>
  <c r="F4804" i="2"/>
  <c r="H4803" i="2"/>
  <c r="G4803" i="2"/>
  <c r="F4803" i="2"/>
  <c r="H4802" i="2"/>
  <c r="G4802" i="2"/>
  <c r="F4802" i="2"/>
  <c r="H4801" i="2"/>
  <c r="G4801" i="2"/>
  <c r="F4801" i="2"/>
  <c r="H4800" i="2"/>
  <c r="G4800" i="2"/>
  <c r="F4800" i="2"/>
  <c r="H4799" i="2"/>
  <c r="G4799" i="2"/>
  <c r="F4799" i="2"/>
  <c r="H4798" i="2"/>
  <c r="G4798" i="2"/>
  <c r="F4798" i="2"/>
  <c r="H4797" i="2"/>
  <c r="G4797" i="2"/>
  <c r="F4797" i="2"/>
  <c r="H4796" i="2"/>
  <c r="G4796" i="2"/>
  <c r="F4796" i="2"/>
  <c r="H4795" i="2"/>
  <c r="G4795" i="2"/>
  <c r="F4795" i="2"/>
  <c r="H4794" i="2"/>
  <c r="G4794" i="2"/>
  <c r="F4794" i="2"/>
  <c r="H4793" i="2"/>
  <c r="G4793" i="2"/>
  <c r="F4793" i="2"/>
  <c r="H4792" i="2"/>
  <c r="G4792" i="2"/>
  <c r="F4792" i="2"/>
  <c r="H4791" i="2"/>
  <c r="G4791" i="2"/>
  <c r="F4791" i="2"/>
  <c r="H4790" i="2"/>
  <c r="G4790" i="2"/>
  <c r="F4790" i="2"/>
  <c r="H4789" i="2"/>
  <c r="G4789" i="2"/>
  <c r="F4789" i="2"/>
  <c r="H4788" i="2"/>
  <c r="G4788" i="2"/>
  <c r="F4788" i="2"/>
  <c r="H4787" i="2"/>
  <c r="G4787" i="2"/>
  <c r="F4787" i="2"/>
  <c r="H4786" i="2"/>
  <c r="G4786" i="2"/>
  <c r="F4786" i="2"/>
  <c r="H4785" i="2"/>
  <c r="G4785" i="2"/>
  <c r="F4785" i="2"/>
  <c r="H4784" i="2"/>
  <c r="G4784" i="2"/>
  <c r="F4784" i="2"/>
  <c r="H4783" i="2"/>
  <c r="G4783" i="2"/>
  <c r="F4783" i="2"/>
  <c r="H4782" i="2"/>
  <c r="G4782" i="2"/>
  <c r="F4782" i="2"/>
  <c r="H4781" i="2"/>
  <c r="G4781" i="2"/>
  <c r="F4781" i="2"/>
  <c r="H4780" i="2"/>
  <c r="G4780" i="2"/>
  <c r="F4780" i="2"/>
  <c r="H4779" i="2"/>
  <c r="G4779" i="2"/>
  <c r="F4779" i="2"/>
  <c r="H4778" i="2"/>
  <c r="G4778" i="2"/>
  <c r="F4778" i="2"/>
  <c r="H4777" i="2"/>
  <c r="G4777" i="2"/>
  <c r="F4777" i="2"/>
  <c r="H4776" i="2"/>
  <c r="G4776" i="2"/>
  <c r="F4776" i="2"/>
  <c r="H4775" i="2"/>
  <c r="G4775" i="2"/>
  <c r="F4775" i="2"/>
  <c r="H4774" i="2"/>
  <c r="G4774" i="2"/>
  <c r="F4774" i="2"/>
  <c r="H4773" i="2"/>
  <c r="G4773" i="2"/>
  <c r="F4773" i="2"/>
  <c r="H4772" i="2"/>
  <c r="G4772" i="2"/>
  <c r="F4772" i="2"/>
  <c r="H4771" i="2"/>
  <c r="G4771" i="2"/>
  <c r="F4771" i="2"/>
  <c r="H4770" i="2"/>
  <c r="G4770" i="2"/>
  <c r="F4770" i="2"/>
  <c r="H4769" i="2"/>
  <c r="G4769" i="2"/>
  <c r="F4769" i="2"/>
  <c r="H4768" i="2"/>
  <c r="G4768" i="2"/>
  <c r="F4768" i="2"/>
  <c r="H4767" i="2"/>
  <c r="G4767" i="2"/>
  <c r="F4767" i="2"/>
  <c r="H4766" i="2"/>
  <c r="G4766" i="2"/>
  <c r="F4766" i="2"/>
  <c r="H4765" i="2"/>
  <c r="G4765" i="2"/>
  <c r="F4765" i="2"/>
  <c r="H4764" i="2"/>
  <c r="G4764" i="2"/>
  <c r="F4764" i="2"/>
  <c r="H4763" i="2"/>
  <c r="G4763" i="2"/>
  <c r="F4763" i="2"/>
  <c r="H4762" i="2"/>
  <c r="G4762" i="2"/>
  <c r="F4762" i="2"/>
  <c r="H4761" i="2"/>
  <c r="G4761" i="2"/>
  <c r="F4761" i="2"/>
  <c r="H4760" i="2"/>
  <c r="G4760" i="2"/>
  <c r="F4760" i="2"/>
  <c r="H4759" i="2"/>
  <c r="G4759" i="2"/>
  <c r="F4759" i="2"/>
  <c r="H4758" i="2"/>
  <c r="G4758" i="2"/>
  <c r="F4758" i="2"/>
  <c r="H4757" i="2"/>
  <c r="G4757" i="2"/>
  <c r="F4757" i="2"/>
  <c r="H4756" i="2"/>
  <c r="G4756" i="2"/>
  <c r="F4756" i="2"/>
  <c r="H4755" i="2"/>
  <c r="G4755" i="2"/>
  <c r="F4755" i="2"/>
  <c r="H4754" i="2"/>
  <c r="G4754" i="2"/>
  <c r="F4754" i="2"/>
  <c r="H4753" i="2"/>
  <c r="G4753" i="2"/>
  <c r="F4753" i="2"/>
  <c r="H4752" i="2"/>
  <c r="G4752" i="2"/>
  <c r="F4752" i="2"/>
  <c r="H4751" i="2"/>
  <c r="G4751" i="2"/>
  <c r="F4751" i="2"/>
  <c r="H4750" i="2"/>
  <c r="G4750" i="2"/>
  <c r="F4750" i="2"/>
  <c r="H4749" i="2"/>
  <c r="G4749" i="2"/>
  <c r="F4749" i="2"/>
  <c r="H4748" i="2"/>
  <c r="G4748" i="2"/>
  <c r="F4748" i="2"/>
  <c r="H4747" i="2"/>
  <c r="G4747" i="2"/>
  <c r="F4747" i="2"/>
  <c r="H4746" i="2"/>
  <c r="G4746" i="2"/>
  <c r="F4746" i="2"/>
  <c r="H4745" i="2"/>
  <c r="G4745" i="2"/>
  <c r="F4745" i="2"/>
  <c r="H4744" i="2"/>
  <c r="G4744" i="2"/>
  <c r="F4744" i="2"/>
  <c r="H4743" i="2"/>
  <c r="G4743" i="2"/>
  <c r="F4743" i="2"/>
  <c r="H4742" i="2"/>
  <c r="G4742" i="2"/>
  <c r="F4742" i="2"/>
  <c r="H4741" i="2"/>
  <c r="G4741" i="2"/>
  <c r="F4741" i="2"/>
  <c r="H4740" i="2"/>
  <c r="G4740" i="2"/>
  <c r="F4740" i="2"/>
  <c r="H4739" i="2"/>
  <c r="G4739" i="2"/>
  <c r="F4739" i="2"/>
  <c r="H4738" i="2"/>
  <c r="G4738" i="2"/>
  <c r="F4738" i="2"/>
  <c r="H4737" i="2"/>
  <c r="G4737" i="2"/>
  <c r="F4737" i="2"/>
  <c r="H4736" i="2"/>
  <c r="G4736" i="2"/>
  <c r="F4736" i="2"/>
  <c r="H4735" i="2"/>
  <c r="G4735" i="2"/>
  <c r="F4735" i="2"/>
  <c r="H4734" i="2"/>
  <c r="G4734" i="2"/>
  <c r="F4734" i="2"/>
  <c r="H4733" i="2"/>
  <c r="G4733" i="2"/>
  <c r="F4733" i="2"/>
  <c r="H4732" i="2"/>
  <c r="G4732" i="2"/>
  <c r="F4732" i="2"/>
  <c r="H4731" i="2"/>
  <c r="G4731" i="2"/>
  <c r="F4731" i="2"/>
  <c r="H4730" i="2"/>
  <c r="G4730" i="2"/>
  <c r="F4730" i="2"/>
  <c r="H4729" i="2"/>
  <c r="G4729" i="2"/>
  <c r="F4729" i="2"/>
  <c r="H4728" i="2"/>
  <c r="G4728" i="2"/>
  <c r="F4728" i="2"/>
  <c r="H4727" i="2"/>
  <c r="G4727" i="2"/>
  <c r="F4727" i="2"/>
  <c r="H4726" i="2"/>
  <c r="G4726" i="2"/>
  <c r="F4726" i="2"/>
  <c r="H4725" i="2"/>
  <c r="G4725" i="2"/>
  <c r="F4725" i="2"/>
  <c r="H4724" i="2"/>
  <c r="G4724" i="2"/>
  <c r="F4724" i="2"/>
  <c r="H4723" i="2"/>
  <c r="G4723" i="2"/>
  <c r="F4723" i="2"/>
  <c r="H4722" i="2"/>
  <c r="G4722" i="2"/>
  <c r="F4722" i="2"/>
  <c r="H4721" i="2"/>
  <c r="G4721" i="2"/>
  <c r="F4721" i="2"/>
  <c r="H4720" i="2"/>
  <c r="G4720" i="2"/>
  <c r="F4720" i="2"/>
  <c r="H4719" i="2"/>
  <c r="G4719" i="2"/>
  <c r="F4719" i="2"/>
  <c r="H4718" i="2"/>
  <c r="G4718" i="2"/>
  <c r="F4718" i="2"/>
  <c r="H4717" i="2"/>
  <c r="G4717" i="2"/>
  <c r="F4717" i="2"/>
  <c r="H4716" i="2"/>
  <c r="G4716" i="2"/>
  <c r="F4716" i="2"/>
  <c r="H4715" i="2"/>
  <c r="G4715" i="2"/>
  <c r="F4715" i="2"/>
  <c r="H4714" i="2"/>
  <c r="G4714" i="2"/>
  <c r="F4714" i="2"/>
  <c r="H4713" i="2"/>
  <c r="G4713" i="2"/>
  <c r="F4713" i="2"/>
  <c r="H4712" i="2"/>
  <c r="G4712" i="2"/>
  <c r="F4712" i="2"/>
  <c r="H4711" i="2"/>
  <c r="G4711" i="2"/>
  <c r="F4711" i="2"/>
  <c r="H4710" i="2"/>
  <c r="G4710" i="2"/>
  <c r="F4710" i="2"/>
  <c r="H4709" i="2"/>
  <c r="G4709" i="2"/>
  <c r="F4709" i="2"/>
  <c r="H4708" i="2"/>
  <c r="G4708" i="2"/>
  <c r="F4708" i="2"/>
  <c r="H4707" i="2"/>
  <c r="G4707" i="2"/>
  <c r="F4707" i="2"/>
  <c r="H4706" i="2"/>
  <c r="G4706" i="2"/>
  <c r="F4706" i="2"/>
  <c r="H4705" i="2"/>
  <c r="G4705" i="2"/>
  <c r="F4705" i="2"/>
  <c r="H4704" i="2"/>
  <c r="G4704" i="2"/>
  <c r="F4704" i="2"/>
  <c r="H4703" i="2"/>
  <c r="G4703" i="2"/>
  <c r="F4703" i="2"/>
  <c r="H4702" i="2"/>
  <c r="G4702" i="2"/>
  <c r="F4702" i="2"/>
  <c r="H4701" i="2"/>
  <c r="G4701" i="2"/>
  <c r="F4701" i="2"/>
  <c r="H4700" i="2"/>
  <c r="G4700" i="2"/>
  <c r="F4700" i="2"/>
  <c r="H4699" i="2"/>
  <c r="G4699" i="2"/>
  <c r="F4699" i="2"/>
  <c r="H4698" i="2"/>
  <c r="G4698" i="2"/>
  <c r="F4698" i="2"/>
  <c r="H4697" i="2"/>
  <c r="G4697" i="2"/>
  <c r="F4697" i="2"/>
  <c r="H4696" i="2"/>
  <c r="G4696" i="2"/>
  <c r="F4696" i="2"/>
  <c r="H4695" i="2"/>
  <c r="G4695" i="2"/>
  <c r="F4695" i="2"/>
  <c r="H4694" i="2"/>
  <c r="G4694" i="2"/>
  <c r="F4694" i="2"/>
  <c r="H4693" i="2"/>
  <c r="G4693" i="2"/>
  <c r="F4693" i="2"/>
  <c r="H4692" i="2"/>
  <c r="G4692" i="2"/>
  <c r="F4692" i="2"/>
  <c r="H4691" i="2"/>
  <c r="G4691" i="2"/>
  <c r="F4691" i="2"/>
  <c r="H4690" i="2"/>
  <c r="G4690" i="2"/>
  <c r="F4690" i="2"/>
  <c r="H4689" i="2"/>
  <c r="G4689" i="2"/>
  <c r="F4689" i="2"/>
  <c r="H4688" i="2"/>
  <c r="G4688" i="2"/>
  <c r="F4688" i="2"/>
  <c r="H4687" i="2"/>
  <c r="G4687" i="2"/>
  <c r="F4687" i="2"/>
  <c r="H4686" i="2"/>
  <c r="G4686" i="2"/>
  <c r="F4686" i="2"/>
  <c r="H4685" i="2"/>
  <c r="G4685" i="2"/>
  <c r="F4685" i="2"/>
  <c r="H4684" i="2"/>
  <c r="G4684" i="2"/>
  <c r="F4684" i="2"/>
  <c r="H4683" i="2"/>
  <c r="G4683" i="2"/>
  <c r="F4683" i="2"/>
  <c r="H4682" i="2"/>
  <c r="G4682" i="2"/>
  <c r="F4682" i="2"/>
  <c r="H4681" i="2"/>
  <c r="G4681" i="2"/>
  <c r="F4681" i="2"/>
  <c r="H4680" i="2"/>
  <c r="G4680" i="2"/>
  <c r="F4680" i="2"/>
  <c r="H4679" i="2"/>
  <c r="G4679" i="2"/>
  <c r="F4679" i="2"/>
  <c r="H4678" i="2"/>
  <c r="G4678" i="2"/>
  <c r="F4678" i="2"/>
  <c r="H4677" i="2"/>
  <c r="G4677" i="2"/>
  <c r="F4677" i="2"/>
  <c r="H4676" i="2"/>
  <c r="G4676" i="2"/>
  <c r="F4676" i="2"/>
  <c r="H4675" i="2"/>
  <c r="G4675" i="2"/>
  <c r="F4675" i="2"/>
  <c r="H4674" i="2"/>
  <c r="G4674" i="2"/>
  <c r="F4674" i="2"/>
  <c r="H4673" i="2"/>
  <c r="G4673" i="2"/>
  <c r="F4673" i="2"/>
  <c r="H4672" i="2"/>
  <c r="G4672" i="2"/>
  <c r="F4672" i="2"/>
  <c r="H4671" i="2"/>
  <c r="G4671" i="2"/>
  <c r="F4671" i="2"/>
  <c r="H4670" i="2"/>
  <c r="G4670" i="2"/>
  <c r="F4670" i="2"/>
  <c r="H4669" i="2"/>
  <c r="G4669" i="2"/>
  <c r="F4669" i="2"/>
  <c r="H4668" i="2"/>
  <c r="G4668" i="2"/>
  <c r="F4668" i="2"/>
  <c r="H4667" i="2"/>
  <c r="G4667" i="2"/>
  <c r="F4667" i="2"/>
  <c r="H4666" i="2"/>
  <c r="G4666" i="2"/>
  <c r="F4666" i="2"/>
  <c r="H4665" i="2"/>
  <c r="G4665" i="2"/>
  <c r="F4665" i="2"/>
  <c r="H4664" i="2"/>
  <c r="G4664" i="2"/>
  <c r="F4664" i="2"/>
  <c r="H4663" i="2"/>
  <c r="G4663" i="2"/>
  <c r="F4663" i="2"/>
  <c r="H4662" i="2"/>
  <c r="G4662" i="2"/>
  <c r="F4662" i="2"/>
  <c r="H4661" i="2"/>
  <c r="G4661" i="2"/>
  <c r="F4661" i="2"/>
  <c r="H4660" i="2"/>
  <c r="G4660" i="2"/>
  <c r="F4660" i="2"/>
  <c r="H4659" i="2"/>
  <c r="G4659" i="2"/>
  <c r="F4659" i="2"/>
  <c r="H4658" i="2"/>
  <c r="G4658" i="2"/>
  <c r="F4658" i="2"/>
  <c r="H4657" i="2"/>
  <c r="G4657" i="2"/>
  <c r="F4657" i="2"/>
  <c r="H4656" i="2"/>
  <c r="G4656" i="2"/>
  <c r="F4656" i="2"/>
  <c r="H4655" i="2"/>
  <c r="G4655" i="2"/>
  <c r="F4655" i="2"/>
  <c r="H4654" i="2"/>
  <c r="G4654" i="2"/>
  <c r="F4654" i="2"/>
  <c r="H4653" i="2"/>
  <c r="G4653" i="2"/>
  <c r="F4653" i="2"/>
  <c r="H4652" i="2"/>
  <c r="G4652" i="2"/>
  <c r="F4652" i="2"/>
  <c r="H4651" i="2"/>
  <c r="G4651" i="2"/>
  <c r="F4651" i="2"/>
  <c r="H4650" i="2"/>
  <c r="G4650" i="2"/>
  <c r="F4650" i="2"/>
  <c r="H4649" i="2"/>
  <c r="G4649" i="2"/>
  <c r="F4649" i="2"/>
  <c r="H4648" i="2"/>
  <c r="G4648" i="2"/>
  <c r="F4648" i="2"/>
  <c r="H4647" i="2"/>
  <c r="G4647" i="2"/>
  <c r="F4647" i="2"/>
  <c r="H4646" i="2"/>
  <c r="G4646" i="2"/>
  <c r="F4646" i="2"/>
  <c r="H4645" i="2"/>
  <c r="G4645" i="2"/>
  <c r="F4645" i="2"/>
  <c r="H4644" i="2"/>
  <c r="G4644" i="2"/>
  <c r="F4644" i="2"/>
  <c r="H4643" i="2"/>
  <c r="G4643" i="2"/>
  <c r="F4643" i="2"/>
  <c r="H4642" i="2"/>
  <c r="G4642" i="2"/>
  <c r="F4642" i="2"/>
  <c r="H4641" i="2"/>
  <c r="G4641" i="2"/>
  <c r="F4641" i="2"/>
  <c r="H4640" i="2"/>
  <c r="G4640" i="2"/>
  <c r="F4640" i="2"/>
  <c r="H4639" i="2"/>
  <c r="G4639" i="2"/>
  <c r="F4639" i="2"/>
  <c r="H4638" i="2"/>
  <c r="G4638" i="2"/>
  <c r="F4638" i="2"/>
  <c r="H4637" i="2"/>
  <c r="G4637" i="2"/>
  <c r="F4637" i="2"/>
  <c r="H4636" i="2"/>
  <c r="G4636" i="2"/>
  <c r="F4636" i="2"/>
  <c r="H4635" i="2"/>
  <c r="G4635" i="2"/>
  <c r="F4635" i="2"/>
  <c r="H4634" i="2"/>
  <c r="G4634" i="2"/>
  <c r="F4634" i="2"/>
  <c r="H4633" i="2"/>
  <c r="G4633" i="2"/>
  <c r="F4633" i="2"/>
  <c r="H4632" i="2"/>
  <c r="G4632" i="2"/>
  <c r="F4632" i="2"/>
  <c r="H4631" i="2"/>
  <c r="G4631" i="2"/>
  <c r="F4631" i="2"/>
  <c r="H4630" i="2"/>
  <c r="G4630" i="2"/>
  <c r="F4630" i="2"/>
  <c r="H4629" i="2"/>
  <c r="G4629" i="2"/>
  <c r="F4629" i="2"/>
  <c r="H4628" i="2"/>
  <c r="G4628" i="2"/>
  <c r="F4628" i="2"/>
  <c r="H4627" i="2"/>
  <c r="G4627" i="2"/>
  <c r="F4627" i="2"/>
  <c r="H4626" i="2"/>
  <c r="G4626" i="2"/>
  <c r="F4626" i="2"/>
  <c r="H4625" i="2"/>
  <c r="G4625" i="2"/>
  <c r="F4625" i="2"/>
  <c r="H4624" i="2"/>
  <c r="G4624" i="2"/>
  <c r="F4624" i="2"/>
  <c r="H4623" i="2"/>
  <c r="G4623" i="2"/>
  <c r="F4623" i="2"/>
  <c r="H4622" i="2"/>
  <c r="G4622" i="2"/>
  <c r="F4622" i="2"/>
  <c r="H4621" i="2"/>
  <c r="G4621" i="2"/>
  <c r="F4621" i="2"/>
  <c r="H4620" i="2"/>
  <c r="G4620" i="2"/>
  <c r="F4620" i="2"/>
  <c r="H4619" i="2"/>
  <c r="G4619" i="2"/>
  <c r="F4619" i="2"/>
  <c r="H4618" i="2"/>
  <c r="G4618" i="2"/>
  <c r="F4618" i="2"/>
  <c r="H4617" i="2"/>
  <c r="G4617" i="2"/>
  <c r="F4617" i="2"/>
  <c r="H4616" i="2"/>
  <c r="G4616" i="2"/>
  <c r="F4616" i="2"/>
  <c r="H4615" i="2"/>
  <c r="G4615" i="2"/>
  <c r="F4615" i="2"/>
  <c r="H4614" i="2"/>
  <c r="G4614" i="2"/>
  <c r="F4614" i="2"/>
  <c r="H4613" i="2"/>
  <c r="G4613" i="2"/>
  <c r="F4613" i="2"/>
  <c r="H4612" i="2"/>
  <c r="G4612" i="2"/>
  <c r="F4612" i="2"/>
  <c r="H4611" i="2"/>
  <c r="G4611" i="2"/>
  <c r="F4611" i="2"/>
  <c r="H4610" i="2"/>
  <c r="G4610" i="2"/>
  <c r="F4610" i="2"/>
  <c r="H4609" i="2"/>
  <c r="G4609" i="2"/>
  <c r="F4609" i="2"/>
  <c r="H4608" i="2"/>
  <c r="G4608" i="2"/>
  <c r="F4608" i="2"/>
  <c r="H4607" i="2"/>
  <c r="G4607" i="2"/>
  <c r="F4607" i="2"/>
  <c r="H4606" i="2"/>
  <c r="G4606" i="2"/>
  <c r="F4606" i="2"/>
  <c r="H4605" i="2"/>
  <c r="G4605" i="2"/>
  <c r="F4605" i="2"/>
  <c r="H4604" i="2"/>
  <c r="G4604" i="2"/>
  <c r="F4604" i="2"/>
  <c r="H4603" i="2"/>
  <c r="G4603" i="2"/>
  <c r="F4603" i="2"/>
  <c r="H4602" i="2"/>
  <c r="G4602" i="2"/>
  <c r="F4602" i="2"/>
  <c r="H4601" i="2"/>
  <c r="G4601" i="2"/>
  <c r="F4601" i="2"/>
  <c r="H4600" i="2"/>
  <c r="G4600" i="2"/>
  <c r="F4600" i="2"/>
  <c r="H4599" i="2"/>
  <c r="G4599" i="2"/>
  <c r="F4599" i="2"/>
  <c r="H4598" i="2"/>
  <c r="G4598" i="2"/>
  <c r="F4598" i="2"/>
  <c r="H4597" i="2"/>
  <c r="G4597" i="2"/>
  <c r="F4597" i="2"/>
  <c r="H4596" i="2"/>
  <c r="G4596" i="2"/>
  <c r="F4596" i="2"/>
  <c r="H4595" i="2"/>
  <c r="G4595" i="2"/>
  <c r="F4595" i="2"/>
  <c r="H4594" i="2"/>
  <c r="G4594" i="2"/>
  <c r="F4594" i="2"/>
  <c r="H4593" i="2"/>
  <c r="G4593" i="2"/>
  <c r="F4593" i="2"/>
  <c r="H4592" i="2"/>
  <c r="G4592" i="2"/>
  <c r="F4592" i="2"/>
  <c r="H4591" i="2"/>
  <c r="G4591" i="2"/>
  <c r="F4591" i="2"/>
  <c r="H4590" i="2"/>
  <c r="G4590" i="2"/>
  <c r="F4590" i="2"/>
  <c r="H4589" i="2"/>
  <c r="G4589" i="2"/>
  <c r="F4589" i="2"/>
  <c r="H4588" i="2"/>
  <c r="G4588" i="2"/>
  <c r="F4588" i="2"/>
  <c r="H4587" i="2"/>
  <c r="G4587" i="2"/>
  <c r="F4587" i="2"/>
  <c r="H4586" i="2"/>
  <c r="G4586" i="2"/>
  <c r="F4586" i="2"/>
  <c r="H4585" i="2"/>
  <c r="G4585" i="2"/>
  <c r="F4585" i="2"/>
  <c r="H4584" i="2"/>
  <c r="G4584" i="2"/>
  <c r="F4584" i="2"/>
  <c r="H4583" i="2"/>
  <c r="G4583" i="2"/>
  <c r="F4583" i="2"/>
  <c r="H4582" i="2"/>
  <c r="G4582" i="2"/>
  <c r="F4582" i="2"/>
  <c r="H4581" i="2"/>
  <c r="G4581" i="2"/>
  <c r="F4581" i="2"/>
  <c r="H4580" i="2"/>
  <c r="G4580" i="2"/>
  <c r="F4580" i="2"/>
  <c r="H4579" i="2"/>
  <c r="G4579" i="2"/>
  <c r="F4579" i="2"/>
  <c r="H4578" i="2"/>
  <c r="G4578" i="2"/>
  <c r="F4578" i="2"/>
  <c r="H4577" i="2"/>
  <c r="G4577" i="2"/>
  <c r="F4577" i="2"/>
  <c r="H4576" i="2"/>
  <c r="G4576" i="2"/>
  <c r="F4576" i="2"/>
  <c r="H4575" i="2"/>
  <c r="G4575" i="2"/>
  <c r="F4575" i="2"/>
  <c r="H4574" i="2"/>
  <c r="G4574" i="2"/>
  <c r="F4574" i="2"/>
  <c r="H4573" i="2"/>
  <c r="G4573" i="2"/>
  <c r="F4573" i="2"/>
  <c r="H4572" i="2"/>
  <c r="G4572" i="2"/>
  <c r="F4572" i="2"/>
  <c r="H4571" i="2"/>
  <c r="G4571" i="2"/>
  <c r="F4571" i="2"/>
  <c r="H4570" i="2"/>
  <c r="G4570" i="2"/>
  <c r="F4570" i="2"/>
  <c r="H4569" i="2"/>
  <c r="G4569" i="2"/>
  <c r="F4569" i="2"/>
  <c r="H4568" i="2"/>
  <c r="G4568" i="2"/>
  <c r="F4568" i="2"/>
  <c r="H4567" i="2"/>
  <c r="G4567" i="2"/>
  <c r="F4567" i="2"/>
  <c r="H4566" i="2"/>
  <c r="G4566" i="2"/>
  <c r="F4566" i="2"/>
  <c r="H4565" i="2"/>
  <c r="G4565" i="2"/>
  <c r="F4565" i="2"/>
  <c r="H4564" i="2"/>
  <c r="G4564" i="2"/>
  <c r="F4564" i="2"/>
  <c r="H4563" i="2"/>
  <c r="G4563" i="2"/>
  <c r="F4563" i="2"/>
  <c r="H4562" i="2"/>
  <c r="G4562" i="2"/>
  <c r="F4562" i="2"/>
  <c r="H4561" i="2"/>
  <c r="G4561" i="2"/>
  <c r="F4561" i="2"/>
  <c r="H4560" i="2"/>
  <c r="G4560" i="2"/>
  <c r="F4560" i="2"/>
  <c r="H4559" i="2"/>
  <c r="G4559" i="2"/>
  <c r="F4559" i="2"/>
  <c r="H4558" i="2"/>
  <c r="G4558" i="2"/>
  <c r="F4558" i="2"/>
  <c r="H4557" i="2"/>
  <c r="G4557" i="2"/>
  <c r="F4557" i="2"/>
  <c r="H4556" i="2"/>
  <c r="G4556" i="2"/>
  <c r="F4556" i="2"/>
  <c r="H4555" i="2"/>
  <c r="G4555" i="2"/>
  <c r="F4555" i="2"/>
  <c r="H4554" i="2"/>
  <c r="G4554" i="2"/>
  <c r="F4554" i="2"/>
  <c r="H4553" i="2"/>
  <c r="G4553" i="2"/>
  <c r="F4553" i="2"/>
  <c r="H4552" i="2"/>
  <c r="G4552" i="2"/>
  <c r="F4552" i="2"/>
  <c r="H4551" i="2"/>
  <c r="G4551" i="2"/>
  <c r="F4551" i="2"/>
  <c r="H4550" i="2"/>
  <c r="G4550" i="2"/>
  <c r="F4550" i="2"/>
  <c r="H4549" i="2"/>
  <c r="G4549" i="2"/>
  <c r="F4549" i="2"/>
  <c r="H4548" i="2"/>
  <c r="G4548" i="2"/>
  <c r="F4548" i="2"/>
  <c r="H4547" i="2"/>
  <c r="G4547" i="2"/>
  <c r="F4547" i="2"/>
  <c r="H4546" i="2"/>
  <c r="G4546" i="2"/>
  <c r="F4546" i="2"/>
  <c r="H4545" i="2"/>
  <c r="G4545" i="2"/>
  <c r="F4545" i="2"/>
  <c r="H4544" i="2"/>
  <c r="G4544" i="2"/>
  <c r="F4544" i="2"/>
  <c r="H4543" i="2"/>
  <c r="G4543" i="2"/>
  <c r="F4543" i="2"/>
  <c r="H4542" i="2"/>
  <c r="G4542" i="2"/>
  <c r="F4542" i="2"/>
  <c r="H4541" i="2"/>
  <c r="G4541" i="2"/>
  <c r="F4541" i="2"/>
  <c r="H4540" i="2"/>
  <c r="G4540" i="2"/>
  <c r="F4540" i="2"/>
  <c r="H4539" i="2"/>
  <c r="G4539" i="2"/>
  <c r="F4539" i="2"/>
  <c r="H4538" i="2"/>
  <c r="G4538" i="2"/>
  <c r="F4538" i="2"/>
  <c r="H4537" i="2"/>
  <c r="G4537" i="2"/>
  <c r="F4537" i="2"/>
  <c r="H4536" i="2"/>
  <c r="G4536" i="2"/>
  <c r="F4536" i="2"/>
  <c r="H4535" i="2"/>
  <c r="G4535" i="2"/>
  <c r="F4535" i="2"/>
  <c r="H4534" i="2"/>
  <c r="G4534" i="2"/>
  <c r="F4534" i="2"/>
  <c r="H4533" i="2"/>
  <c r="G4533" i="2"/>
  <c r="F4533" i="2"/>
  <c r="H4532" i="2"/>
  <c r="G4532" i="2"/>
  <c r="F4532" i="2"/>
  <c r="H4531" i="2"/>
  <c r="G4531" i="2"/>
  <c r="F4531" i="2"/>
  <c r="H4530" i="2"/>
  <c r="G4530" i="2"/>
  <c r="F4530" i="2"/>
  <c r="H4529" i="2"/>
  <c r="G4529" i="2"/>
  <c r="F4529" i="2"/>
  <c r="H4528" i="2"/>
  <c r="G4528" i="2"/>
  <c r="F4528" i="2"/>
  <c r="H4527" i="2"/>
  <c r="G4527" i="2"/>
  <c r="F4527" i="2"/>
  <c r="H4526" i="2"/>
  <c r="G4526" i="2"/>
  <c r="F4526" i="2"/>
  <c r="H4525" i="2"/>
  <c r="G4525" i="2"/>
  <c r="F4525" i="2"/>
  <c r="H4524" i="2"/>
  <c r="G4524" i="2"/>
  <c r="F4524" i="2"/>
  <c r="H4523" i="2"/>
  <c r="G4523" i="2"/>
  <c r="F4523" i="2"/>
  <c r="H4522" i="2"/>
  <c r="G4522" i="2"/>
  <c r="F4522" i="2"/>
  <c r="H4521" i="2"/>
  <c r="G4521" i="2"/>
  <c r="F4521" i="2"/>
  <c r="H4520" i="2"/>
  <c r="G4520" i="2"/>
  <c r="F4520" i="2"/>
  <c r="H4519" i="2"/>
  <c r="G4519" i="2"/>
  <c r="F4519" i="2"/>
  <c r="H4518" i="2"/>
  <c r="G4518" i="2"/>
  <c r="F4518" i="2"/>
  <c r="H4517" i="2"/>
  <c r="G4517" i="2"/>
  <c r="F4517" i="2"/>
  <c r="H4516" i="2"/>
  <c r="G4516" i="2"/>
  <c r="F4516" i="2"/>
  <c r="H4515" i="2"/>
  <c r="G4515" i="2"/>
  <c r="F4515" i="2"/>
  <c r="H4514" i="2"/>
  <c r="G4514" i="2"/>
  <c r="F4514" i="2"/>
  <c r="H4513" i="2"/>
  <c r="G4513" i="2"/>
  <c r="F4513" i="2"/>
  <c r="H4512" i="2"/>
  <c r="G4512" i="2"/>
  <c r="F4512" i="2"/>
  <c r="H4511" i="2"/>
  <c r="G4511" i="2"/>
  <c r="F4511" i="2"/>
  <c r="H4510" i="2"/>
  <c r="G4510" i="2"/>
  <c r="F4510" i="2"/>
  <c r="H4509" i="2"/>
  <c r="G4509" i="2"/>
  <c r="F4509" i="2"/>
  <c r="H4508" i="2"/>
  <c r="G4508" i="2"/>
  <c r="F4508" i="2"/>
  <c r="H4507" i="2"/>
  <c r="G4507" i="2"/>
  <c r="F4507" i="2"/>
  <c r="H4506" i="2"/>
  <c r="G4506" i="2"/>
  <c r="F4506" i="2"/>
  <c r="H4505" i="2"/>
  <c r="G4505" i="2"/>
  <c r="F4505" i="2"/>
  <c r="H4504" i="2"/>
  <c r="G4504" i="2"/>
  <c r="F4504" i="2"/>
  <c r="H4503" i="2"/>
  <c r="G4503" i="2"/>
  <c r="F4503" i="2"/>
  <c r="H4502" i="2"/>
  <c r="G4502" i="2"/>
  <c r="F4502" i="2"/>
  <c r="H4501" i="2"/>
  <c r="G4501" i="2"/>
  <c r="F4501" i="2"/>
  <c r="H4500" i="2"/>
  <c r="G4500" i="2"/>
  <c r="F4500" i="2"/>
  <c r="H4499" i="2"/>
  <c r="G4499" i="2"/>
  <c r="F4499" i="2"/>
  <c r="H4498" i="2"/>
  <c r="G4498" i="2"/>
  <c r="F4498" i="2"/>
  <c r="H4497" i="2"/>
  <c r="G4497" i="2"/>
  <c r="F4497" i="2"/>
  <c r="H4496" i="2"/>
  <c r="G4496" i="2"/>
  <c r="F4496" i="2"/>
  <c r="H4495" i="2"/>
  <c r="G4495" i="2"/>
  <c r="F4495" i="2"/>
  <c r="H4494" i="2"/>
  <c r="G4494" i="2"/>
  <c r="F4494" i="2"/>
  <c r="H4493" i="2"/>
  <c r="G4493" i="2"/>
  <c r="F4493" i="2"/>
  <c r="H4492" i="2"/>
  <c r="G4492" i="2"/>
  <c r="F4492" i="2"/>
  <c r="H4491" i="2"/>
  <c r="G4491" i="2"/>
  <c r="F4491" i="2"/>
  <c r="H4490" i="2"/>
  <c r="G4490" i="2"/>
  <c r="F4490" i="2"/>
  <c r="H4489" i="2"/>
  <c r="G4489" i="2"/>
  <c r="F4489" i="2"/>
  <c r="H4488" i="2"/>
  <c r="G4488" i="2"/>
  <c r="F4488" i="2"/>
  <c r="H4487" i="2"/>
  <c r="G4487" i="2"/>
  <c r="F4487" i="2"/>
  <c r="H4486" i="2"/>
  <c r="G4486" i="2"/>
  <c r="F4486" i="2"/>
  <c r="H4485" i="2"/>
  <c r="G4485" i="2"/>
  <c r="F4485" i="2"/>
  <c r="H4484" i="2"/>
  <c r="G4484" i="2"/>
  <c r="F4484" i="2"/>
  <c r="H4483" i="2"/>
  <c r="G4483" i="2"/>
  <c r="F4483" i="2"/>
  <c r="H4482" i="2"/>
  <c r="G4482" i="2"/>
  <c r="F4482" i="2"/>
  <c r="H4481" i="2"/>
  <c r="G4481" i="2"/>
  <c r="F4481" i="2"/>
  <c r="H4480" i="2"/>
  <c r="G4480" i="2"/>
  <c r="F4480" i="2"/>
  <c r="H4479" i="2"/>
  <c r="G4479" i="2"/>
  <c r="F4479" i="2"/>
  <c r="H4478" i="2"/>
  <c r="G4478" i="2"/>
  <c r="F4478" i="2"/>
  <c r="H4477" i="2"/>
  <c r="G4477" i="2"/>
  <c r="F4477" i="2"/>
  <c r="H4476" i="2"/>
  <c r="G4476" i="2"/>
  <c r="F4476" i="2"/>
  <c r="H4475" i="2"/>
  <c r="G4475" i="2"/>
  <c r="F4475" i="2"/>
  <c r="H4474" i="2"/>
  <c r="G4474" i="2"/>
  <c r="F4474" i="2"/>
  <c r="H4473" i="2"/>
  <c r="G4473" i="2"/>
  <c r="F4473" i="2"/>
  <c r="H4472" i="2"/>
  <c r="G4472" i="2"/>
  <c r="F4472" i="2"/>
  <c r="H4471" i="2"/>
  <c r="G4471" i="2"/>
  <c r="F4471" i="2"/>
  <c r="H4470" i="2"/>
  <c r="G4470" i="2"/>
  <c r="F4470" i="2"/>
  <c r="H4469" i="2"/>
  <c r="G4469" i="2"/>
  <c r="F4469" i="2"/>
  <c r="H4468" i="2"/>
  <c r="G4468" i="2"/>
  <c r="F4468" i="2"/>
  <c r="H4467" i="2"/>
  <c r="G4467" i="2"/>
  <c r="F4467" i="2"/>
  <c r="H4466" i="2"/>
  <c r="G4466" i="2"/>
  <c r="F4466" i="2"/>
  <c r="H4465" i="2"/>
  <c r="G4465" i="2"/>
  <c r="F4465" i="2"/>
  <c r="H4464" i="2"/>
  <c r="G4464" i="2"/>
  <c r="F4464" i="2"/>
  <c r="H4463" i="2"/>
  <c r="G4463" i="2"/>
  <c r="F4463" i="2"/>
  <c r="H4462" i="2"/>
  <c r="G4462" i="2"/>
  <c r="F4462" i="2"/>
  <c r="H4461" i="2"/>
  <c r="G4461" i="2"/>
  <c r="F4461" i="2"/>
  <c r="H4460" i="2"/>
  <c r="G4460" i="2"/>
  <c r="F4460" i="2"/>
  <c r="H4459" i="2"/>
  <c r="G4459" i="2"/>
  <c r="F4459" i="2"/>
  <c r="H4458" i="2"/>
  <c r="G4458" i="2"/>
  <c r="F4458" i="2"/>
  <c r="H4457" i="2"/>
  <c r="G4457" i="2"/>
  <c r="F4457" i="2"/>
  <c r="H4456" i="2"/>
  <c r="G4456" i="2"/>
  <c r="F4456" i="2"/>
  <c r="H4455" i="2"/>
  <c r="G4455" i="2"/>
  <c r="F4455" i="2"/>
  <c r="H4454" i="2"/>
  <c r="G4454" i="2"/>
  <c r="F4454" i="2"/>
  <c r="H4453" i="2"/>
  <c r="G4453" i="2"/>
  <c r="F4453" i="2"/>
  <c r="H4452" i="2"/>
  <c r="G4452" i="2"/>
  <c r="F4452" i="2"/>
  <c r="H4451" i="2"/>
  <c r="G4451" i="2"/>
  <c r="F4451" i="2"/>
  <c r="H4450" i="2"/>
  <c r="G4450" i="2"/>
  <c r="F4450" i="2"/>
  <c r="H4449" i="2"/>
  <c r="G4449" i="2"/>
  <c r="F4449" i="2"/>
  <c r="H4448" i="2"/>
  <c r="G4448" i="2"/>
  <c r="F4448" i="2"/>
  <c r="H4447" i="2"/>
  <c r="G4447" i="2"/>
  <c r="F4447" i="2"/>
  <c r="H4446" i="2"/>
  <c r="G4446" i="2"/>
  <c r="F4446" i="2"/>
  <c r="H4445" i="2"/>
  <c r="G4445" i="2"/>
  <c r="F4445" i="2"/>
  <c r="H4444" i="2"/>
  <c r="G4444" i="2"/>
  <c r="F4444" i="2"/>
  <c r="H4443" i="2"/>
  <c r="G4443" i="2"/>
  <c r="F4443" i="2"/>
  <c r="H4442" i="2"/>
  <c r="G4442" i="2"/>
  <c r="F4442" i="2"/>
  <c r="H4441" i="2"/>
  <c r="G4441" i="2"/>
  <c r="F4441" i="2"/>
  <c r="H4440" i="2"/>
  <c r="G4440" i="2"/>
  <c r="F4440" i="2"/>
  <c r="H4439" i="2"/>
  <c r="G4439" i="2"/>
  <c r="F4439" i="2"/>
  <c r="H4438" i="2"/>
  <c r="G4438" i="2"/>
  <c r="F4438" i="2"/>
  <c r="H4437" i="2"/>
  <c r="G4437" i="2"/>
  <c r="F4437" i="2"/>
  <c r="H4436" i="2"/>
  <c r="G4436" i="2"/>
  <c r="F4436" i="2"/>
  <c r="H4435" i="2"/>
  <c r="G4435" i="2"/>
  <c r="F4435" i="2"/>
  <c r="H4434" i="2"/>
  <c r="G4434" i="2"/>
  <c r="F4434" i="2"/>
  <c r="H4433" i="2"/>
  <c r="G4433" i="2"/>
  <c r="F4433" i="2"/>
  <c r="H4432" i="2"/>
  <c r="G4432" i="2"/>
  <c r="F4432" i="2"/>
  <c r="H4431" i="2"/>
  <c r="G4431" i="2"/>
  <c r="F4431" i="2"/>
  <c r="H4430" i="2"/>
  <c r="G4430" i="2"/>
  <c r="F4430" i="2"/>
  <c r="H4429" i="2"/>
  <c r="G4429" i="2"/>
  <c r="F4429" i="2"/>
  <c r="H4428" i="2"/>
  <c r="G4428" i="2"/>
  <c r="F4428" i="2"/>
  <c r="H4427" i="2"/>
  <c r="G4427" i="2"/>
  <c r="F4427" i="2"/>
  <c r="H4426" i="2"/>
  <c r="G4426" i="2"/>
  <c r="F4426" i="2"/>
  <c r="H4425" i="2"/>
  <c r="G4425" i="2"/>
  <c r="F4425" i="2"/>
  <c r="H4424" i="2"/>
  <c r="G4424" i="2"/>
  <c r="F4424" i="2"/>
  <c r="H4423" i="2"/>
  <c r="G4423" i="2"/>
  <c r="F4423" i="2"/>
  <c r="H4422" i="2"/>
  <c r="G4422" i="2"/>
  <c r="F4422" i="2"/>
  <c r="H4421" i="2"/>
  <c r="G4421" i="2"/>
  <c r="F4421" i="2"/>
  <c r="H4420" i="2"/>
  <c r="G4420" i="2"/>
  <c r="F4420" i="2"/>
  <c r="H4419" i="2"/>
  <c r="G4419" i="2"/>
  <c r="F4419" i="2"/>
  <c r="H4418" i="2"/>
  <c r="G4418" i="2"/>
  <c r="F4418" i="2"/>
  <c r="H4417" i="2"/>
  <c r="G4417" i="2"/>
  <c r="F4417" i="2"/>
  <c r="H4416" i="2"/>
  <c r="G4416" i="2"/>
  <c r="F4416" i="2"/>
  <c r="H4415" i="2"/>
  <c r="G4415" i="2"/>
  <c r="F4415" i="2"/>
  <c r="H4414" i="2"/>
  <c r="G4414" i="2"/>
  <c r="F4414" i="2"/>
  <c r="H4413" i="2"/>
  <c r="G4413" i="2"/>
  <c r="F4413" i="2"/>
  <c r="H4412" i="2"/>
  <c r="G4412" i="2"/>
  <c r="F4412" i="2"/>
  <c r="H4411" i="2"/>
  <c r="G4411" i="2"/>
  <c r="F4411" i="2"/>
  <c r="H4410" i="2"/>
  <c r="G4410" i="2"/>
  <c r="F4410" i="2"/>
  <c r="H4409" i="2"/>
  <c r="G4409" i="2"/>
  <c r="F4409" i="2"/>
  <c r="H4408" i="2"/>
  <c r="G4408" i="2"/>
  <c r="F4408" i="2"/>
  <c r="H4407" i="2"/>
  <c r="G4407" i="2"/>
  <c r="F4407" i="2"/>
  <c r="H4406" i="2"/>
  <c r="G4406" i="2"/>
  <c r="F4406" i="2"/>
  <c r="H4405" i="2"/>
  <c r="G4405" i="2"/>
  <c r="F4405" i="2"/>
  <c r="H4404" i="2"/>
  <c r="G4404" i="2"/>
  <c r="F4404" i="2"/>
  <c r="H4403" i="2"/>
  <c r="G4403" i="2"/>
  <c r="F4403" i="2"/>
  <c r="H4402" i="2"/>
  <c r="G4402" i="2"/>
  <c r="F4402" i="2"/>
  <c r="H4401" i="2"/>
  <c r="G4401" i="2"/>
  <c r="F4401" i="2"/>
  <c r="H4400" i="2"/>
  <c r="G4400" i="2"/>
  <c r="F4400" i="2"/>
  <c r="H4399" i="2"/>
  <c r="G4399" i="2"/>
  <c r="F4399" i="2"/>
  <c r="H4398" i="2"/>
  <c r="G4398" i="2"/>
  <c r="F4398" i="2"/>
  <c r="H4397" i="2"/>
  <c r="G4397" i="2"/>
  <c r="F4397" i="2"/>
  <c r="H4396" i="2"/>
  <c r="G4396" i="2"/>
  <c r="F4396" i="2"/>
  <c r="H4395" i="2"/>
  <c r="G4395" i="2"/>
  <c r="F4395" i="2"/>
  <c r="H4394" i="2"/>
  <c r="G4394" i="2"/>
  <c r="F4394" i="2"/>
  <c r="H4393" i="2"/>
  <c r="G4393" i="2"/>
  <c r="F4393" i="2"/>
  <c r="H4392" i="2"/>
  <c r="G4392" i="2"/>
  <c r="F4392" i="2"/>
  <c r="H4391" i="2"/>
  <c r="G4391" i="2"/>
  <c r="F4391" i="2"/>
  <c r="H4390" i="2"/>
  <c r="G4390" i="2"/>
  <c r="F4390" i="2"/>
  <c r="H4389" i="2"/>
  <c r="G4389" i="2"/>
  <c r="F4389" i="2"/>
  <c r="H4388" i="2"/>
  <c r="G4388" i="2"/>
  <c r="F4388" i="2"/>
  <c r="H4387" i="2"/>
  <c r="G4387" i="2"/>
  <c r="F4387" i="2"/>
  <c r="H4386" i="2"/>
  <c r="G4386" i="2"/>
  <c r="F4386" i="2"/>
  <c r="H4385" i="2"/>
  <c r="G4385" i="2"/>
  <c r="F4385" i="2"/>
  <c r="H4384" i="2"/>
  <c r="G4384" i="2"/>
  <c r="F4384" i="2"/>
  <c r="H4383" i="2"/>
  <c r="G4383" i="2"/>
  <c r="F4383" i="2"/>
  <c r="H4382" i="2"/>
  <c r="G4382" i="2"/>
  <c r="F4382" i="2"/>
  <c r="H4381" i="2"/>
  <c r="G4381" i="2"/>
  <c r="F4381" i="2"/>
  <c r="H4380" i="2"/>
  <c r="G4380" i="2"/>
  <c r="F4380" i="2"/>
  <c r="H4379" i="2"/>
  <c r="G4379" i="2"/>
  <c r="F4379" i="2"/>
  <c r="H4378" i="2"/>
  <c r="G4378" i="2"/>
  <c r="F4378" i="2"/>
  <c r="H4377" i="2"/>
  <c r="G4377" i="2"/>
  <c r="F4377" i="2"/>
  <c r="H4376" i="2"/>
  <c r="G4376" i="2"/>
  <c r="F4376" i="2"/>
  <c r="H4375" i="2"/>
  <c r="G4375" i="2"/>
  <c r="F4375" i="2"/>
  <c r="H4374" i="2"/>
  <c r="G4374" i="2"/>
  <c r="F4374" i="2"/>
  <c r="H4373" i="2"/>
  <c r="G4373" i="2"/>
  <c r="F4373" i="2"/>
  <c r="H4372" i="2"/>
  <c r="G4372" i="2"/>
  <c r="F4372" i="2"/>
  <c r="H4371" i="2"/>
  <c r="G4371" i="2"/>
  <c r="F4371" i="2"/>
  <c r="H4370" i="2"/>
  <c r="G4370" i="2"/>
  <c r="F4370" i="2"/>
  <c r="H4369" i="2"/>
  <c r="G4369" i="2"/>
  <c r="F4369" i="2"/>
  <c r="H4368" i="2"/>
  <c r="G4368" i="2"/>
  <c r="F4368" i="2"/>
  <c r="H4367" i="2"/>
  <c r="G4367" i="2"/>
  <c r="F4367" i="2"/>
  <c r="H4366" i="2"/>
  <c r="G4366" i="2"/>
  <c r="F4366" i="2"/>
  <c r="H4365" i="2"/>
  <c r="G4365" i="2"/>
  <c r="F4365" i="2"/>
  <c r="H4364" i="2"/>
  <c r="G4364" i="2"/>
  <c r="F4364" i="2"/>
  <c r="H4363" i="2"/>
  <c r="G4363" i="2"/>
  <c r="F4363" i="2"/>
  <c r="H4362" i="2"/>
  <c r="G4362" i="2"/>
  <c r="F4362" i="2"/>
  <c r="H4361" i="2"/>
  <c r="G4361" i="2"/>
  <c r="F4361" i="2"/>
  <c r="H4360" i="2"/>
  <c r="G4360" i="2"/>
  <c r="F4360" i="2"/>
  <c r="H4359" i="2"/>
  <c r="G4359" i="2"/>
  <c r="F4359" i="2"/>
  <c r="H4358" i="2"/>
  <c r="G4358" i="2"/>
  <c r="F4358" i="2"/>
  <c r="H4357" i="2"/>
  <c r="G4357" i="2"/>
  <c r="F4357" i="2"/>
  <c r="H4356" i="2"/>
  <c r="G4356" i="2"/>
  <c r="F4356" i="2"/>
  <c r="H4355" i="2"/>
  <c r="G4355" i="2"/>
  <c r="F4355" i="2"/>
  <c r="H4354" i="2"/>
  <c r="G4354" i="2"/>
  <c r="F4354" i="2"/>
  <c r="H4353" i="2"/>
  <c r="G4353" i="2"/>
  <c r="F4353" i="2"/>
  <c r="H4352" i="2"/>
  <c r="G4352" i="2"/>
  <c r="F4352" i="2"/>
  <c r="H4351" i="2"/>
  <c r="G4351" i="2"/>
  <c r="F4351" i="2"/>
  <c r="H4350" i="2"/>
  <c r="G4350" i="2"/>
  <c r="F4350" i="2"/>
  <c r="H4349" i="2"/>
  <c r="G4349" i="2"/>
  <c r="F4349" i="2"/>
  <c r="H4348" i="2"/>
  <c r="G4348" i="2"/>
  <c r="F4348" i="2"/>
  <c r="H4347" i="2"/>
  <c r="G4347" i="2"/>
  <c r="F4347" i="2"/>
  <c r="H4346" i="2"/>
  <c r="G4346" i="2"/>
  <c r="F4346" i="2"/>
  <c r="H4345" i="2"/>
  <c r="G4345" i="2"/>
  <c r="F4345" i="2"/>
  <c r="H4344" i="2"/>
  <c r="G4344" i="2"/>
  <c r="F4344" i="2"/>
  <c r="H4343" i="2"/>
  <c r="G4343" i="2"/>
  <c r="F4343" i="2"/>
  <c r="H4342" i="2"/>
  <c r="G4342" i="2"/>
  <c r="F4342" i="2"/>
  <c r="H4341" i="2"/>
  <c r="G4341" i="2"/>
  <c r="F4341" i="2"/>
  <c r="H4340" i="2"/>
  <c r="G4340" i="2"/>
  <c r="F4340" i="2"/>
  <c r="H4339" i="2"/>
  <c r="G4339" i="2"/>
  <c r="F4339" i="2"/>
  <c r="H4338" i="2"/>
  <c r="G4338" i="2"/>
  <c r="F4338" i="2"/>
  <c r="H4337" i="2"/>
  <c r="G4337" i="2"/>
  <c r="F4337" i="2"/>
  <c r="H4336" i="2"/>
  <c r="G4336" i="2"/>
  <c r="F4336" i="2"/>
  <c r="H4335" i="2"/>
  <c r="G4335" i="2"/>
  <c r="F4335" i="2"/>
  <c r="H4334" i="2"/>
  <c r="G4334" i="2"/>
  <c r="F4334" i="2"/>
  <c r="H4333" i="2"/>
  <c r="G4333" i="2"/>
  <c r="F4333" i="2"/>
  <c r="H4332" i="2"/>
  <c r="G4332" i="2"/>
  <c r="F4332" i="2"/>
  <c r="H4331" i="2"/>
  <c r="G4331" i="2"/>
  <c r="F4331" i="2"/>
  <c r="H4330" i="2"/>
  <c r="G4330" i="2"/>
  <c r="F4330" i="2"/>
  <c r="H4329" i="2"/>
  <c r="G4329" i="2"/>
  <c r="F4329" i="2"/>
  <c r="H4328" i="2"/>
  <c r="G4328" i="2"/>
  <c r="F4328" i="2"/>
  <c r="H4327" i="2"/>
  <c r="G4327" i="2"/>
  <c r="F4327" i="2"/>
  <c r="H4326" i="2"/>
  <c r="G4326" i="2"/>
  <c r="F4326" i="2"/>
  <c r="H4325" i="2"/>
  <c r="G4325" i="2"/>
  <c r="F4325" i="2"/>
  <c r="H4324" i="2"/>
  <c r="G4324" i="2"/>
  <c r="F4324" i="2"/>
  <c r="H4323" i="2"/>
  <c r="G4323" i="2"/>
  <c r="F4323" i="2"/>
  <c r="H4322" i="2"/>
  <c r="G4322" i="2"/>
  <c r="F4322" i="2"/>
  <c r="H4321" i="2"/>
  <c r="G4321" i="2"/>
  <c r="F4321" i="2"/>
  <c r="H4320" i="2"/>
  <c r="G4320" i="2"/>
  <c r="F4320" i="2"/>
  <c r="H4319" i="2"/>
  <c r="G4319" i="2"/>
  <c r="F4319" i="2"/>
  <c r="H4318" i="2"/>
  <c r="G4318" i="2"/>
  <c r="F4318" i="2"/>
  <c r="H4317" i="2"/>
  <c r="G4317" i="2"/>
  <c r="F4317" i="2"/>
  <c r="H4316" i="2"/>
  <c r="G4316" i="2"/>
  <c r="F4316" i="2"/>
  <c r="H4315" i="2"/>
  <c r="G4315" i="2"/>
  <c r="F4315" i="2"/>
  <c r="H4314" i="2"/>
  <c r="G4314" i="2"/>
  <c r="F4314" i="2"/>
  <c r="H4313" i="2"/>
  <c r="G4313" i="2"/>
  <c r="F4313" i="2"/>
  <c r="H4312" i="2"/>
  <c r="G4312" i="2"/>
  <c r="F4312" i="2"/>
  <c r="H4311" i="2"/>
  <c r="G4311" i="2"/>
  <c r="F4311" i="2"/>
  <c r="H4310" i="2"/>
  <c r="G4310" i="2"/>
  <c r="F4310" i="2"/>
  <c r="H4309" i="2"/>
  <c r="G4309" i="2"/>
  <c r="F4309" i="2"/>
  <c r="H4308" i="2"/>
  <c r="G4308" i="2"/>
  <c r="F4308" i="2"/>
  <c r="H4307" i="2"/>
  <c r="G4307" i="2"/>
  <c r="F4307" i="2"/>
  <c r="H4306" i="2"/>
  <c r="G4306" i="2"/>
  <c r="F4306" i="2"/>
  <c r="H4305" i="2"/>
  <c r="G4305" i="2"/>
  <c r="F4305" i="2"/>
  <c r="H4304" i="2"/>
  <c r="G4304" i="2"/>
  <c r="F4304" i="2"/>
  <c r="H4303" i="2"/>
  <c r="G4303" i="2"/>
  <c r="F4303" i="2"/>
  <c r="H4302" i="2"/>
  <c r="G4302" i="2"/>
  <c r="F4302" i="2"/>
  <c r="H4301" i="2"/>
  <c r="G4301" i="2"/>
  <c r="F4301" i="2"/>
  <c r="H4300" i="2"/>
  <c r="G4300" i="2"/>
  <c r="F4300" i="2"/>
  <c r="H4299" i="2"/>
  <c r="G4299" i="2"/>
  <c r="F4299" i="2"/>
  <c r="H4298" i="2"/>
  <c r="G4298" i="2"/>
  <c r="F4298" i="2"/>
  <c r="H4297" i="2"/>
  <c r="G4297" i="2"/>
  <c r="F4297" i="2"/>
  <c r="H4296" i="2"/>
  <c r="G4296" i="2"/>
  <c r="F4296" i="2"/>
  <c r="H4295" i="2"/>
  <c r="G4295" i="2"/>
  <c r="F4295" i="2"/>
  <c r="H4294" i="2"/>
  <c r="G4294" i="2"/>
  <c r="F4294" i="2"/>
  <c r="H4293" i="2"/>
  <c r="G4293" i="2"/>
  <c r="F4293" i="2"/>
  <c r="H4292" i="2"/>
  <c r="G4292" i="2"/>
  <c r="F4292" i="2"/>
  <c r="H4291" i="2"/>
  <c r="G4291" i="2"/>
  <c r="F4291" i="2"/>
  <c r="H4290" i="2"/>
  <c r="G4290" i="2"/>
  <c r="F4290" i="2"/>
  <c r="H4289" i="2"/>
  <c r="G4289" i="2"/>
  <c r="F4289" i="2"/>
  <c r="H4288" i="2"/>
  <c r="G4288" i="2"/>
  <c r="F4288" i="2"/>
  <c r="H4287" i="2"/>
  <c r="G4287" i="2"/>
  <c r="F4287" i="2"/>
  <c r="H4286" i="2"/>
  <c r="G4286" i="2"/>
  <c r="F4286" i="2"/>
  <c r="H4285" i="2"/>
  <c r="G4285" i="2"/>
  <c r="F4285" i="2"/>
  <c r="H4284" i="2"/>
  <c r="G4284" i="2"/>
  <c r="F4284" i="2"/>
  <c r="H4283" i="2"/>
  <c r="G4283" i="2"/>
  <c r="F4283" i="2"/>
  <c r="H4282" i="2"/>
  <c r="G4282" i="2"/>
  <c r="F4282" i="2"/>
  <c r="H4281" i="2"/>
  <c r="G4281" i="2"/>
  <c r="F4281" i="2"/>
  <c r="H4280" i="2"/>
  <c r="G4280" i="2"/>
  <c r="F4280" i="2"/>
  <c r="H4279" i="2"/>
  <c r="G4279" i="2"/>
  <c r="F4279" i="2"/>
  <c r="H4278" i="2"/>
  <c r="G4278" i="2"/>
  <c r="F4278" i="2"/>
  <c r="H4277" i="2"/>
  <c r="G4277" i="2"/>
  <c r="F4277" i="2"/>
  <c r="H4276" i="2"/>
  <c r="G4276" i="2"/>
  <c r="F4276" i="2"/>
  <c r="H4275" i="2"/>
  <c r="G4275" i="2"/>
  <c r="F4275" i="2"/>
  <c r="H4274" i="2"/>
  <c r="G4274" i="2"/>
  <c r="F4274" i="2"/>
  <c r="H4273" i="2"/>
  <c r="G4273" i="2"/>
  <c r="F4273" i="2"/>
  <c r="H4272" i="2"/>
  <c r="G4272" i="2"/>
  <c r="F4272" i="2"/>
  <c r="H4271" i="2"/>
  <c r="G4271" i="2"/>
  <c r="F4271" i="2"/>
  <c r="H4270" i="2"/>
  <c r="G4270" i="2"/>
  <c r="F4270" i="2"/>
  <c r="H4269" i="2"/>
  <c r="G4269" i="2"/>
  <c r="F4269" i="2"/>
  <c r="H4268" i="2"/>
  <c r="G4268" i="2"/>
  <c r="F4268" i="2"/>
  <c r="H4267" i="2"/>
  <c r="G4267" i="2"/>
  <c r="F4267" i="2"/>
  <c r="H4266" i="2"/>
  <c r="G4266" i="2"/>
  <c r="F4266" i="2"/>
  <c r="H4265" i="2"/>
  <c r="G4265" i="2"/>
  <c r="F4265" i="2"/>
  <c r="H4264" i="2"/>
  <c r="G4264" i="2"/>
  <c r="F4264" i="2"/>
  <c r="H4263" i="2"/>
  <c r="G4263" i="2"/>
  <c r="F4263" i="2"/>
  <c r="H4262" i="2"/>
  <c r="G4262" i="2"/>
  <c r="F4262" i="2"/>
  <c r="H4261" i="2"/>
  <c r="G4261" i="2"/>
  <c r="F4261" i="2"/>
  <c r="H4260" i="2"/>
  <c r="G4260" i="2"/>
  <c r="F4260" i="2"/>
  <c r="H4259" i="2"/>
  <c r="G4259" i="2"/>
  <c r="F4259" i="2"/>
  <c r="H4258" i="2"/>
  <c r="G4258" i="2"/>
  <c r="F4258" i="2"/>
  <c r="H4257" i="2"/>
  <c r="G4257" i="2"/>
  <c r="F4257" i="2"/>
  <c r="H4256" i="2"/>
  <c r="G4256" i="2"/>
  <c r="F4256" i="2"/>
  <c r="H4255" i="2"/>
  <c r="G4255" i="2"/>
  <c r="F4255" i="2"/>
  <c r="H4254" i="2"/>
  <c r="G4254" i="2"/>
  <c r="F4254" i="2"/>
  <c r="H4253" i="2"/>
  <c r="G4253" i="2"/>
  <c r="F4253" i="2"/>
  <c r="H4252" i="2"/>
  <c r="G4252" i="2"/>
  <c r="F4252" i="2"/>
  <c r="H4251" i="2"/>
  <c r="G4251" i="2"/>
  <c r="F4251" i="2"/>
  <c r="H4250" i="2"/>
  <c r="G4250" i="2"/>
  <c r="F4250" i="2"/>
  <c r="H4249" i="2"/>
  <c r="G4249" i="2"/>
  <c r="F4249" i="2"/>
  <c r="H4248" i="2"/>
  <c r="G4248" i="2"/>
  <c r="F4248" i="2"/>
  <c r="H4247" i="2"/>
  <c r="G4247" i="2"/>
  <c r="F4247" i="2"/>
  <c r="H4246" i="2"/>
  <c r="G4246" i="2"/>
  <c r="F4246" i="2"/>
  <c r="H4245" i="2"/>
  <c r="G4245" i="2"/>
  <c r="F4245" i="2"/>
  <c r="H4244" i="2"/>
  <c r="G4244" i="2"/>
  <c r="F4244" i="2"/>
  <c r="H4243" i="2"/>
  <c r="G4243" i="2"/>
  <c r="F4243" i="2"/>
  <c r="H4242" i="2"/>
  <c r="G4242" i="2"/>
  <c r="F4242" i="2"/>
  <c r="H4241" i="2"/>
  <c r="G4241" i="2"/>
  <c r="F4241" i="2"/>
  <c r="H4240" i="2"/>
  <c r="G4240" i="2"/>
  <c r="F4240" i="2"/>
  <c r="H4239" i="2"/>
  <c r="G4239" i="2"/>
  <c r="F4239" i="2"/>
  <c r="H4238" i="2"/>
  <c r="G4238" i="2"/>
  <c r="F4238" i="2"/>
  <c r="H4237" i="2"/>
  <c r="G4237" i="2"/>
  <c r="F4237" i="2"/>
  <c r="H4236" i="2"/>
  <c r="G4236" i="2"/>
  <c r="F4236" i="2"/>
  <c r="H4235" i="2"/>
  <c r="G4235" i="2"/>
  <c r="F4235" i="2"/>
  <c r="H4234" i="2"/>
  <c r="G4234" i="2"/>
  <c r="F4234" i="2"/>
  <c r="H4233" i="2"/>
  <c r="G4233" i="2"/>
  <c r="F4233" i="2"/>
  <c r="H4232" i="2"/>
  <c r="G4232" i="2"/>
  <c r="F4232" i="2"/>
  <c r="H4231" i="2"/>
  <c r="G4231" i="2"/>
  <c r="F4231" i="2"/>
  <c r="H4230" i="2"/>
  <c r="G4230" i="2"/>
  <c r="F4230" i="2"/>
  <c r="H4229" i="2"/>
  <c r="G4229" i="2"/>
  <c r="F4229" i="2"/>
  <c r="H4228" i="2"/>
  <c r="G4228" i="2"/>
  <c r="F4228" i="2"/>
  <c r="H4227" i="2"/>
  <c r="G4227" i="2"/>
  <c r="F4227" i="2"/>
  <c r="H4226" i="2"/>
  <c r="G4226" i="2"/>
  <c r="F4226" i="2"/>
  <c r="H4225" i="2"/>
  <c r="G4225" i="2"/>
  <c r="F4225" i="2"/>
  <c r="H4224" i="2"/>
  <c r="G4224" i="2"/>
  <c r="F4224" i="2"/>
  <c r="H4223" i="2"/>
  <c r="G4223" i="2"/>
  <c r="F4223" i="2"/>
  <c r="H4222" i="2"/>
  <c r="G4222" i="2"/>
  <c r="F4222" i="2"/>
  <c r="H4221" i="2"/>
  <c r="G4221" i="2"/>
  <c r="F4221" i="2"/>
  <c r="H4220" i="2"/>
  <c r="G4220" i="2"/>
  <c r="F4220" i="2"/>
  <c r="H4219" i="2"/>
  <c r="G4219" i="2"/>
  <c r="F4219" i="2"/>
  <c r="H4218" i="2"/>
  <c r="G4218" i="2"/>
  <c r="F4218" i="2"/>
  <c r="H4217" i="2"/>
  <c r="G4217" i="2"/>
  <c r="F4217" i="2"/>
  <c r="H4216" i="2"/>
  <c r="G4216" i="2"/>
  <c r="F4216" i="2"/>
  <c r="H4215" i="2"/>
  <c r="G4215" i="2"/>
  <c r="F4215" i="2"/>
  <c r="H4214" i="2"/>
  <c r="G4214" i="2"/>
  <c r="F4214" i="2"/>
  <c r="H4213" i="2"/>
  <c r="G4213" i="2"/>
  <c r="F4213" i="2"/>
  <c r="H4212" i="2"/>
  <c r="G4212" i="2"/>
  <c r="F4212" i="2"/>
  <c r="H4211" i="2"/>
  <c r="G4211" i="2"/>
  <c r="F4211" i="2"/>
  <c r="H4210" i="2"/>
  <c r="G4210" i="2"/>
  <c r="F4210" i="2"/>
  <c r="H4209" i="2"/>
  <c r="G4209" i="2"/>
  <c r="F4209" i="2"/>
  <c r="H4208" i="2"/>
  <c r="G4208" i="2"/>
  <c r="F4208" i="2"/>
  <c r="H4207" i="2"/>
  <c r="G4207" i="2"/>
  <c r="F4207" i="2"/>
  <c r="H4206" i="2"/>
  <c r="G4206" i="2"/>
  <c r="F4206" i="2"/>
  <c r="H4205" i="2"/>
  <c r="G4205" i="2"/>
  <c r="F4205" i="2"/>
  <c r="H4204" i="2"/>
  <c r="G4204" i="2"/>
  <c r="F4204" i="2"/>
  <c r="H4203" i="2"/>
  <c r="G4203" i="2"/>
  <c r="F4203" i="2"/>
  <c r="H4202" i="2"/>
  <c r="G4202" i="2"/>
  <c r="F4202" i="2"/>
  <c r="H4201" i="2"/>
  <c r="G4201" i="2"/>
  <c r="F4201" i="2"/>
  <c r="H4200" i="2"/>
  <c r="G4200" i="2"/>
  <c r="F4200" i="2"/>
  <c r="H4199" i="2"/>
  <c r="G4199" i="2"/>
  <c r="F4199" i="2"/>
  <c r="H4198" i="2"/>
  <c r="G4198" i="2"/>
  <c r="F4198" i="2"/>
  <c r="H4197" i="2"/>
  <c r="G4197" i="2"/>
  <c r="F4197" i="2"/>
  <c r="H4196" i="2"/>
  <c r="G4196" i="2"/>
  <c r="F4196" i="2"/>
  <c r="H4195" i="2"/>
  <c r="G4195" i="2"/>
  <c r="F4195" i="2"/>
  <c r="H4194" i="2"/>
  <c r="G4194" i="2"/>
  <c r="F4194" i="2"/>
  <c r="H4193" i="2"/>
  <c r="G4193" i="2"/>
  <c r="F4193" i="2"/>
  <c r="H4192" i="2"/>
  <c r="G4192" i="2"/>
  <c r="F4192" i="2"/>
  <c r="H4191" i="2"/>
  <c r="G4191" i="2"/>
  <c r="F4191" i="2"/>
  <c r="H4190" i="2"/>
  <c r="G4190" i="2"/>
  <c r="F4190" i="2"/>
  <c r="H4189" i="2"/>
  <c r="G4189" i="2"/>
  <c r="F4189" i="2"/>
  <c r="H4188" i="2"/>
  <c r="G4188" i="2"/>
  <c r="F4188" i="2"/>
  <c r="H4187" i="2"/>
  <c r="G4187" i="2"/>
  <c r="F4187" i="2"/>
  <c r="H4186" i="2"/>
  <c r="G4186" i="2"/>
  <c r="F4186" i="2"/>
  <c r="H4185" i="2"/>
  <c r="G4185" i="2"/>
  <c r="F4185" i="2"/>
  <c r="H4184" i="2"/>
  <c r="G4184" i="2"/>
  <c r="F4184" i="2"/>
  <c r="H4183" i="2"/>
  <c r="G4183" i="2"/>
  <c r="F4183" i="2"/>
  <c r="H4182" i="2"/>
  <c r="G4182" i="2"/>
  <c r="F4182" i="2"/>
  <c r="H4181" i="2"/>
  <c r="G4181" i="2"/>
  <c r="F4181" i="2"/>
  <c r="H4180" i="2"/>
  <c r="G4180" i="2"/>
  <c r="F4180" i="2"/>
  <c r="H4179" i="2"/>
  <c r="G4179" i="2"/>
  <c r="F4179" i="2"/>
  <c r="H4178" i="2"/>
  <c r="G4178" i="2"/>
  <c r="F4178" i="2"/>
  <c r="H4177" i="2"/>
  <c r="G4177" i="2"/>
  <c r="F4177" i="2"/>
  <c r="H4176" i="2"/>
  <c r="G4176" i="2"/>
  <c r="F4176" i="2"/>
  <c r="H4175" i="2"/>
  <c r="G4175" i="2"/>
  <c r="F4175" i="2"/>
  <c r="H4174" i="2"/>
  <c r="G4174" i="2"/>
  <c r="F4174" i="2"/>
  <c r="H4173" i="2"/>
  <c r="G4173" i="2"/>
  <c r="F4173" i="2"/>
  <c r="H4172" i="2"/>
  <c r="G4172" i="2"/>
  <c r="F4172" i="2"/>
  <c r="H4171" i="2"/>
  <c r="G4171" i="2"/>
  <c r="F4171" i="2"/>
  <c r="H4170" i="2"/>
  <c r="G4170" i="2"/>
  <c r="F4170" i="2"/>
  <c r="H4169" i="2"/>
  <c r="G4169" i="2"/>
  <c r="F4169" i="2"/>
  <c r="H4168" i="2"/>
  <c r="G4168" i="2"/>
  <c r="F4168" i="2"/>
  <c r="H4167" i="2"/>
  <c r="G4167" i="2"/>
  <c r="F4167" i="2"/>
  <c r="H4166" i="2"/>
  <c r="G4166" i="2"/>
  <c r="F4166" i="2"/>
  <c r="H4165" i="2"/>
  <c r="G4165" i="2"/>
  <c r="F4165" i="2"/>
  <c r="H4164" i="2"/>
  <c r="G4164" i="2"/>
  <c r="F4164" i="2"/>
  <c r="H4163" i="2"/>
  <c r="G4163" i="2"/>
  <c r="F4163" i="2"/>
  <c r="H4162" i="2"/>
  <c r="G4162" i="2"/>
  <c r="F4162" i="2"/>
  <c r="H4161" i="2"/>
  <c r="G4161" i="2"/>
  <c r="F4161" i="2"/>
  <c r="H4160" i="2"/>
  <c r="G4160" i="2"/>
  <c r="F4160" i="2"/>
  <c r="H4159" i="2"/>
  <c r="G4159" i="2"/>
  <c r="F4159" i="2"/>
  <c r="H4158" i="2"/>
  <c r="G4158" i="2"/>
  <c r="F4158" i="2"/>
  <c r="H4157" i="2"/>
  <c r="G4157" i="2"/>
  <c r="F4157" i="2"/>
  <c r="H4156" i="2"/>
  <c r="G4156" i="2"/>
  <c r="F4156" i="2"/>
  <c r="H4155" i="2"/>
  <c r="G4155" i="2"/>
  <c r="F4155" i="2"/>
  <c r="H4154" i="2"/>
  <c r="G4154" i="2"/>
  <c r="F4154" i="2"/>
  <c r="H4153" i="2"/>
  <c r="G4153" i="2"/>
  <c r="F4153" i="2"/>
  <c r="H4152" i="2"/>
  <c r="G4152" i="2"/>
  <c r="F4152" i="2"/>
  <c r="H4151" i="2"/>
  <c r="G4151" i="2"/>
  <c r="F4151" i="2"/>
  <c r="H4150" i="2"/>
  <c r="G4150" i="2"/>
  <c r="F4150" i="2"/>
  <c r="H4149" i="2"/>
  <c r="G4149" i="2"/>
  <c r="F4149" i="2"/>
  <c r="H4148" i="2"/>
  <c r="G4148" i="2"/>
  <c r="F4148" i="2"/>
  <c r="H4147" i="2"/>
  <c r="G4147" i="2"/>
  <c r="F4147" i="2"/>
  <c r="H4146" i="2"/>
  <c r="G4146" i="2"/>
  <c r="F4146" i="2"/>
  <c r="H4145" i="2"/>
  <c r="G4145" i="2"/>
  <c r="F4145" i="2"/>
  <c r="H4144" i="2"/>
  <c r="G4144" i="2"/>
  <c r="F4144" i="2"/>
  <c r="H4143" i="2"/>
  <c r="G4143" i="2"/>
  <c r="F4143" i="2"/>
  <c r="H4142" i="2"/>
  <c r="G4142" i="2"/>
  <c r="F4142" i="2"/>
  <c r="H4141" i="2"/>
  <c r="G4141" i="2"/>
  <c r="F4141" i="2"/>
  <c r="H4140" i="2"/>
  <c r="G4140" i="2"/>
  <c r="F4140" i="2"/>
  <c r="H4139" i="2"/>
  <c r="G4139" i="2"/>
  <c r="F4139" i="2"/>
  <c r="H4138" i="2"/>
  <c r="G4138" i="2"/>
  <c r="F4138" i="2"/>
  <c r="H4137" i="2"/>
  <c r="G4137" i="2"/>
  <c r="F4137" i="2"/>
  <c r="H4136" i="2"/>
  <c r="G4136" i="2"/>
  <c r="F4136" i="2"/>
  <c r="H4135" i="2"/>
  <c r="G4135" i="2"/>
  <c r="F4135" i="2"/>
  <c r="H4134" i="2"/>
  <c r="G4134" i="2"/>
  <c r="F4134" i="2"/>
  <c r="H4133" i="2"/>
  <c r="G4133" i="2"/>
  <c r="F4133" i="2"/>
  <c r="H4132" i="2"/>
  <c r="G4132" i="2"/>
  <c r="F4132" i="2"/>
  <c r="H4131" i="2"/>
  <c r="G4131" i="2"/>
  <c r="F4131" i="2"/>
  <c r="H4130" i="2"/>
  <c r="G4130" i="2"/>
  <c r="F4130" i="2"/>
  <c r="H4129" i="2"/>
  <c r="G4129" i="2"/>
  <c r="F4129" i="2"/>
  <c r="H4128" i="2"/>
  <c r="G4128" i="2"/>
  <c r="F4128" i="2"/>
  <c r="H4127" i="2"/>
  <c r="G4127" i="2"/>
  <c r="F4127" i="2"/>
  <c r="H4126" i="2"/>
  <c r="G4126" i="2"/>
  <c r="F4126" i="2"/>
  <c r="H4125" i="2"/>
  <c r="G4125" i="2"/>
  <c r="F4125" i="2"/>
  <c r="H4124" i="2"/>
  <c r="G4124" i="2"/>
  <c r="F4124" i="2"/>
  <c r="H4123" i="2"/>
  <c r="G4123" i="2"/>
  <c r="F4123" i="2"/>
  <c r="H4122" i="2"/>
  <c r="G4122" i="2"/>
  <c r="F4122" i="2"/>
  <c r="H4121" i="2"/>
  <c r="G4121" i="2"/>
  <c r="F4121" i="2"/>
  <c r="H4120" i="2"/>
  <c r="G4120" i="2"/>
  <c r="F4120" i="2"/>
  <c r="H4119" i="2"/>
  <c r="G4119" i="2"/>
  <c r="F4119" i="2"/>
  <c r="H4118" i="2"/>
  <c r="G4118" i="2"/>
  <c r="F4118" i="2"/>
  <c r="H4117" i="2"/>
  <c r="G4117" i="2"/>
  <c r="F4117" i="2"/>
  <c r="H4116" i="2"/>
  <c r="G4116" i="2"/>
  <c r="F4116" i="2"/>
  <c r="H4115" i="2"/>
  <c r="G4115" i="2"/>
  <c r="F4115" i="2"/>
  <c r="H4114" i="2"/>
  <c r="G4114" i="2"/>
  <c r="F4114" i="2"/>
  <c r="H4113" i="2"/>
  <c r="G4113" i="2"/>
  <c r="F4113" i="2"/>
  <c r="H4112" i="2"/>
  <c r="G4112" i="2"/>
  <c r="F4112" i="2"/>
  <c r="H4111" i="2"/>
  <c r="G4111" i="2"/>
  <c r="F4111" i="2"/>
  <c r="H4110" i="2"/>
  <c r="G4110" i="2"/>
  <c r="F4110" i="2"/>
  <c r="H4109" i="2"/>
  <c r="G4109" i="2"/>
  <c r="F4109" i="2"/>
  <c r="H4108" i="2"/>
  <c r="G4108" i="2"/>
  <c r="F4108" i="2"/>
  <c r="H4107" i="2"/>
  <c r="G4107" i="2"/>
  <c r="F4107" i="2"/>
  <c r="H4106" i="2"/>
  <c r="G4106" i="2"/>
  <c r="F4106" i="2"/>
  <c r="H4105" i="2"/>
  <c r="G4105" i="2"/>
  <c r="F4105" i="2"/>
  <c r="H4104" i="2"/>
  <c r="G4104" i="2"/>
  <c r="F4104" i="2"/>
  <c r="H4103" i="2"/>
  <c r="G4103" i="2"/>
  <c r="F4103" i="2"/>
  <c r="H4102" i="2"/>
  <c r="G4102" i="2"/>
  <c r="F4102" i="2"/>
  <c r="H4101" i="2"/>
  <c r="G4101" i="2"/>
  <c r="F4101" i="2"/>
  <c r="H4100" i="2"/>
  <c r="G4100" i="2"/>
  <c r="F4100" i="2"/>
  <c r="H4099" i="2"/>
  <c r="G4099" i="2"/>
  <c r="F4099" i="2"/>
  <c r="H4098" i="2"/>
  <c r="G4098" i="2"/>
  <c r="F4098" i="2"/>
  <c r="H4097" i="2"/>
  <c r="G4097" i="2"/>
  <c r="F4097" i="2"/>
  <c r="H4096" i="2"/>
  <c r="G4096" i="2"/>
  <c r="F4096" i="2"/>
  <c r="H4095" i="2"/>
  <c r="G4095" i="2"/>
  <c r="F4095" i="2"/>
  <c r="H4094" i="2"/>
  <c r="G4094" i="2"/>
  <c r="F4094" i="2"/>
  <c r="H4093" i="2"/>
  <c r="G4093" i="2"/>
  <c r="F4093" i="2"/>
  <c r="H4092" i="2"/>
  <c r="G4092" i="2"/>
  <c r="F4092" i="2"/>
  <c r="H4091" i="2"/>
  <c r="G4091" i="2"/>
  <c r="F4091" i="2"/>
  <c r="H4090" i="2"/>
  <c r="G4090" i="2"/>
  <c r="F4090" i="2"/>
  <c r="H4089" i="2"/>
  <c r="G4089" i="2"/>
  <c r="F4089" i="2"/>
  <c r="H4088" i="2"/>
  <c r="G4088" i="2"/>
  <c r="F4088" i="2"/>
  <c r="H4087" i="2"/>
  <c r="G4087" i="2"/>
  <c r="F4087" i="2"/>
  <c r="H4086" i="2"/>
  <c r="G4086" i="2"/>
  <c r="F4086" i="2"/>
  <c r="H4085" i="2"/>
  <c r="G4085" i="2"/>
  <c r="F4085" i="2"/>
  <c r="H4084" i="2"/>
  <c r="G4084" i="2"/>
  <c r="F4084" i="2"/>
  <c r="H4083" i="2"/>
  <c r="G4083" i="2"/>
  <c r="F4083" i="2"/>
  <c r="H4082" i="2"/>
  <c r="G4082" i="2"/>
  <c r="F4082" i="2"/>
  <c r="H4081" i="2"/>
  <c r="G4081" i="2"/>
  <c r="F4081" i="2"/>
  <c r="H4080" i="2"/>
  <c r="G4080" i="2"/>
  <c r="F4080" i="2"/>
  <c r="H4079" i="2"/>
  <c r="G4079" i="2"/>
  <c r="F4079" i="2"/>
  <c r="H4078" i="2"/>
  <c r="G4078" i="2"/>
  <c r="F4078" i="2"/>
  <c r="H4077" i="2"/>
  <c r="G4077" i="2"/>
  <c r="F4077" i="2"/>
  <c r="H4076" i="2"/>
  <c r="G4076" i="2"/>
  <c r="F4076" i="2"/>
  <c r="H4075" i="2"/>
  <c r="G4075" i="2"/>
  <c r="F4075" i="2"/>
  <c r="H4074" i="2"/>
  <c r="G4074" i="2"/>
  <c r="F4074" i="2"/>
  <c r="H4073" i="2"/>
  <c r="G4073" i="2"/>
  <c r="F4073" i="2"/>
  <c r="H4072" i="2"/>
  <c r="G4072" i="2"/>
  <c r="F4072" i="2"/>
  <c r="H4071" i="2"/>
  <c r="G4071" i="2"/>
  <c r="F4071" i="2"/>
  <c r="H4070" i="2"/>
  <c r="G4070" i="2"/>
  <c r="F4070" i="2"/>
  <c r="H4069" i="2"/>
  <c r="G4069" i="2"/>
  <c r="F4069" i="2"/>
  <c r="H4068" i="2"/>
  <c r="G4068" i="2"/>
  <c r="F4068" i="2"/>
  <c r="H4067" i="2"/>
  <c r="G4067" i="2"/>
  <c r="F4067" i="2"/>
  <c r="H4066" i="2"/>
  <c r="G4066" i="2"/>
  <c r="F4066" i="2"/>
  <c r="H4065" i="2"/>
  <c r="G4065" i="2"/>
  <c r="F4065" i="2"/>
  <c r="H4064" i="2"/>
  <c r="G4064" i="2"/>
  <c r="F4064" i="2"/>
  <c r="H4063" i="2"/>
  <c r="G4063" i="2"/>
  <c r="F4063" i="2"/>
  <c r="H4062" i="2"/>
  <c r="G4062" i="2"/>
  <c r="F4062" i="2"/>
  <c r="H4061" i="2"/>
  <c r="G4061" i="2"/>
  <c r="F4061" i="2"/>
  <c r="H4060" i="2"/>
  <c r="G4060" i="2"/>
  <c r="F4060" i="2"/>
  <c r="H4059" i="2"/>
  <c r="G4059" i="2"/>
  <c r="F4059" i="2"/>
  <c r="H4058" i="2"/>
  <c r="G4058" i="2"/>
  <c r="F4058" i="2"/>
  <c r="H4057" i="2"/>
  <c r="G4057" i="2"/>
  <c r="F4057" i="2"/>
  <c r="H4056" i="2"/>
  <c r="G4056" i="2"/>
  <c r="F4056" i="2"/>
  <c r="H4055" i="2"/>
  <c r="G4055" i="2"/>
  <c r="F4055" i="2"/>
  <c r="H4054" i="2"/>
  <c r="G4054" i="2"/>
  <c r="F4054" i="2"/>
  <c r="H4053" i="2"/>
  <c r="G4053" i="2"/>
  <c r="F4053" i="2"/>
  <c r="H4052" i="2"/>
  <c r="G4052" i="2"/>
  <c r="F4052" i="2"/>
  <c r="H4051" i="2"/>
  <c r="G4051" i="2"/>
  <c r="F4051" i="2"/>
  <c r="H4050" i="2"/>
  <c r="G4050" i="2"/>
  <c r="F4050" i="2"/>
  <c r="H4049" i="2"/>
  <c r="G4049" i="2"/>
  <c r="F4049" i="2"/>
  <c r="H4048" i="2"/>
  <c r="G4048" i="2"/>
  <c r="F4048" i="2"/>
  <c r="H4047" i="2"/>
  <c r="G4047" i="2"/>
  <c r="F4047" i="2"/>
  <c r="H4046" i="2"/>
  <c r="G4046" i="2"/>
  <c r="F4046" i="2"/>
  <c r="H4045" i="2"/>
  <c r="G4045" i="2"/>
  <c r="F4045" i="2"/>
  <c r="H4044" i="2"/>
  <c r="G4044" i="2"/>
  <c r="F4044" i="2"/>
  <c r="H4043" i="2"/>
  <c r="G4043" i="2"/>
  <c r="F4043" i="2"/>
  <c r="H4042" i="2"/>
  <c r="G4042" i="2"/>
  <c r="F4042" i="2"/>
  <c r="H4041" i="2"/>
  <c r="G4041" i="2"/>
  <c r="F4041" i="2"/>
  <c r="H4040" i="2"/>
  <c r="G4040" i="2"/>
  <c r="F4040" i="2"/>
  <c r="H4039" i="2"/>
  <c r="G4039" i="2"/>
  <c r="F4039" i="2"/>
  <c r="H4038" i="2"/>
  <c r="G4038" i="2"/>
  <c r="F4038" i="2"/>
  <c r="H4037" i="2"/>
  <c r="G4037" i="2"/>
  <c r="F4037" i="2"/>
  <c r="H4036" i="2"/>
  <c r="G4036" i="2"/>
  <c r="F4036" i="2"/>
  <c r="H4035" i="2"/>
  <c r="G4035" i="2"/>
  <c r="F4035" i="2"/>
  <c r="H4034" i="2"/>
  <c r="G4034" i="2"/>
  <c r="F4034" i="2"/>
  <c r="H4033" i="2"/>
  <c r="G4033" i="2"/>
  <c r="F4033" i="2"/>
  <c r="H4032" i="2"/>
  <c r="G4032" i="2"/>
  <c r="F4032" i="2"/>
  <c r="H4031" i="2"/>
  <c r="G4031" i="2"/>
  <c r="F4031" i="2"/>
  <c r="H4030" i="2"/>
  <c r="G4030" i="2"/>
  <c r="F4030" i="2"/>
  <c r="H4029" i="2"/>
  <c r="G4029" i="2"/>
  <c r="F4029" i="2"/>
  <c r="H4028" i="2"/>
  <c r="G4028" i="2"/>
  <c r="F4028" i="2"/>
  <c r="H4027" i="2"/>
  <c r="G4027" i="2"/>
  <c r="F4027" i="2"/>
  <c r="H4026" i="2"/>
  <c r="G4026" i="2"/>
  <c r="F4026" i="2"/>
  <c r="H4025" i="2"/>
  <c r="G4025" i="2"/>
  <c r="F4025" i="2"/>
  <c r="H4024" i="2"/>
  <c r="G4024" i="2"/>
  <c r="F4024" i="2"/>
  <c r="H4023" i="2"/>
  <c r="G4023" i="2"/>
  <c r="F4023" i="2"/>
  <c r="H4022" i="2"/>
  <c r="G4022" i="2"/>
  <c r="F4022" i="2"/>
  <c r="H4021" i="2"/>
  <c r="G4021" i="2"/>
  <c r="F4021" i="2"/>
  <c r="H4020" i="2"/>
  <c r="G4020" i="2"/>
  <c r="F4020" i="2"/>
  <c r="H4019" i="2"/>
  <c r="G4019" i="2"/>
  <c r="F4019" i="2"/>
  <c r="H4018" i="2"/>
  <c r="G4018" i="2"/>
  <c r="F4018" i="2"/>
  <c r="H4017" i="2"/>
  <c r="G4017" i="2"/>
  <c r="F4017" i="2"/>
  <c r="H4016" i="2"/>
  <c r="G4016" i="2"/>
  <c r="F4016" i="2"/>
  <c r="H4015" i="2"/>
  <c r="G4015" i="2"/>
  <c r="F4015" i="2"/>
  <c r="H4014" i="2"/>
  <c r="G4014" i="2"/>
  <c r="F4014" i="2"/>
  <c r="H4013" i="2"/>
  <c r="G4013" i="2"/>
  <c r="F4013" i="2"/>
  <c r="H4012" i="2"/>
  <c r="G4012" i="2"/>
  <c r="F4012" i="2"/>
  <c r="H4011" i="2"/>
  <c r="G4011" i="2"/>
  <c r="F4011" i="2"/>
  <c r="H4010" i="2"/>
  <c r="G4010" i="2"/>
  <c r="F4010" i="2"/>
  <c r="H4009" i="2"/>
  <c r="G4009" i="2"/>
  <c r="F4009" i="2"/>
  <c r="H4008" i="2"/>
  <c r="G4008" i="2"/>
  <c r="F4008" i="2"/>
  <c r="H4007" i="2"/>
  <c r="G4007" i="2"/>
  <c r="F4007" i="2"/>
  <c r="H4006" i="2"/>
  <c r="G4006" i="2"/>
  <c r="F4006" i="2"/>
  <c r="H4005" i="2"/>
  <c r="G4005" i="2"/>
  <c r="F4005" i="2"/>
  <c r="H4004" i="2"/>
  <c r="G4004" i="2"/>
  <c r="F4004" i="2"/>
  <c r="H4003" i="2"/>
  <c r="G4003" i="2"/>
  <c r="F4003" i="2"/>
  <c r="H4002" i="2"/>
  <c r="G4002" i="2"/>
  <c r="F4002" i="2"/>
  <c r="H4001" i="2"/>
  <c r="G4001" i="2"/>
  <c r="F4001" i="2"/>
  <c r="H4000" i="2"/>
  <c r="G4000" i="2"/>
  <c r="F4000" i="2"/>
  <c r="H3999" i="2"/>
  <c r="G3999" i="2"/>
  <c r="F3999" i="2"/>
  <c r="H3998" i="2"/>
  <c r="G3998" i="2"/>
  <c r="F3998" i="2"/>
  <c r="H3997" i="2"/>
  <c r="G3997" i="2"/>
  <c r="F3997" i="2"/>
  <c r="H3996" i="2"/>
  <c r="G3996" i="2"/>
  <c r="F3996" i="2"/>
  <c r="H3995" i="2"/>
  <c r="G3995" i="2"/>
  <c r="F3995" i="2"/>
  <c r="H3994" i="2"/>
  <c r="G3994" i="2"/>
  <c r="F3994" i="2"/>
  <c r="H3993" i="2"/>
  <c r="G3993" i="2"/>
  <c r="F3993" i="2"/>
  <c r="H3992" i="2"/>
  <c r="G3992" i="2"/>
  <c r="F3992" i="2"/>
  <c r="H3991" i="2"/>
  <c r="G3991" i="2"/>
  <c r="F3991" i="2"/>
  <c r="H3990" i="2"/>
  <c r="G3990" i="2"/>
  <c r="F3990" i="2"/>
  <c r="H3989" i="2"/>
  <c r="G3989" i="2"/>
  <c r="F3989" i="2"/>
  <c r="H3988" i="2"/>
  <c r="G3988" i="2"/>
  <c r="F3988" i="2"/>
  <c r="H3987" i="2"/>
  <c r="G3987" i="2"/>
  <c r="F3987" i="2"/>
  <c r="H3986" i="2"/>
  <c r="G3986" i="2"/>
  <c r="F3986" i="2"/>
  <c r="H3985" i="2"/>
  <c r="G3985" i="2"/>
  <c r="F3985" i="2"/>
  <c r="H3984" i="2"/>
  <c r="G3984" i="2"/>
  <c r="F3984" i="2"/>
  <c r="H3983" i="2"/>
  <c r="G3983" i="2"/>
  <c r="F3983" i="2"/>
  <c r="H3982" i="2"/>
  <c r="G3982" i="2"/>
  <c r="F3982" i="2"/>
  <c r="H3981" i="2"/>
  <c r="G3981" i="2"/>
  <c r="F3981" i="2"/>
  <c r="H3980" i="2"/>
  <c r="G3980" i="2"/>
  <c r="F3980" i="2"/>
  <c r="H3979" i="2"/>
  <c r="G3979" i="2"/>
  <c r="F3979" i="2"/>
  <c r="H3978" i="2"/>
  <c r="G3978" i="2"/>
  <c r="F3978" i="2"/>
  <c r="H3977" i="2"/>
  <c r="G3977" i="2"/>
  <c r="F3977" i="2"/>
  <c r="H3976" i="2"/>
  <c r="G3976" i="2"/>
  <c r="F3976" i="2"/>
  <c r="H3975" i="2"/>
  <c r="G3975" i="2"/>
  <c r="F3975" i="2"/>
  <c r="H3974" i="2"/>
  <c r="G3974" i="2"/>
  <c r="F3974" i="2"/>
  <c r="H3973" i="2"/>
  <c r="G3973" i="2"/>
  <c r="F3973" i="2"/>
  <c r="H3972" i="2"/>
  <c r="G3972" i="2"/>
  <c r="F3972" i="2"/>
  <c r="H3971" i="2"/>
  <c r="G3971" i="2"/>
  <c r="F3971" i="2"/>
  <c r="H3970" i="2"/>
  <c r="G3970" i="2"/>
  <c r="F3970" i="2"/>
  <c r="H3969" i="2"/>
  <c r="G3969" i="2"/>
  <c r="F3969" i="2"/>
  <c r="H3968" i="2"/>
  <c r="G3968" i="2"/>
  <c r="F3968" i="2"/>
  <c r="H3967" i="2"/>
  <c r="G3967" i="2"/>
  <c r="F3967" i="2"/>
  <c r="H3966" i="2"/>
  <c r="G3966" i="2"/>
  <c r="F3966" i="2"/>
  <c r="H3965" i="2"/>
  <c r="G3965" i="2"/>
  <c r="F3965" i="2"/>
  <c r="H3964" i="2"/>
  <c r="G3964" i="2"/>
  <c r="F3964" i="2"/>
  <c r="H3963" i="2"/>
  <c r="G3963" i="2"/>
  <c r="F3963" i="2"/>
  <c r="H3962" i="2"/>
  <c r="G3962" i="2"/>
  <c r="F3962" i="2"/>
  <c r="H3961" i="2"/>
  <c r="G3961" i="2"/>
  <c r="F3961" i="2"/>
  <c r="H3960" i="2"/>
  <c r="G3960" i="2"/>
  <c r="F3960" i="2"/>
  <c r="H3959" i="2"/>
  <c r="G3959" i="2"/>
  <c r="F3959" i="2"/>
  <c r="H3958" i="2"/>
  <c r="G3958" i="2"/>
  <c r="F3958" i="2"/>
  <c r="H3957" i="2"/>
  <c r="G3957" i="2"/>
  <c r="F3957" i="2"/>
  <c r="H3956" i="2"/>
  <c r="G3956" i="2"/>
  <c r="F3956" i="2"/>
  <c r="H3955" i="2"/>
  <c r="G3955" i="2"/>
  <c r="F3955" i="2"/>
  <c r="H3954" i="2"/>
  <c r="G3954" i="2"/>
  <c r="F3954" i="2"/>
  <c r="H3953" i="2"/>
  <c r="G3953" i="2"/>
  <c r="F3953" i="2"/>
  <c r="H3952" i="2"/>
  <c r="G3952" i="2"/>
  <c r="F3952" i="2"/>
  <c r="H3951" i="2"/>
  <c r="G3951" i="2"/>
  <c r="F3951" i="2"/>
  <c r="H3950" i="2"/>
  <c r="G3950" i="2"/>
  <c r="F3950" i="2"/>
  <c r="H3949" i="2"/>
  <c r="G3949" i="2"/>
  <c r="F3949" i="2"/>
  <c r="H3948" i="2"/>
  <c r="G3948" i="2"/>
  <c r="F3948" i="2"/>
  <c r="H3947" i="2"/>
  <c r="G3947" i="2"/>
  <c r="F3947" i="2"/>
  <c r="H3946" i="2"/>
  <c r="G3946" i="2"/>
  <c r="F3946" i="2"/>
  <c r="H3945" i="2"/>
  <c r="G3945" i="2"/>
  <c r="F3945" i="2"/>
  <c r="H3944" i="2"/>
  <c r="G3944" i="2"/>
  <c r="F3944" i="2"/>
  <c r="H3943" i="2"/>
  <c r="G3943" i="2"/>
  <c r="F3943" i="2"/>
  <c r="H3942" i="2"/>
  <c r="G3942" i="2"/>
  <c r="F3942" i="2"/>
  <c r="H3941" i="2"/>
  <c r="G3941" i="2"/>
  <c r="F3941" i="2"/>
  <c r="H3940" i="2"/>
  <c r="G3940" i="2"/>
  <c r="F3940" i="2"/>
  <c r="H3939" i="2"/>
  <c r="G3939" i="2"/>
  <c r="F3939" i="2"/>
  <c r="H3938" i="2"/>
  <c r="G3938" i="2"/>
  <c r="F3938" i="2"/>
  <c r="H3937" i="2"/>
  <c r="G3937" i="2"/>
  <c r="F3937" i="2"/>
  <c r="H3936" i="2"/>
  <c r="G3936" i="2"/>
  <c r="F3936" i="2"/>
  <c r="H3935" i="2"/>
  <c r="G3935" i="2"/>
  <c r="F3935" i="2"/>
  <c r="H3934" i="2"/>
  <c r="G3934" i="2"/>
  <c r="F3934" i="2"/>
  <c r="H3933" i="2"/>
  <c r="G3933" i="2"/>
  <c r="F3933" i="2"/>
  <c r="H3932" i="2"/>
  <c r="G3932" i="2"/>
  <c r="F3932" i="2"/>
  <c r="H3931" i="2"/>
  <c r="G3931" i="2"/>
  <c r="F3931" i="2"/>
  <c r="H3930" i="2"/>
  <c r="G3930" i="2"/>
  <c r="F3930" i="2"/>
  <c r="H3929" i="2"/>
  <c r="G3929" i="2"/>
  <c r="F3929" i="2"/>
  <c r="H3928" i="2"/>
  <c r="G3928" i="2"/>
  <c r="F3928" i="2"/>
  <c r="H3927" i="2"/>
  <c r="G3927" i="2"/>
  <c r="F3927" i="2"/>
  <c r="H3926" i="2"/>
  <c r="G3926" i="2"/>
  <c r="F3926" i="2"/>
  <c r="H3925" i="2"/>
  <c r="G3925" i="2"/>
  <c r="F3925" i="2"/>
  <c r="H3924" i="2"/>
  <c r="G3924" i="2"/>
  <c r="F3924" i="2"/>
  <c r="H3923" i="2"/>
  <c r="G3923" i="2"/>
  <c r="F3923" i="2"/>
  <c r="H3922" i="2"/>
  <c r="G3922" i="2"/>
  <c r="F3922" i="2"/>
  <c r="H3921" i="2"/>
  <c r="G3921" i="2"/>
  <c r="F3921" i="2"/>
  <c r="H3920" i="2"/>
  <c r="G3920" i="2"/>
  <c r="F3920" i="2"/>
  <c r="H3919" i="2"/>
  <c r="G3919" i="2"/>
  <c r="F3919" i="2"/>
  <c r="H3918" i="2"/>
  <c r="G3918" i="2"/>
  <c r="F3918" i="2"/>
  <c r="H3917" i="2"/>
  <c r="G3917" i="2"/>
  <c r="F3917" i="2"/>
  <c r="H3916" i="2"/>
  <c r="G3916" i="2"/>
  <c r="F3916" i="2"/>
  <c r="H3915" i="2"/>
  <c r="G3915" i="2"/>
  <c r="F3915" i="2"/>
  <c r="H3914" i="2"/>
  <c r="G3914" i="2"/>
  <c r="F3914" i="2"/>
  <c r="H3913" i="2"/>
  <c r="G3913" i="2"/>
  <c r="F3913" i="2"/>
  <c r="H3912" i="2"/>
  <c r="G3912" i="2"/>
  <c r="F3912" i="2"/>
  <c r="H3911" i="2"/>
  <c r="G3911" i="2"/>
  <c r="F3911" i="2"/>
  <c r="H3910" i="2"/>
  <c r="G3910" i="2"/>
  <c r="F3910" i="2"/>
  <c r="H3909" i="2"/>
  <c r="G3909" i="2"/>
  <c r="F3909" i="2"/>
  <c r="H3908" i="2"/>
  <c r="G3908" i="2"/>
  <c r="F3908" i="2"/>
  <c r="H3907" i="2"/>
  <c r="G3907" i="2"/>
  <c r="F3907" i="2"/>
  <c r="H3906" i="2"/>
  <c r="G3906" i="2"/>
  <c r="F3906" i="2"/>
  <c r="H3905" i="2"/>
  <c r="G3905" i="2"/>
  <c r="F3905" i="2"/>
  <c r="H3904" i="2"/>
  <c r="G3904" i="2"/>
  <c r="F3904" i="2"/>
  <c r="H3903" i="2"/>
  <c r="G3903" i="2"/>
  <c r="F3903" i="2"/>
  <c r="H3902" i="2"/>
  <c r="G3902" i="2"/>
  <c r="F3902" i="2"/>
  <c r="H3901" i="2"/>
  <c r="G3901" i="2"/>
  <c r="F3901" i="2"/>
  <c r="H3900" i="2"/>
  <c r="G3900" i="2"/>
  <c r="F3900" i="2"/>
  <c r="H3899" i="2"/>
  <c r="G3899" i="2"/>
  <c r="F3899" i="2"/>
  <c r="H3898" i="2"/>
  <c r="G3898" i="2"/>
  <c r="F3898" i="2"/>
  <c r="H3897" i="2"/>
  <c r="G3897" i="2"/>
  <c r="F3897" i="2"/>
  <c r="H3896" i="2"/>
  <c r="G3896" i="2"/>
  <c r="F3896" i="2"/>
  <c r="H3895" i="2"/>
  <c r="G3895" i="2"/>
  <c r="F3895" i="2"/>
  <c r="H3894" i="2"/>
  <c r="G3894" i="2"/>
  <c r="F3894" i="2"/>
  <c r="H3893" i="2"/>
  <c r="G3893" i="2"/>
  <c r="F3893" i="2"/>
  <c r="H3892" i="2"/>
  <c r="G3892" i="2"/>
  <c r="F3892" i="2"/>
  <c r="H3891" i="2"/>
  <c r="G3891" i="2"/>
  <c r="F3891" i="2"/>
  <c r="H3890" i="2"/>
  <c r="G3890" i="2"/>
  <c r="F3890" i="2"/>
  <c r="H3889" i="2"/>
  <c r="G3889" i="2"/>
  <c r="F3889" i="2"/>
  <c r="H3888" i="2"/>
  <c r="G3888" i="2"/>
  <c r="F3888" i="2"/>
  <c r="H3887" i="2"/>
  <c r="G3887" i="2"/>
  <c r="F3887" i="2"/>
  <c r="H3886" i="2"/>
  <c r="G3886" i="2"/>
  <c r="F3886" i="2"/>
  <c r="H3885" i="2"/>
  <c r="G3885" i="2"/>
  <c r="F3885" i="2"/>
  <c r="H3884" i="2"/>
  <c r="G3884" i="2"/>
  <c r="F3884" i="2"/>
  <c r="H3883" i="2"/>
  <c r="G3883" i="2"/>
  <c r="F3883" i="2"/>
  <c r="H3882" i="2"/>
  <c r="G3882" i="2"/>
  <c r="F3882" i="2"/>
  <c r="H3881" i="2"/>
  <c r="G3881" i="2"/>
  <c r="F3881" i="2"/>
  <c r="H3880" i="2"/>
  <c r="G3880" i="2"/>
  <c r="F3880" i="2"/>
  <c r="H3879" i="2"/>
  <c r="G3879" i="2"/>
  <c r="F3879" i="2"/>
  <c r="H3878" i="2"/>
  <c r="G3878" i="2"/>
  <c r="F3878" i="2"/>
  <c r="H3877" i="2"/>
  <c r="G3877" i="2"/>
  <c r="F3877" i="2"/>
  <c r="H3876" i="2"/>
  <c r="G3876" i="2"/>
  <c r="F3876" i="2"/>
  <c r="H3875" i="2"/>
  <c r="G3875" i="2"/>
  <c r="F3875" i="2"/>
  <c r="H3874" i="2"/>
  <c r="G3874" i="2"/>
  <c r="F3874" i="2"/>
  <c r="H3873" i="2"/>
  <c r="G3873" i="2"/>
  <c r="F3873" i="2"/>
  <c r="H3872" i="2"/>
  <c r="G3872" i="2"/>
  <c r="F3872" i="2"/>
  <c r="H3871" i="2"/>
  <c r="G3871" i="2"/>
  <c r="F3871" i="2"/>
  <c r="H3870" i="2"/>
  <c r="G3870" i="2"/>
  <c r="F3870" i="2"/>
  <c r="H3869" i="2"/>
  <c r="G3869" i="2"/>
  <c r="F3869" i="2"/>
  <c r="H3868" i="2"/>
  <c r="G3868" i="2"/>
  <c r="F3868" i="2"/>
  <c r="H3867" i="2"/>
  <c r="G3867" i="2"/>
  <c r="F3867" i="2"/>
  <c r="H3866" i="2"/>
  <c r="G3866" i="2"/>
  <c r="F3866" i="2"/>
  <c r="H3865" i="2"/>
  <c r="G3865" i="2"/>
  <c r="F3865" i="2"/>
  <c r="H3864" i="2"/>
  <c r="G3864" i="2"/>
  <c r="F3864" i="2"/>
  <c r="H3863" i="2"/>
  <c r="G3863" i="2"/>
  <c r="F3863" i="2"/>
  <c r="H3862" i="2"/>
  <c r="G3862" i="2"/>
  <c r="F3862" i="2"/>
  <c r="H3861" i="2"/>
  <c r="G3861" i="2"/>
  <c r="F3861" i="2"/>
  <c r="H3860" i="2"/>
  <c r="G3860" i="2"/>
  <c r="F3860" i="2"/>
  <c r="H3859" i="2"/>
  <c r="G3859" i="2"/>
  <c r="F3859" i="2"/>
  <c r="H3858" i="2"/>
  <c r="G3858" i="2"/>
  <c r="F3858" i="2"/>
  <c r="H3857" i="2"/>
  <c r="G3857" i="2"/>
  <c r="F3857" i="2"/>
  <c r="H3856" i="2"/>
  <c r="G3856" i="2"/>
  <c r="F3856" i="2"/>
  <c r="H3855" i="2"/>
  <c r="G3855" i="2"/>
  <c r="F3855" i="2"/>
  <c r="H3854" i="2"/>
  <c r="G3854" i="2"/>
  <c r="F3854" i="2"/>
  <c r="H3853" i="2"/>
  <c r="G3853" i="2"/>
  <c r="F3853" i="2"/>
  <c r="H3852" i="2"/>
  <c r="G3852" i="2"/>
  <c r="F3852" i="2"/>
  <c r="H3851" i="2"/>
  <c r="G3851" i="2"/>
  <c r="F3851" i="2"/>
  <c r="H3850" i="2"/>
  <c r="G3850" i="2"/>
  <c r="F3850" i="2"/>
  <c r="H3849" i="2"/>
  <c r="G3849" i="2"/>
  <c r="F3849" i="2"/>
  <c r="H3848" i="2"/>
  <c r="G3848" i="2"/>
  <c r="F3848" i="2"/>
  <c r="H3847" i="2"/>
  <c r="G3847" i="2"/>
  <c r="F3847" i="2"/>
  <c r="H3846" i="2"/>
  <c r="G3846" i="2"/>
  <c r="F3846" i="2"/>
  <c r="H3845" i="2"/>
  <c r="G3845" i="2"/>
  <c r="F3845" i="2"/>
  <c r="H3844" i="2"/>
  <c r="G3844" i="2"/>
  <c r="F3844" i="2"/>
  <c r="H3843" i="2"/>
  <c r="G3843" i="2"/>
  <c r="F3843" i="2"/>
  <c r="H3842" i="2"/>
  <c r="G3842" i="2"/>
  <c r="F3842" i="2"/>
  <c r="H3841" i="2"/>
  <c r="G3841" i="2"/>
  <c r="F3841" i="2"/>
  <c r="H3840" i="2"/>
  <c r="G3840" i="2"/>
  <c r="F3840" i="2"/>
  <c r="H3839" i="2"/>
  <c r="G3839" i="2"/>
  <c r="F3839" i="2"/>
  <c r="H3838" i="2"/>
  <c r="G3838" i="2"/>
  <c r="F3838" i="2"/>
  <c r="H3837" i="2"/>
  <c r="G3837" i="2"/>
  <c r="F3837" i="2"/>
  <c r="H3836" i="2"/>
  <c r="G3836" i="2"/>
  <c r="F3836" i="2"/>
  <c r="H3835" i="2"/>
  <c r="G3835" i="2"/>
  <c r="F3835" i="2"/>
  <c r="H3834" i="2"/>
  <c r="G3834" i="2"/>
  <c r="F3834" i="2"/>
  <c r="H3833" i="2"/>
  <c r="G3833" i="2"/>
  <c r="F3833" i="2"/>
  <c r="H3832" i="2"/>
  <c r="G3832" i="2"/>
  <c r="F3832" i="2"/>
  <c r="H3831" i="2"/>
  <c r="G3831" i="2"/>
  <c r="F3831" i="2"/>
  <c r="H3830" i="2"/>
  <c r="G3830" i="2"/>
  <c r="F3830" i="2"/>
  <c r="H3829" i="2"/>
  <c r="G3829" i="2"/>
  <c r="F3829" i="2"/>
  <c r="H3828" i="2"/>
  <c r="G3828" i="2"/>
  <c r="F3828" i="2"/>
  <c r="H3827" i="2"/>
  <c r="G3827" i="2"/>
  <c r="F3827" i="2"/>
  <c r="H3826" i="2"/>
  <c r="G3826" i="2"/>
  <c r="F3826" i="2"/>
  <c r="H3825" i="2"/>
  <c r="G3825" i="2"/>
  <c r="F3825" i="2"/>
  <c r="H3824" i="2"/>
  <c r="G3824" i="2"/>
  <c r="F3824" i="2"/>
  <c r="H3823" i="2"/>
  <c r="G3823" i="2"/>
  <c r="F3823" i="2"/>
  <c r="H3822" i="2"/>
  <c r="G3822" i="2"/>
  <c r="F3822" i="2"/>
  <c r="H3821" i="2"/>
  <c r="G3821" i="2"/>
  <c r="F3821" i="2"/>
  <c r="H3820" i="2"/>
  <c r="G3820" i="2"/>
  <c r="F3820" i="2"/>
  <c r="H3819" i="2"/>
  <c r="G3819" i="2"/>
  <c r="F3819" i="2"/>
  <c r="H3818" i="2"/>
  <c r="G3818" i="2"/>
  <c r="F3818" i="2"/>
  <c r="H3817" i="2"/>
  <c r="G3817" i="2"/>
  <c r="F3817" i="2"/>
  <c r="H3816" i="2"/>
  <c r="G3816" i="2"/>
  <c r="F3816" i="2"/>
  <c r="H3815" i="2"/>
  <c r="G3815" i="2"/>
  <c r="F3815" i="2"/>
  <c r="H3814" i="2"/>
  <c r="G3814" i="2"/>
  <c r="F3814" i="2"/>
  <c r="H3813" i="2"/>
  <c r="G3813" i="2"/>
  <c r="F3813" i="2"/>
  <c r="H3812" i="2"/>
  <c r="G3812" i="2"/>
  <c r="F3812" i="2"/>
  <c r="H3811" i="2"/>
  <c r="G3811" i="2"/>
  <c r="F3811" i="2"/>
  <c r="H3810" i="2"/>
  <c r="G3810" i="2"/>
  <c r="F3810" i="2"/>
  <c r="H3809" i="2"/>
  <c r="G3809" i="2"/>
  <c r="F3809" i="2"/>
  <c r="H3808" i="2"/>
  <c r="G3808" i="2"/>
  <c r="F3808" i="2"/>
  <c r="H3807" i="2"/>
  <c r="G3807" i="2"/>
  <c r="F3807" i="2"/>
  <c r="H3806" i="2"/>
  <c r="G3806" i="2"/>
  <c r="F3806" i="2"/>
  <c r="H3805" i="2"/>
  <c r="G3805" i="2"/>
  <c r="F3805" i="2"/>
  <c r="H3804" i="2"/>
  <c r="G3804" i="2"/>
  <c r="F3804" i="2"/>
  <c r="H3803" i="2"/>
  <c r="G3803" i="2"/>
  <c r="F3803" i="2"/>
  <c r="H3802" i="2"/>
  <c r="G3802" i="2"/>
  <c r="F3802" i="2"/>
  <c r="H3801" i="2"/>
  <c r="G3801" i="2"/>
  <c r="F3801" i="2"/>
  <c r="H3800" i="2"/>
  <c r="G3800" i="2"/>
  <c r="F3800" i="2"/>
  <c r="H3799" i="2"/>
  <c r="G3799" i="2"/>
  <c r="F3799" i="2"/>
  <c r="H3798" i="2"/>
  <c r="G3798" i="2"/>
  <c r="F3798" i="2"/>
  <c r="H3797" i="2"/>
  <c r="G3797" i="2"/>
  <c r="F3797" i="2"/>
  <c r="H3796" i="2"/>
  <c r="G3796" i="2"/>
  <c r="F3796" i="2"/>
  <c r="H3795" i="2"/>
  <c r="G3795" i="2"/>
  <c r="F3795" i="2"/>
  <c r="H3794" i="2"/>
  <c r="G3794" i="2"/>
  <c r="F3794" i="2"/>
  <c r="H3793" i="2"/>
  <c r="G3793" i="2"/>
  <c r="F3793" i="2"/>
  <c r="H3792" i="2"/>
  <c r="G3792" i="2"/>
  <c r="F3792" i="2"/>
  <c r="H3791" i="2"/>
  <c r="G3791" i="2"/>
  <c r="F3791" i="2"/>
  <c r="H3790" i="2"/>
  <c r="G3790" i="2"/>
  <c r="F3790" i="2"/>
  <c r="H3789" i="2"/>
  <c r="G3789" i="2"/>
  <c r="F3789" i="2"/>
  <c r="H3788" i="2"/>
  <c r="G3788" i="2"/>
  <c r="F3788" i="2"/>
  <c r="H3787" i="2"/>
  <c r="G3787" i="2"/>
  <c r="F3787" i="2"/>
  <c r="H3786" i="2"/>
  <c r="G3786" i="2"/>
  <c r="F3786" i="2"/>
  <c r="H3785" i="2"/>
  <c r="G3785" i="2"/>
  <c r="F3785" i="2"/>
  <c r="H3784" i="2"/>
  <c r="G3784" i="2"/>
  <c r="F3784" i="2"/>
  <c r="H3783" i="2"/>
  <c r="G3783" i="2"/>
  <c r="F3783" i="2"/>
  <c r="H3782" i="2"/>
  <c r="G3782" i="2"/>
  <c r="F3782" i="2"/>
  <c r="H3781" i="2"/>
  <c r="G3781" i="2"/>
  <c r="F3781" i="2"/>
  <c r="H3780" i="2"/>
  <c r="G3780" i="2"/>
  <c r="F3780" i="2"/>
  <c r="H3779" i="2"/>
  <c r="G3779" i="2"/>
  <c r="F3779" i="2"/>
  <c r="H3778" i="2"/>
  <c r="G3778" i="2"/>
  <c r="F3778" i="2"/>
  <c r="H3777" i="2"/>
  <c r="G3777" i="2"/>
  <c r="F3777" i="2"/>
  <c r="H3776" i="2"/>
  <c r="G3776" i="2"/>
  <c r="F3776" i="2"/>
  <c r="H3775" i="2"/>
  <c r="G3775" i="2"/>
  <c r="F3775" i="2"/>
  <c r="H3774" i="2"/>
  <c r="G3774" i="2"/>
  <c r="F3774" i="2"/>
  <c r="H3773" i="2"/>
  <c r="G3773" i="2"/>
  <c r="F3773" i="2"/>
  <c r="H3772" i="2"/>
  <c r="G3772" i="2"/>
  <c r="F3772" i="2"/>
  <c r="H3771" i="2"/>
  <c r="G3771" i="2"/>
  <c r="F3771" i="2"/>
  <c r="H3770" i="2"/>
  <c r="G3770" i="2"/>
  <c r="F3770" i="2"/>
  <c r="H3769" i="2"/>
  <c r="G3769" i="2"/>
  <c r="F3769" i="2"/>
  <c r="H3768" i="2"/>
  <c r="G3768" i="2"/>
  <c r="F3768" i="2"/>
  <c r="H3767" i="2"/>
  <c r="G3767" i="2"/>
  <c r="F3767" i="2"/>
  <c r="H3766" i="2"/>
  <c r="G3766" i="2"/>
  <c r="F3766" i="2"/>
  <c r="H3765" i="2"/>
  <c r="G3765" i="2"/>
  <c r="F3765" i="2"/>
  <c r="H3764" i="2"/>
  <c r="G3764" i="2"/>
  <c r="F3764" i="2"/>
  <c r="H3763" i="2"/>
  <c r="G3763" i="2"/>
  <c r="F3763" i="2"/>
  <c r="H3762" i="2"/>
  <c r="G3762" i="2"/>
  <c r="F3762" i="2"/>
  <c r="H3761" i="2"/>
  <c r="G3761" i="2"/>
  <c r="F3761" i="2"/>
  <c r="H3760" i="2"/>
  <c r="G3760" i="2"/>
  <c r="F3760" i="2"/>
  <c r="H3759" i="2"/>
  <c r="G3759" i="2"/>
  <c r="F3759" i="2"/>
  <c r="H3758" i="2"/>
  <c r="G3758" i="2"/>
  <c r="F3758" i="2"/>
  <c r="H3757" i="2"/>
  <c r="G3757" i="2"/>
  <c r="F3757" i="2"/>
  <c r="H3756" i="2"/>
  <c r="G3756" i="2"/>
  <c r="F3756" i="2"/>
  <c r="H3755" i="2"/>
  <c r="G3755" i="2"/>
  <c r="F3755" i="2"/>
  <c r="H3754" i="2"/>
  <c r="G3754" i="2"/>
  <c r="F3754" i="2"/>
  <c r="H3753" i="2"/>
  <c r="G3753" i="2"/>
  <c r="F3753" i="2"/>
  <c r="H3752" i="2"/>
  <c r="G3752" i="2"/>
  <c r="F3752" i="2"/>
  <c r="H3751" i="2"/>
  <c r="G3751" i="2"/>
  <c r="F3751" i="2"/>
  <c r="H3750" i="2"/>
  <c r="G3750" i="2"/>
  <c r="F3750" i="2"/>
  <c r="H3749" i="2"/>
  <c r="G3749" i="2"/>
  <c r="F3749" i="2"/>
  <c r="H3748" i="2"/>
  <c r="G3748" i="2"/>
  <c r="F3748" i="2"/>
  <c r="H3747" i="2"/>
  <c r="G3747" i="2"/>
  <c r="F3747" i="2"/>
  <c r="H3746" i="2"/>
  <c r="G3746" i="2"/>
  <c r="F3746" i="2"/>
  <c r="H3745" i="2"/>
  <c r="G3745" i="2"/>
  <c r="F3745" i="2"/>
  <c r="H3744" i="2"/>
  <c r="G3744" i="2"/>
  <c r="F3744" i="2"/>
  <c r="H3743" i="2"/>
  <c r="G3743" i="2"/>
  <c r="F3743" i="2"/>
  <c r="H3742" i="2"/>
  <c r="G3742" i="2"/>
  <c r="F3742" i="2"/>
  <c r="H3741" i="2"/>
  <c r="G3741" i="2"/>
  <c r="F3741" i="2"/>
  <c r="H3740" i="2"/>
  <c r="G3740" i="2"/>
  <c r="F3740" i="2"/>
  <c r="H3739" i="2"/>
  <c r="G3739" i="2"/>
  <c r="F3739" i="2"/>
  <c r="H3738" i="2"/>
  <c r="G3738" i="2"/>
  <c r="F3738" i="2"/>
  <c r="H3737" i="2"/>
  <c r="G3737" i="2"/>
  <c r="F3737" i="2"/>
  <c r="H3736" i="2"/>
  <c r="G3736" i="2"/>
  <c r="F3736" i="2"/>
  <c r="H3735" i="2"/>
  <c r="G3735" i="2"/>
  <c r="F3735" i="2"/>
  <c r="H3734" i="2"/>
  <c r="G3734" i="2"/>
  <c r="F3734" i="2"/>
  <c r="H3733" i="2"/>
  <c r="G3733" i="2"/>
  <c r="F3733" i="2"/>
  <c r="H3732" i="2"/>
  <c r="G3732" i="2"/>
  <c r="F3732" i="2"/>
  <c r="H3731" i="2"/>
  <c r="G3731" i="2"/>
  <c r="F3731" i="2"/>
  <c r="H3730" i="2"/>
  <c r="G3730" i="2"/>
  <c r="F3730" i="2"/>
  <c r="H3729" i="2"/>
  <c r="G3729" i="2"/>
  <c r="F3729" i="2"/>
  <c r="H3728" i="2"/>
  <c r="G3728" i="2"/>
  <c r="F3728" i="2"/>
  <c r="H3727" i="2"/>
  <c r="G3727" i="2"/>
  <c r="F3727" i="2"/>
  <c r="H3726" i="2"/>
  <c r="G3726" i="2"/>
  <c r="F3726" i="2"/>
  <c r="H3725" i="2"/>
  <c r="G3725" i="2"/>
  <c r="F3725" i="2"/>
  <c r="H3724" i="2"/>
  <c r="G3724" i="2"/>
  <c r="F3724" i="2"/>
  <c r="H3723" i="2"/>
  <c r="G3723" i="2"/>
  <c r="F3723" i="2"/>
  <c r="H3722" i="2"/>
  <c r="G3722" i="2"/>
  <c r="F3722" i="2"/>
  <c r="H3721" i="2"/>
  <c r="G3721" i="2"/>
  <c r="F3721" i="2"/>
  <c r="H3720" i="2"/>
  <c r="G3720" i="2"/>
  <c r="F3720" i="2"/>
  <c r="H3719" i="2"/>
  <c r="G3719" i="2"/>
  <c r="F3719" i="2"/>
  <c r="H3718" i="2"/>
  <c r="G3718" i="2"/>
  <c r="F3718" i="2"/>
  <c r="H3717" i="2"/>
  <c r="G3717" i="2"/>
  <c r="F3717" i="2"/>
  <c r="H3716" i="2"/>
  <c r="G3716" i="2"/>
  <c r="F3716" i="2"/>
  <c r="H3715" i="2"/>
  <c r="G3715" i="2"/>
  <c r="F3715" i="2"/>
  <c r="H3714" i="2"/>
  <c r="G3714" i="2"/>
  <c r="F3714" i="2"/>
  <c r="H3713" i="2"/>
  <c r="G3713" i="2"/>
  <c r="F3713" i="2"/>
  <c r="H3712" i="2"/>
  <c r="G3712" i="2"/>
  <c r="F3712" i="2"/>
  <c r="H3711" i="2"/>
  <c r="G3711" i="2"/>
  <c r="F3711" i="2"/>
  <c r="H3710" i="2"/>
  <c r="G3710" i="2"/>
  <c r="F3710" i="2"/>
  <c r="H3709" i="2"/>
  <c r="G3709" i="2"/>
  <c r="F3709" i="2"/>
  <c r="H3708" i="2"/>
  <c r="G3708" i="2"/>
  <c r="F3708" i="2"/>
  <c r="H3707" i="2"/>
  <c r="G3707" i="2"/>
  <c r="F3707" i="2"/>
  <c r="H3706" i="2"/>
  <c r="G3706" i="2"/>
  <c r="F3706" i="2"/>
  <c r="H3705" i="2"/>
  <c r="G3705" i="2"/>
  <c r="F3705" i="2"/>
  <c r="H3704" i="2"/>
  <c r="G3704" i="2"/>
  <c r="F3704" i="2"/>
  <c r="H3703" i="2"/>
  <c r="G3703" i="2"/>
  <c r="F3703" i="2"/>
  <c r="H3702" i="2"/>
  <c r="G3702" i="2"/>
  <c r="F3702" i="2"/>
  <c r="H3701" i="2"/>
  <c r="G3701" i="2"/>
  <c r="F3701" i="2"/>
  <c r="H3700" i="2"/>
  <c r="G3700" i="2"/>
  <c r="F3700" i="2"/>
  <c r="H3699" i="2"/>
  <c r="G3699" i="2"/>
  <c r="F3699" i="2"/>
  <c r="H3698" i="2"/>
  <c r="G3698" i="2"/>
  <c r="F3698" i="2"/>
  <c r="H3697" i="2"/>
  <c r="G3697" i="2"/>
  <c r="F3697" i="2"/>
  <c r="H3696" i="2"/>
  <c r="G3696" i="2"/>
  <c r="F3696" i="2"/>
  <c r="H3695" i="2"/>
  <c r="G3695" i="2"/>
  <c r="F3695" i="2"/>
  <c r="H3694" i="2"/>
  <c r="G3694" i="2"/>
  <c r="F3694" i="2"/>
  <c r="H3693" i="2"/>
  <c r="G3693" i="2"/>
  <c r="F3693" i="2"/>
  <c r="H3692" i="2"/>
  <c r="G3692" i="2"/>
  <c r="F3692" i="2"/>
  <c r="H3691" i="2"/>
  <c r="G3691" i="2"/>
  <c r="F3691" i="2"/>
  <c r="H3690" i="2"/>
  <c r="G3690" i="2"/>
  <c r="F3690" i="2"/>
  <c r="H3689" i="2"/>
  <c r="G3689" i="2"/>
  <c r="F3689" i="2"/>
  <c r="H3688" i="2"/>
  <c r="G3688" i="2"/>
  <c r="F3688" i="2"/>
  <c r="H3687" i="2"/>
  <c r="G3687" i="2"/>
  <c r="F3687" i="2"/>
  <c r="H3686" i="2"/>
  <c r="G3686" i="2"/>
  <c r="F3686" i="2"/>
  <c r="H3685" i="2"/>
  <c r="G3685" i="2"/>
  <c r="F3685" i="2"/>
  <c r="H3684" i="2"/>
  <c r="G3684" i="2"/>
  <c r="F3684" i="2"/>
  <c r="H3683" i="2"/>
  <c r="G3683" i="2"/>
  <c r="F3683" i="2"/>
  <c r="H3682" i="2"/>
  <c r="G3682" i="2"/>
  <c r="F3682" i="2"/>
  <c r="H3681" i="2"/>
  <c r="G3681" i="2"/>
  <c r="F3681" i="2"/>
  <c r="H3680" i="2"/>
  <c r="G3680" i="2"/>
  <c r="F3680" i="2"/>
  <c r="H3679" i="2"/>
  <c r="G3679" i="2"/>
  <c r="F3679" i="2"/>
  <c r="H3678" i="2"/>
  <c r="G3678" i="2"/>
  <c r="F3678" i="2"/>
  <c r="H3677" i="2"/>
  <c r="G3677" i="2"/>
  <c r="F3677" i="2"/>
  <c r="H3676" i="2"/>
  <c r="G3676" i="2"/>
  <c r="F3676" i="2"/>
  <c r="H3675" i="2"/>
  <c r="G3675" i="2"/>
  <c r="F3675" i="2"/>
  <c r="H3674" i="2"/>
  <c r="G3674" i="2"/>
  <c r="F3674" i="2"/>
  <c r="H3673" i="2"/>
  <c r="G3673" i="2"/>
  <c r="F3673" i="2"/>
  <c r="H3672" i="2"/>
  <c r="G3672" i="2"/>
  <c r="F3672" i="2"/>
  <c r="H3671" i="2"/>
  <c r="G3671" i="2"/>
  <c r="F3671" i="2"/>
  <c r="H3670" i="2"/>
  <c r="G3670" i="2"/>
  <c r="F3670" i="2"/>
  <c r="H3669" i="2"/>
  <c r="G3669" i="2"/>
  <c r="F3669" i="2"/>
  <c r="H3668" i="2"/>
  <c r="G3668" i="2"/>
  <c r="F3668" i="2"/>
  <c r="H3667" i="2"/>
  <c r="G3667" i="2"/>
  <c r="F3667" i="2"/>
  <c r="H3666" i="2"/>
  <c r="G3666" i="2"/>
  <c r="F3666" i="2"/>
  <c r="H3665" i="2"/>
  <c r="G3665" i="2"/>
  <c r="F3665" i="2"/>
  <c r="H3664" i="2"/>
  <c r="G3664" i="2"/>
  <c r="F3664" i="2"/>
  <c r="H3663" i="2"/>
  <c r="G3663" i="2"/>
  <c r="F3663" i="2"/>
  <c r="H3662" i="2"/>
  <c r="G3662" i="2"/>
  <c r="F3662" i="2"/>
  <c r="H3661" i="2"/>
  <c r="G3661" i="2"/>
  <c r="F3661" i="2"/>
  <c r="H3660" i="2"/>
  <c r="G3660" i="2"/>
  <c r="F3660" i="2"/>
  <c r="H3659" i="2"/>
  <c r="G3659" i="2"/>
  <c r="F3659" i="2"/>
  <c r="H3658" i="2"/>
  <c r="G3658" i="2"/>
  <c r="F3658" i="2"/>
  <c r="H3657" i="2"/>
  <c r="G3657" i="2"/>
  <c r="F3657" i="2"/>
  <c r="H3656" i="2"/>
  <c r="G3656" i="2"/>
  <c r="F3656" i="2"/>
  <c r="H3655" i="2"/>
  <c r="G3655" i="2"/>
  <c r="F3655" i="2"/>
  <c r="H3654" i="2"/>
  <c r="G3654" i="2"/>
  <c r="F3654" i="2"/>
  <c r="H3653" i="2"/>
  <c r="G3653" i="2"/>
  <c r="F3653" i="2"/>
  <c r="H3652" i="2"/>
  <c r="G3652" i="2"/>
  <c r="F3652" i="2"/>
  <c r="H3651" i="2"/>
  <c r="G3651" i="2"/>
  <c r="F3651" i="2"/>
  <c r="H3650" i="2"/>
  <c r="G3650" i="2"/>
  <c r="F3650" i="2"/>
  <c r="H3649" i="2"/>
  <c r="G3649" i="2"/>
  <c r="F3649" i="2"/>
  <c r="H3648" i="2"/>
  <c r="G3648" i="2"/>
  <c r="F3648" i="2"/>
  <c r="H3647" i="2"/>
  <c r="G3647" i="2"/>
  <c r="F3647" i="2"/>
  <c r="H3646" i="2"/>
  <c r="G3646" i="2"/>
  <c r="F3646" i="2"/>
  <c r="H3645" i="2"/>
  <c r="G3645" i="2"/>
  <c r="F3645" i="2"/>
  <c r="H3644" i="2"/>
  <c r="G3644" i="2"/>
  <c r="F3644" i="2"/>
  <c r="H3643" i="2"/>
  <c r="G3643" i="2"/>
  <c r="F3643" i="2"/>
  <c r="H3642" i="2"/>
  <c r="G3642" i="2"/>
  <c r="F3642" i="2"/>
  <c r="H3641" i="2"/>
  <c r="G3641" i="2"/>
  <c r="F3641" i="2"/>
  <c r="H3640" i="2"/>
  <c r="G3640" i="2"/>
  <c r="F3640" i="2"/>
  <c r="H3639" i="2"/>
  <c r="G3639" i="2"/>
  <c r="F3639" i="2"/>
  <c r="H3638" i="2"/>
  <c r="G3638" i="2"/>
  <c r="F3638" i="2"/>
  <c r="H3637" i="2"/>
  <c r="G3637" i="2"/>
  <c r="F3637" i="2"/>
  <c r="H3636" i="2"/>
  <c r="G3636" i="2"/>
  <c r="F3636" i="2"/>
  <c r="H3635" i="2"/>
  <c r="G3635" i="2"/>
  <c r="F3635" i="2"/>
  <c r="H3634" i="2"/>
  <c r="G3634" i="2"/>
  <c r="F3634" i="2"/>
  <c r="H3633" i="2"/>
  <c r="G3633" i="2"/>
  <c r="F3633" i="2"/>
  <c r="H3632" i="2"/>
  <c r="G3632" i="2"/>
  <c r="F3632" i="2"/>
  <c r="H3631" i="2"/>
  <c r="G3631" i="2"/>
  <c r="F3631" i="2"/>
  <c r="H3630" i="2"/>
  <c r="G3630" i="2"/>
  <c r="F3630" i="2"/>
  <c r="H3629" i="2"/>
  <c r="G3629" i="2"/>
  <c r="F3629" i="2"/>
  <c r="H3628" i="2"/>
  <c r="G3628" i="2"/>
  <c r="F3628" i="2"/>
  <c r="H3627" i="2"/>
  <c r="G3627" i="2"/>
  <c r="F3627" i="2"/>
  <c r="H3626" i="2"/>
  <c r="G3626" i="2"/>
  <c r="F3626" i="2"/>
  <c r="H3625" i="2"/>
  <c r="G3625" i="2"/>
  <c r="F3625" i="2"/>
  <c r="H3624" i="2"/>
  <c r="G3624" i="2"/>
  <c r="F3624" i="2"/>
  <c r="H3623" i="2"/>
  <c r="G3623" i="2"/>
  <c r="F3623" i="2"/>
  <c r="H3622" i="2"/>
  <c r="G3622" i="2"/>
  <c r="F3622" i="2"/>
  <c r="H3621" i="2"/>
  <c r="G3621" i="2"/>
  <c r="F3621" i="2"/>
  <c r="H3620" i="2"/>
  <c r="G3620" i="2"/>
  <c r="F3620" i="2"/>
  <c r="H3619" i="2"/>
  <c r="G3619" i="2"/>
  <c r="F3619" i="2"/>
  <c r="H3618" i="2"/>
  <c r="G3618" i="2"/>
  <c r="F3618" i="2"/>
  <c r="H3617" i="2"/>
  <c r="G3617" i="2"/>
  <c r="F3617" i="2"/>
  <c r="H3616" i="2"/>
  <c r="G3616" i="2"/>
  <c r="F3616" i="2"/>
  <c r="H3615" i="2"/>
  <c r="G3615" i="2"/>
  <c r="F3615" i="2"/>
  <c r="H3614" i="2"/>
  <c r="G3614" i="2"/>
  <c r="F3614" i="2"/>
  <c r="H3613" i="2"/>
  <c r="G3613" i="2"/>
  <c r="F3613" i="2"/>
  <c r="H3612" i="2"/>
  <c r="G3612" i="2"/>
  <c r="F3612" i="2"/>
  <c r="H3611" i="2"/>
  <c r="G3611" i="2"/>
  <c r="F3611" i="2"/>
  <c r="H3610" i="2"/>
  <c r="G3610" i="2"/>
  <c r="F3610" i="2"/>
  <c r="H3609" i="2"/>
  <c r="G3609" i="2"/>
  <c r="F3609" i="2"/>
  <c r="H3608" i="2"/>
  <c r="G3608" i="2"/>
  <c r="F3608" i="2"/>
  <c r="H3607" i="2"/>
  <c r="G3607" i="2"/>
  <c r="F3607" i="2"/>
  <c r="H3606" i="2"/>
  <c r="G3606" i="2"/>
  <c r="F3606" i="2"/>
  <c r="H3605" i="2"/>
  <c r="G3605" i="2"/>
  <c r="F3605" i="2"/>
  <c r="H3604" i="2"/>
  <c r="G3604" i="2"/>
  <c r="F3604" i="2"/>
  <c r="H3603" i="2"/>
  <c r="G3603" i="2"/>
  <c r="F3603" i="2"/>
  <c r="H3602" i="2"/>
  <c r="G3602" i="2"/>
  <c r="F3602" i="2"/>
  <c r="H3601" i="2"/>
  <c r="G3601" i="2"/>
  <c r="F3601" i="2"/>
  <c r="H3600" i="2"/>
  <c r="G3600" i="2"/>
  <c r="F3600" i="2"/>
  <c r="H3599" i="2"/>
  <c r="G3599" i="2"/>
  <c r="F3599" i="2"/>
  <c r="H3598" i="2"/>
  <c r="G3598" i="2"/>
  <c r="F3598" i="2"/>
  <c r="H3597" i="2"/>
  <c r="G3597" i="2"/>
  <c r="F3597" i="2"/>
  <c r="H3596" i="2"/>
  <c r="G3596" i="2"/>
  <c r="F3596" i="2"/>
  <c r="H3595" i="2"/>
  <c r="G3595" i="2"/>
  <c r="F3595" i="2"/>
  <c r="H3594" i="2"/>
  <c r="G3594" i="2"/>
  <c r="F3594" i="2"/>
  <c r="H3593" i="2"/>
  <c r="G3593" i="2"/>
  <c r="F3593" i="2"/>
  <c r="H3592" i="2"/>
  <c r="G3592" i="2"/>
  <c r="F3592" i="2"/>
  <c r="H3591" i="2"/>
  <c r="G3591" i="2"/>
  <c r="F3591" i="2"/>
  <c r="H3590" i="2"/>
  <c r="G3590" i="2"/>
  <c r="F3590" i="2"/>
  <c r="H3589" i="2"/>
  <c r="G3589" i="2"/>
  <c r="F3589" i="2"/>
  <c r="H3588" i="2"/>
  <c r="G3588" i="2"/>
  <c r="F3588" i="2"/>
  <c r="H3587" i="2"/>
  <c r="G3587" i="2"/>
  <c r="F3587" i="2"/>
  <c r="H3586" i="2"/>
  <c r="G3586" i="2"/>
  <c r="F3586" i="2"/>
  <c r="H3585" i="2"/>
  <c r="G3585" i="2"/>
  <c r="F3585" i="2"/>
  <c r="H3584" i="2"/>
  <c r="G3584" i="2"/>
  <c r="F3584" i="2"/>
  <c r="H3583" i="2"/>
  <c r="G3583" i="2"/>
  <c r="F3583" i="2"/>
  <c r="H3582" i="2"/>
  <c r="G3582" i="2"/>
  <c r="F3582" i="2"/>
  <c r="H3581" i="2"/>
  <c r="G3581" i="2"/>
  <c r="F3581" i="2"/>
  <c r="H3580" i="2"/>
  <c r="G3580" i="2"/>
  <c r="F3580" i="2"/>
  <c r="H3579" i="2"/>
  <c r="G3579" i="2"/>
  <c r="F3579" i="2"/>
  <c r="H3578" i="2"/>
  <c r="G3578" i="2"/>
  <c r="F3578" i="2"/>
  <c r="H3577" i="2"/>
  <c r="G3577" i="2"/>
  <c r="F3577" i="2"/>
  <c r="H3576" i="2"/>
  <c r="G3576" i="2"/>
  <c r="F3576" i="2"/>
  <c r="H3575" i="2"/>
  <c r="G3575" i="2"/>
  <c r="F3575" i="2"/>
  <c r="H3574" i="2"/>
  <c r="G3574" i="2"/>
  <c r="F3574" i="2"/>
  <c r="H3573" i="2"/>
  <c r="G3573" i="2"/>
  <c r="F3573" i="2"/>
  <c r="H3572" i="2"/>
  <c r="G3572" i="2"/>
  <c r="F3572" i="2"/>
  <c r="H3571" i="2"/>
  <c r="G3571" i="2"/>
  <c r="F3571" i="2"/>
  <c r="H3570" i="2"/>
  <c r="G3570" i="2"/>
  <c r="F3570" i="2"/>
  <c r="H3569" i="2"/>
  <c r="G3569" i="2"/>
  <c r="F3569" i="2"/>
  <c r="H3568" i="2"/>
  <c r="G3568" i="2"/>
  <c r="F3568" i="2"/>
  <c r="H3567" i="2"/>
  <c r="G3567" i="2"/>
  <c r="F3567" i="2"/>
  <c r="H3566" i="2"/>
  <c r="G3566" i="2"/>
  <c r="F3566" i="2"/>
  <c r="H3565" i="2"/>
  <c r="G3565" i="2"/>
  <c r="F3565" i="2"/>
  <c r="H3564" i="2"/>
  <c r="G3564" i="2"/>
  <c r="F3564" i="2"/>
  <c r="H3563" i="2"/>
  <c r="G3563" i="2"/>
  <c r="F3563" i="2"/>
  <c r="H3562" i="2"/>
  <c r="G3562" i="2"/>
  <c r="F3562" i="2"/>
  <c r="H3561" i="2"/>
  <c r="G3561" i="2"/>
  <c r="F3561" i="2"/>
  <c r="H3560" i="2"/>
  <c r="G3560" i="2"/>
  <c r="F3560" i="2"/>
  <c r="H3559" i="2"/>
  <c r="G3559" i="2"/>
  <c r="F3559" i="2"/>
  <c r="H3558" i="2"/>
  <c r="G3558" i="2"/>
  <c r="F3558" i="2"/>
  <c r="H3557" i="2"/>
  <c r="G3557" i="2"/>
  <c r="F3557" i="2"/>
  <c r="H3556" i="2"/>
  <c r="G3556" i="2"/>
  <c r="F3556" i="2"/>
  <c r="H3555" i="2"/>
  <c r="G3555" i="2"/>
  <c r="F3555" i="2"/>
  <c r="H3554" i="2"/>
  <c r="G3554" i="2"/>
  <c r="F3554" i="2"/>
  <c r="H3553" i="2"/>
  <c r="G3553" i="2"/>
  <c r="F3553" i="2"/>
  <c r="H3552" i="2"/>
  <c r="G3552" i="2"/>
  <c r="F3552" i="2"/>
  <c r="H3551" i="2"/>
  <c r="G3551" i="2"/>
  <c r="F3551" i="2"/>
  <c r="H3550" i="2"/>
  <c r="G3550" i="2"/>
  <c r="F3550" i="2"/>
  <c r="H3549" i="2"/>
  <c r="G3549" i="2"/>
  <c r="F3549" i="2"/>
  <c r="H3548" i="2"/>
  <c r="G3548" i="2"/>
  <c r="F3548" i="2"/>
  <c r="H3547" i="2"/>
  <c r="G3547" i="2"/>
  <c r="F3547" i="2"/>
  <c r="H3546" i="2"/>
  <c r="G3546" i="2"/>
  <c r="F3546" i="2"/>
  <c r="H3545" i="2"/>
  <c r="G3545" i="2"/>
  <c r="F3545" i="2"/>
  <c r="H3544" i="2"/>
  <c r="G3544" i="2"/>
  <c r="F3544" i="2"/>
  <c r="H3543" i="2"/>
  <c r="G3543" i="2"/>
  <c r="F3543" i="2"/>
  <c r="H3542" i="2"/>
  <c r="G3542" i="2"/>
  <c r="F3542" i="2"/>
  <c r="H3541" i="2"/>
  <c r="G3541" i="2"/>
  <c r="F3541" i="2"/>
  <c r="H3540" i="2"/>
  <c r="G3540" i="2"/>
  <c r="F3540" i="2"/>
  <c r="H3539" i="2"/>
  <c r="G3539" i="2"/>
  <c r="F3539" i="2"/>
  <c r="H3538" i="2"/>
  <c r="G3538" i="2"/>
  <c r="F3538" i="2"/>
  <c r="H3537" i="2"/>
  <c r="G3537" i="2"/>
  <c r="F3537" i="2"/>
  <c r="H3536" i="2"/>
  <c r="G3536" i="2"/>
  <c r="F3536" i="2"/>
  <c r="H3535" i="2"/>
  <c r="G3535" i="2"/>
  <c r="F3535" i="2"/>
  <c r="H3534" i="2"/>
  <c r="G3534" i="2"/>
  <c r="F3534" i="2"/>
  <c r="H3533" i="2"/>
  <c r="G3533" i="2"/>
  <c r="F3533" i="2"/>
  <c r="H3532" i="2"/>
  <c r="G3532" i="2"/>
  <c r="F3532" i="2"/>
  <c r="H3531" i="2"/>
  <c r="G3531" i="2"/>
  <c r="F3531" i="2"/>
  <c r="H3530" i="2"/>
  <c r="G3530" i="2"/>
  <c r="F3530" i="2"/>
  <c r="H3529" i="2"/>
  <c r="G3529" i="2"/>
  <c r="F3529" i="2"/>
  <c r="H3528" i="2"/>
  <c r="G3528" i="2"/>
  <c r="F3528" i="2"/>
  <c r="H3527" i="2"/>
  <c r="G3527" i="2"/>
  <c r="F3527" i="2"/>
  <c r="H3526" i="2"/>
  <c r="G3526" i="2"/>
  <c r="F3526" i="2"/>
  <c r="H3525" i="2"/>
  <c r="G3525" i="2"/>
  <c r="F3525" i="2"/>
  <c r="H3524" i="2"/>
  <c r="G3524" i="2"/>
  <c r="F3524" i="2"/>
  <c r="H3523" i="2"/>
  <c r="G3523" i="2"/>
  <c r="F3523" i="2"/>
  <c r="H3522" i="2"/>
  <c r="G3522" i="2"/>
  <c r="F3522" i="2"/>
  <c r="H3521" i="2"/>
  <c r="G3521" i="2"/>
  <c r="F3521" i="2"/>
  <c r="H3520" i="2"/>
  <c r="G3520" i="2"/>
  <c r="F3520" i="2"/>
  <c r="H3519" i="2"/>
  <c r="G3519" i="2"/>
  <c r="F3519" i="2"/>
  <c r="H3518" i="2"/>
  <c r="G3518" i="2"/>
  <c r="F3518" i="2"/>
  <c r="H3517" i="2"/>
  <c r="G3517" i="2"/>
  <c r="F3517" i="2"/>
  <c r="H3516" i="2"/>
  <c r="G3516" i="2"/>
  <c r="F3516" i="2"/>
  <c r="H3515" i="2"/>
  <c r="G3515" i="2"/>
  <c r="F3515" i="2"/>
  <c r="H3514" i="2"/>
  <c r="G3514" i="2"/>
  <c r="F3514" i="2"/>
  <c r="H3513" i="2"/>
  <c r="G3513" i="2"/>
  <c r="F3513" i="2"/>
  <c r="H3512" i="2"/>
  <c r="G3512" i="2"/>
  <c r="F3512" i="2"/>
  <c r="H3511" i="2"/>
  <c r="G3511" i="2"/>
  <c r="F3511" i="2"/>
  <c r="H3510" i="2"/>
  <c r="G3510" i="2"/>
  <c r="F3510" i="2"/>
  <c r="H3509" i="2"/>
  <c r="G3509" i="2"/>
  <c r="F3509" i="2"/>
  <c r="H3508" i="2"/>
  <c r="G3508" i="2"/>
  <c r="F3508" i="2"/>
  <c r="H3507" i="2"/>
  <c r="G3507" i="2"/>
  <c r="F3507" i="2"/>
  <c r="H3506" i="2"/>
  <c r="G3506" i="2"/>
  <c r="F3506" i="2"/>
  <c r="H3505" i="2"/>
  <c r="G3505" i="2"/>
  <c r="F3505" i="2"/>
  <c r="H3504" i="2"/>
  <c r="G3504" i="2"/>
  <c r="F3504" i="2"/>
  <c r="H3503" i="2"/>
  <c r="G3503" i="2"/>
  <c r="F3503" i="2"/>
  <c r="H3502" i="2"/>
  <c r="G3502" i="2"/>
  <c r="F3502" i="2"/>
  <c r="H3501" i="2"/>
  <c r="G3501" i="2"/>
  <c r="F3501" i="2"/>
  <c r="H3500" i="2"/>
  <c r="G3500" i="2"/>
  <c r="F3500" i="2"/>
  <c r="H3499" i="2"/>
  <c r="G3499" i="2"/>
  <c r="F3499" i="2"/>
  <c r="H3498" i="2"/>
  <c r="G3498" i="2"/>
  <c r="F3498" i="2"/>
  <c r="H3497" i="2"/>
  <c r="G3497" i="2"/>
  <c r="F3497" i="2"/>
  <c r="H3496" i="2"/>
  <c r="G3496" i="2"/>
  <c r="F3496" i="2"/>
  <c r="H3495" i="2"/>
  <c r="G3495" i="2"/>
  <c r="F3495" i="2"/>
  <c r="H3494" i="2"/>
  <c r="G3494" i="2"/>
  <c r="F3494" i="2"/>
  <c r="H3493" i="2"/>
  <c r="G3493" i="2"/>
  <c r="F3493" i="2"/>
  <c r="H3492" i="2"/>
  <c r="G3492" i="2"/>
  <c r="F3492" i="2"/>
  <c r="H3491" i="2"/>
  <c r="G3491" i="2"/>
  <c r="F3491" i="2"/>
  <c r="H3490" i="2"/>
  <c r="G3490" i="2"/>
  <c r="F3490" i="2"/>
  <c r="H3489" i="2"/>
  <c r="G3489" i="2"/>
  <c r="F3489" i="2"/>
  <c r="H3488" i="2"/>
  <c r="G3488" i="2"/>
  <c r="F3488" i="2"/>
  <c r="H3487" i="2"/>
  <c r="G3487" i="2"/>
  <c r="F3487" i="2"/>
  <c r="H3486" i="2"/>
  <c r="G3486" i="2"/>
  <c r="F3486" i="2"/>
  <c r="H3485" i="2"/>
  <c r="G3485" i="2"/>
  <c r="F3485" i="2"/>
  <c r="H3484" i="2"/>
  <c r="G3484" i="2"/>
  <c r="F3484" i="2"/>
  <c r="H3483" i="2"/>
  <c r="G3483" i="2"/>
  <c r="F3483" i="2"/>
  <c r="H3482" i="2"/>
  <c r="G3482" i="2"/>
  <c r="F3482" i="2"/>
  <c r="H3481" i="2"/>
  <c r="G3481" i="2"/>
  <c r="F3481" i="2"/>
  <c r="H3480" i="2"/>
  <c r="G3480" i="2"/>
  <c r="F3480" i="2"/>
  <c r="H3479" i="2"/>
  <c r="G3479" i="2"/>
  <c r="F3479" i="2"/>
  <c r="H3478" i="2"/>
  <c r="G3478" i="2"/>
  <c r="F3478" i="2"/>
  <c r="H3477" i="2"/>
  <c r="G3477" i="2"/>
  <c r="F3477" i="2"/>
  <c r="H3476" i="2"/>
  <c r="G3476" i="2"/>
  <c r="F3476" i="2"/>
  <c r="H3475" i="2"/>
  <c r="G3475" i="2"/>
  <c r="F3475" i="2"/>
  <c r="H3474" i="2"/>
  <c r="G3474" i="2"/>
  <c r="F3474" i="2"/>
  <c r="H3473" i="2"/>
  <c r="G3473" i="2"/>
  <c r="F3473" i="2"/>
  <c r="H3472" i="2"/>
  <c r="G3472" i="2"/>
  <c r="F3472" i="2"/>
  <c r="H3471" i="2"/>
  <c r="G3471" i="2"/>
  <c r="F3471" i="2"/>
  <c r="H3470" i="2"/>
  <c r="G3470" i="2"/>
  <c r="F3470" i="2"/>
  <c r="H3469" i="2"/>
  <c r="G3469" i="2"/>
  <c r="F3469" i="2"/>
  <c r="H3468" i="2"/>
  <c r="G3468" i="2"/>
  <c r="F3468" i="2"/>
  <c r="H3467" i="2"/>
  <c r="G3467" i="2"/>
  <c r="F3467" i="2"/>
  <c r="H3466" i="2"/>
  <c r="G3466" i="2"/>
  <c r="F3466" i="2"/>
  <c r="H3465" i="2"/>
  <c r="G3465" i="2"/>
  <c r="F3465" i="2"/>
  <c r="H3464" i="2"/>
  <c r="G3464" i="2"/>
  <c r="F3464" i="2"/>
  <c r="H3463" i="2"/>
  <c r="G3463" i="2"/>
  <c r="F3463" i="2"/>
  <c r="H3462" i="2"/>
  <c r="G3462" i="2"/>
  <c r="F3462" i="2"/>
  <c r="H3461" i="2"/>
  <c r="G3461" i="2"/>
  <c r="F3461" i="2"/>
  <c r="H3460" i="2"/>
  <c r="G3460" i="2"/>
  <c r="F3460" i="2"/>
  <c r="H3459" i="2"/>
  <c r="G3459" i="2"/>
  <c r="F3459" i="2"/>
  <c r="H3458" i="2"/>
  <c r="G3458" i="2"/>
  <c r="F3458" i="2"/>
  <c r="H3457" i="2"/>
  <c r="G3457" i="2"/>
  <c r="F3457" i="2"/>
  <c r="H3456" i="2"/>
  <c r="G3456" i="2"/>
  <c r="F3456" i="2"/>
  <c r="H3455" i="2"/>
  <c r="G3455" i="2"/>
  <c r="F3455" i="2"/>
  <c r="H3454" i="2"/>
  <c r="G3454" i="2"/>
  <c r="F3454" i="2"/>
  <c r="H3453" i="2"/>
  <c r="G3453" i="2"/>
  <c r="F3453" i="2"/>
  <c r="H3452" i="2"/>
  <c r="G3452" i="2"/>
  <c r="F3452" i="2"/>
  <c r="H3451" i="2"/>
  <c r="G3451" i="2"/>
  <c r="F3451" i="2"/>
  <c r="H3450" i="2"/>
  <c r="G3450" i="2"/>
  <c r="F3450" i="2"/>
  <c r="H3449" i="2"/>
  <c r="G3449" i="2"/>
  <c r="F3449" i="2"/>
  <c r="H3448" i="2"/>
  <c r="G3448" i="2"/>
  <c r="F3448" i="2"/>
  <c r="H3447" i="2"/>
  <c r="G3447" i="2"/>
  <c r="F3447" i="2"/>
  <c r="H3446" i="2"/>
  <c r="G3446" i="2"/>
  <c r="F3446" i="2"/>
  <c r="H3445" i="2"/>
  <c r="G3445" i="2"/>
  <c r="F3445" i="2"/>
  <c r="H3444" i="2"/>
  <c r="G3444" i="2"/>
  <c r="F3444" i="2"/>
  <c r="H3443" i="2"/>
  <c r="G3443" i="2"/>
  <c r="F3443" i="2"/>
  <c r="H3442" i="2"/>
  <c r="G3442" i="2"/>
  <c r="F3442" i="2"/>
  <c r="H3441" i="2"/>
  <c r="G3441" i="2"/>
  <c r="F3441" i="2"/>
  <c r="H3440" i="2"/>
  <c r="G3440" i="2"/>
  <c r="F3440" i="2"/>
  <c r="H3439" i="2"/>
  <c r="G3439" i="2"/>
  <c r="F3439" i="2"/>
  <c r="H3438" i="2"/>
  <c r="G3438" i="2"/>
  <c r="F3438" i="2"/>
  <c r="H3437" i="2"/>
  <c r="G3437" i="2"/>
  <c r="F3437" i="2"/>
  <c r="H3436" i="2"/>
  <c r="G3436" i="2"/>
  <c r="F3436" i="2"/>
  <c r="H3435" i="2"/>
  <c r="G3435" i="2"/>
  <c r="F3435" i="2"/>
  <c r="H3434" i="2"/>
  <c r="G3434" i="2"/>
  <c r="F3434" i="2"/>
  <c r="H3433" i="2"/>
  <c r="G3433" i="2"/>
  <c r="F3433" i="2"/>
  <c r="H3432" i="2"/>
  <c r="G3432" i="2"/>
  <c r="F3432" i="2"/>
  <c r="H3431" i="2"/>
  <c r="G3431" i="2"/>
  <c r="F3431" i="2"/>
  <c r="H3430" i="2"/>
  <c r="G3430" i="2"/>
  <c r="F3430" i="2"/>
  <c r="H3429" i="2"/>
  <c r="G3429" i="2"/>
  <c r="F3429" i="2"/>
  <c r="H3428" i="2"/>
  <c r="G3428" i="2"/>
  <c r="F3428" i="2"/>
  <c r="H3427" i="2"/>
  <c r="G3427" i="2"/>
  <c r="F3427" i="2"/>
  <c r="H3426" i="2"/>
  <c r="G3426" i="2"/>
  <c r="F3426" i="2"/>
  <c r="H3425" i="2"/>
  <c r="G3425" i="2"/>
  <c r="F3425" i="2"/>
  <c r="H3424" i="2"/>
  <c r="G3424" i="2"/>
  <c r="F3424" i="2"/>
  <c r="H3423" i="2"/>
  <c r="G3423" i="2"/>
  <c r="F3423" i="2"/>
  <c r="H3422" i="2"/>
  <c r="G3422" i="2"/>
  <c r="F3422" i="2"/>
  <c r="H3421" i="2"/>
  <c r="G3421" i="2"/>
  <c r="F3421" i="2"/>
  <c r="H3420" i="2"/>
  <c r="G3420" i="2"/>
  <c r="F3420" i="2"/>
  <c r="H3419" i="2"/>
  <c r="G3419" i="2"/>
  <c r="F3419" i="2"/>
  <c r="H3418" i="2"/>
  <c r="G3418" i="2"/>
  <c r="F3418" i="2"/>
  <c r="H3417" i="2"/>
  <c r="G3417" i="2"/>
  <c r="F3417" i="2"/>
  <c r="H3416" i="2"/>
  <c r="G3416" i="2"/>
  <c r="F3416" i="2"/>
  <c r="H3415" i="2"/>
  <c r="G3415" i="2"/>
  <c r="F3415" i="2"/>
  <c r="H3414" i="2"/>
  <c r="G3414" i="2"/>
  <c r="F3414" i="2"/>
  <c r="H3413" i="2"/>
  <c r="G3413" i="2"/>
  <c r="F3413" i="2"/>
  <c r="H3412" i="2"/>
  <c r="G3412" i="2"/>
  <c r="F3412" i="2"/>
  <c r="H3411" i="2"/>
  <c r="G3411" i="2"/>
  <c r="F3411" i="2"/>
  <c r="H3410" i="2"/>
  <c r="G3410" i="2"/>
  <c r="F3410" i="2"/>
  <c r="H3409" i="2"/>
  <c r="G3409" i="2"/>
  <c r="F3409" i="2"/>
  <c r="H3408" i="2"/>
  <c r="G3408" i="2"/>
  <c r="F3408" i="2"/>
  <c r="H3407" i="2"/>
  <c r="G3407" i="2"/>
  <c r="F3407" i="2"/>
  <c r="H3406" i="2"/>
  <c r="G3406" i="2"/>
  <c r="F3406" i="2"/>
  <c r="H3405" i="2"/>
  <c r="G3405" i="2"/>
  <c r="F3405" i="2"/>
  <c r="H3404" i="2"/>
  <c r="G3404" i="2"/>
  <c r="F3404" i="2"/>
  <c r="H3403" i="2"/>
  <c r="G3403" i="2"/>
  <c r="F3403" i="2"/>
  <c r="H3402" i="2"/>
  <c r="G3402" i="2"/>
  <c r="F3402" i="2"/>
  <c r="H3401" i="2"/>
  <c r="G3401" i="2"/>
  <c r="F3401" i="2"/>
  <c r="H3400" i="2"/>
  <c r="G3400" i="2"/>
  <c r="F3400" i="2"/>
  <c r="H3399" i="2"/>
  <c r="G3399" i="2"/>
  <c r="F3399" i="2"/>
  <c r="H3398" i="2"/>
  <c r="G3398" i="2"/>
  <c r="F3398" i="2"/>
  <c r="H3397" i="2"/>
  <c r="G3397" i="2"/>
  <c r="F3397" i="2"/>
  <c r="H3396" i="2"/>
  <c r="G3396" i="2"/>
  <c r="F3396" i="2"/>
  <c r="H3395" i="2"/>
  <c r="G3395" i="2"/>
  <c r="F3395" i="2"/>
  <c r="H3394" i="2"/>
  <c r="G3394" i="2"/>
  <c r="F3394" i="2"/>
  <c r="H3393" i="2"/>
  <c r="G3393" i="2"/>
  <c r="F3393" i="2"/>
  <c r="H3392" i="2"/>
  <c r="G3392" i="2"/>
  <c r="F3392" i="2"/>
  <c r="H3391" i="2"/>
  <c r="G3391" i="2"/>
  <c r="F3391" i="2"/>
  <c r="H3390" i="2"/>
  <c r="G3390" i="2"/>
  <c r="F3390" i="2"/>
  <c r="H3389" i="2"/>
  <c r="G3389" i="2"/>
  <c r="F3389" i="2"/>
  <c r="H3388" i="2"/>
  <c r="G3388" i="2"/>
  <c r="F3388" i="2"/>
  <c r="H3387" i="2"/>
  <c r="G3387" i="2"/>
  <c r="F3387" i="2"/>
  <c r="H3386" i="2"/>
  <c r="G3386" i="2"/>
  <c r="F3386" i="2"/>
  <c r="H3385" i="2"/>
  <c r="G3385" i="2"/>
  <c r="F3385" i="2"/>
  <c r="H3384" i="2"/>
  <c r="G3384" i="2"/>
  <c r="F3384" i="2"/>
  <c r="H3383" i="2"/>
  <c r="G3383" i="2"/>
  <c r="F3383" i="2"/>
  <c r="H3382" i="2"/>
  <c r="G3382" i="2"/>
  <c r="F3382" i="2"/>
  <c r="H3381" i="2"/>
  <c r="G3381" i="2"/>
  <c r="F3381" i="2"/>
  <c r="H3380" i="2"/>
  <c r="G3380" i="2"/>
  <c r="F3380" i="2"/>
  <c r="H3379" i="2"/>
  <c r="G3379" i="2"/>
  <c r="F3379" i="2"/>
  <c r="H3378" i="2"/>
  <c r="G3378" i="2"/>
  <c r="F3378" i="2"/>
  <c r="H3377" i="2"/>
  <c r="G3377" i="2"/>
  <c r="F3377" i="2"/>
  <c r="H3376" i="2"/>
  <c r="G3376" i="2"/>
  <c r="F3376" i="2"/>
  <c r="H3375" i="2"/>
  <c r="G3375" i="2"/>
  <c r="F3375" i="2"/>
  <c r="H3374" i="2"/>
  <c r="G3374" i="2"/>
  <c r="F3374" i="2"/>
  <c r="H3373" i="2"/>
  <c r="G3373" i="2"/>
  <c r="F3373" i="2"/>
  <c r="H3372" i="2"/>
  <c r="G3372" i="2"/>
  <c r="F3372" i="2"/>
  <c r="H3371" i="2"/>
  <c r="G3371" i="2"/>
  <c r="F3371" i="2"/>
  <c r="H3370" i="2"/>
  <c r="G3370" i="2"/>
  <c r="F3370" i="2"/>
  <c r="H3369" i="2"/>
  <c r="G3369" i="2"/>
  <c r="F3369" i="2"/>
  <c r="H3368" i="2"/>
  <c r="G3368" i="2"/>
  <c r="F3368" i="2"/>
  <c r="H3367" i="2"/>
  <c r="G3367" i="2"/>
  <c r="F3367" i="2"/>
  <c r="H3366" i="2"/>
  <c r="G3366" i="2"/>
  <c r="F3366" i="2"/>
  <c r="H3365" i="2"/>
  <c r="G3365" i="2"/>
  <c r="F3365" i="2"/>
  <c r="H3364" i="2"/>
  <c r="G3364" i="2"/>
  <c r="F3364" i="2"/>
  <c r="H3363" i="2"/>
  <c r="G3363" i="2"/>
  <c r="F3363" i="2"/>
  <c r="H3362" i="2"/>
  <c r="G3362" i="2"/>
  <c r="F3362" i="2"/>
  <c r="H3361" i="2"/>
  <c r="G3361" i="2"/>
  <c r="F3361" i="2"/>
  <c r="H3360" i="2"/>
  <c r="G3360" i="2"/>
  <c r="F3360" i="2"/>
  <c r="H3359" i="2"/>
  <c r="G3359" i="2"/>
  <c r="F3359" i="2"/>
  <c r="H3358" i="2"/>
  <c r="G3358" i="2"/>
  <c r="F3358" i="2"/>
  <c r="H3357" i="2"/>
  <c r="G3357" i="2"/>
  <c r="F3357" i="2"/>
  <c r="H3356" i="2"/>
  <c r="G3356" i="2"/>
  <c r="F3356" i="2"/>
  <c r="H3355" i="2"/>
  <c r="G3355" i="2"/>
  <c r="F3355" i="2"/>
  <c r="H3354" i="2"/>
  <c r="G3354" i="2"/>
  <c r="F3354" i="2"/>
  <c r="H3353" i="2"/>
  <c r="G3353" i="2"/>
  <c r="F3353" i="2"/>
  <c r="H3352" i="2"/>
  <c r="G3352" i="2"/>
  <c r="F3352" i="2"/>
  <c r="H3351" i="2"/>
  <c r="G3351" i="2"/>
  <c r="F3351" i="2"/>
  <c r="H3350" i="2"/>
  <c r="G3350" i="2"/>
  <c r="F3350" i="2"/>
  <c r="H3349" i="2"/>
  <c r="G3349" i="2"/>
  <c r="F3349" i="2"/>
  <c r="H3348" i="2"/>
  <c r="G3348" i="2"/>
  <c r="F3348" i="2"/>
  <c r="H3347" i="2"/>
  <c r="G3347" i="2"/>
  <c r="F3347" i="2"/>
  <c r="H3346" i="2"/>
  <c r="G3346" i="2"/>
  <c r="F3346" i="2"/>
  <c r="H3345" i="2"/>
  <c r="G3345" i="2"/>
  <c r="F3345" i="2"/>
  <c r="H3344" i="2"/>
  <c r="G3344" i="2"/>
  <c r="F3344" i="2"/>
  <c r="H3343" i="2"/>
  <c r="G3343" i="2"/>
  <c r="F3343" i="2"/>
  <c r="H3342" i="2"/>
  <c r="G3342" i="2"/>
  <c r="F3342" i="2"/>
  <c r="H3341" i="2"/>
  <c r="G3341" i="2"/>
  <c r="F3341" i="2"/>
  <c r="H3340" i="2"/>
  <c r="G3340" i="2"/>
  <c r="F3340" i="2"/>
  <c r="H3339" i="2"/>
  <c r="G3339" i="2"/>
  <c r="F3339" i="2"/>
  <c r="H3338" i="2"/>
  <c r="G3338" i="2"/>
  <c r="F3338" i="2"/>
  <c r="H3337" i="2"/>
  <c r="G3337" i="2"/>
  <c r="F3337" i="2"/>
  <c r="H3336" i="2"/>
  <c r="G3336" i="2"/>
  <c r="F3336" i="2"/>
  <c r="H3335" i="2"/>
  <c r="G3335" i="2"/>
  <c r="F3335" i="2"/>
  <c r="H3334" i="2"/>
  <c r="G3334" i="2"/>
  <c r="F3334" i="2"/>
  <c r="H3333" i="2"/>
  <c r="G3333" i="2"/>
  <c r="F3333" i="2"/>
  <c r="H3332" i="2"/>
  <c r="G3332" i="2"/>
  <c r="F3332" i="2"/>
  <c r="H3331" i="2"/>
  <c r="G3331" i="2"/>
  <c r="F3331" i="2"/>
  <c r="H3330" i="2"/>
  <c r="G3330" i="2"/>
  <c r="F3330" i="2"/>
  <c r="H3329" i="2"/>
  <c r="G3329" i="2"/>
  <c r="F3329" i="2"/>
  <c r="H3328" i="2"/>
  <c r="G3328" i="2"/>
  <c r="F3328" i="2"/>
  <c r="H3327" i="2"/>
  <c r="G3327" i="2"/>
  <c r="F3327" i="2"/>
  <c r="H3326" i="2"/>
  <c r="G3326" i="2"/>
  <c r="F3326" i="2"/>
  <c r="H3325" i="2"/>
  <c r="G3325" i="2"/>
  <c r="F3325" i="2"/>
  <c r="H3324" i="2"/>
  <c r="G3324" i="2"/>
  <c r="F3324" i="2"/>
  <c r="H3323" i="2"/>
  <c r="G3323" i="2"/>
  <c r="F3323" i="2"/>
  <c r="H3322" i="2"/>
  <c r="G3322" i="2"/>
  <c r="F3322" i="2"/>
  <c r="H3321" i="2"/>
  <c r="G3321" i="2"/>
  <c r="F3321" i="2"/>
  <c r="H3320" i="2"/>
  <c r="G3320" i="2"/>
  <c r="F3320" i="2"/>
  <c r="H3319" i="2"/>
  <c r="G3319" i="2"/>
  <c r="F3319" i="2"/>
  <c r="H3318" i="2"/>
  <c r="G3318" i="2"/>
  <c r="F3318" i="2"/>
  <c r="H3317" i="2"/>
  <c r="G3317" i="2"/>
  <c r="F3317" i="2"/>
  <c r="H3316" i="2"/>
  <c r="G3316" i="2"/>
  <c r="F3316" i="2"/>
  <c r="H3315" i="2"/>
  <c r="G3315" i="2"/>
  <c r="F3315" i="2"/>
  <c r="H3314" i="2"/>
  <c r="G3314" i="2"/>
  <c r="F3314" i="2"/>
  <c r="H3313" i="2"/>
  <c r="G3313" i="2"/>
  <c r="F3313" i="2"/>
  <c r="H3312" i="2"/>
  <c r="G3312" i="2"/>
  <c r="F3312" i="2"/>
  <c r="H3311" i="2"/>
  <c r="G3311" i="2"/>
  <c r="F3311" i="2"/>
  <c r="H3310" i="2"/>
  <c r="G3310" i="2"/>
  <c r="F3310" i="2"/>
  <c r="H3309" i="2"/>
  <c r="G3309" i="2"/>
  <c r="F3309" i="2"/>
  <c r="H3308" i="2"/>
  <c r="G3308" i="2"/>
  <c r="F3308" i="2"/>
  <c r="H3307" i="2"/>
  <c r="G3307" i="2"/>
  <c r="F3307" i="2"/>
  <c r="H3306" i="2"/>
  <c r="G3306" i="2"/>
  <c r="F3306" i="2"/>
  <c r="H3305" i="2"/>
  <c r="G3305" i="2"/>
  <c r="F3305" i="2"/>
  <c r="H3304" i="2"/>
  <c r="G3304" i="2"/>
  <c r="F3304" i="2"/>
  <c r="H3303" i="2"/>
  <c r="G3303" i="2"/>
  <c r="F3303" i="2"/>
  <c r="H3302" i="2"/>
  <c r="G3302" i="2"/>
  <c r="F3302" i="2"/>
  <c r="H3301" i="2"/>
  <c r="G3301" i="2"/>
  <c r="F3301" i="2"/>
  <c r="H3300" i="2"/>
  <c r="G3300" i="2"/>
  <c r="F3300" i="2"/>
  <c r="H3299" i="2"/>
  <c r="G3299" i="2"/>
  <c r="F3299" i="2"/>
  <c r="H3298" i="2"/>
  <c r="G3298" i="2"/>
  <c r="F3298" i="2"/>
  <c r="H3297" i="2"/>
  <c r="G3297" i="2"/>
  <c r="F3297" i="2"/>
  <c r="H3296" i="2"/>
  <c r="G3296" i="2"/>
  <c r="F3296" i="2"/>
  <c r="H3295" i="2"/>
  <c r="G3295" i="2"/>
  <c r="F3295" i="2"/>
  <c r="H3294" i="2"/>
  <c r="G3294" i="2"/>
  <c r="F3294" i="2"/>
  <c r="H3293" i="2"/>
  <c r="G3293" i="2"/>
  <c r="F3293" i="2"/>
  <c r="H3292" i="2"/>
  <c r="G3292" i="2"/>
  <c r="F3292" i="2"/>
  <c r="H3291" i="2"/>
  <c r="G3291" i="2"/>
  <c r="F3291" i="2"/>
  <c r="H3290" i="2"/>
  <c r="G3290" i="2"/>
  <c r="F3290" i="2"/>
  <c r="H3289" i="2"/>
  <c r="G3289" i="2"/>
  <c r="F3289" i="2"/>
  <c r="H3288" i="2"/>
  <c r="G3288" i="2"/>
  <c r="F3288" i="2"/>
  <c r="H3287" i="2"/>
  <c r="G3287" i="2"/>
  <c r="F3287" i="2"/>
  <c r="H3286" i="2"/>
  <c r="G3286" i="2"/>
  <c r="F3286" i="2"/>
  <c r="H3285" i="2"/>
  <c r="G3285" i="2"/>
  <c r="F3285" i="2"/>
  <c r="H3284" i="2"/>
  <c r="G3284" i="2"/>
  <c r="F3284" i="2"/>
  <c r="H3283" i="2"/>
  <c r="G3283" i="2"/>
  <c r="F3283" i="2"/>
  <c r="H3282" i="2"/>
  <c r="G3282" i="2"/>
  <c r="F3282" i="2"/>
  <c r="H3281" i="2"/>
  <c r="G3281" i="2"/>
  <c r="F3281" i="2"/>
  <c r="H3280" i="2"/>
  <c r="G3280" i="2"/>
  <c r="F3280" i="2"/>
  <c r="H3279" i="2"/>
  <c r="G3279" i="2"/>
  <c r="F3279" i="2"/>
  <c r="H3278" i="2"/>
  <c r="G3278" i="2"/>
  <c r="F3278" i="2"/>
  <c r="H3277" i="2"/>
  <c r="G3277" i="2"/>
  <c r="F3277" i="2"/>
  <c r="H3276" i="2"/>
  <c r="G3276" i="2"/>
  <c r="F3276" i="2"/>
  <c r="H3275" i="2"/>
  <c r="G3275" i="2"/>
  <c r="F3275" i="2"/>
  <c r="H3274" i="2"/>
  <c r="G3274" i="2"/>
  <c r="F3274" i="2"/>
  <c r="H3273" i="2"/>
  <c r="G3273" i="2"/>
  <c r="F3273" i="2"/>
  <c r="H3272" i="2"/>
  <c r="G3272" i="2"/>
  <c r="F3272" i="2"/>
  <c r="H3271" i="2"/>
  <c r="G3271" i="2"/>
  <c r="F3271" i="2"/>
  <c r="H3270" i="2"/>
  <c r="G3270" i="2"/>
  <c r="F3270" i="2"/>
  <c r="H3269" i="2"/>
  <c r="G3269" i="2"/>
  <c r="F3269" i="2"/>
  <c r="H3268" i="2"/>
  <c r="G3268" i="2"/>
  <c r="F3268" i="2"/>
  <c r="H3267" i="2"/>
  <c r="G3267" i="2"/>
  <c r="F3267" i="2"/>
  <c r="H3266" i="2"/>
  <c r="G3266" i="2"/>
  <c r="F3266" i="2"/>
  <c r="H3265" i="2"/>
  <c r="G3265" i="2"/>
  <c r="F3265" i="2"/>
  <c r="H3264" i="2"/>
  <c r="G3264" i="2"/>
  <c r="F3264" i="2"/>
  <c r="H3263" i="2"/>
  <c r="G3263" i="2"/>
  <c r="F3263" i="2"/>
  <c r="H3262" i="2"/>
  <c r="G3262" i="2"/>
  <c r="F3262" i="2"/>
  <c r="H3261" i="2"/>
  <c r="G3261" i="2"/>
  <c r="F3261" i="2"/>
  <c r="H3260" i="2"/>
  <c r="G3260" i="2"/>
  <c r="F3260" i="2"/>
  <c r="H3259" i="2"/>
  <c r="G3259" i="2"/>
  <c r="F3259" i="2"/>
  <c r="H3258" i="2"/>
  <c r="G3258" i="2"/>
  <c r="F3258" i="2"/>
  <c r="H3257" i="2"/>
  <c r="G3257" i="2"/>
  <c r="F3257" i="2"/>
  <c r="H3256" i="2"/>
  <c r="G3256" i="2"/>
  <c r="F3256" i="2"/>
  <c r="H3255" i="2"/>
  <c r="G3255" i="2"/>
  <c r="F3255" i="2"/>
  <c r="H3254" i="2"/>
  <c r="G3254" i="2"/>
  <c r="F3254" i="2"/>
  <c r="H3253" i="2"/>
  <c r="G3253" i="2"/>
  <c r="F3253" i="2"/>
  <c r="H3252" i="2"/>
  <c r="G3252" i="2"/>
  <c r="F3252" i="2"/>
  <c r="H3251" i="2"/>
  <c r="G3251" i="2"/>
  <c r="F3251" i="2"/>
  <c r="H3250" i="2"/>
  <c r="G3250" i="2"/>
  <c r="F3250" i="2"/>
  <c r="H3249" i="2"/>
  <c r="G3249" i="2"/>
  <c r="F3249" i="2"/>
  <c r="H3248" i="2"/>
  <c r="G3248" i="2"/>
  <c r="F3248" i="2"/>
  <c r="H3247" i="2"/>
  <c r="G3247" i="2"/>
  <c r="F3247" i="2"/>
  <c r="H3246" i="2"/>
  <c r="G3246" i="2"/>
  <c r="F3246" i="2"/>
  <c r="H3245" i="2"/>
  <c r="G3245" i="2"/>
  <c r="F3245" i="2"/>
  <c r="H3244" i="2"/>
  <c r="G3244" i="2"/>
  <c r="F3244" i="2"/>
  <c r="H3243" i="2"/>
  <c r="G3243" i="2"/>
  <c r="F3243" i="2"/>
  <c r="H3242" i="2"/>
  <c r="G3242" i="2"/>
  <c r="F3242" i="2"/>
  <c r="H3241" i="2"/>
  <c r="G3241" i="2"/>
  <c r="F3241" i="2"/>
  <c r="H3240" i="2"/>
  <c r="G3240" i="2"/>
  <c r="F3240" i="2"/>
  <c r="H3239" i="2"/>
  <c r="G3239" i="2"/>
  <c r="F3239" i="2"/>
  <c r="H3238" i="2"/>
  <c r="G3238" i="2"/>
  <c r="F3238" i="2"/>
  <c r="H3237" i="2"/>
  <c r="G3237" i="2"/>
  <c r="F3237" i="2"/>
  <c r="H3236" i="2"/>
  <c r="G3236" i="2"/>
  <c r="F3236" i="2"/>
  <c r="H3235" i="2"/>
  <c r="G3235" i="2"/>
  <c r="F3235" i="2"/>
  <c r="H3234" i="2"/>
  <c r="G3234" i="2"/>
  <c r="F3234" i="2"/>
  <c r="H3233" i="2"/>
  <c r="G3233" i="2"/>
  <c r="F3233" i="2"/>
  <c r="H3232" i="2"/>
  <c r="G3232" i="2"/>
  <c r="F3232" i="2"/>
  <c r="H3231" i="2"/>
  <c r="G3231" i="2"/>
  <c r="F3231" i="2"/>
  <c r="H3230" i="2"/>
  <c r="G3230" i="2"/>
  <c r="F3230" i="2"/>
  <c r="H3229" i="2"/>
  <c r="G3229" i="2"/>
  <c r="F3229" i="2"/>
  <c r="H3228" i="2"/>
  <c r="G3228" i="2"/>
  <c r="F3228" i="2"/>
  <c r="H3227" i="2"/>
  <c r="G3227" i="2"/>
  <c r="F3227" i="2"/>
  <c r="H3226" i="2"/>
  <c r="G3226" i="2"/>
  <c r="F3226" i="2"/>
  <c r="H3225" i="2"/>
  <c r="G3225" i="2"/>
  <c r="F3225" i="2"/>
  <c r="H3224" i="2"/>
  <c r="G3224" i="2"/>
  <c r="F3224" i="2"/>
  <c r="H3223" i="2"/>
  <c r="G3223" i="2"/>
  <c r="F3223" i="2"/>
  <c r="H3222" i="2"/>
  <c r="G3222" i="2"/>
  <c r="F3222" i="2"/>
  <c r="H3221" i="2"/>
  <c r="G3221" i="2"/>
  <c r="F3221" i="2"/>
  <c r="H3220" i="2"/>
  <c r="G3220" i="2"/>
  <c r="F3220" i="2"/>
  <c r="H3219" i="2"/>
  <c r="G3219" i="2"/>
  <c r="F3219" i="2"/>
  <c r="H3218" i="2"/>
  <c r="G3218" i="2"/>
  <c r="F3218" i="2"/>
  <c r="H3217" i="2"/>
  <c r="G3217" i="2"/>
  <c r="F3217" i="2"/>
  <c r="H3216" i="2"/>
  <c r="G3216" i="2"/>
  <c r="F3216" i="2"/>
  <c r="H3215" i="2"/>
  <c r="G3215" i="2"/>
  <c r="F3215" i="2"/>
  <c r="H3214" i="2"/>
  <c r="G3214" i="2"/>
  <c r="F3214" i="2"/>
  <c r="H3213" i="2"/>
  <c r="G3213" i="2"/>
  <c r="F3213" i="2"/>
  <c r="H3212" i="2"/>
  <c r="G3212" i="2"/>
  <c r="F3212" i="2"/>
  <c r="H3211" i="2"/>
  <c r="G3211" i="2"/>
  <c r="F3211" i="2"/>
  <c r="H3210" i="2"/>
  <c r="G3210" i="2"/>
  <c r="F3210" i="2"/>
  <c r="H3209" i="2"/>
  <c r="G3209" i="2"/>
  <c r="F3209" i="2"/>
  <c r="H3208" i="2"/>
  <c r="G3208" i="2"/>
  <c r="F3208" i="2"/>
  <c r="H3207" i="2"/>
  <c r="G3207" i="2"/>
  <c r="F3207" i="2"/>
  <c r="H3206" i="2"/>
  <c r="G3206" i="2"/>
  <c r="F3206" i="2"/>
  <c r="H3205" i="2"/>
  <c r="G3205" i="2"/>
  <c r="F3205" i="2"/>
  <c r="H3204" i="2"/>
  <c r="G3204" i="2"/>
  <c r="F3204" i="2"/>
  <c r="H3203" i="2"/>
  <c r="G3203" i="2"/>
  <c r="F3203" i="2"/>
  <c r="H3202" i="2"/>
  <c r="G3202" i="2"/>
  <c r="F3202" i="2"/>
  <c r="H3201" i="2"/>
  <c r="G3201" i="2"/>
  <c r="F3201" i="2"/>
  <c r="H3200" i="2"/>
  <c r="G3200" i="2"/>
  <c r="F3200" i="2"/>
  <c r="H3199" i="2"/>
  <c r="G3199" i="2"/>
  <c r="F3199" i="2"/>
  <c r="H3198" i="2"/>
  <c r="G3198" i="2"/>
  <c r="F3198" i="2"/>
  <c r="H3197" i="2"/>
  <c r="G3197" i="2"/>
  <c r="F3197" i="2"/>
  <c r="H3196" i="2"/>
  <c r="G3196" i="2"/>
  <c r="F3196" i="2"/>
  <c r="H3195" i="2"/>
  <c r="G3195" i="2"/>
  <c r="F3195" i="2"/>
  <c r="H3194" i="2"/>
  <c r="G3194" i="2"/>
  <c r="F3194" i="2"/>
  <c r="H3193" i="2"/>
  <c r="G3193" i="2"/>
  <c r="F3193" i="2"/>
  <c r="H3192" i="2"/>
  <c r="G3192" i="2"/>
  <c r="F3192" i="2"/>
  <c r="H3191" i="2"/>
  <c r="G3191" i="2"/>
  <c r="F3191" i="2"/>
  <c r="H3190" i="2"/>
  <c r="G3190" i="2"/>
  <c r="F3190" i="2"/>
  <c r="H3189" i="2"/>
  <c r="G3189" i="2"/>
  <c r="F3189" i="2"/>
  <c r="H3188" i="2"/>
  <c r="G3188" i="2"/>
  <c r="F3188" i="2"/>
  <c r="H3187" i="2"/>
  <c r="G3187" i="2"/>
  <c r="F3187" i="2"/>
  <c r="H3186" i="2"/>
  <c r="G3186" i="2"/>
  <c r="F3186" i="2"/>
  <c r="H3185" i="2"/>
  <c r="G3185" i="2"/>
  <c r="F3185" i="2"/>
  <c r="H3184" i="2"/>
  <c r="G3184" i="2"/>
  <c r="F3184" i="2"/>
  <c r="H3183" i="2"/>
  <c r="G3183" i="2"/>
  <c r="F3183" i="2"/>
  <c r="H3182" i="2"/>
  <c r="G3182" i="2"/>
  <c r="F3182" i="2"/>
  <c r="H3181" i="2"/>
  <c r="G3181" i="2"/>
  <c r="F3181" i="2"/>
  <c r="H3180" i="2"/>
  <c r="G3180" i="2"/>
  <c r="F3180" i="2"/>
  <c r="H3179" i="2"/>
  <c r="G3179" i="2"/>
  <c r="F3179" i="2"/>
  <c r="H3178" i="2"/>
  <c r="G3178" i="2"/>
  <c r="F3178" i="2"/>
  <c r="H3177" i="2"/>
  <c r="G3177" i="2"/>
  <c r="F3177" i="2"/>
  <c r="H3176" i="2"/>
  <c r="G3176" i="2"/>
  <c r="F3176" i="2"/>
  <c r="H3175" i="2"/>
  <c r="G3175" i="2"/>
  <c r="F3175" i="2"/>
  <c r="H3174" i="2"/>
  <c r="G3174" i="2"/>
  <c r="F3174" i="2"/>
  <c r="H3173" i="2"/>
  <c r="G3173" i="2"/>
  <c r="F3173" i="2"/>
  <c r="H3172" i="2"/>
  <c r="G3172" i="2"/>
  <c r="F3172" i="2"/>
  <c r="H3171" i="2"/>
  <c r="G3171" i="2"/>
  <c r="F3171" i="2"/>
  <c r="H3170" i="2"/>
  <c r="G3170" i="2"/>
  <c r="F3170" i="2"/>
  <c r="H3169" i="2"/>
  <c r="G3169" i="2"/>
  <c r="F3169" i="2"/>
  <c r="H3168" i="2"/>
  <c r="G3168" i="2"/>
  <c r="F3168" i="2"/>
  <c r="H3167" i="2"/>
  <c r="G3167" i="2"/>
  <c r="F3167" i="2"/>
  <c r="H3166" i="2"/>
  <c r="G3166" i="2"/>
  <c r="F3166" i="2"/>
  <c r="H3165" i="2"/>
  <c r="G3165" i="2"/>
  <c r="F3165" i="2"/>
  <c r="H3164" i="2"/>
  <c r="G3164" i="2"/>
  <c r="F3164" i="2"/>
  <c r="H3163" i="2"/>
  <c r="G3163" i="2"/>
  <c r="F3163" i="2"/>
  <c r="H3162" i="2"/>
  <c r="G3162" i="2"/>
  <c r="F3162" i="2"/>
  <c r="H3161" i="2"/>
  <c r="G3161" i="2"/>
  <c r="F3161" i="2"/>
  <c r="H3160" i="2"/>
  <c r="G3160" i="2"/>
  <c r="F3160" i="2"/>
  <c r="H3159" i="2"/>
  <c r="G3159" i="2"/>
  <c r="F3159" i="2"/>
  <c r="H3158" i="2"/>
  <c r="G3158" i="2"/>
  <c r="F3158" i="2"/>
  <c r="H3157" i="2"/>
  <c r="G3157" i="2"/>
  <c r="F3157" i="2"/>
  <c r="H3156" i="2"/>
  <c r="G3156" i="2"/>
  <c r="F3156" i="2"/>
  <c r="H3155" i="2"/>
  <c r="G3155" i="2"/>
  <c r="F3155" i="2"/>
  <c r="H3154" i="2"/>
  <c r="G3154" i="2"/>
  <c r="F3154" i="2"/>
  <c r="H3153" i="2"/>
  <c r="G3153" i="2"/>
  <c r="F3153" i="2"/>
  <c r="H3152" i="2"/>
  <c r="G3152" i="2"/>
  <c r="F3152" i="2"/>
  <c r="H3151" i="2"/>
  <c r="G3151" i="2"/>
  <c r="F3151" i="2"/>
  <c r="H3150" i="2"/>
  <c r="G3150" i="2"/>
  <c r="F3150" i="2"/>
  <c r="H3149" i="2"/>
  <c r="G3149" i="2"/>
  <c r="F3149" i="2"/>
  <c r="H3148" i="2"/>
  <c r="G3148" i="2"/>
  <c r="F3148" i="2"/>
  <c r="H3147" i="2"/>
  <c r="G3147" i="2"/>
  <c r="F3147" i="2"/>
  <c r="H3146" i="2"/>
  <c r="G3146" i="2"/>
  <c r="F3146" i="2"/>
  <c r="H3145" i="2"/>
  <c r="G3145" i="2"/>
  <c r="F3145" i="2"/>
  <c r="H3144" i="2"/>
  <c r="G3144" i="2"/>
  <c r="F3144" i="2"/>
  <c r="H3143" i="2"/>
  <c r="G3143" i="2"/>
  <c r="F3143" i="2"/>
  <c r="H3142" i="2"/>
  <c r="G3142" i="2"/>
  <c r="F3142" i="2"/>
  <c r="H3141" i="2"/>
  <c r="G3141" i="2"/>
  <c r="F3141" i="2"/>
  <c r="H3140" i="2"/>
  <c r="G3140" i="2"/>
  <c r="F3140" i="2"/>
  <c r="H3139" i="2"/>
  <c r="G3139" i="2"/>
  <c r="F3139" i="2"/>
  <c r="H3138" i="2"/>
  <c r="G3138" i="2"/>
  <c r="F3138" i="2"/>
  <c r="H3137" i="2"/>
  <c r="G3137" i="2"/>
  <c r="F3137" i="2"/>
  <c r="H3136" i="2"/>
  <c r="G3136" i="2"/>
  <c r="F3136" i="2"/>
  <c r="H3135" i="2"/>
  <c r="G3135" i="2"/>
  <c r="F3135" i="2"/>
  <c r="H3134" i="2"/>
  <c r="G3134" i="2"/>
  <c r="F3134" i="2"/>
  <c r="H3133" i="2"/>
  <c r="G3133" i="2"/>
  <c r="F3133" i="2"/>
  <c r="H3132" i="2"/>
  <c r="G3132" i="2"/>
  <c r="F3132" i="2"/>
  <c r="H3131" i="2"/>
  <c r="G3131" i="2"/>
  <c r="F3131" i="2"/>
  <c r="H3130" i="2"/>
  <c r="G3130" i="2"/>
  <c r="F3130" i="2"/>
  <c r="H3129" i="2"/>
  <c r="G3129" i="2"/>
  <c r="F3129" i="2"/>
  <c r="H3128" i="2"/>
  <c r="G3128" i="2"/>
  <c r="F3128" i="2"/>
  <c r="H3127" i="2"/>
  <c r="G3127" i="2"/>
  <c r="F3127" i="2"/>
  <c r="H3126" i="2"/>
  <c r="G3126" i="2"/>
  <c r="F3126" i="2"/>
  <c r="H3125" i="2"/>
  <c r="G3125" i="2"/>
  <c r="F3125" i="2"/>
  <c r="H3124" i="2"/>
  <c r="G3124" i="2"/>
  <c r="F3124" i="2"/>
  <c r="H3123" i="2"/>
  <c r="G3123" i="2"/>
  <c r="F3123" i="2"/>
  <c r="H3122" i="2"/>
  <c r="G3122" i="2"/>
  <c r="F3122" i="2"/>
  <c r="H3121" i="2"/>
  <c r="G3121" i="2"/>
  <c r="F3121" i="2"/>
  <c r="H3120" i="2"/>
  <c r="G3120" i="2"/>
  <c r="F3120" i="2"/>
  <c r="H3119" i="2"/>
  <c r="G3119" i="2"/>
  <c r="F3119" i="2"/>
  <c r="H3118" i="2"/>
  <c r="G3118" i="2"/>
  <c r="F3118" i="2"/>
  <c r="H3117" i="2"/>
  <c r="G3117" i="2"/>
  <c r="F3117" i="2"/>
  <c r="H3116" i="2"/>
  <c r="G3116" i="2"/>
  <c r="F3116" i="2"/>
  <c r="H3115" i="2"/>
  <c r="G3115" i="2"/>
  <c r="F3115" i="2"/>
  <c r="H3114" i="2"/>
  <c r="G3114" i="2"/>
  <c r="F3114" i="2"/>
  <c r="H3113" i="2"/>
  <c r="G3113" i="2"/>
  <c r="F3113" i="2"/>
  <c r="H3112" i="2"/>
  <c r="G3112" i="2"/>
  <c r="F3112" i="2"/>
  <c r="H3111" i="2"/>
  <c r="G3111" i="2"/>
  <c r="F3111" i="2"/>
  <c r="H3110" i="2"/>
  <c r="G3110" i="2"/>
  <c r="F3110" i="2"/>
  <c r="H3109" i="2"/>
  <c r="G3109" i="2"/>
  <c r="F3109" i="2"/>
  <c r="H3108" i="2"/>
  <c r="G3108" i="2"/>
  <c r="F3108" i="2"/>
  <c r="H3107" i="2"/>
  <c r="G3107" i="2"/>
  <c r="F3107" i="2"/>
  <c r="H3106" i="2"/>
  <c r="G3106" i="2"/>
  <c r="F3106" i="2"/>
  <c r="H3105" i="2"/>
  <c r="G3105" i="2"/>
  <c r="F3105" i="2"/>
  <c r="H3104" i="2"/>
  <c r="G3104" i="2"/>
  <c r="F3104" i="2"/>
  <c r="H3103" i="2"/>
  <c r="G3103" i="2"/>
  <c r="F3103" i="2"/>
  <c r="H3102" i="2"/>
  <c r="G3102" i="2"/>
  <c r="F3102" i="2"/>
  <c r="H3101" i="2"/>
  <c r="G3101" i="2"/>
  <c r="F3101" i="2"/>
  <c r="H3100" i="2"/>
  <c r="G3100" i="2"/>
  <c r="F3100" i="2"/>
  <c r="H3099" i="2"/>
  <c r="G3099" i="2"/>
  <c r="F3099" i="2"/>
  <c r="H3098" i="2"/>
  <c r="G3098" i="2"/>
  <c r="F3098" i="2"/>
  <c r="H3097" i="2"/>
  <c r="G3097" i="2"/>
  <c r="F3097" i="2"/>
  <c r="H3096" i="2"/>
  <c r="G3096" i="2"/>
  <c r="F3096" i="2"/>
  <c r="H3095" i="2"/>
  <c r="G3095" i="2"/>
  <c r="F3095" i="2"/>
  <c r="H3094" i="2"/>
  <c r="G3094" i="2"/>
  <c r="F3094" i="2"/>
  <c r="H3093" i="2"/>
  <c r="G3093" i="2"/>
  <c r="F3093" i="2"/>
  <c r="H3092" i="2"/>
  <c r="G3092" i="2"/>
  <c r="F3092" i="2"/>
  <c r="H3091" i="2"/>
  <c r="G3091" i="2"/>
  <c r="F3091" i="2"/>
  <c r="H3090" i="2"/>
  <c r="G3090" i="2"/>
  <c r="F3090" i="2"/>
  <c r="H3089" i="2"/>
  <c r="G3089" i="2"/>
  <c r="F3089" i="2"/>
  <c r="H3088" i="2"/>
  <c r="G3088" i="2"/>
  <c r="F3088" i="2"/>
  <c r="H3087" i="2"/>
  <c r="G3087" i="2"/>
  <c r="F3087" i="2"/>
  <c r="H3086" i="2"/>
  <c r="G3086" i="2"/>
  <c r="F3086" i="2"/>
  <c r="H3085" i="2"/>
  <c r="G3085" i="2"/>
  <c r="F3085" i="2"/>
  <c r="H3084" i="2"/>
  <c r="G3084" i="2"/>
  <c r="F3084" i="2"/>
  <c r="H3083" i="2"/>
  <c r="G3083" i="2"/>
  <c r="F3083" i="2"/>
  <c r="H3082" i="2"/>
  <c r="G3082" i="2"/>
  <c r="F3082" i="2"/>
  <c r="H3081" i="2"/>
  <c r="G3081" i="2"/>
  <c r="F3081" i="2"/>
  <c r="H3080" i="2"/>
  <c r="G3080" i="2"/>
  <c r="F3080" i="2"/>
  <c r="H3079" i="2"/>
  <c r="G3079" i="2"/>
  <c r="F3079" i="2"/>
  <c r="H3078" i="2"/>
  <c r="G3078" i="2"/>
  <c r="F3078" i="2"/>
  <c r="H3077" i="2"/>
  <c r="G3077" i="2"/>
  <c r="F3077" i="2"/>
  <c r="H3076" i="2"/>
  <c r="G3076" i="2"/>
  <c r="F3076" i="2"/>
  <c r="H3075" i="2"/>
  <c r="G3075" i="2"/>
  <c r="F3075" i="2"/>
  <c r="H3074" i="2"/>
  <c r="G3074" i="2"/>
  <c r="F3074" i="2"/>
  <c r="H3073" i="2"/>
  <c r="G3073" i="2"/>
  <c r="F3073" i="2"/>
  <c r="H3072" i="2"/>
  <c r="G3072" i="2"/>
  <c r="F3072" i="2"/>
  <c r="H3071" i="2"/>
  <c r="G3071" i="2"/>
  <c r="F3071" i="2"/>
  <c r="H3070" i="2"/>
  <c r="G3070" i="2"/>
  <c r="F3070" i="2"/>
  <c r="H3069" i="2"/>
  <c r="G3069" i="2"/>
  <c r="F3069" i="2"/>
  <c r="H3068" i="2"/>
  <c r="G3068" i="2"/>
  <c r="F3068" i="2"/>
  <c r="H3067" i="2"/>
  <c r="G3067" i="2"/>
  <c r="F3067" i="2"/>
  <c r="H3066" i="2"/>
  <c r="G3066" i="2"/>
  <c r="F3066" i="2"/>
  <c r="H3065" i="2"/>
  <c r="G3065" i="2"/>
  <c r="F3065" i="2"/>
  <c r="H3064" i="2"/>
  <c r="G3064" i="2"/>
  <c r="F3064" i="2"/>
  <c r="H3063" i="2"/>
  <c r="G3063" i="2"/>
  <c r="F3063" i="2"/>
  <c r="H3062" i="2"/>
  <c r="G3062" i="2"/>
  <c r="F3062" i="2"/>
  <c r="H3061" i="2"/>
  <c r="G3061" i="2"/>
  <c r="F3061" i="2"/>
  <c r="H3060" i="2"/>
  <c r="G3060" i="2"/>
  <c r="F3060" i="2"/>
  <c r="H3059" i="2"/>
  <c r="G3059" i="2"/>
  <c r="F3059" i="2"/>
  <c r="H3058" i="2"/>
  <c r="G3058" i="2"/>
  <c r="F3058" i="2"/>
  <c r="H3057" i="2"/>
  <c r="G3057" i="2"/>
  <c r="F3057" i="2"/>
  <c r="H3056" i="2"/>
  <c r="G3056" i="2"/>
  <c r="F3056" i="2"/>
  <c r="H3055" i="2"/>
  <c r="G3055" i="2"/>
  <c r="F3055" i="2"/>
  <c r="H3054" i="2"/>
  <c r="G3054" i="2"/>
  <c r="F3054" i="2"/>
  <c r="H3053" i="2"/>
  <c r="G3053" i="2"/>
  <c r="F3053" i="2"/>
  <c r="H3052" i="2"/>
  <c r="G3052" i="2"/>
  <c r="F3052" i="2"/>
  <c r="H3051" i="2"/>
  <c r="G3051" i="2"/>
  <c r="F3051" i="2"/>
  <c r="H3050" i="2"/>
  <c r="G3050" i="2"/>
  <c r="F3050" i="2"/>
  <c r="H3049" i="2"/>
  <c r="G3049" i="2"/>
  <c r="F3049" i="2"/>
  <c r="H3048" i="2"/>
  <c r="G3048" i="2"/>
  <c r="F3048" i="2"/>
  <c r="H3047" i="2"/>
  <c r="G3047" i="2"/>
  <c r="F3047" i="2"/>
  <c r="H3046" i="2"/>
  <c r="G3046" i="2"/>
  <c r="F3046" i="2"/>
  <c r="H3045" i="2"/>
  <c r="G3045" i="2"/>
  <c r="F3045" i="2"/>
  <c r="H3044" i="2"/>
  <c r="G3044" i="2"/>
  <c r="F3044" i="2"/>
  <c r="H3043" i="2"/>
  <c r="G3043" i="2"/>
  <c r="F3043" i="2"/>
  <c r="H3042" i="2"/>
  <c r="G3042" i="2"/>
  <c r="F3042" i="2"/>
  <c r="H3041" i="2"/>
  <c r="G3041" i="2"/>
  <c r="F3041" i="2"/>
  <c r="H3040" i="2"/>
  <c r="G3040" i="2"/>
  <c r="F3040" i="2"/>
  <c r="H3039" i="2"/>
  <c r="G3039" i="2"/>
  <c r="F3039" i="2"/>
  <c r="H3038" i="2"/>
  <c r="G3038" i="2"/>
  <c r="F3038" i="2"/>
  <c r="H3037" i="2"/>
  <c r="G3037" i="2"/>
  <c r="F3037" i="2"/>
  <c r="H3036" i="2"/>
  <c r="G3036" i="2"/>
  <c r="F3036" i="2"/>
  <c r="H3035" i="2"/>
  <c r="G3035" i="2"/>
  <c r="F3035" i="2"/>
  <c r="H3034" i="2"/>
  <c r="G3034" i="2"/>
  <c r="F3034" i="2"/>
  <c r="H3033" i="2"/>
  <c r="G3033" i="2"/>
  <c r="F3033" i="2"/>
  <c r="H3032" i="2"/>
  <c r="G3032" i="2"/>
  <c r="F3032" i="2"/>
  <c r="H3031" i="2"/>
  <c r="G3031" i="2"/>
  <c r="F3031" i="2"/>
  <c r="H3030" i="2"/>
  <c r="G3030" i="2"/>
  <c r="F3030" i="2"/>
  <c r="H3029" i="2"/>
  <c r="G3029" i="2"/>
  <c r="F3029" i="2"/>
  <c r="H3028" i="2"/>
  <c r="G3028" i="2"/>
  <c r="F3028" i="2"/>
  <c r="H3027" i="2"/>
  <c r="G3027" i="2"/>
  <c r="F3027" i="2"/>
  <c r="H3026" i="2"/>
  <c r="G3026" i="2"/>
  <c r="F3026" i="2"/>
  <c r="H3025" i="2"/>
  <c r="G3025" i="2"/>
  <c r="F3025" i="2"/>
  <c r="H3024" i="2"/>
  <c r="G3024" i="2"/>
  <c r="F3024" i="2"/>
  <c r="H3023" i="2"/>
  <c r="G3023" i="2"/>
  <c r="F3023" i="2"/>
  <c r="H3022" i="2"/>
  <c r="G3022" i="2"/>
  <c r="F3022" i="2"/>
  <c r="H3021" i="2"/>
  <c r="G3021" i="2"/>
  <c r="F3021" i="2"/>
  <c r="H3020" i="2"/>
  <c r="G3020" i="2"/>
  <c r="F3020" i="2"/>
  <c r="H3019" i="2"/>
  <c r="G3019" i="2"/>
  <c r="F3019" i="2"/>
  <c r="H3018" i="2"/>
  <c r="G3018" i="2"/>
  <c r="F3018" i="2"/>
  <c r="H3017" i="2"/>
  <c r="G3017" i="2"/>
  <c r="F3017" i="2"/>
  <c r="H3016" i="2"/>
  <c r="G3016" i="2"/>
  <c r="F3016" i="2"/>
  <c r="H3015" i="2"/>
  <c r="G3015" i="2"/>
  <c r="F3015" i="2"/>
  <c r="H3014" i="2"/>
  <c r="G3014" i="2"/>
  <c r="F3014" i="2"/>
  <c r="H3013" i="2"/>
  <c r="G3013" i="2"/>
  <c r="F3013" i="2"/>
  <c r="H3012" i="2"/>
  <c r="G3012" i="2"/>
  <c r="F3012" i="2"/>
  <c r="H3011" i="2"/>
  <c r="G3011" i="2"/>
  <c r="F3011" i="2"/>
  <c r="H3010" i="2"/>
  <c r="G3010" i="2"/>
  <c r="F3010" i="2"/>
  <c r="H3009" i="2"/>
  <c r="G3009" i="2"/>
  <c r="F3009" i="2"/>
  <c r="H3008" i="2"/>
  <c r="G3008" i="2"/>
  <c r="F3008" i="2"/>
  <c r="H3007" i="2"/>
  <c r="G3007" i="2"/>
  <c r="F3007" i="2"/>
  <c r="H3006" i="2"/>
  <c r="G3006" i="2"/>
  <c r="F3006" i="2"/>
  <c r="H3005" i="2"/>
  <c r="G3005" i="2"/>
  <c r="F3005" i="2"/>
  <c r="H3004" i="2"/>
  <c r="G3004" i="2"/>
  <c r="F3004" i="2"/>
  <c r="H3003" i="2"/>
  <c r="G3003" i="2"/>
  <c r="F3003" i="2"/>
  <c r="H3002" i="2"/>
  <c r="G3002" i="2"/>
  <c r="F3002" i="2"/>
  <c r="H3001" i="2"/>
  <c r="G3001" i="2"/>
  <c r="F3001" i="2"/>
  <c r="H3000" i="2"/>
  <c r="G3000" i="2"/>
  <c r="F3000" i="2"/>
  <c r="H2999" i="2"/>
  <c r="G2999" i="2"/>
  <c r="F2999" i="2"/>
  <c r="H2998" i="2"/>
  <c r="G2998" i="2"/>
  <c r="F2998" i="2"/>
  <c r="H2997" i="2"/>
  <c r="G2997" i="2"/>
  <c r="F2997" i="2"/>
  <c r="H2996" i="2"/>
  <c r="G2996" i="2"/>
  <c r="F2996" i="2"/>
  <c r="H2995" i="2"/>
  <c r="G2995" i="2"/>
  <c r="F2995" i="2"/>
  <c r="H2994" i="2"/>
  <c r="G2994" i="2"/>
  <c r="F2994" i="2"/>
  <c r="H2993" i="2"/>
  <c r="G2993" i="2"/>
  <c r="F2993" i="2"/>
  <c r="H2992" i="2"/>
  <c r="G2992" i="2"/>
  <c r="F2992" i="2"/>
  <c r="H2991" i="2"/>
  <c r="G2991" i="2"/>
  <c r="F2991" i="2"/>
  <c r="H2990" i="2"/>
  <c r="G2990" i="2"/>
  <c r="F2990" i="2"/>
  <c r="H2989" i="2"/>
  <c r="G2989" i="2"/>
  <c r="F2989" i="2"/>
  <c r="H2988" i="2"/>
  <c r="G2988" i="2"/>
  <c r="F2988" i="2"/>
  <c r="H2987" i="2"/>
  <c r="G2987" i="2"/>
  <c r="F2987" i="2"/>
  <c r="H2986" i="2"/>
  <c r="G2986" i="2"/>
  <c r="F2986" i="2"/>
  <c r="H2985" i="2"/>
  <c r="G2985" i="2"/>
  <c r="F2985" i="2"/>
  <c r="H2984" i="2"/>
  <c r="G2984" i="2"/>
  <c r="F2984" i="2"/>
  <c r="H2983" i="2"/>
  <c r="G2983" i="2"/>
  <c r="F2983" i="2"/>
  <c r="H2982" i="2"/>
  <c r="G2982" i="2"/>
  <c r="F2982" i="2"/>
  <c r="H2981" i="2"/>
  <c r="G2981" i="2"/>
  <c r="F2981" i="2"/>
  <c r="H2980" i="2"/>
  <c r="G2980" i="2"/>
  <c r="F2980" i="2"/>
  <c r="H2979" i="2"/>
  <c r="G2979" i="2"/>
  <c r="F2979" i="2"/>
  <c r="H2978" i="2"/>
  <c r="G2978" i="2"/>
  <c r="F2978" i="2"/>
  <c r="H2977" i="2"/>
  <c r="G2977" i="2"/>
  <c r="F2977" i="2"/>
  <c r="H2976" i="2"/>
  <c r="G2976" i="2"/>
  <c r="F2976" i="2"/>
  <c r="H2975" i="2"/>
  <c r="G2975" i="2"/>
  <c r="F2975" i="2"/>
  <c r="H2974" i="2"/>
  <c r="G2974" i="2"/>
  <c r="F2974" i="2"/>
  <c r="H2973" i="2"/>
  <c r="G2973" i="2"/>
  <c r="F2973" i="2"/>
  <c r="H2972" i="2"/>
  <c r="G2972" i="2"/>
  <c r="F2972" i="2"/>
  <c r="H2971" i="2"/>
  <c r="G2971" i="2"/>
  <c r="F2971" i="2"/>
  <c r="H2970" i="2"/>
  <c r="G2970" i="2"/>
  <c r="F2970" i="2"/>
  <c r="H2969" i="2"/>
  <c r="G2969" i="2"/>
  <c r="F2969" i="2"/>
  <c r="H2968" i="2"/>
  <c r="G2968" i="2"/>
  <c r="F2968" i="2"/>
  <c r="H2967" i="2"/>
  <c r="G2967" i="2"/>
  <c r="F2967" i="2"/>
  <c r="H2966" i="2"/>
  <c r="G2966" i="2"/>
  <c r="F2966" i="2"/>
  <c r="H2965" i="2"/>
  <c r="G2965" i="2"/>
  <c r="F2965" i="2"/>
  <c r="H2964" i="2"/>
  <c r="G2964" i="2"/>
  <c r="F2964" i="2"/>
  <c r="H2963" i="2"/>
  <c r="G2963" i="2"/>
  <c r="F2963" i="2"/>
  <c r="H2962" i="2"/>
  <c r="G2962" i="2"/>
  <c r="F2962" i="2"/>
  <c r="H2961" i="2"/>
  <c r="G2961" i="2"/>
  <c r="F2961" i="2"/>
  <c r="H2960" i="2"/>
  <c r="G2960" i="2"/>
  <c r="F2960" i="2"/>
  <c r="H2959" i="2"/>
  <c r="G2959" i="2"/>
  <c r="F2959" i="2"/>
  <c r="H2958" i="2"/>
  <c r="G2958" i="2"/>
  <c r="F2958" i="2"/>
  <c r="H2957" i="2"/>
  <c r="G2957" i="2"/>
  <c r="F2957" i="2"/>
  <c r="H2956" i="2"/>
  <c r="G2956" i="2"/>
  <c r="F2956" i="2"/>
  <c r="H2955" i="2"/>
  <c r="G2955" i="2"/>
  <c r="F2955" i="2"/>
  <c r="H2954" i="2"/>
  <c r="G2954" i="2"/>
  <c r="F2954" i="2"/>
  <c r="H2953" i="2"/>
  <c r="G2953" i="2"/>
  <c r="F2953" i="2"/>
  <c r="H2952" i="2"/>
  <c r="G2952" i="2"/>
  <c r="F2952" i="2"/>
  <c r="H2951" i="2"/>
  <c r="G2951" i="2"/>
  <c r="F2951" i="2"/>
  <c r="H2950" i="2"/>
  <c r="G2950" i="2"/>
  <c r="F2950" i="2"/>
  <c r="H2949" i="2"/>
  <c r="G2949" i="2"/>
  <c r="F2949" i="2"/>
  <c r="H2948" i="2"/>
  <c r="G2948" i="2"/>
  <c r="F2948" i="2"/>
  <c r="H2947" i="2"/>
  <c r="G2947" i="2"/>
  <c r="F2947" i="2"/>
  <c r="H2946" i="2"/>
  <c r="G2946" i="2"/>
  <c r="F2946" i="2"/>
  <c r="H2945" i="2"/>
  <c r="G2945" i="2"/>
  <c r="F2945" i="2"/>
  <c r="H2944" i="2"/>
  <c r="G2944" i="2"/>
  <c r="F2944" i="2"/>
  <c r="H2943" i="2"/>
  <c r="G2943" i="2"/>
  <c r="F2943" i="2"/>
  <c r="H2942" i="2"/>
  <c r="G2942" i="2"/>
  <c r="F2942" i="2"/>
  <c r="H2941" i="2"/>
  <c r="G2941" i="2"/>
  <c r="F2941" i="2"/>
  <c r="H2940" i="2"/>
  <c r="G2940" i="2"/>
  <c r="F2940" i="2"/>
  <c r="H2939" i="2"/>
  <c r="G2939" i="2"/>
  <c r="F2939" i="2"/>
  <c r="H2938" i="2"/>
  <c r="G2938" i="2"/>
  <c r="F2938" i="2"/>
  <c r="H2937" i="2"/>
  <c r="G2937" i="2"/>
  <c r="F2937" i="2"/>
  <c r="H2936" i="2"/>
  <c r="G2936" i="2"/>
  <c r="F2936" i="2"/>
  <c r="H2935" i="2"/>
  <c r="G2935" i="2"/>
  <c r="F2935" i="2"/>
  <c r="H2934" i="2"/>
  <c r="G2934" i="2"/>
  <c r="F2934" i="2"/>
  <c r="H2933" i="2"/>
  <c r="G2933" i="2"/>
  <c r="F2933" i="2"/>
  <c r="H2932" i="2"/>
  <c r="G2932" i="2"/>
  <c r="F2932" i="2"/>
  <c r="H2931" i="2"/>
  <c r="G2931" i="2"/>
  <c r="F2931" i="2"/>
  <c r="H2930" i="2"/>
  <c r="G2930" i="2"/>
  <c r="F2930" i="2"/>
  <c r="H2929" i="2"/>
  <c r="G2929" i="2"/>
  <c r="F2929" i="2"/>
  <c r="H2928" i="2"/>
  <c r="G2928" i="2"/>
  <c r="F2928" i="2"/>
  <c r="H2927" i="2"/>
  <c r="G2927" i="2"/>
  <c r="F2927" i="2"/>
  <c r="H2926" i="2"/>
  <c r="G2926" i="2"/>
  <c r="F2926" i="2"/>
  <c r="H2925" i="2"/>
  <c r="G2925" i="2"/>
  <c r="F2925" i="2"/>
  <c r="H2924" i="2"/>
  <c r="G2924" i="2"/>
  <c r="F2924" i="2"/>
  <c r="H2923" i="2"/>
  <c r="G2923" i="2"/>
  <c r="F2923" i="2"/>
  <c r="H2922" i="2"/>
  <c r="G2922" i="2"/>
  <c r="F2922" i="2"/>
  <c r="H2921" i="2"/>
  <c r="G2921" i="2"/>
  <c r="F2921" i="2"/>
  <c r="H2920" i="2"/>
  <c r="G2920" i="2"/>
  <c r="F2920" i="2"/>
  <c r="H2919" i="2"/>
  <c r="G2919" i="2"/>
  <c r="F2919" i="2"/>
  <c r="H2918" i="2"/>
  <c r="G2918" i="2"/>
  <c r="F2918" i="2"/>
  <c r="H2917" i="2"/>
  <c r="G2917" i="2"/>
  <c r="F2917" i="2"/>
  <c r="H2916" i="2"/>
  <c r="G2916" i="2"/>
  <c r="F2916" i="2"/>
  <c r="H2915" i="2"/>
  <c r="G2915" i="2"/>
  <c r="F2915" i="2"/>
  <c r="H2914" i="2"/>
  <c r="G2914" i="2"/>
  <c r="F2914" i="2"/>
  <c r="H2913" i="2"/>
  <c r="G2913" i="2"/>
  <c r="F2913" i="2"/>
  <c r="H2912" i="2"/>
  <c r="G2912" i="2"/>
  <c r="F2912" i="2"/>
  <c r="H2911" i="2"/>
  <c r="G2911" i="2"/>
  <c r="F2911" i="2"/>
  <c r="H2910" i="2"/>
  <c r="G2910" i="2"/>
  <c r="F2910" i="2"/>
  <c r="H2909" i="2"/>
  <c r="G2909" i="2"/>
  <c r="F2909" i="2"/>
  <c r="H2908" i="2"/>
  <c r="G2908" i="2"/>
  <c r="F2908" i="2"/>
  <c r="H2907" i="2"/>
  <c r="G2907" i="2"/>
  <c r="F2907" i="2"/>
  <c r="H2906" i="2"/>
  <c r="G2906" i="2"/>
  <c r="F2906" i="2"/>
  <c r="H2905" i="2"/>
  <c r="G2905" i="2"/>
  <c r="F2905" i="2"/>
  <c r="H2904" i="2"/>
  <c r="G2904" i="2"/>
  <c r="F2904" i="2"/>
  <c r="H2903" i="2"/>
  <c r="G2903" i="2"/>
  <c r="F2903" i="2"/>
  <c r="H2902" i="2"/>
  <c r="G2902" i="2"/>
  <c r="F2902" i="2"/>
  <c r="H2901" i="2"/>
  <c r="G2901" i="2"/>
  <c r="F2901" i="2"/>
  <c r="H2900" i="2"/>
  <c r="G2900" i="2"/>
  <c r="F2900" i="2"/>
  <c r="H2899" i="2"/>
  <c r="G2899" i="2"/>
  <c r="F2899" i="2"/>
  <c r="H2898" i="2"/>
  <c r="G2898" i="2"/>
  <c r="F2898" i="2"/>
  <c r="H2897" i="2"/>
  <c r="G2897" i="2"/>
  <c r="F2897" i="2"/>
  <c r="H2896" i="2"/>
  <c r="G2896" i="2"/>
  <c r="F2896" i="2"/>
  <c r="H2895" i="2"/>
  <c r="G2895" i="2"/>
  <c r="F2895" i="2"/>
  <c r="H2894" i="2"/>
  <c r="G2894" i="2"/>
  <c r="F2894" i="2"/>
  <c r="H2893" i="2"/>
  <c r="G2893" i="2"/>
  <c r="F2893" i="2"/>
  <c r="H2892" i="2"/>
  <c r="G2892" i="2"/>
  <c r="F2892" i="2"/>
  <c r="H2891" i="2"/>
  <c r="G2891" i="2"/>
  <c r="F2891" i="2"/>
  <c r="H2890" i="2"/>
  <c r="G2890" i="2"/>
  <c r="F2890" i="2"/>
  <c r="H2889" i="2"/>
  <c r="G2889" i="2"/>
  <c r="F2889" i="2"/>
  <c r="H2888" i="2"/>
  <c r="G2888" i="2"/>
  <c r="F2888" i="2"/>
  <c r="H2887" i="2"/>
  <c r="G2887" i="2"/>
  <c r="F2887" i="2"/>
  <c r="H2886" i="2"/>
  <c r="G2886" i="2"/>
  <c r="F2886" i="2"/>
  <c r="H2885" i="2"/>
  <c r="G2885" i="2"/>
  <c r="F2885" i="2"/>
  <c r="H2884" i="2"/>
  <c r="G2884" i="2"/>
  <c r="F2884" i="2"/>
  <c r="H2883" i="2"/>
  <c r="G2883" i="2"/>
  <c r="F2883" i="2"/>
  <c r="H2882" i="2"/>
  <c r="G2882" i="2"/>
  <c r="F2882" i="2"/>
  <c r="H2881" i="2"/>
  <c r="G2881" i="2"/>
  <c r="F2881" i="2"/>
  <c r="H2880" i="2"/>
  <c r="G2880" i="2"/>
  <c r="F2880" i="2"/>
  <c r="H2879" i="2"/>
  <c r="G2879" i="2"/>
  <c r="F2879" i="2"/>
  <c r="H2878" i="2"/>
  <c r="G2878" i="2"/>
  <c r="F2878" i="2"/>
  <c r="H2877" i="2"/>
  <c r="G2877" i="2"/>
  <c r="F2877" i="2"/>
  <c r="H2876" i="2"/>
  <c r="G2876" i="2"/>
  <c r="F2876" i="2"/>
  <c r="H2875" i="2"/>
  <c r="G2875" i="2"/>
  <c r="F2875" i="2"/>
  <c r="H2874" i="2"/>
  <c r="G2874" i="2"/>
  <c r="F2874" i="2"/>
  <c r="H2873" i="2"/>
  <c r="G2873" i="2"/>
  <c r="F2873" i="2"/>
  <c r="H2872" i="2"/>
  <c r="G2872" i="2"/>
  <c r="F2872" i="2"/>
  <c r="H2871" i="2"/>
  <c r="G2871" i="2"/>
  <c r="F2871" i="2"/>
  <c r="H2870" i="2"/>
  <c r="G2870" i="2"/>
  <c r="F2870" i="2"/>
  <c r="H2869" i="2"/>
  <c r="G2869" i="2"/>
  <c r="F2869" i="2"/>
  <c r="H2868" i="2"/>
  <c r="G2868" i="2"/>
  <c r="F2868" i="2"/>
  <c r="H2867" i="2"/>
  <c r="G2867" i="2"/>
  <c r="F2867" i="2"/>
  <c r="H2866" i="2"/>
  <c r="G2866" i="2"/>
  <c r="F2866" i="2"/>
  <c r="H2865" i="2"/>
  <c r="G2865" i="2"/>
  <c r="F2865" i="2"/>
  <c r="H2864" i="2"/>
  <c r="G2864" i="2"/>
  <c r="F2864" i="2"/>
  <c r="H2863" i="2"/>
  <c r="G2863" i="2"/>
  <c r="F2863" i="2"/>
  <c r="H2862" i="2"/>
  <c r="G2862" i="2"/>
  <c r="F2862" i="2"/>
  <c r="H2861" i="2"/>
  <c r="G2861" i="2"/>
  <c r="F2861" i="2"/>
  <c r="H2860" i="2"/>
  <c r="G2860" i="2"/>
  <c r="F2860" i="2"/>
  <c r="H2859" i="2"/>
  <c r="G2859" i="2"/>
  <c r="F2859" i="2"/>
  <c r="H2858" i="2"/>
  <c r="G2858" i="2"/>
  <c r="F2858" i="2"/>
  <c r="H2857" i="2"/>
  <c r="G2857" i="2"/>
  <c r="F2857" i="2"/>
  <c r="H2856" i="2"/>
  <c r="G2856" i="2"/>
  <c r="F2856" i="2"/>
  <c r="H2855" i="2"/>
  <c r="G2855" i="2"/>
  <c r="F2855" i="2"/>
  <c r="H2854" i="2"/>
  <c r="G2854" i="2"/>
  <c r="F2854" i="2"/>
  <c r="H2853" i="2"/>
  <c r="G2853" i="2"/>
  <c r="F2853" i="2"/>
  <c r="H2852" i="2"/>
  <c r="G2852" i="2"/>
  <c r="F2852" i="2"/>
  <c r="H2851" i="2"/>
  <c r="G2851" i="2"/>
  <c r="F2851" i="2"/>
  <c r="H2850" i="2"/>
  <c r="G2850" i="2"/>
  <c r="F2850" i="2"/>
  <c r="H2849" i="2"/>
  <c r="G2849" i="2"/>
  <c r="F2849" i="2"/>
  <c r="H2848" i="2"/>
  <c r="G2848" i="2"/>
  <c r="F2848" i="2"/>
  <c r="H2847" i="2"/>
  <c r="G2847" i="2"/>
  <c r="F2847" i="2"/>
  <c r="H2846" i="2"/>
  <c r="G2846" i="2"/>
  <c r="F2846" i="2"/>
  <c r="H2845" i="2"/>
  <c r="G2845" i="2"/>
  <c r="F2845" i="2"/>
  <c r="H2844" i="2"/>
  <c r="G2844" i="2"/>
  <c r="F2844" i="2"/>
  <c r="H2843" i="2"/>
  <c r="G2843" i="2"/>
  <c r="F2843" i="2"/>
  <c r="H2842" i="2"/>
  <c r="G2842" i="2"/>
  <c r="F2842" i="2"/>
  <c r="H2841" i="2"/>
  <c r="G2841" i="2"/>
  <c r="F2841" i="2"/>
  <c r="H2840" i="2"/>
  <c r="G2840" i="2"/>
  <c r="F2840" i="2"/>
  <c r="H2839" i="2"/>
  <c r="G2839" i="2"/>
  <c r="F2839" i="2"/>
  <c r="H2838" i="2"/>
  <c r="G2838" i="2"/>
  <c r="F2838" i="2"/>
  <c r="H2837" i="2"/>
  <c r="G2837" i="2"/>
  <c r="F2837" i="2"/>
  <c r="H2836" i="2"/>
  <c r="G2836" i="2"/>
  <c r="F2836" i="2"/>
  <c r="H2835" i="2"/>
  <c r="G2835" i="2"/>
  <c r="F2835" i="2"/>
  <c r="H2834" i="2"/>
  <c r="G2834" i="2"/>
  <c r="F2834" i="2"/>
  <c r="H2833" i="2"/>
  <c r="G2833" i="2"/>
  <c r="F2833" i="2"/>
  <c r="H2832" i="2"/>
  <c r="G2832" i="2"/>
  <c r="F2832" i="2"/>
  <c r="H2831" i="2"/>
  <c r="G2831" i="2"/>
  <c r="F2831" i="2"/>
  <c r="H2830" i="2"/>
  <c r="G2830" i="2"/>
  <c r="F2830" i="2"/>
  <c r="H2829" i="2"/>
  <c r="G2829" i="2"/>
  <c r="F2829" i="2"/>
  <c r="H2828" i="2"/>
  <c r="G2828" i="2"/>
  <c r="F2828" i="2"/>
  <c r="H2827" i="2"/>
  <c r="G2827" i="2"/>
  <c r="F2827" i="2"/>
  <c r="H2826" i="2"/>
  <c r="G2826" i="2"/>
  <c r="F2826" i="2"/>
  <c r="H2825" i="2"/>
  <c r="G2825" i="2"/>
  <c r="F2825" i="2"/>
  <c r="H2824" i="2"/>
  <c r="G2824" i="2"/>
  <c r="F2824" i="2"/>
  <c r="H2823" i="2"/>
  <c r="G2823" i="2"/>
  <c r="F2823" i="2"/>
  <c r="H2822" i="2"/>
  <c r="G2822" i="2"/>
  <c r="F2822" i="2"/>
  <c r="H2821" i="2"/>
  <c r="G2821" i="2"/>
  <c r="F2821" i="2"/>
  <c r="H2820" i="2"/>
  <c r="G2820" i="2"/>
  <c r="F2820" i="2"/>
  <c r="H2819" i="2"/>
  <c r="G2819" i="2"/>
  <c r="F2819" i="2"/>
  <c r="H2818" i="2"/>
  <c r="G2818" i="2"/>
  <c r="F2818" i="2"/>
  <c r="H2817" i="2"/>
  <c r="G2817" i="2"/>
  <c r="F2817" i="2"/>
  <c r="H2816" i="2"/>
  <c r="G2816" i="2"/>
  <c r="F2816" i="2"/>
  <c r="H2815" i="2"/>
  <c r="G2815" i="2"/>
  <c r="F2815" i="2"/>
  <c r="H2814" i="2"/>
  <c r="G2814" i="2"/>
  <c r="F2814" i="2"/>
  <c r="H2813" i="2"/>
  <c r="G2813" i="2"/>
  <c r="F2813" i="2"/>
  <c r="H2812" i="2"/>
  <c r="G2812" i="2"/>
  <c r="F2812" i="2"/>
  <c r="H2811" i="2"/>
  <c r="G2811" i="2"/>
  <c r="F2811" i="2"/>
  <c r="H2810" i="2"/>
  <c r="G2810" i="2"/>
  <c r="F2810" i="2"/>
  <c r="H2809" i="2"/>
  <c r="G2809" i="2"/>
  <c r="F2809" i="2"/>
  <c r="H2808" i="2"/>
  <c r="G2808" i="2"/>
  <c r="F2808" i="2"/>
  <c r="H2807" i="2"/>
  <c r="G2807" i="2"/>
  <c r="F2807" i="2"/>
  <c r="H2806" i="2"/>
  <c r="G2806" i="2"/>
  <c r="F2806" i="2"/>
  <c r="H2805" i="2"/>
  <c r="G2805" i="2"/>
  <c r="F2805" i="2"/>
  <c r="H2804" i="2"/>
  <c r="G2804" i="2"/>
  <c r="F2804" i="2"/>
  <c r="H2803" i="2"/>
  <c r="G2803" i="2"/>
  <c r="F2803" i="2"/>
  <c r="H2802" i="2"/>
  <c r="G2802" i="2"/>
  <c r="F2802" i="2"/>
  <c r="H2801" i="2"/>
  <c r="G2801" i="2"/>
  <c r="F2801" i="2"/>
  <c r="H2800" i="2"/>
  <c r="G2800" i="2"/>
  <c r="F2800" i="2"/>
  <c r="H2799" i="2"/>
  <c r="G2799" i="2"/>
  <c r="F2799" i="2"/>
  <c r="H2798" i="2"/>
  <c r="G2798" i="2"/>
  <c r="F2798" i="2"/>
  <c r="H2797" i="2"/>
  <c r="G2797" i="2"/>
  <c r="F2797" i="2"/>
  <c r="H2796" i="2"/>
  <c r="G2796" i="2"/>
  <c r="F2796" i="2"/>
  <c r="H2795" i="2"/>
  <c r="G2795" i="2"/>
  <c r="F2795" i="2"/>
  <c r="H2794" i="2"/>
  <c r="G2794" i="2"/>
  <c r="F2794" i="2"/>
  <c r="H2793" i="2"/>
  <c r="G2793" i="2"/>
  <c r="F2793" i="2"/>
  <c r="H2792" i="2"/>
  <c r="G2792" i="2"/>
  <c r="F2792" i="2"/>
  <c r="H2791" i="2"/>
  <c r="G2791" i="2"/>
  <c r="F2791" i="2"/>
  <c r="H2790" i="2"/>
  <c r="G2790" i="2"/>
  <c r="F2790" i="2"/>
  <c r="H2789" i="2"/>
  <c r="G2789" i="2"/>
  <c r="F2789" i="2"/>
  <c r="H2788" i="2"/>
  <c r="G2788" i="2"/>
  <c r="F2788" i="2"/>
  <c r="H2787" i="2"/>
  <c r="G2787" i="2"/>
  <c r="F2787" i="2"/>
  <c r="H2786" i="2"/>
  <c r="G2786" i="2"/>
  <c r="F2786" i="2"/>
  <c r="H2785" i="2"/>
  <c r="G2785" i="2"/>
  <c r="F2785" i="2"/>
  <c r="H2784" i="2"/>
  <c r="G2784" i="2"/>
  <c r="F2784" i="2"/>
  <c r="H2783" i="2"/>
  <c r="G2783" i="2"/>
  <c r="F2783" i="2"/>
  <c r="H2782" i="2"/>
  <c r="G2782" i="2"/>
  <c r="F2782" i="2"/>
  <c r="H2781" i="2"/>
  <c r="G2781" i="2"/>
  <c r="F2781" i="2"/>
  <c r="H2780" i="2"/>
  <c r="G2780" i="2"/>
  <c r="F2780" i="2"/>
  <c r="H2779" i="2"/>
  <c r="G2779" i="2"/>
  <c r="F2779" i="2"/>
  <c r="H2778" i="2"/>
  <c r="G2778" i="2"/>
  <c r="F2778" i="2"/>
  <c r="H2777" i="2"/>
  <c r="G2777" i="2"/>
  <c r="F2777" i="2"/>
  <c r="H2776" i="2"/>
  <c r="G2776" i="2"/>
  <c r="F2776" i="2"/>
  <c r="H2775" i="2"/>
  <c r="G2775" i="2"/>
  <c r="F2775" i="2"/>
  <c r="H2774" i="2"/>
  <c r="G2774" i="2"/>
  <c r="F2774" i="2"/>
  <c r="H2773" i="2"/>
  <c r="G2773" i="2"/>
  <c r="F2773" i="2"/>
  <c r="H2772" i="2"/>
  <c r="G2772" i="2"/>
  <c r="F2772" i="2"/>
  <c r="H2771" i="2"/>
  <c r="G2771" i="2"/>
  <c r="F2771" i="2"/>
  <c r="H2770" i="2"/>
  <c r="G2770" i="2"/>
  <c r="F2770" i="2"/>
  <c r="H2769" i="2"/>
  <c r="G2769" i="2"/>
  <c r="F2769" i="2"/>
  <c r="H2768" i="2"/>
  <c r="G2768" i="2"/>
  <c r="F2768" i="2"/>
  <c r="H2767" i="2"/>
  <c r="G2767" i="2"/>
  <c r="F2767" i="2"/>
  <c r="H2766" i="2"/>
  <c r="G2766" i="2"/>
  <c r="F2766" i="2"/>
  <c r="H2765" i="2"/>
  <c r="G2765" i="2"/>
  <c r="F2765" i="2"/>
  <c r="H2764" i="2"/>
  <c r="G2764" i="2"/>
  <c r="F2764" i="2"/>
  <c r="H2763" i="2"/>
  <c r="G2763" i="2"/>
  <c r="F2763" i="2"/>
  <c r="H2762" i="2"/>
  <c r="G2762" i="2"/>
  <c r="F2762" i="2"/>
  <c r="H2761" i="2"/>
  <c r="G2761" i="2"/>
  <c r="F2761" i="2"/>
  <c r="H2760" i="2"/>
  <c r="G2760" i="2"/>
  <c r="F2760" i="2"/>
  <c r="H2759" i="2"/>
  <c r="G2759" i="2"/>
  <c r="F2759" i="2"/>
  <c r="H2758" i="2"/>
  <c r="G2758" i="2"/>
  <c r="F2758" i="2"/>
  <c r="H2757" i="2"/>
  <c r="G2757" i="2"/>
  <c r="F2757" i="2"/>
  <c r="H2756" i="2"/>
  <c r="G2756" i="2"/>
  <c r="F2756" i="2"/>
  <c r="H2755" i="2"/>
  <c r="G2755" i="2"/>
  <c r="F2755" i="2"/>
  <c r="H2754" i="2"/>
  <c r="G2754" i="2"/>
  <c r="F2754" i="2"/>
  <c r="H2753" i="2"/>
  <c r="G2753" i="2"/>
  <c r="F2753" i="2"/>
  <c r="H2752" i="2"/>
  <c r="G2752" i="2"/>
  <c r="F2752" i="2"/>
  <c r="H2751" i="2"/>
  <c r="G2751" i="2"/>
  <c r="F2751" i="2"/>
  <c r="H2750" i="2"/>
  <c r="G2750" i="2"/>
  <c r="F2750" i="2"/>
  <c r="H2749" i="2"/>
  <c r="G2749" i="2"/>
  <c r="F2749" i="2"/>
  <c r="H2748" i="2"/>
  <c r="G2748" i="2"/>
  <c r="F2748" i="2"/>
  <c r="H2747" i="2"/>
  <c r="G2747" i="2"/>
  <c r="F2747" i="2"/>
  <c r="H2746" i="2"/>
  <c r="G2746" i="2"/>
  <c r="F2746" i="2"/>
  <c r="H2745" i="2"/>
  <c r="G2745" i="2"/>
  <c r="F2745" i="2"/>
  <c r="H2744" i="2"/>
  <c r="G2744" i="2"/>
  <c r="F2744" i="2"/>
  <c r="H2743" i="2"/>
  <c r="G2743" i="2"/>
  <c r="F2743" i="2"/>
  <c r="H2742" i="2"/>
  <c r="G2742" i="2"/>
  <c r="F2742" i="2"/>
  <c r="H2741" i="2"/>
  <c r="G2741" i="2"/>
  <c r="F2741" i="2"/>
  <c r="H2740" i="2"/>
  <c r="G2740" i="2"/>
  <c r="F2740" i="2"/>
  <c r="H2739" i="2"/>
  <c r="G2739" i="2"/>
  <c r="F2739" i="2"/>
  <c r="H2738" i="2"/>
  <c r="G2738" i="2"/>
  <c r="F2738" i="2"/>
  <c r="H2737" i="2"/>
  <c r="G2737" i="2"/>
  <c r="F2737" i="2"/>
  <c r="H2736" i="2"/>
  <c r="G2736" i="2"/>
  <c r="F2736" i="2"/>
  <c r="H2735" i="2"/>
  <c r="G2735" i="2"/>
  <c r="F2735" i="2"/>
  <c r="H2734" i="2"/>
  <c r="G2734" i="2"/>
  <c r="F2734" i="2"/>
  <c r="H2733" i="2"/>
  <c r="G2733" i="2"/>
  <c r="F2733" i="2"/>
  <c r="H2732" i="2"/>
  <c r="G2732" i="2"/>
  <c r="F2732" i="2"/>
  <c r="H2731" i="2"/>
  <c r="G2731" i="2"/>
  <c r="F2731" i="2"/>
  <c r="H2730" i="2"/>
  <c r="G2730" i="2"/>
  <c r="F2730" i="2"/>
  <c r="H2729" i="2"/>
  <c r="G2729" i="2"/>
  <c r="F2729" i="2"/>
  <c r="H2728" i="2"/>
  <c r="G2728" i="2"/>
  <c r="F2728" i="2"/>
  <c r="H2727" i="2"/>
  <c r="G2727" i="2"/>
  <c r="F2727" i="2"/>
  <c r="H2726" i="2"/>
  <c r="G2726" i="2"/>
  <c r="F2726" i="2"/>
  <c r="H2725" i="2"/>
  <c r="G2725" i="2"/>
  <c r="F2725" i="2"/>
  <c r="H2724" i="2"/>
  <c r="G2724" i="2"/>
  <c r="F2724" i="2"/>
  <c r="H2723" i="2"/>
  <c r="G2723" i="2"/>
  <c r="F2723" i="2"/>
  <c r="H2722" i="2"/>
  <c r="G2722" i="2"/>
  <c r="F2722" i="2"/>
  <c r="H2721" i="2"/>
  <c r="G2721" i="2"/>
  <c r="F2721" i="2"/>
  <c r="H2720" i="2"/>
  <c r="G2720" i="2"/>
  <c r="F2720" i="2"/>
  <c r="H2719" i="2"/>
  <c r="G2719" i="2"/>
  <c r="F2719" i="2"/>
  <c r="H2718" i="2"/>
  <c r="G2718" i="2"/>
  <c r="F2718" i="2"/>
  <c r="H2717" i="2"/>
  <c r="G2717" i="2"/>
  <c r="F2717" i="2"/>
  <c r="H2716" i="2"/>
  <c r="G2716" i="2"/>
  <c r="F2716" i="2"/>
  <c r="H2715" i="2"/>
  <c r="G2715" i="2"/>
  <c r="F2715" i="2"/>
  <c r="H2714" i="2"/>
  <c r="G2714" i="2"/>
  <c r="F2714" i="2"/>
  <c r="H2713" i="2"/>
  <c r="G2713" i="2"/>
  <c r="F2713" i="2"/>
  <c r="H2712" i="2"/>
  <c r="G2712" i="2"/>
  <c r="F2712" i="2"/>
  <c r="H2711" i="2"/>
  <c r="G2711" i="2"/>
  <c r="F2711" i="2"/>
  <c r="H2710" i="2"/>
  <c r="G2710" i="2"/>
  <c r="F2710" i="2"/>
  <c r="H2709" i="2"/>
  <c r="G2709" i="2"/>
  <c r="F2709" i="2"/>
  <c r="H2708" i="2"/>
  <c r="G2708" i="2"/>
  <c r="F2708" i="2"/>
  <c r="H2707" i="2"/>
  <c r="G2707" i="2"/>
  <c r="F2707" i="2"/>
  <c r="H2706" i="2"/>
  <c r="G2706" i="2"/>
  <c r="F2706" i="2"/>
  <c r="H2705" i="2"/>
  <c r="G2705" i="2"/>
  <c r="F2705" i="2"/>
  <c r="H2704" i="2"/>
  <c r="G2704" i="2"/>
  <c r="F2704" i="2"/>
  <c r="H2703" i="2"/>
  <c r="G2703" i="2"/>
  <c r="F2703" i="2"/>
  <c r="H2702" i="2"/>
  <c r="G2702" i="2"/>
  <c r="F2702" i="2"/>
  <c r="H2701" i="2"/>
  <c r="G2701" i="2"/>
  <c r="F2701" i="2"/>
  <c r="H2700" i="2"/>
  <c r="G2700" i="2"/>
  <c r="F2700" i="2"/>
  <c r="H2699" i="2"/>
  <c r="G2699" i="2"/>
  <c r="F2699" i="2"/>
  <c r="H2698" i="2"/>
  <c r="G2698" i="2"/>
  <c r="F2698" i="2"/>
  <c r="H2697" i="2"/>
  <c r="G2697" i="2"/>
  <c r="F2697" i="2"/>
  <c r="H2696" i="2"/>
  <c r="G2696" i="2"/>
  <c r="F2696" i="2"/>
  <c r="H2695" i="2"/>
  <c r="G2695" i="2"/>
  <c r="F2695" i="2"/>
  <c r="H2694" i="2"/>
  <c r="G2694" i="2"/>
  <c r="F2694" i="2"/>
  <c r="H2693" i="2"/>
  <c r="G2693" i="2"/>
  <c r="F2693" i="2"/>
  <c r="H2692" i="2"/>
  <c r="G2692" i="2"/>
  <c r="F2692" i="2"/>
  <c r="H2691" i="2"/>
  <c r="G2691" i="2"/>
  <c r="F2691" i="2"/>
  <c r="H2690" i="2"/>
  <c r="G2690" i="2"/>
  <c r="F2690" i="2"/>
  <c r="H2689" i="2"/>
  <c r="G2689" i="2"/>
  <c r="F2689" i="2"/>
  <c r="H2688" i="2"/>
  <c r="G2688" i="2"/>
  <c r="F2688" i="2"/>
  <c r="H2687" i="2"/>
  <c r="G2687" i="2"/>
  <c r="F2687" i="2"/>
  <c r="H2686" i="2"/>
  <c r="G2686" i="2"/>
  <c r="F2686" i="2"/>
  <c r="H2685" i="2"/>
  <c r="G2685" i="2"/>
  <c r="F2685" i="2"/>
  <c r="H2684" i="2"/>
  <c r="G2684" i="2"/>
  <c r="F2684" i="2"/>
  <c r="H2683" i="2"/>
  <c r="G2683" i="2"/>
  <c r="F2683" i="2"/>
  <c r="H2682" i="2"/>
  <c r="G2682" i="2"/>
  <c r="F2682" i="2"/>
  <c r="H2681" i="2"/>
  <c r="G2681" i="2"/>
  <c r="F2681" i="2"/>
  <c r="H2680" i="2"/>
  <c r="G2680" i="2"/>
  <c r="F2680" i="2"/>
  <c r="H2679" i="2"/>
  <c r="G2679" i="2"/>
  <c r="F2679" i="2"/>
  <c r="H2678" i="2"/>
  <c r="G2678" i="2"/>
  <c r="F2678" i="2"/>
  <c r="H2677" i="2"/>
  <c r="G2677" i="2"/>
  <c r="F2677" i="2"/>
  <c r="H2676" i="2"/>
  <c r="G2676" i="2"/>
  <c r="F2676" i="2"/>
  <c r="H2675" i="2"/>
  <c r="G2675" i="2"/>
  <c r="F2675" i="2"/>
  <c r="H2674" i="2"/>
  <c r="G2674" i="2"/>
  <c r="F2674" i="2"/>
  <c r="H2673" i="2"/>
  <c r="G2673" i="2"/>
  <c r="F2673" i="2"/>
  <c r="H2672" i="2"/>
  <c r="G2672" i="2"/>
  <c r="F2672" i="2"/>
  <c r="H2671" i="2"/>
  <c r="G2671" i="2"/>
  <c r="F2671" i="2"/>
  <c r="H2670" i="2"/>
  <c r="G2670" i="2"/>
  <c r="F2670" i="2"/>
  <c r="H2669" i="2"/>
  <c r="G2669" i="2"/>
  <c r="F2669" i="2"/>
  <c r="H2668" i="2"/>
  <c r="G2668" i="2"/>
  <c r="F2668" i="2"/>
  <c r="H2667" i="2"/>
  <c r="G2667" i="2"/>
  <c r="F2667" i="2"/>
  <c r="H2666" i="2"/>
  <c r="G2666" i="2"/>
  <c r="F2666" i="2"/>
  <c r="H2665" i="2"/>
  <c r="G2665" i="2"/>
  <c r="F2665" i="2"/>
  <c r="H2664" i="2"/>
  <c r="G2664" i="2"/>
  <c r="F2664" i="2"/>
  <c r="H2663" i="2"/>
  <c r="G2663" i="2"/>
  <c r="F2663" i="2"/>
  <c r="H2662" i="2"/>
  <c r="G2662" i="2"/>
  <c r="F2662" i="2"/>
  <c r="H2661" i="2"/>
  <c r="G2661" i="2"/>
  <c r="F2661" i="2"/>
  <c r="H2660" i="2"/>
  <c r="G2660" i="2"/>
  <c r="F2660" i="2"/>
  <c r="H2659" i="2"/>
  <c r="G2659" i="2"/>
  <c r="F2659" i="2"/>
  <c r="H2658" i="2"/>
  <c r="G2658" i="2"/>
  <c r="F2658" i="2"/>
  <c r="H2657" i="2"/>
  <c r="G2657" i="2"/>
  <c r="F2657" i="2"/>
  <c r="H2656" i="2"/>
  <c r="G2656" i="2"/>
  <c r="F2656" i="2"/>
  <c r="H2655" i="2"/>
  <c r="G2655" i="2"/>
  <c r="F2655" i="2"/>
  <c r="H2654" i="2"/>
  <c r="G2654" i="2"/>
  <c r="F2654" i="2"/>
  <c r="H2653" i="2"/>
  <c r="G2653" i="2"/>
  <c r="F2653" i="2"/>
  <c r="H2652" i="2"/>
  <c r="G2652" i="2"/>
  <c r="F2652" i="2"/>
  <c r="H2651" i="2"/>
  <c r="G2651" i="2"/>
  <c r="F2651" i="2"/>
  <c r="H2650" i="2"/>
  <c r="G2650" i="2"/>
  <c r="F2650" i="2"/>
  <c r="H2649" i="2"/>
  <c r="G2649" i="2"/>
  <c r="F2649" i="2"/>
  <c r="H2648" i="2"/>
  <c r="G2648" i="2"/>
  <c r="F2648" i="2"/>
  <c r="H2647" i="2"/>
  <c r="G2647" i="2"/>
  <c r="F2647" i="2"/>
  <c r="H2646" i="2"/>
  <c r="G2646" i="2"/>
  <c r="F2646" i="2"/>
  <c r="H2645" i="2"/>
  <c r="G2645" i="2"/>
  <c r="F2645" i="2"/>
  <c r="H2644" i="2"/>
  <c r="G2644" i="2"/>
  <c r="F2644" i="2"/>
  <c r="H2643" i="2"/>
  <c r="G2643" i="2"/>
  <c r="F2643" i="2"/>
  <c r="H2642" i="2"/>
  <c r="G2642" i="2"/>
  <c r="F2642" i="2"/>
  <c r="H2641" i="2"/>
  <c r="G2641" i="2"/>
  <c r="F2641" i="2"/>
  <c r="H2640" i="2"/>
  <c r="G2640" i="2"/>
  <c r="F2640" i="2"/>
  <c r="H2639" i="2"/>
  <c r="G2639" i="2"/>
  <c r="F2639" i="2"/>
  <c r="H2638" i="2"/>
  <c r="G2638" i="2"/>
  <c r="F2638" i="2"/>
  <c r="H2637" i="2"/>
  <c r="G2637" i="2"/>
  <c r="F2637" i="2"/>
  <c r="H2636" i="2"/>
  <c r="G2636" i="2"/>
  <c r="F2636" i="2"/>
  <c r="H2635" i="2"/>
  <c r="G2635" i="2"/>
  <c r="F2635" i="2"/>
  <c r="H2634" i="2"/>
  <c r="G2634" i="2"/>
  <c r="F2634" i="2"/>
  <c r="H2633" i="2"/>
  <c r="G2633" i="2"/>
  <c r="F2633" i="2"/>
  <c r="H2632" i="2"/>
  <c r="G2632" i="2"/>
  <c r="F2632" i="2"/>
  <c r="H2631" i="2"/>
  <c r="G2631" i="2"/>
  <c r="F2631" i="2"/>
  <c r="H2630" i="2"/>
  <c r="G2630" i="2"/>
  <c r="F2630" i="2"/>
  <c r="H2629" i="2"/>
  <c r="G2629" i="2"/>
  <c r="F2629" i="2"/>
  <c r="H2628" i="2"/>
  <c r="G2628" i="2"/>
  <c r="F2628" i="2"/>
  <c r="H2627" i="2"/>
  <c r="G2627" i="2"/>
  <c r="F2627" i="2"/>
  <c r="H2626" i="2"/>
  <c r="G2626" i="2"/>
  <c r="F2626" i="2"/>
  <c r="H2625" i="2"/>
  <c r="G2625" i="2"/>
  <c r="F2625" i="2"/>
  <c r="H2624" i="2"/>
  <c r="G2624" i="2"/>
  <c r="F2624" i="2"/>
  <c r="H2623" i="2"/>
  <c r="G2623" i="2"/>
  <c r="F2623" i="2"/>
  <c r="H2622" i="2"/>
  <c r="G2622" i="2"/>
  <c r="F2622" i="2"/>
  <c r="H2621" i="2"/>
  <c r="G2621" i="2"/>
  <c r="F2621" i="2"/>
  <c r="H2620" i="2"/>
  <c r="G2620" i="2"/>
  <c r="F2620" i="2"/>
  <c r="H2619" i="2"/>
  <c r="G2619" i="2"/>
  <c r="F2619" i="2"/>
  <c r="H2618" i="2"/>
  <c r="G2618" i="2"/>
  <c r="F2618" i="2"/>
  <c r="H2617" i="2"/>
  <c r="G2617" i="2"/>
  <c r="F2617" i="2"/>
  <c r="H2616" i="2"/>
  <c r="G2616" i="2"/>
  <c r="F2616" i="2"/>
  <c r="H2615" i="2"/>
  <c r="G2615" i="2"/>
  <c r="F2615" i="2"/>
  <c r="H2614" i="2"/>
  <c r="G2614" i="2"/>
  <c r="F2614" i="2"/>
  <c r="H2613" i="2"/>
  <c r="G2613" i="2"/>
  <c r="F2613" i="2"/>
  <c r="H2612" i="2"/>
  <c r="G2612" i="2"/>
  <c r="F2612" i="2"/>
  <c r="H2611" i="2"/>
  <c r="G2611" i="2"/>
  <c r="F2611" i="2"/>
  <c r="H2610" i="2"/>
  <c r="G2610" i="2"/>
  <c r="F2610" i="2"/>
  <c r="H2609" i="2"/>
  <c r="G2609" i="2"/>
  <c r="F2609" i="2"/>
  <c r="H2608" i="2"/>
  <c r="G2608" i="2"/>
  <c r="F2608" i="2"/>
  <c r="H2607" i="2"/>
  <c r="G2607" i="2"/>
  <c r="F2607" i="2"/>
  <c r="H2606" i="2"/>
  <c r="G2606" i="2"/>
  <c r="F2606" i="2"/>
  <c r="H2605" i="2"/>
  <c r="G2605" i="2"/>
  <c r="F2605" i="2"/>
  <c r="H2604" i="2"/>
  <c r="G2604" i="2"/>
  <c r="F2604" i="2"/>
  <c r="H2603" i="2"/>
  <c r="G2603" i="2"/>
  <c r="F2603" i="2"/>
  <c r="H2602" i="2"/>
  <c r="G2602" i="2"/>
  <c r="F2602" i="2"/>
  <c r="H2601" i="2"/>
  <c r="G2601" i="2"/>
  <c r="F2601" i="2"/>
  <c r="H2600" i="2"/>
  <c r="G2600" i="2"/>
  <c r="F2600" i="2"/>
  <c r="H2599" i="2"/>
  <c r="G2599" i="2"/>
  <c r="F2599" i="2"/>
  <c r="H2598" i="2"/>
  <c r="G2598" i="2"/>
  <c r="F2598" i="2"/>
  <c r="H2597" i="2"/>
  <c r="G2597" i="2"/>
  <c r="F2597" i="2"/>
  <c r="H2596" i="2"/>
  <c r="G2596" i="2"/>
  <c r="F2596" i="2"/>
  <c r="H2595" i="2"/>
  <c r="G2595" i="2"/>
  <c r="F2595" i="2"/>
  <c r="H2594" i="2"/>
  <c r="G2594" i="2"/>
  <c r="F2594" i="2"/>
  <c r="H2593" i="2"/>
  <c r="G2593" i="2"/>
  <c r="F2593" i="2"/>
  <c r="H2592" i="2"/>
  <c r="G2592" i="2"/>
  <c r="F2592" i="2"/>
  <c r="H2591" i="2"/>
  <c r="G2591" i="2"/>
  <c r="F2591" i="2"/>
  <c r="H2590" i="2"/>
  <c r="G2590" i="2"/>
  <c r="F2590" i="2"/>
  <c r="H2589" i="2"/>
  <c r="G2589" i="2"/>
  <c r="F2589" i="2"/>
  <c r="H2588" i="2"/>
  <c r="G2588" i="2"/>
  <c r="F2588" i="2"/>
  <c r="H2587" i="2"/>
  <c r="G2587" i="2"/>
  <c r="F2587" i="2"/>
  <c r="H2586" i="2"/>
  <c r="G2586" i="2"/>
  <c r="F2586" i="2"/>
  <c r="H2585" i="2"/>
  <c r="G2585" i="2"/>
  <c r="F2585" i="2"/>
  <c r="H2584" i="2"/>
  <c r="G2584" i="2"/>
  <c r="F2584" i="2"/>
  <c r="H2583" i="2"/>
  <c r="G2583" i="2"/>
  <c r="F2583" i="2"/>
  <c r="H2582" i="2"/>
  <c r="G2582" i="2"/>
  <c r="F2582" i="2"/>
  <c r="H2581" i="2"/>
  <c r="G2581" i="2"/>
  <c r="F2581" i="2"/>
  <c r="H2580" i="2"/>
  <c r="G2580" i="2"/>
  <c r="F2580" i="2"/>
  <c r="H2579" i="2"/>
  <c r="G2579" i="2"/>
  <c r="F2579" i="2"/>
  <c r="H2578" i="2"/>
  <c r="G2578" i="2"/>
  <c r="F2578" i="2"/>
  <c r="H2577" i="2"/>
  <c r="G2577" i="2"/>
  <c r="F2577" i="2"/>
  <c r="H2576" i="2"/>
  <c r="G2576" i="2"/>
  <c r="F2576" i="2"/>
  <c r="H2575" i="2"/>
  <c r="G2575" i="2"/>
  <c r="F2575" i="2"/>
  <c r="H2574" i="2"/>
  <c r="G2574" i="2"/>
  <c r="F2574" i="2"/>
  <c r="H2573" i="2"/>
  <c r="G2573" i="2"/>
  <c r="F2573" i="2"/>
  <c r="H2572" i="2"/>
  <c r="G2572" i="2"/>
  <c r="F2572" i="2"/>
  <c r="H2571" i="2"/>
  <c r="G2571" i="2"/>
  <c r="F2571" i="2"/>
  <c r="H2570" i="2"/>
  <c r="G2570" i="2"/>
  <c r="F2570" i="2"/>
  <c r="H2569" i="2"/>
  <c r="G2569" i="2"/>
  <c r="F2569" i="2"/>
  <c r="H2568" i="2"/>
  <c r="G2568" i="2"/>
  <c r="F2568" i="2"/>
  <c r="H2567" i="2"/>
  <c r="G2567" i="2"/>
  <c r="F2567" i="2"/>
  <c r="H2566" i="2"/>
  <c r="G2566" i="2"/>
  <c r="F2566" i="2"/>
  <c r="H2565" i="2"/>
  <c r="G2565" i="2"/>
  <c r="F2565" i="2"/>
  <c r="H2564" i="2"/>
  <c r="G2564" i="2"/>
  <c r="F2564" i="2"/>
  <c r="H2563" i="2"/>
  <c r="G2563" i="2"/>
  <c r="F2563" i="2"/>
  <c r="H2562" i="2"/>
  <c r="G2562" i="2"/>
  <c r="F2562" i="2"/>
  <c r="H2561" i="2"/>
  <c r="G2561" i="2"/>
  <c r="F2561" i="2"/>
  <c r="H2560" i="2"/>
  <c r="G2560" i="2"/>
  <c r="F2560" i="2"/>
  <c r="H2559" i="2"/>
  <c r="G2559" i="2"/>
  <c r="F2559" i="2"/>
  <c r="H2558" i="2"/>
  <c r="G2558" i="2"/>
  <c r="F2558" i="2"/>
  <c r="H2557" i="2"/>
  <c r="G2557" i="2"/>
  <c r="F2557" i="2"/>
  <c r="H2556" i="2"/>
  <c r="G2556" i="2"/>
  <c r="F2556" i="2"/>
  <c r="H2555" i="2"/>
  <c r="G2555" i="2"/>
  <c r="F2555" i="2"/>
  <c r="H2554" i="2"/>
  <c r="G2554" i="2"/>
  <c r="F2554" i="2"/>
  <c r="H2553" i="2"/>
  <c r="G2553" i="2"/>
  <c r="F2553" i="2"/>
  <c r="H2552" i="2"/>
  <c r="G2552" i="2"/>
  <c r="F2552" i="2"/>
  <c r="H2551" i="2"/>
  <c r="G2551" i="2"/>
  <c r="F2551" i="2"/>
  <c r="H2550" i="2"/>
  <c r="G2550" i="2"/>
  <c r="F2550" i="2"/>
  <c r="H2549" i="2"/>
  <c r="G2549" i="2"/>
  <c r="F2549" i="2"/>
  <c r="H2548" i="2"/>
  <c r="G2548" i="2"/>
  <c r="F2548" i="2"/>
  <c r="H2547" i="2"/>
  <c r="G2547" i="2"/>
  <c r="F2547" i="2"/>
  <c r="H2546" i="2"/>
  <c r="G2546" i="2"/>
  <c r="F2546" i="2"/>
  <c r="H2545" i="2"/>
  <c r="G2545" i="2"/>
  <c r="F2545" i="2"/>
  <c r="H2544" i="2"/>
  <c r="G2544" i="2"/>
  <c r="F2544" i="2"/>
  <c r="H2543" i="2"/>
  <c r="G2543" i="2"/>
  <c r="F2543" i="2"/>
  <c r="H2542" i="2"/>
  <c r="G2542" i="2"/>
  <c r="F2542" i="2"/>
  <c r="H2541" i="2"/>
  <c r="G2541" i="2"/>
  <c r="F2541" i="2"/>
  <c r="H2540" i="2"/>
  <c r="G2540" i="2"/>
  <c r="F2540" i="2"/>
  <c r="H2539" i="2"/>
  <c r="G2539" i="2"/>
  <c r="F2539" i="2"/>
  <c r="H2538" i="2"/>
  <c r="G2538" i="2"/>
  <c r="F2538" i="2"/>
  <c r="H2537" i="2"/>
  <c r="G2537" i="2"/>
  <c r="F2537" i="2"/>
  <c r="H2536" i="2"/>
  <c r="G2536" i="2"/>
  <c r="F2536" i="2"/>
  <c r="H2535" i="2"/>
  <c r="G2535" i="2"/>
  <c r="F2535" i="2"/>
  <c r="H2534" i="2"/>
  <c r="G2534" i="2"/>
  <c r="F2534" i="2"/>
  <c r="H2533" i="2"/>
  <c r="G2533" i="2"/>
  <c r="F2533" i="2"/>
  <c r="H2532" i="2"/>
  <c r="G2532" i="2"/>
  <c r="F2532" i="2"/>
  <c r="H2531" i="2"/>
  <c r="G2531" i="2"/>
  <c r="F2531" i="2"/>
  <c r="H2530" i="2"/>
  <c r="G2530" i="2"/>
  <c r="F2530" i="2"/>
  <c r="H2529" i="2"/>
  <c r="G2529" i="2"/>
  <c r="F2529" i="2"/>
  <c r="H2528" i="2"/>
  <c r="G2528" i="2"/>
  <c r="F2528" i="2"/>
  <c r="H2527" i="2"/>
  <c r="G2527" i="2"/>
  <c r="F2527" i="2"/>
  <c r="H2526" i="2"/>
  <c r="G2526" i="2"/>
  <c r="F2526" i="2"/>
  <c r="H2525" i="2"/>
  <c r="G2525" i="2"/>
  <c r="F2525" i="2"/>
  <c r="H2524" i="2"/>
  <c r="G2524" i="2"/>
  <c r="F2524" i="2"/>
  <c r="H2523" i="2"/>
  <c r="G2523" i="2"/>
  <c r="F2523" i="2"/>
  <c r="H2522" i="2"/>
  <c r="G2522" i="2"/>
  <c r="F2522" i="2"/>
  <c r="H2521" i="2"/>
  <c r="G2521" i="2"/>
  <c r="F2521" i="2"/>
  <c r="H2520" i="2"/>
  <c r="G2520" i="2"/>
  <c r="F2520" i="2"/>
  <c r="H2519" i="2"/>
  <c r="G2519" i="2"/>
  <c r="F2519" i="2"/>
  <c r="H2518" i="2"/>
  <c r="G2518" i="2"/>
  <c r="F2518" i="2"/>
  <c r="H2517" i="2"/>
  <c r="G2517" i="2"/>
  <c r="F2517" i="2"/>
  <c r="H2516" i="2"/>
  <c r="G2516" i="2"/>
  <c r="F2516" i="2"/>
  <c r="H2515" i="2"/>
  <c r="G2515" i="2"/>
  <c r="F2515" i="2"/>
  <c r="H2514" i="2"/>
  <c r="G2514" i="2"/>
  <c r="F2514" i="2"/>
  <c r="H2513" i="2"/>
  <c r="G2513" i="2"/>
  <c r="F2513" i="2"/>
  <c r="H2512" i="2"/>
  <c r="G2512" i="2"/>
  <c r="F2512" i="2"/>
  <c r="H2511" i="2"/>
  <c r="G2511" i="2"/>
  <c r="F2511" i="2"/>
  <c r="H2510" i="2"/>
  <c r="G2510" i="2"/>
  <c r="F2510" i="2"/>
  <c r="H2509" i="2"/>
  <c r="G2509" i="2"/>
  <c r="F2509" i="2"/>
  <c r="H2508" i="2"/>
  <c r="G2508" i="2"/>
  <c r="F2508" i="2"/>
  <c r="H2507" i="2"/>
  <c r="G2507" i="2"/>
  <c r="F2507" i="2"/>
  <c r="H2506" i="2"/>
  <c r="G2506" i="2"/>
  <c r="F2506" i="2"/>
  <c r="H2505" i="2"/>
  <c r="G2505" i="2"/>
  <c r="F2505" i="2"/>
  <c r="H2504" i="2"/>
  <c r="G2504" i="2"/>
  <c r="F2504" i="2"/>
  <c r="H2503" i="2"/>
  <c r="G2503" i="2"/>
  <c r="F2503" i="2"/>
  <c r="H2502" i="2"/>
  <c r="G2502" i="2"/>
  <c r="F2502" i="2"/>
  <c r="H2501" i="2"/>
  <c r="G2501" i="2"/>
  <c r="F2501" i="2"/>
  <c r="H2500" i="2"/>
  <c r="G2500" i="2"/>
  <c r="F2500" i="2"/>
  <c r="H2499" i="2"/>
  <c r="G2499" i="2"/>
  <c r="F2499" i="2"/>
  <c r="H2498" i="2"/>
  <c r="G2498" i="2"/>
  <c r="F2498" i="2"/>
  <c r="H2497" i="2"/>
  <c r="G2497" i="2"/>
  <c r="F2497" i="2"/>
  <c r="H2496" i="2"/>
  <c r="G2496" i="2"/>
  <c r="F2496" i="2"/>
  <c r="H2495" i="2"/>
  <c r="G2495" i="2"/>
  <c r="F2495" i="2"/>
  <c r="H2494" i="2"/>
  <c r="G2494" i="2"/>
  <c r="F2494" i="2"/>
  <c r="H2493" i="2"/>
  <c r="G2493" i="2"/>
  <c r="F2493" i="2"/>
  <c r="H2492" i="2"/>
  <c r="G2492" i="2"/>
  <c r="F2492" i="2"/>
  <c r="H2491" i="2"/>
  <c r="G2491" i="2"/>
  <c r="F2491" i="2"/>
  <c r="H2490" i="2"/>
  <c r="G2490" i="2"/>
  <c r="F2490" i="2"/>
  <c r="H2489" i="2"/>
  <c r="G2489" i="2"/>
  <c r="F2489" i="2"/>
  <c r="H2488" i="2"/>
  <c r="G2488" i="2"/>
  <c r="F2488" i="2"/>
  <c r="H2487" i="2"/>
  <c r="G2487" i="2"/>
  <c r="F2487" i="2"/>
  <c r="H2486" i="2"/>
  <c r="G2486" i="2"/>
  <c r="F2486" i="2"/>
  <c r="H2485" i="2"/>
  <c r="G2485" i="2"/>
  <c r="F2485" i="2"/>
  <c r="H2484" i="2"/>
  <c r="G2484" i="2"/>
  <c r="F2484" i="2"/>
  <c r="H2483" i="2"/>
  <c r="G2483" i="2"/>
  <c r="F2483" i="2"/>
  <c r="H2482" i="2"/>
  <c r="G2482" i="2"/>
  <c r="F2482" i="2"/>
  <c r="H2481" i="2"/>
  <c r="G2481" i="2"/>
  <c r="F2481" i="2"/>
  <c r="H2480" i="2"/>
  <c r="G2480" i="2"/>
  <c r="F2480" i="2"/>
  <c r="H2479" i="2"/>
  <c r="G2479" i="2"/>
  <c r="F2479" i="2"/>
  <c r="H2478" i="2"/>
  <c r="G2478" i="2"/>
  <c r="F2478" i="2"/>
  <c r="H2477" i="2"/>
  <c r="G2477" i="2"/>
  <c r="F2477" i="2"/>
  <c r="H2476" i="2"/>
  <c r="G2476" i="2"/>
  <c r="F2476" i="2"/>
  <c r="H2475" i="2"/>
  <c r="G2475" i="2"/>
  <c r="F2475" i="2"/>
  <c r="H2474" i="2"/>
  <c r="G2474" i="2"/>
  <c r="F2474" i="2"/>
  <c r="H2473" i="2"/>
  <c r="G2473" i="2"/>
  <c r="F2473" i="2"/>
  <c r="H2472" i="2"/>
  <c r="G2472" i="2"/>
  <c r="F2472" i="2"/>
  <c r="H2471" i="2"/>
  <c r="G2471" i="2"/>
  <c r="F2471" i="2"/>
  <c r="H2470" i="2"/>
  <c r="G2470" i="2"/>
  <c r="F2470" i="2"/>
  <c r="H2469" i="2"/>
  <c r="G2469" i="2"/>
  <c r="F2469" i="2"/>
  <c r="H2468" i="2"/>
  <c r="G2468" i="2"/>
  <c r="F2468" i="2"/>
  <c r="H2467" i="2"/>
  <c r="G2467" i="2"/>
  <c r="F2467" i="2"/>
  <c r="H2466" i="2"/>
  <c r="G2466" i="2"/>
  <c r="F2466" i="2"/>
  <c r="H2465" i="2"/>
  <c r="G2465" i="2"/>
  <c r="F2465" i="2"/>
  <c r="H2464" i="2"/>
  <c r="G2464" i="2"/>
  <c r="F2464" i="2"/>
  <c r="H2463" i="2"/>
  <c r="G2463" i="2"/>
  <c r="F2463" i="2"/>
  <c r="H2462" i="2"/>
  <c r="G2462" i="2"/>
  <c r="F2462" i="2"/>
  <c r="H2461" i="2"/>
  <c r="G2461" i="2"/>
  <c r="F2461" i="2"/>
  <c r="H2460" i="2"/>
  <c r="G2460" i="2"/>
  <c r="F2460" i="2"/>
  <c r="H2459" i="2"/>
  <c r="G2459" i="2"/>
  <c r="F2459" i="2"/>
  <c r="H2458" i="2"/>
  <c r="G2458" i="2"/>
  <c r="F2458" i="2"/>
  <c r="H2457" i="2"/>
  <c r="G2457" i="2"/>
  <c r="F2457" i="2"/>
  <c r="H2456" i="2"/>
  <c r="G2456" i="2"/>
  <c r="F2456" i="2"/>
  <c r="H2455" i="2"/>
  <c r="G2455" i="2"/>
  <c r="F2455" i="2"/>
  <c r="H2454" i="2"/>
  <c r="G2454" i="2"/>
  <c r="F2454" i="2"/>
  <c r="H2453" i="2"/>
  <c r="G2453" i="2"/>
  <c r="F2453" i="2"/>
  <c r="H2452" i="2"/>
  <c r="G2452" i="2"/>
  <c r="F2452" i="2"/>
  <c r="H2451" i="2"/>
  <c r="G2451" i="2"/>
  <c r="F2451" i="2"/>
  <c r="H2450" i="2"/>
  <c r="G2450" i="2"/>
  <c r="F2450" i="2"/>
  <c r="H2449" i="2"/>
  <c r="G2449" i="2"/>
  <c r="F2449" i="2"/>
  <c r="H2448" i="2"/>
  <c r="G2448" i="2"/>
  <c r="F2448" i="2"/>
  <c r="H2447" i="2"/>
  <c r="G2447" i="2"/>
  <c r="F2447" i="2"/>
  <c r="H2446" i="2"/>
  <c r="G2446" i="2"/>
  <c r="F2446" i="2"/>
  <c r="H2445" i="2"/>
  <c r="G2445" i="2"/>
  <c r="F2445" i="2"/>
  <c r="H2444" i="2"/>
  <c r="G2444" i="2"/>
  <c r="F2444" i="2"/>
  <c r="H2443" i="2"/>
  <c r="G2443" i="2"/>
  <c r="F2443" i="2"/>
  <c r="H2442" i="2"/>
  <c r="G2442" i="2"/>
  <c r="F2442" i="2"/>
  <c r="H2441" i="2"/>
  <c r="G2441" i="2"/>
  <c r="F2441" i="2"/>
  <c r="H2440" i="2"/>
  <c r="G2440" i="2"/>
  <c r="F2440" i="2"/>
  <c r="H2439" i="2"/>
  <c r="G2439" i="2"/>
  <c r="F2439" i="2"/>
  <c r="H2438" i="2"/>
  <c r="G2438" i="2"/>
  <c r="F2438" i="2"/>
  <c r="H2437" i="2"/>
  <c r="G2437" i="2"/>
  <c r="F2437" i="2"/>
  <c r="H2436" i="2"/>
  <c r="G2436" i="2"/>
  <c r="F2436" i="2"/>
  <c r="H2435" i="2"/>
  <c r="G2435" i="2"/>
  <c r="F2435" i="2"/>
  <c r="H2434" i="2"/>
  <c r="G2434" i="2"/>
  <c r="F2434" i="2"/>
  <c r="H2433" i="2"/>
  <c r="G2433" i="2"/>
  <c r="F2433" i="2"/>
  <c r="H2432" i="2"/>
  <c r="G2432" i="2"/>
  <c r="F2432" i="2"/>
  <c r="H2431" i="2"/>
  <c r="G2431" i="2"/>
  <c r="F2431" i="2"/>
  <c r="H2430" i="2"/>
  <c r="G2430" i="2"/>
  <c r="F2430" i="2"/>
  <c r="H2429" i="2"/>
  <c r="G2429" i="2"/>
  <c r="F2429" i="2"/>
  <c r="H2428" i="2"/>
  <c r="G2428" i="2"/>
  <c r="F2428" i="2"/>
  <c r="H2427" i="2"/>
  <c r="G2427" i="2"/>
  <c r="F2427" i="2"/>
  <c r="H2426" i="2"/>
  <c r="G2426" i="2"/>
  <c r="F2426" i="2"/>
  <c r="H2425" i="2"/>
  <c r="G2425" i="2"/>
  <c r="F2425" i="2"/>
  <c r="H2424" i="2"/>
  <c r="G2424" i="2"/>
  <c r="F2424" i="2"/>
  <c r="H2423" i="2"/>
  <c r="G2423" i="2"/>
  <c r="F2423" i="2"/>
  <c r="H2422" i="2"/>
  <c r="G2422" i="2"/>
  <c r="F2422" i="2"/>
  <c r="H2421" i="2"/>
  <c r="G2421" i="2"/>
  <c r="F2421" i="2"/>
  <c r="H2420" i="2"/>
  <c r="G2420" i="2"/>
  <c r="F2420" i="2"/>
  <c r="H2419" i="2"/>
  <c r="G2419" i="2"/>
  <c r="F2419" i="2"/>
  <c r="H2418" i="2"/>
  <c r="G2418" i="2"/>
  <c r="F2418" i="2"/>
  <c r="H2417" i="2"/>
  <c r="G2417" i="2"/>
  <c r="F2417" i="2"/>
  <c r="H2416" i="2"/>
  <c r="G2416" i="2"/>
  <c r="F2416" i="2"/>
  <c r="H2415" i="2"/>
  <c r="G2415" i="2"/>
  <c r="F2415" i="2"/>
  <c r="H2414" i="2"/>
  <c r="G2414" i="2"/>
  <c r="F2414" i="2"/>
  <c r="H2413" i="2"/>
  <c r="G2413" i="2"/>
  <c r="F2413" i="2"/>
  <c r="H2412" i="2"/>
  <c r="G2412" i="2"/>
  <c r="F2412" i="2"/>
  <c r="H2411" i="2"/>
  <c r="G2411" i="2"/>
  <c r="F2411" i="2"/>
  <c r="H2410" i="2"/>
  <c r="G2410" i="2"/>
  <c r="F2410" i="2"/>
  <c r="H2409" i="2"/>
  <c r="G2409" i="2"/>
  <c r="F2409" i="2"/>
  <c r="H2408" i="2"/>
  <c r="G2408" i="2"/>
  <c r="F2408" i="2"/>
  <c r="H2407" i="2"/>
  <c r="G2407" i="2"/>
  <c r="F2407" i="2"/>
  <c r="H2406" i="2"/>
  <c r="G2406" i="2"/>
  <c r="F2406" i="2"/>
  <c r="H2405" i="2"/>
  <c r="G2405" i="2"/>
  <c r="F2405" i="2"/>
  <c r="H2404" i="2"/>
  <c r="G2404" i="2"/>
  <c r="F2404" i="2"/>
  <c r="H2403" i="2"/>
  <c r="G2403" i="2"/>
  <c r="F2403" i="2"/>
  <c r="H2402" i="2"/>
  <c r="G2402" i="2"/>
  <c r="F2402" i="2"/>
  <c r="H2401" i="2"/>
  <c r="G2401" i="2"/>
  <c r="F2401" i="2"/>
  <c r="H2400" i="2"/>
  <c r="G2400" i="2"/>
  <c r="F2400" i="2"/>
  <c r="H2399" i="2"/>
  <c r="G2399" i="2"/>
  <c r="F2399" i="2"/>
  <c r="H2398" i="2"/>
  <c r="G2398" i="2"/>
  <c r="F2398" i="2"/>
  <c r="H2397" i="2"/>
  <c r="G2397" i="2"/>
  <c r="F2397" i="2"/>
  <c r="H2396" i="2"/>
  <c r="G2396" i="2"/>
  <c r="F2396" i="2"/>
  <c r="H2395" i="2"/>
  <c r="G2395" i="2"/>
  <c r="F2395" i="2"/>
  <c r="H2394" i="2"/>
  <c r="G2394" i="2"/>
  <c r="F2394" i="2"/>
  <c r="H2393" i="2"/>
  <c r="G2393" i="2"/>
  <c r="F2393" i="2"/>
  <c r="H2392" i="2"/>
  <c r="G2392" i="2"/>
  <c r="F2392" i="2"/>
  <c r="H2391" i="2"/>
  <c r="G2391" i="2"/>
  <c r="F2391" i="2"/>
  <c r="H2390" i="2"/>
  <c r="G2390" i="2"/>
  <c r="F2390" i="2"/>
  <c r="H2389" i="2"/>
  <c r="G2389" i="2"/>
  <c r="F2389" i="2"/>
  <c r="H2388" i="2"/>
  <c r="G2388" i="2"/>
  <c r="F2388" i="2"/>
  <c r="H2387" i="2"/>
  <c r="G2387" i="2"/>
  <c r="F2387" i="2"/>
  <c r="H2386" i="2"/>
  <c r="G2386" i="2"/>
  <c r="F2386" i="2"/>
  <c r="H2385" i="2"/>
  <c r="G2385" i="2"/>
  <c r="F2385" i="2"/>
  <c r="H2384" i="2"/>
  <c r="G2384" i="2"/>
  <c r="F2384" i="2"/>
  <c r="H2383" i="2"/>
  <c r="G2383" i="2"/>
  <c r="F2383" i="2"/>
  <c r="H2382" i="2"/>
  <c r="G2382" i="2"/>
  <c r="F2382" i="2"/>
  <c r="H2381" i="2"/>
  <c r="G2381" i="2"/>
  <c r="F2381" i="2"/>
  <c r="H2380" i="2"/>
  <c r="G2380" i="2"/>
  <c r="F2380" i="2"/>
  <c r="H2379" i="2"/>
  <c r="G2379" i="2"/>
  <c r="F2379" i="2"/>
  <c r="H2378" i="2"/>
  <c r="G2378" i="2"/>
  <c r="F2378" i="2"/>
  <c r="H2377" i="2"/>
  <c r="G2377" i="2"/>
  <c r="F2377" i="2"/>
  <c r="H2376" i="2"/>
  <c r="G2376" i="2"/>
  <c r="F2376" i="2"/>
  <c r="H2375" i="2"/>
  <c r="G2375" i="2"/>
  <c r="F2375" i="2"/>
  <c r="H2374" i="2"/>
  <c r="G2374" i="2"/>
  <c r="F2374" i="2"/>
  <c r="H2373" i="2"/>
  <c r="G2373" i="2"/>
  <c r="F2373" i="2"/>
  <c r="H2372" i="2"/>
  <c r="G2372" i="2"/>
  <c r="F2372" i="2"/>
  <c r="H2371" i="2"/>
  <c r="G2371" i="2"/>
  <c r="F2371" i="2"/>
  <c r="H2370" i="2"/>
  <c r="G2370" i="2"/>
  <c r="F2370" i="2"/>
  <c r="H2369" i="2"/>
  <c r="G2369" i="2"/>
  <c r="F2369" i="2"/>
  <c r="H2368" i="2"/>
  <c r="G2368" i="2"/>
  <c r="F2368" i="2"/>
  <c r="H2367" i="2"/>
  <c r="G2367" i="2"/>
  <c r="F2367" i="2"/>
  <c r="H2366" i="2"/>
  <c r="G2366" i="2"/>
  <c r="F2366" i="2"/>
  <c r="H2365" i="2"/>
  <c r="G2365" i="2"/>
  <c r="F2365" i="2"/>
  <c r="H2364" i="2"/>
  <c r="G2364" i="2"/>
  <c r="F2364" i="2"/>
  <c r="H2363" i="2"/>
  <c r="G2363" i="2"/>
  <c r="F2363" i="2"/>
  <c r="H2362" i="2"/>
  <c r="G2362" i="2"/>
  <c r="F2362" i="2"/>
  <c r="H2361" i="2"/>
  <c r="G2361" i="2"/>
  <c r="F2361" i="2"/>
  <c r="H2360" i="2"/>
  <c r="G2360" i="2"/>
  <c r="F2360" i="2"/>
  <c r="H2359" i="2"/>
  <c r="G2359" i="2"/>
  <c r="F2359" i="2"/>
  <c r="H2358" i="2"/>
  <c r="G2358" i="2"/>
  <c r="F2358" i="2"/>
  <c r="H2357" i="2"/>
  <c r="G2357" i="2"/>
  <c r="F2357" i="2"/>
  <c r="H2356" i="2"/>
  <c r="G2356" i="2"/>
  <c r="F2356" i="2"/>
  <c r="H2355" i="2"/>
  <c r="G2355" i="2"/>
  <c r="F2355" i="2"/>
  <c r="H2354" i="2"/>
  <c r="G2354" i="2"/>
  <c r="F2354" i="2"/>
  <c r="H2353" i="2"/>
  <c r="G2353" i="2"/>
  <c r="F2353" i="2"/>
  <c r="H2352" i="2"/>
  <c r="G2352" i="2"/>
  <c r="F2352" i="2"/>
  <c r="H2351" i="2"/>
  <c r="G2351" i="2"/>
  <c r="F2351" i="2"/>
  <c r="H2350" i="2"/>
  <c r="G2350" i="2"/>
  <c r="F2350" i="2"/>
  <c r="H2349" i="2"/>
  <c r="G2349" i="2"/>
  <c r="F2349" i="2"/>
  <c r="H2348" i="2"/>
  <c r="G2348" i="2"/>
  <c r="F2348" i="2"/>
  <c r="H2347" i="2"/>
  <c r="G2347" i="2"/>
  <c r="F2347" i="2"/>
  <c r="H2346" i="2"/>
  <c r="G2346" i="2"/>
  <c r="F2346" i="2"/>
  <c r="H2345" i="2"/>
  <c r="G2345" i="2"/>
  <c r="F2345" i="2"/>
  <c r="H2344" i="2"/>
  <c r="G2344" i="2"/>
  <c r="F2344" i="2"/>
  <c r="H2343" i="2"/>
  <c r="G2343" i="2"/>
  <c r="F2343" i="2"/>
  <c r="H2342" i="2"/>
  <c r="G2342" i="2"/>
  <c r="F2342" i="2"/>
  <c r="H2341" i="2"/>
  <c r="G2341" i="2"/>
  <c r="F2341" i="2"/>
  <c r="H2340" i="2"/>
  <c r="G2340" i="2"/>
  <c r="F2340" i="2"/>
  <c r="H2339" i="2"/>
  <c r="G2339" i="2"/>
  <c r="F2339" i="2"/>
  <c r="H2338" i="2"/>
  <c r="G2338" i="2"/>
  <c r="F2338" i="2"/>
  <c r="H2337" i="2"/>
  <c r="G2337" i="2"/>
  <c r="F2337" i="2"/>
  <c r="H2336" i="2"/>
  <c r="G2336" i="2"/>
  <c r="F2336" i="2"/>
  <c r="H2335" i="2"/>
  <c r="G2335" i="2"/>
  <c r="F2335" i="2"/>
  <c r="H2334" i="2"/>
  <c r="G2334" i="2"/>
  <c r="F2334" i="2"/>
  <c r="H2333" i="2"/>
  <c r="G2333" i="2"/>
  <c r="F2333" i="2"/>
  <c r="H2332" i="2"/>
  <c r="G2332" i="2"/>
  <c r="F2332" i="2"/>
  <c r="H2331" i="2"/>
  <c r="G2331" i="2"/>
  <c r="F2331" i="2"/>
  <c r="H2330" i="2"/>
  <c r="G2330" i="2"/>
  <c r="F2330" i="2"/>
  <c r="H2329" i="2"/>
  <c r="G2329" i="2"/>
  <c r="F2329" i="2"/>
  <c r="H2328" i="2"/>
  <c r="G2328" i="2"/>
  <c r="F2328" i="2"/>
  <c r="H2327" i="2"/>
  <c r="G2327" i="2"/>
  <c r="F2327" i="2"/>
  <c r="H2326" i="2"/>
  <c r="G2326" i="2"/>
  <c r="F2326" i="2"/>
  <c r="H2325" i="2"/>
  <c r="G2325" i="2"/>
  <c r="F2325" i="2"/>
  <c r="H2324" i="2"/>
  <c r="G2324" i="2"/>
  <c r="F2324" i="2"/>
  <c r="H2323" i="2"/>
  <c r="G2323" i="2"/>
  <c r="F2323" i="2"/>
  <c r="H2322" i="2"/>
  <c r="G2322" i="2"/>
  <c r="F2322" i="2"/>
  <c r="H2321" i="2"/>
  <c r="G2321" i="2"/>
  <c r="F2321" i="2"/>
  <c r="H2320" i="2"/>
  <c r="G2320" i="2"/>
  <c r="F2320" i="2"/>
  <c r="H2319" i="2"/>
  <c r="G2319" i="2"/>
  <c r="F2319" i="2"/>
  <c r="H2318" i="2"/>
  <c r="G2318" i="2"/>
  <c r="F2318" i="2"/>
  <c r="H2317" i="2"/>
  <c r="G2317" i="2"/>
  <c r="F2317" i="2"/>
  <c r="H2316" i="2"/>
  <c r="G2316" i="2"/>
  <c r="F2316" i="2"/>
  <c r="H2315" i="2"/>
  <c r="G2315" i="2"/>
  <c r="F2315" i="2"/>
  <c r="H2314" i="2"/>
  <c r="G2314" i="2"/>
  <c r="F2314" i="2"/>
  <c r="H2313" i="2"/>
  <c r="G2313" i="2"/>
  <c r="F2313" i="2"/>
  <c r="H2312" i="2"/>
  <c r="G2312" i="2"/>
  <c r="F2312" i="2"/>
  <c r="H2311" i="2"/>
  <c r="G2311" i="2"/>
  <c r="F2311" i="2"/>
  <c r="H2310" i="2"/>
  <c r="G2310" i="2"/>
  <c r="F2310" i="2"/>
  <c r="H2309" i="2"/>
  <c r="G2309" i="2"/>
  <c r="F2309" i="2"/>
  <c r="H2308" i="2"/>
  <c r="G2308" i="2"/>
  <c r="F2308" i="2"/>
  <c r="H2307" i="2"/>
  <c r="G2307" i="2"/>
  <c r="F2307" i="2"/>
  <c r="H2306" i="2"/>
  <c r="G2306" i="2"/>
  <c r="F2306" i="2"/>
  <c r="H2305" i="2"/>
  <c r="G2305" i="2"/>
  <c r="F2305" i="2"/>
  <c r="H2304" i="2"/>
  <c r="G2304" i="2"/>
  <c r="F2304" i="2"/>
  <c r="H2303" i="2"/>
  <c r="G2303" i="2"/>
  <c r="F2303" i="2"/>
  <c r="H2302" i="2"/>
  <c r="G2302" i="2"/>
  <c r="F2302" i="2"/>
  <c r="H2301" i="2"/>
  <c r="G2301" i="2"/>
  <c r="F2301" i="2"/>
  <c r="H2300" i="2"/>
  <c r="G2300" i="2"/>
  <c r="F2300" i="2"/>
  <c r="H2299" i="2"/>
  <c r="G2299" i="2"/>
  <c r="F2299" i="2"/>
  <c r="H2298" i="2"/>
  <c r="G2298" i="2"/>
  <c r="F2298" i="2"/>
  <c r="H2297" i="2"/>
  <c r="G2297" i="2"/>
  <c r="F2297" i="2"/>
  <c r="H2296" i="2"/>
  <c r="G2296" i="2"/>
  <c r="F2296" i="2"/>
  <c r="H2295" i="2"/>
  <c r="G2295" i="2"/>
  <c r="F2295" i="2"/>
  <c r="H2294" i="2"/>
  <c r="G2294" i="2"/>
  <c r="F2294" i="2"/>
  <c r="H2293" i="2"/>
  <c r="G2293" i="2"/>
  <c r="F2293" i="2"/>
  <c r="H2292" i="2"/>
  <c r="G2292" i="2"/>
  <c r="F2292" i="2"/>
  <c r="H2291" i="2"/>
  <c r="G2291" i="2"/>
  <c r="F2291" i="2"/>
  <c r="H2290" i="2"/>
  <c r="G2290" i="2"/>
  <c r="F2290" i="2"/>
  <c r="H2289" i="2"/>
  <c r="G2289" i="2"/>
  <c r="F2289" i="2"/>
  <c r="H2288" i="2"/>
  <c r="G2288" i="2"/>
  <c r="F2288" i="2"/>
  <c r="H2287" i="2"/>
  <c r="G2287" i="2"/>
  <c r="F2287" i="2"/>
  <c r="H2286" i="2"/>
  <c r="G2286" i="2"/>
  <c r="F2286" i="2"/>
  <c r="H2285" i="2"/>
  <c r="G2285" i="2"/>
  <c r="F2285" i="2"/>
  <c r="H2284" i="2"/>
  <c r="G2284" i="2"/>
  <c r="F2284" i="2"/>
  <c r="H2283" i="2"/>
  <c r="G2283" i="2"/>
  <c r="F2283" i="2"/>
  <c r="H2282" i="2"/>
  <c r="G2282" i="2"/>
  <c r="F2282" i="2"/>
  <c r="H2281" i="2"/>
  <c r="G2281" i="2"/>
  <c r="F2281" i="2"/>
  <c r="H2280" i="2"/>
  <c r="G2280" i="2"/>
  <c r="F2280" i="2"/>
  <c r="H2279" i="2"/>
  <c r="G2279" i="2"/>
  <c r="F2279" i="2"/>
  <c r="H2278" i="2"/>
  <c r="G2278" i="2"/>
  <c r="F2278" i="2"/>
  <c r="H2277" i="2"/>
  <c r="G2277" i="2"/>
  <c r="F2277" i="2"/>
  <c r="H2276" i="2"/>
  <c r="G2276" i="2"/>
  <c r="F2276" i="2"/>
  <c r="H2275" i="2"/>
  <c r="G2275" i="2"/>
  <c r="F2275" i="2"/>
  <c r="H2274" i="2"/>
  <c r="G2274" i="2"/>
  <c r="F2274" i="2"/>
  <c r="H2273" i="2"/>
  <c r="G2273" i="2"/>
  <c r="F2273" i="2"/>
  <c r="H2272" i="2"/>
  <c r="G2272" i="2"/>
  <c r="F2272" i="2"/>
  <c r="H2271" i="2"/>
  <c r="G2271" i="2"/>
  <c r="F2271" i="2"/>
  <c r="H2270" i="2"/>
  <c r="G2270" i="2"/>
  <c r="F2270" i="2"/>
  <c r="H2269" i="2"/>
  <c r="G2269" i="2"/>
  <c r="F2269" i="2"/>
  <c r="H2268" i="2"/>
  <c r="G2268" i="2"/>
  <c r="F2268" i="2"/>
  <c r="H2267" i="2"/>
  <c r="G2267" i="2"/>
  <c r="F2267" i="2"/>
  <c r="H2266" i="2"/>
  <c r="G2266" i="2"/>
  <c r="F2266" i="2"/>
  <c r="H2265" i="2"/>
  <c r="G2265" i="2"/>
  <c r="F2265" i="2"/>
  <c r="H2264" i="2"/>
  <c r="G2264" i="2"/>
  <c r="F2264" i="2"/>
  <c r="H2263" i="2"/>
  <c r="G2263" i="2"/>
  <c r="F2263" i="2"/>
  <c r="H2262" i="2"/>
  <c r="G2262" i="2"/>
  <c r="F2262" i="2"/>
  <c r="H2261" i="2"/>
  <c r="G2261" i="2"/>
  <c r="F2261" i="2"/>
  <c r="H2260" i="2"/>
  <c r="G2260" i="2"/>
  <c r="F2260" i="2"/>
  <c r="H2259" i="2"/>
  <c r="G2259" i="2"/>
  <c r="F2259" i="2"/>
  <c r="H2258" i="2"/>
  <c r="G2258" i="2"/>
  <c r="F2258" i="2"/>
  <c r="H2257" i="2"/>
  <c r="G2257" i="2"/>
  <c r="F2257" i="2"/>
  <c r="H2256" i="2"/>
  <c r="G2256" i="2"/>
  <c r="F2256" i="2"/>
  <c r="H2255" i="2"/>
  <c r="G2255" i="2"/>
  <c r="F2255" i="2"/>
  <c r="H2254" i="2"/>
  <c r="G2254" i="2"/>
  <c r="F2254" i="2"/>
  <c r="H2253" i="2"/>
  <c r="G2253" i="2"/>
  <c r="F2253" i="2"/>
  <c r="H2252" i="2"/>
  <c r="G2252" i="2"/>
  <c r="F2252" i="2"/>
  <c r="H2251" i="2"/>
  <c r="G2251" i="2"/>
  <c r="F2251" i="2"/>
  <c r="H2250" i="2"/>
  <c r="G2250" i="2"/>
  <c r="F2250" i="2"/>
  <c r="H2249" i="2"/>
  <c r="G2249" i="2"/>
  <c r="F2249" i="2"/>
  <c r="H2248" i="2"/>
  <c r="G2248" i="2"/>
  <c r="F2248" i="2"/>
  <c r="H2247" i="2"/>
  <c r="G2247" i="2"/>
  <c r="F2247" i="2"/>
  <c r="H2246" i="2"/>
  <c r="G2246" i="2"/>
  <c r="F2246" i="2"/>
  <c r="H2245" i="2"/>
  <c r="G2245" i="2"/>
  <c r="F2245" i="2"/>
  <c r="H2244" i="2"/>
  <c r="G2244" i="2"/>
  <c r="F2244" i="2"/>
  <c r="H2243" i="2"/>
  <c r="G2243" i="2"/>
  <c r="F2243" i="2"/>
  <c r="H2242" i="2"/>
  <c r="G2242" i="2"/>
  <c r="F2242" i="2"/>
  <c r="H2241" i="2"/>
  <c r="G2241" i="2"/>
  <c r="F2241" i="2"/>
  <c r="H2240" i="2"/>
  <c r="G2240" i="2"/>
  <c r="F2240" i="2"/>
  <c r="H2239" i="2"/>
  <c r="G2239" i="2"/>
  <c r="F2239" i="2"/>
  <c r="H2238" i="2"/>
  <c r="G2238" i="2"/>
  <c r="F2238" i="2"/>
  <c r="H2237" i="2"/>
  <c r="G2237" i="2"/>
  <c r="F2237" i="2"/>
  <c r="H2236" i="2"/>
  <c r="G2236" i="2"/>
  <c r="F2236" i="2"/>
  <c r="H2235" i="2"/>
  <c r="G2235" i="2"/>
  <c r="F2235" i="2"/>
  <c r="H2234" i="2"/>
  <c r="G2234" i="2"/>
  <c r="F2234" i="2"/>
  <c r="H2233" i="2"/>
  <c r="G2233" i="2"/>
  <c r="F2233" i="2"/>
  <c r="H2232" i="2"/>
  <c r="G2232" i="2"/>
  <c r="F2232" i="2"/>
  <c r="H2231" i="2"/>
  <c r="G2231" i="2"/>
  <c r="F2231" i="2"/>
  <c r="H2230" i="2"/>
  <c r="G2230" i="2"/>
  <c r="F2230" i="2"/>
  <c r="H2229" i="2"/>
  <c r="G2229" i="2"/>
  <c r="F2229" i="2"/>
  <c r="H2228" i="2"/>
  <c r="G2228" i="2"/>
  <c r="F2228" i="2"/>
  <c r="H2227" i="2"/>
  <c r="G2227" i="2"/>
  <c r="F2227" i="2"/>
  <c r="H2226" i="2"/>
  <c r="G2226" i="2"/>
  <c r="F2226" i="2"/>
  <c r="H2225" i="2"/>
  <c r="G2225" i="2"/>
  <c r="F2225" i="2"/>
  <c r="H2224" i="2"/>
  <c r="G2224" i="2"/>
  <c r="F2224" i="2"/>
  <c r="H2223" i="2"/>
  <c r="G2223" i="2"/>
  <c r="F2223" i="2"/>
  <c r="H2222" i="2"/>
  <c r="G2222" i="2"/>
  <c r="F2222" i="2"/>
  <c r="H2221" i="2"/>
  <c r="G2221" i="2"/>
  <c r="F2221" i="2"/>
  <c r="H2220" i="2"/>
  <c r="G2220" i="2"/>
  <c r="F2220" i="2"/>
  <c r="H2219" i="2"/>
  <c r="G2219" i="2"/>
  <c r="F2219" i="2"/>
  <c r="H2218" i="2"/>
  <c r="G2218" i="2"/>
  <c r="F2218" i="2"/>
  <c r="H2217" i="2"/>
  <c r="G2217" i="2"/>
  <c r="F2217" i="2"/>
  <c r="H2216" i="2"/>
  <c r="G2216" i="2"/>
  <c r="F2216" i="2"/>
  <c r="H2215" i="2"/>
  <c r="G2215" i="2"/>
  <c r="F2215" i="2"/>
  <c r="H2214" i="2"/>
  <c r="G2214" i="2"/>
  <c r="F2214" i="2"/>
  <c r="H2213" i="2"/>
  <c r="G2213" i="2"/>
  <c r="F2213" i="2"/>
  <c r="H2212" i="2"/>
  <c r="G2212" i="2"/>
  <c r="F2212" i="2"/>
  <c r="H2211" i="2"/>
  <c r="G2211" i="2"/>
  <c r="F2211" i="2"/>
  <c r="H2210" i="2"/>
  <c r="G2210" i="2"/>
  <c r="F2210" i="2"/>
  <c r="H2209" i="2"/>
  <c r="G2209" i="2"/>
  <c r="F2209" i="2"/>
  <c r="H2208" i="2"/>
  <c r="G2208" i="2"/>
  <c r="F2208" i="2"/>
  <c r="H2207" i="2"/>
  <c r="G2207" i="2"/>
  <c r="F2207" i="2"/>
  <c r="H2206" i="2"/>
  <c r="G2206" i="2"/>
  <c r="F2206" i="2"/>
  <c r="H2205" i="2"/>
  <c r="G2205" i="2"/>
  <c r="F2205" i="2"/>
  <c r="H2204" i="2"/>
  <c r="G2204" i="2"/>
  <c r="F2204" i="2"/>
  <c r="H2203" i="2"/>
  <c r="G2203" i="2"/>
  <c r="F2203" i="2"/>
  <c r="H2202" i="2"/>
  <c r="G2202" i="2"/>
  <c r="F2202" i="2"/>
  <c r="H2201" i="2"/>
  <c r="G2201" i="2"/>
  <c r="F2201" i="2"/>
  <c r="H2200" i="2"/>
  <c r="G2200" i="2"/>
  <c r="F2200" i="2"/>
  <c r="H2199" i="2"/>
  <c r="G2199" i="2"/>
  <c r="F2199" i="2"/>
  <c r="H2198" i="2"/>
  <c r="G2198" i="2"/>
  <c r="F2198" i="2"/>
  <c r="H2197" i="2"/>
  <c r="G2197" i="2"/>
  <c r="F2197" i="2"/>
  <c r="H2196" i="2"/>
  <c r="G2196" i="2"/>
  <c r="F2196" i="2"/>
  <c r="H2195" i="2"/>
  <c r="G2195" i="2"/>
  <c r="F2195" i="2"/>
  <c r="H2194" i="2"/>
  <c r="G2194" i="2"/>
  <c r="F2194" i="2"/>
  <c r="H2193" i="2"/>
  <c r="G2193" i="2"/>
  <c r="F2193" i="2"/>
  <c r="H2192" i="2"/>
  <c r="G2192" i="2"/>
  <c r="F2192" i="2"/>
  <c r="H2191" i="2"/>
  <c r="G2191" i="2"/>
  <c r="F2191" i="2"/>
  <c r="H2190" i="2"/>
  <c r="G2190" i="2"/>
  <c r="F2190" i="2"/>
  <c r="H2189" i="2"/>
  <c r="G2189" i="2"/>
  <c r="F2189" i="2"/>
  <c r="H2188" i="2"/>
  <c r="G2188" i="2"/>
  <c r="F2188" i="2"/>
  <c r="H2187" i="2"/>
  <c r="G2187" i="2"/>
  <c r="F2187" i="2"/>
  <c r="H2186" i="2"/>
  <c r="G2186" i="2"/>
  <c r="F2186" i="2"/>
  <c r="H2185" i="2"/>
  <c r="G2185" i="2"/>
  <c r="F2185" i="2"/>
  <c r="H2184" i="2"/>
  <c r="G2184" i="2"/>
  <c r="F2184" i="2"/>
  <c r="H2183" i="2"/>
  <c r="G2183" i="2"/>
  <c r="F2183" i="2"/>
  <c r="H2182" i="2"/>
  <c r="G2182" i="2"/>
  <c r="F2182" i="2"/>
  <c r="H2181" i="2"/>
  <c r="G2181" i="2"/>
  <c r="F2181" i="2"/>
  <c r="H2180" i="2"/>
  <c r="G2180" i="2"/>
  <c r="F2180" i="2"/>
  <c r="H2179" i="2"/>
  <c r="G2179" i="2"/>
  <c r="F2179" i="2"/>
  <c r="H2178" i="2"/>
  <c r="G2178" i="2"/>
  <c r="F2178" i="2"/>
  <c r="H2177" i="2"/>
  <c r="G2177" i="2"/>
  <c r="F2177" i="2"/>
  <c r="H2176" i="2"/>
  <c r="G2176" i="2"/>
  <c r="F2176" i="2"/>
  <c r="H2175" i="2"/>
  <c r="G2175" i="2"/>
  <c r="F2175" i="2"/>
  <c r="H2174" i="2"/>
  <c r="G2174" i="2"/>
  <c r="F2174" i="2"/>
  <c r="H2173" i="2"/>
  <c r="G2173" i="2"/>
  <c r="F2173" i="2"/>
  <c r="H2172" i="2"/>
  <c r="G2172" i="2"/>
  <c r="F2172" i="2"/>
  <c r="H2171" i="2"/>
  <c r="G2171" i="2"/>
  <c r="F2171" i="2"/>
  <c r="H2170" i="2"/>
  <c r="G2170" i="2"/>
  <c r="F2170" i="2"/>
  <c r="H2169" i="2"/>
  <c r="G2169" i="2"/>
  <c r="F2169" i="2"/>
  <c r="H2168" i="2"/>
  <c r="G2168" i="2"/>
  <c r="F2168" i="2"/>
  <c r="H2167" i="2"/>
  <c r="G2167" i="2"/>
  <c r="F2167" i="2"/>
  <c r="H2166" i="2"/>
  <c r="G2166" i="2"/>
  <c r="F2166" i="2"/>
  <c r="H2165" i="2"/>
  <c r="G2165" i="2"/>
  <c r="F2165" i="2"/>
  <c r="H2164" i="2"/>
  <c r="G2164" i="2"/>
  <c r="F2164" i="2"/>
  <c r="H2163" i="2"/>
  <c r="G2163" i="2"/>
  <c r="F2163" i="2"/>
  <c r="H2162" i="2"/>
  <c r="G2162" i="2"/>
  <c r="F2162" i="2"/>
  <c r="H2161" i="2"/>
  <c r="G2161" i="2"/>
  <c r="F2161" i="2"/>
  <c r="H2160" i="2"/>
  <c r="G2160" i="2"/>
  <c r="F2160" i="2"/>
  <c r="H2159" i="2"/>
  <c r="G2159" i="2"/>
  <c r="F2159" i="2"/>
  <c r="H2158" i="2"/>
  <c r="G2158" i="2"/>
  <c r="F2158" i="2"/>
  <c r="H2157" i="2"/>
  <c r="G2157" i="2"/>
  <c r="F2157" i="2"/>
  <c r="H2156" i="2"/>
  <c r="G2156" i="2"/>
  <c r="F2156" i="2"/>
  <c r="H2155" i="2"/>
  <c r="G2155" i="2"/>
  <c r="F2155" i="2"/>
  <c r="H2154" i="2"/>
  <c r="G2154" i="2"/>
  <c r="F2154" i="2"/>
  <c r="H2153" i="2"/>
  <c r="G2153" i="2"/>
  <c r="F2153" i="2"/>
  <c r="H2152" i="2"/>
  <c r="G2152" i="2"/>
  <c r="F2152" i="2"/>
  <c r="H2151" i="2"/>
  <c r="G2151" i="2"/>
  <c r="F2151" i="2"/>
  <c r="H2150" i="2"/>
  <c r="G2150" i="2"/>
  <c r="F2150" i="2"/>
  <c r="H2149" i="2"/>
  <c r="G2149" i="2"/>
  <c r="F2149" i="2"/>
  <c r="H2148" i="2"/>
  <c r="G2148" i="2"/>
  <c r="F2148" i="2"/>
  <c r="H2147" i="2"/>
  <c r="G2147" i="2"/>
  <c r="F2147" i="2"/>
  <c r="H2146" i="2"/>
  <c r="G2146" i="2"/>
  <c r="F2146" i="2"/>
  <c r="H2145" i="2"/>
  <c r="G2145" i="2"/>
  <c r="F2145" i="2"/>
  <c r="H2144" i="2"/>
  <c r="G2144" i="2"/>
  <c r="F2144" i="2"/>
  <c r="H2143" i="2"/>
  <c r="G2143" i="2"/>
  <c r="F2143" i="2"/>
  <c r="H2142" i="2"/>
  <c r="G2142" i="2"/>
  <c r="F2142" i="2"/>
  <c r="H2141" i="2"/>
  <c r="G2141" i="2"/>
  <c r="F2141" i="2"/>
  <c r="H2140" i="2"/>
  <c r="G2140" i="2"/>
  <c r="F2140" i="2"/>
  <c r="H2139" i="2"/>
  <c r="G2139" i="2"/>
  <c r="F2139" i="2"/>
  <c r="H2138" i="2"/>
  <c r="G2138" i="2"/>
  <c r="F2138" i="2"/>
  <c r="H2137" i="2"/>
  <c r="G2137" i="2"/>
  <c r="F2137" i="2"/>
  <c r="H2136" i="2"/>
  <c r="G2136" i="2"/>
  <c r="F2136" i="2"/>
  <c r="H2135" i="2"/>
  <c r="G2135" i="2"/>
  <c r="F2135" i="2"/>
  <c r="H2134" i="2"/>
  <c r="G2134" i="2"/>
  <c r="F2134" i="2"/>
  <c r="H2133" i="2"/>
  <c r="G2133" i="2"/>
  <c r="F2133" i="2"/>
  <c r="H2132" i="2"/>
  <c r="G2132" i="2"/>
  <c r="F2132" i="2"/>
  <c r="H2131" i="2"/>
  <c r="G2131" i="2"/>
  <c r="F2131" i="2"/>
  <c r="H2130" i="2"/>
  <c r="G2130" i="2"/>
  <c r="F2130" i="2"/>
  <c r="H2129" i="2"/>
  <c r="G2129" i="2"/>
  <c r="F2129" i="2"/>
  <c r="H2128" i="2"/>
  <c r="G2128" i="2"/>
  <c r="F2128" i="2"/>
  <c r="H2127" i="2"/>
  <c r="G2127" i="2"/>
  <c r="F2127" i="2"/>
  <c r="H2126" i="2"/>
  <c r="G2126" i="2"/>
  <c r="F2126" i="2"/>
  <c r="H2125" i="2"/>
  <c r="G2125" i="2"/>
  <c r="F2125" i="2"/>
  <c r="H2124" i="2"/>
  <c r="G2124" i="2"/>
  <c r="F2124" i="2"/>
  <c r="H2123" i="2"/>
  <c r="G2123" i="2"/>
  <c r="F2123" i="2"/>
  <c r="H2122" i="2"/>
  <c r="G2122" i="2"/>
  <c r="F2122" i="2"/>
  <c r="H2121" i="2"/>
  <c r="G2121" i="2"/>
  <c r="F2121" i="2"/>
  <c r="H2120" i="2"/>
  <c r="G2120" i="2"/>
  <c r="F2120" i="2"/>
  <c r="H2119" i="2"/>
  <c r="G2119" i="2"/>
  <c r="F2119" i="2"/>
  <c r="H2118" i="2"/>
  <c r="G2118" i="2"/>
  <c r="F2118" i="2"/>
  <c r="H2117" i="2"/>
  <c r="G2117" i="2"/>
  <c r="F2117" i="2"/>
  <c r="H2116" i="2"/>
  <c r="G2116" i="2"/>
  <c r="F2116" i="2"/>
  <c r="H2115" i="2"/>
  <c r="G2115" i="2"/>
  <c r="F2115" i="2"/>
  <c r="H2114" i="2"/>
  <c r="G2114" i="2"/>
  <c r="F2114" i="2"/>
  <c r="H2113" i="2"/>
  <c r="G2113" i="2"/>
  <c r="F2113" i="2"/>
  <c r="H2112" i="2"/>
  <c r="G2112" i="2"/>
  <c r="F2112" i="2"/>
  <c r="H2111" i="2"/>
  <c r="G2111" i="2"/>
  <c r="F2111" i="2"/>
  <c r="H2110" i="2"/>
  <c r="G2110" i="2"/>
  <c r="F2110" i="2"/>
  <c r="H2109" i="2"/>
  <c r="G2109" i="2"/>
  <c r="F2109" i="2"/>
  <c r="H2108" i="2"/>
  <c r="G2108" i="2"/>
  <c r="F2108" i="2"/>
  <c r="H2107" i="2"/>
  <c r="G2107" i="2"/>
  <c r="F2107" i="2"/>
  <c r="H2106" i="2"/>
  <c r="G2106" i="2"/>
  <c r="F2106" i="2"/>
  <c r="H2105" i="2"/>
  <c r="G2105" i="2"/>
  <c r="F2105" i="2"/>
  <c r="H2104" i="2"/>
  <c r="G2104" i="2"/>
  <c r="F2104" i="2"/>
  <c r="H2103" i="2"/>
  <c r="G2103" i="2"/>
  <c r="F2103" i="2"/>
  <c r="H2102" i="2"/>
  <c r="G2102" i="2"/>
  <c r="F2102" i="2"/>
  <c r="H2101" i="2"/>
  <c r="G2101" i="2"/>
  <c r="F2101" i="2"/>
  <c r="H2100" i="2"/>
  <c r="G2100" i="2"/>
  <c r="F2100" i="2"/>
  <c r="H2099" i="2"/>
  <c r="G2099" i="2"/>
  <c r="F2099" i="2"/>
  <c r="H2098" i="2"/>
  <c r="G2098" i="2"/>
  <c r="F2098" i="2"/>
  <c r="H2097" i="2"/>
  <c r="G2097" i="2"/>
  <c r="F2097" i="2"/>
  <c r="H2096" i="2"/>
  <c r="G2096" i="2"/>
  <c r="F2096" i="2"/>
  <c r="H2095" i="2"/>
  <c r="G2095" i="2"/>
  <c r="F2095" i="2"/>
  <c r="H2094" i="2"/>
  <c r="G2094" i="2"/>
  <c r="F2094" i="2"/>
  <c r="H2093" i="2"/>
  <c r="G2093" i="2"/>
  <c r="F2093" i="2"/>
  <c r="H2092" i="2"/>
  <c r="G2092" i="2"/>
  <c r="F2092" i="2"/>
  <c r="H2091" i="2"/>
  <c r="G2091" i="2"/>
  <c r="F2091" i="2"/>
  <c r="H2090" i="2"/>
  <c r="G2090" i="2"/>
  <c r="F2090" i="2"/>
  <c r="H2089" i="2"/>
  <c r="G2089" i="2"/>
  <c r="F2089" i="2"/>
  <c r="H2088" i="2"/>
  <c r="G2088" i="2"/>
  <c r="F2088" i="2"/>
  <c r="H2087" i="2"/>
  <c r="G2087" i="2"/>
  <c r="F2087" i="2"/>
  <c r="H2086" i="2"/>
  <c r="G2086" i="2"/>
  <c r="F2086" i="2"/>
  <c r="H2085" i="2"/>
  <c r="G2085" i="2"/>
  <c r="F2085" i="2"/>
  <c r="H2084" i="2"/>
  <c r="G2084" i="2"/>
  <c r="F2084" i="2"/>
  <c r="H2083" i="2"/>
  <c r="G2083" i="2"/>
  <c r="F2083" i="2"/>
  <c r="H2082" i="2"/>
  <c r="G2082" i="2"/>
  <c r="F2082" i="2"/>
  <c r="H2081" i="2"/>
  <c r="G2081" i="2"/>
  <c r="F2081" i="2"/>
  <c r="H2080" i="2"/>
  <c r="G2080" i="2"/>
  <c r="F2080" i="2"/>
  <c r="H2079" i="2"/>
  <c r="G2079" i="2"/>
  <c r="F2079" i="2"/>
  <c r="H2078" i="2"/>
  <c r="G2078" i="2"/>
  <c r="F2078" i="2"/>
  <c r="H2077" i="2"/>
  <c r="G2077" i="2"/>
  <c r="F2077" i="2"/>
  <c r="H2076" i="2"/>
  <c r="G2076" i="2"/>
  <c r="F2076" i="2"/>
  <c r="H2075" i="2"/>
  <c r="G2075" i="2"/>
  <c r="F2075" i="2"/>
  <c r="H2074" i="2"/>
  <c r="G2074" i="2"/>
  <c r="F2074" i="2"/>
  <c r="H2073" i="2"/>
  <c r="G2073" i="2"/>
  <c r="F2073" i="2"/>
  <c r="H2072" i="2"/>
  <c r="G2072" i="2"/>
  <c r="F2072" i="2"/>
  <c r="H2071" i="2"/>
  <c r="G2071" i="2"/>
  <c r="F2071" i="2"/>
  <c r="H2070" i="2"/>
  <c r="G2070" i="2"/>
  <c r="F2070" i="2"/>
  <c r="H2069" i="2"/>
  <c r="G2069" i="2"/>
  <c r="F2069" i="2"/>
  <c r="H2068" i="2"/>
  <c r="G2068" i="2"/>
  <c r="F2068" i="2"/>
  <c r="H2067" i="2"/>
  <c r="G2067" i="2"/>
  <c r="F2067" i="2"/>
  <c r="H2066" i="2"/>
  <c r="G2066" i="2"/>
  <c r="F2066" i="2"/>
  <c r="H2065" i="2"/>
  <c r="G2065" i="2"/>
  <c r="F2065" i="2"/>
  <c r="H2064" i="2"/>
  <c r="G2064" i="2"/>
  <c r="F2064" i="2"/>
  <c r="H2063" i="2"/>
  <c r="G2063" i="2"/>
  <c r="F2063" i="2"/>
  <c r="H2062" i="2"/>
  <c r="G2062" i="2"/>
  <c r="F2062" i="2"/>
  <c r="H2061" i="2"/>
  <c r="G2061" i="2"/>
  <c r="F2061" i="2"/>
  <c r="H2060" i="2"/>
  <c r="G2060" i="2"/>
  <c r="F2060" i="2"/>
  <c r="H2059" i="2"/>
  <c r="G2059" i="2"/>
  <c r="F2059" i="2"/>
  <c r="H2058" i="2"/>
  <c r="G2058" i="2"/>
  <c r="F2058" i="2"/>
  <c r="H2057" i="2"/>
  <c r="G2057" i="2"/>
  <c r="F2057" i="2"/>
  <c r="H2056" i="2"/>
  <c r="G2056" i="2"/>
  <c r="F2056" i="2"/>
  <c r="H2055" i="2"/>
  <c r="G2055" i="2"/>
  <c r="F2055" i="2"/>
  <c r="H2054" i="2"/>
  <c r="G2054" i="2"/>
  <c r="F2054" i="2"/>
  <c r="H2053" i="2"/>
  <c r="G2053" i="2"/>
  <c r="F2053" i="2"/>
  <c r="H2052" i="2"/>
  <c r="G2052" i="2"/>
  <c r="F2052" i="2"/>
  <c r="H2051" i="2"/>
  <c r="G2051" i="2"/>
  <c r="F2051" i="2"/>
  <c r="H2050" i="2"/>
  <c r="G2050" i="2"/>
  <c r="F2050" i="2"/>
  <c r="H2049" i="2"/>
  <c r="G2049" i="2"/>
  <c r="F2049" i="2"/>
  <c r="H2048" i="2"/>
  <c r="G2048" i="2"/>
  <c r="F2048" i="2"/>
  <c r="H2047" i="2"/>
  <c r="G2047" i="2"/>
  <c r="F2047" i="2"/>
  <c r="H2046" i="2"/>
  <c r="G2046" i="2"/>
  <c r="F2046" i="2"/>
  <c r="H2045" i="2"/>
  <c r="G2045" i="2"/>
  <c r="F2045" i="2"/>
  <c r="H2044" i="2"/>
  <c r="G2044" i="2"/>
  <c r="F2044" i="2"/>
  <c r="H2043" i="2"/>
  <c r="G2043" i="2"/>
  <c r="F2043" i="2"/>
  <c r="H2042" i="2"/>
  <c r="G2042" i="2"/>
  <c r="F2042" i="2"/>
  <c r="H2041" i="2"/>
  <c r="G2041" i="2"/>
  <c r="F2041" i="2"/>
  <c r="H2040" i="2"/>
  <c r="G2040" i="2"/>
  <c r="F2040" i="2"/>
  <c r="H2039" i="2"/>
  <c r="G2039" i="2"/>
  <c r="F2039" i="2"/>
  <c r="H2038" i="2"/>
  <c r="G2038" i="2"/>
  <c r="F2038" i="2"/>
  <c r="H2037" i="2"/>
  <c r="G2037" i="2"/>
  <c r="F2037" i="2"/>
  <c r="H2036" i="2"/>
  <c r="G2036" i="2"/>
  <c r="F2036" i="2"/>
  <c r="H2035" i="2"/>
  <c r="G2035" i="2"/>
  <c r="F2035" i="2"/>
  <c r="H2034" i="2"/>
  <c r="G2034" i="2"/>
  <c r="F2034" i="2"/>
  <c r="H2033" i="2"/>
  <c r="G2033" i="2"/>
  <c r="F2033" i="2"/>
  <c r="H2032" i="2"/>
  <c r="G2032" i="2"/>
  <c r="F2032" i="2"/>
  <c r="H2031" i="2"/>
  <c r="G2031" i="2"/>
  <c r="F2031" i="2"/>
  <c r="H2030" i="2"/>
  <c r="G2030" i="2"/>
  <c r="F2030" i="2"/>
  <c r="H2029" i="2"/>
  <c r="G2029" i="2"/>
  <c r="F2029" i="2"/>
  <c r="H2028" i="2"/>
  <c r="G2028" i="2"/>
  <c r="F2028" i="2"/>
  <c r="H2027" i="2"/>
  <c r="G2027" i="2"/>
  <c r="F2027" i="2"/>
  <c r="H2026" i="2"/>
  <c r="G2026" i="2"/>
  <c r="F2026" i="2"/>
  <c r="H2025" i="2"/>
  <c r="G2025" i="2"/>
  <c r="F2025" i="2"/>
  <c r="H2024" i="2"/>
  <c r="G2024" i="2"/>
  <c r="F2024" i="2"/>
  <c r="H2023" i="2"/>
  <c r="G2023" i="2"/>
  <c r="F2023" i="2"/>
  <c r="H2022" i="2"/>
  <c r="G2022" i="2"/>
  <c r="F2022" i="2"/>
  <c r="H2021" i="2"/>
  <c r="G2021" i="2"/>
  <c r="F2021" i="2"/>
  <c r="H2020" i="2"/>
  <c r="G2020" i="2"/>
  <c r="F2020" i="2"/>
  <c r="H2019" i="2"/>
  <c r="G2019" i="2"/>
  <c r="F2019" i="2"/>
  <c r="H2018" i="2"/>
  <c r="G2018" i="2"/>
  <c r="F2018" i="2"/>
  <c r="H2017" i="2"/>
  <c r="G2017" i="2"/>
  <c r="F2017" i="2"/>
  <c r="H2016" i="2"/>
  <c r="G2016" i="2"/>
  <c r="F2016" i="2"/>
  <c r="H2015" i="2"/>
  <c r="G2015" i="2"/>
  <c r="F2015" i="2"/>
  <c r="H2014" i="2"/>
  <c r="G2014" i="2"/>
  <c r="F2014" i="2"/>
  <c r="H2013" i="2"/>
  <c r="G2013" i="2"/>
  <c r="F2013" i="2"/>
  <c r="H2012" i="2"/>
  <c r="G2012" i="2"/>
  <c r="F2012" i="2"/>
  <c r="H2011" i="2"/>
  <c r="G2011" i="2"/>
  <c r="F2011" i="2"/>
  <c r="H2010" i="2"/>
  <c r="G2010" i="2"/>
  <c r="F2010" i="2"/>
  <c r="H2009" i="2"/>
  <c r="G2009" i="2"/>
  <c r="F2009" i="2"/>
  <c r="H2008" i="2"/>
  <c r="G2008" i="2"/>
  <c r="F2008" i="2"/>
  <c r="H2007" i="2"/>
  <c r="G2007" i="2"/>
  <c r="F2007" i="2"/>
  <c r="H2006" i="2"/>
  <c r="G2006" i="2"/>
  <c r="F2006" i="2"/>
  <c r="H2005" i="2"/>
  <c r="G2005" i="2"/>
  <c r="F2005" i="2"/>
  <c r="H2004" i="2"/>
  <c r="G2004" i="2"/>
  <c r="F2004" i="2"/>
  <c r="H2003" i="2"/>
  <c r="G2003" i="2"/>
  <c r="F2003" i="2"/>
  <c r="H2002" i="2"/>
  <c r="G2002" i="2"/>
  <c r="F2002" i="2"/>
  <c r="H2001" i="2"/>
  <c r="G2001" i="2"/>
  <c r="F2001" i="2"/>
  <c r="H2000" i="2"/>
  <c r="G2000" i="2"/>
  <c r="F2000" i="2"/>
  <c r="H1999" i="2"/>
  <c r="G1999" i="2"/>
  <c r="F1999" i="2"/>
  <c r="H1998" i="2"/>
  <c r="G1998" i="2"/>
  <c r="F1998" i="2"/>
  <c r="H1997" i="2"/>
  <c r="G1997" i="2"/>
  <c r="F1997" i="2"/>
  <c r="H1996" i="2"/>
  <c r="G1996" i="2"/>
  <c r="F1996" i="2"/>
  <c r="H1995" i="2"/>
  <c r="G1995" i="2"/>
  <c r="F1995" i="2"/>
  <c r="H1994" i="2"/>
  <c r="G1994" i="2"/>
  <c r="F1994" i="2"/>
  <c r="H1993" i="2"/>
  <c r="G1993" i="2"/>
  <c r="F1993" i="2"/>
  <c r="H1992" i="2"/>
  <c r="G1992" i="2"/>
  <c r="F1992" i="2"/>
  <c r="H1991" i="2"/>
  <c r="G1991" i="2"/>
  <c r="F1991" i="2"/>
  <c r="H1990" i="2"/>
  <c r="G1990" i="2"/>
  <c r="F1990" i="2"/>
  <c r="H1989" i="2"/>
  <c r="G1989" i="2"/>
  <c r="F1989" i="2"/>
  <c r="H1988" i="2"/>
  <c r="G1988" i="2"/>
  <c r="F1988" i="2"/>
  <c r="H1987" i="2"/>
  <c r="G1987" i="2"/>
  <c r="F1987" i="2"/>
  <c r="H1986" i="2"/>
  <c r="G1986" i="2"/>
  <c r="F1986" i="2"/>
  <c r="H1985" i="2"/>
  <c r="G1985" i="2"/>
  <c r="F1985" i="2"/>
  <c r="H1984" i="2"/>
  <c r="G1984" i="2"/>
  <c r="F1984" i="2"/>
  <c r="H1983" i="2"/>
  <c r="G1983" i="2"/>
  <c r="F1983" i="2"/>
  <c r="H1982" i="2"/>
  <c r="G1982" i="2"/>
  <c r="F1982" i="2"/>
  <c r="H1981" i="2"/>
  <c r="G1981" i="2"/>
  <c r="F1981" i="2"/>
  <c r="H1980" i="2"/>
  <c r="G1980" i="2"/>
  <c r="F1980" i="2"/>
  <c r="H1979" i="2"/>
  <c r="G1979" i="2"/>
  <c r="F1979" i="2"/>
  <c r="H1978" i="2"/>
  <c r="G1978" i="2"/>
  <c r="F1978" i="2"/>
  <c r="H1977" i="2"/>
  <c r="G1977" i="2"/>
  <c r="F1977" i="2"/>
  <c r="H1976" i="2"/>
  <c r="G1976" i="2"/>
  <c r="F1976" i="2"/>
  <c r="H1975" i="2"/>
  <c r="G1975" i="2"/>
  <c r="F1975" i="2"/>
  <c r="H1974" i="2"/>
  <c r="G1974" i="2"/>
  <c r="F1974" i="2"/>
  <c r="H1973" i="2"/>
  <c r="G1973" i="2"/>
  <c r="F1973" i="2"/>
  <c r="H1972" i="2"/>
  <c r="G1972" i="2"/>
  <c r="F1972" i="2"/>
  <c r="H1971" i="2"/>
  <c r="G1971" i="2"/>
  <c r="F1971" i="2"/>
  <c r="H1970" i="2"/>
  <c r="G1970" i="2"/>
  <c r="F1970" i="2"/>
  <c r="H1969" i="2"/>
  <c r="G1969" i="2"/>
  <c r="F1969" i="2"/>
  <c r="H1968" i="2"/>
  <c r="G1968" i="2"/>
  <c r="F1968" i="2"/>
  <c r="H1967" i="2"/>
  <c r="G1967" i="2"/>
  <c r="F1967" i="2"/>
  <c r="H1966" i="2"/>
  <c r="G1966" i="2"/>
  <c r="F1966" i="2"/>
  <c r="H1965" i="2"/>
  <c r="G1965" i="2"/>
  <c r="F1965" i="2"/>
  <c r="H1964" i="2"/>
  <c r="G1964" i="2"/>
  <c r="F1964" i="2"/>
  <c r="H1963" i="2"/>
  <c r="G1963" i="2"/>
  <c r="F1963" i="2"/>
  <c r="H1962" i="2"/>
  <c r="G1962" i="2"/>
  <c r="F1962" i="2"/>
  <c r="H1961" i="2"/>
  <c r="G1961" i="2"/>
  <c r="F1961" i="2"/>
  <c r="H1960" i="2"/>
  <c r="G1960" i="2"/>
  <c r="F1960" i="2"/>
  <c r="H1959" i="2"/>
  <c r="G1959" i="2"/>
  <c r="F1959" i="2"/>
  <c r="H1958" i="2"/>
  <c r="G1958" i="2"/>
  <c r="F1958" i="2"/>
  <c r="H1957" i="2"/>
  <c r="G1957" i="2"/>
  <c r="F1957" i="2"/>
  <c r="H1956" i="2"/>
  <c r="G1956" i="2"/>
  <c r="F1956" i="2"/>
  <c r="H1955" i="2"/>
  <c r="G1955" i="2"/>
  <c r="F1955" i="2"/>
  <c r="H1954" i="2"/>
  <c r="G1954" i="2"/>
  <c r="F1954" i="2"/>
  <c r="H1953" i="2"/>
  <c r="G1953" i="2"/>
  <c r="F1953" i="2"/>
  <c r="H1952" i="2"/>
  <c r="G1952" i="2"/>
  <c r="F1952" i="2"/>
  <c r="H1951" i="2"/>
  <c r="G1951" i="2"/>
  <c r="F1951" i="2"/>
  <c r="H1950" i="2"/>
  <c r="G1950" i="2"/>
  <c r="F1950" i="2"/>
  <c r="H1949" i="2"/>
  <c r="G1949" i="2"/>
  <c r="F1949" i="2"/>
  <c r="H1948" i="2"/>
  <c r="G1948" i="2"/>
  <c r="F1948" i="2"/>
  <c r="H1947" i="2"/>
  <c r="G1947" i="2"/>
  <c r="F1947" i="2"/>
  <c r="H1946" i="2"/>
  <c r="G1946" i="2"/>
  <c r="F1946" i="2"/>
  <c r="H1945" i="2"/>
  <c r="G1945" i="2"/>
  <c r="F1945" i="2"/>
  <c r="H1944" i="2"/>
  <c r="G1944" i="2"/>
  <c r="F1944" i="2"/>
  <c r="H1943" i="2"/>
  <c r="G1943" i="2"/>
  <c r="F1943" i="2"/>
  <c r="H1942" i="2"/>
  <c r="G1942" i="2"/>
  <c r="F1942" i="2"/>
  <c r="H1941" i="2"/>
  <c r="G1941" i="2"/>
  <c r="F1941" i="2"/>
  <c r="H1940" i="2"/>
  <c r="G1940" i="2"/>
  <c r="F1940" i="2"/>
  <c r="H1939" i="2"/>
  <c r="G1939" i="2"/>
  <c r="F1939" i="2"/>
  <c r="H1938" i="2"/>
  <c r="G1938" i="2"/>
  <c r="F1938" i="2"/>
  <c r="H1937" i="2"/>
  <c r="G1937" i="2"/>
  <c r="F1937" i="2"/>
  <c r="H1936" i="2"/>
  <c r="G1936" i="2"/>
  <c r="F1936" i="2"/>
  <c r="H1935" i="2"/>
  <c r="G1935" i="2"/>
  <c r="F1935" i="2"/>
  <c r="H1934" i="2"/>
  <c r="G1934" i="2"/>
  <c r="F1934" i="2"/>
  <c r="H1933" i="2"/>
  <c r="G1933" i="2"/>
  <c r="F1933" i="2"/>
  <c r="H1932" i="2"/>
  <c r="G1932" i="2"/>
  <c r="F1932" i="2"/>
  <c r="H1931" i="2"/>
  <c r="G1931" i="2"/>
  <c r="F1931" i="2"/>
  <c r="H1930" i="2"/>
  <c r="G1930" i="2"/>
  <c r="F1930" i="2"/>
  <c r="H1929" i="2"/>
  <c r="G1929" i="2"/>
  <c r="F1929" i="2"/>
  <c r="H1928" i="2"/>
  <c r="G1928" i="2"/>
  <c r="F1928" i="2"/>
  <c r="H1927" i="2"/>
  <c r="G1927" i="2"/>
  <c r="F1927" i="2"/>
  <c r="H1926" i="2"/>
  <c r="G1926" i="2"/>
  <c r="F1926" i="2"/>
  <c r="H1925" i="2"/>
  <c r="G1925" i="2"/>
  <c r="F1925" i="2"/>
  <c r="H1924" i="2"/>
  <c r="G1924" i="2"/>
  <c r="F1924" i="2"/>
  <c r="H1923" i="2"/>
  <c r="G1923" i="2"/>
  <c r="F1923" i="2"/>
  <c r="H1922" i="2"/>
  <c r="G1922" i="2"/>
  <c r="F1922" i="2"/>
  <c r="H1921" i="2"/>
  <c r="G1921" i="2"/>
  <c r="F1921" i="2"/>
  <c r="H1920" i="2"/>
  <c r="G1920" i="2"/>
  <c r="F1920" i="2"/>
  <c r="H1919" i="2"/>
  <c r="G1919" i="2"/>
  <c r="F1919" i="2"/>
  <c r="H1918" i="2"/>
  <c r="G1918" i="2"/>
  <c r="F1918" i="2"/>
  <c r="H1917" i="2"/>
  <c r="G1917" i="2"/>
  <c r="F1917" i="2"/>
  <c r="H1916" i="2"/>
  <c r="G1916" i="2"/>
  <c r="F1916" i="2"/>
  <c r="H1915" i="2"/>
  <c r="G1915" i="2"/>
  <c r="F1915" i="2"/>
  <c r="H1914" i="2"/>
  <c r="G1914" i="2"/>
  <c r="F1914" i="2"/>
  <c r="H1913" i="2"/>
  <c r="G1913" i="2"/>
  <c r="F1913" i="2"/>
  <c r="H1912" i="2"/>
  <c r="G1912" i="2"/>
  <c r="F1912" i="2"/>
  <c r="H1911" i="2"/>
  <c r="G1911" i="2"/>
  <c r="F1911" i="2"/>
  <c r="H1910" i="2"/>
  <c r="G1910" i="2"/>
  <c r="F1910" i="2"/>
  <c r="H1909" i="2"/>
  <c r="G1909" i="2"/>
  <c r="F1909" i="2"/>
  <c r="H1908" i="2"/>
  <c r="G1908" i="2"/>
  <c r="F1908" i="2"/>
  <c r="H1907" i="2"/>
  <c r="G1907" i="2"/>
  <c r="F1907" i="2"/>
  <c r="H1906" i="2"/>
  <c r="G1906" i="2"/>
  <c r="F1906" i="2"/>
  <c r="H1905" i="2"/>
  <c r="G1905" i="2"/>
  <c r="F1905" i="2"/>
  <c r="H1904" i="2"/>
  <c r="G1904" i="2"/>
  <c r="F1904" i="2"/>
  <c r="H1903" i="2"/>
  <c r="G1903" i="2"/>
  <c r="F1903" i="2"/>
  <c r="H1902" i="2"/>
  <c r="G1902" i="2"/>
  <c r="F1902" i="2"/>
  <c r="H1901" i="2"/>
  <c r="G1901" i="2"/>
  <c r="F1901" i="2"/>
  <c r="H1900" i="2"/>
  <c r="G1900" i="2"/>
  <c r="F1900" i="2"/>
  <c r="H1899" i="2"/>
  <c r="G1899" i="2"/>
  <c r="F1899" i="2"/>
  <c r="H1898" i="2"/>
  <c r="G1898" i="2"/>
  <c r="F1898" i="2"/>
  <c r="H1897" i="2"/>
  <c r="G1897" i="2"/>
  <c r="F1897" i="2"/>
  <c r="H1896" i="2"/>
  <c r="G1896" i="2"/>
  <c r="F1896" i="2"/>
  <c r="H1895" i="2"/>
  <c r="G1895" i="2"/>
  <c r="F1895" i="2"/>
  <c r="H1894" i="2"/>
  <c r="G1894" i="2"/>
  <c r="F1894" i="2"/>
  <c r="H1893" i="2"/>
  <c r="G1893" i="2"/>
  <c r="F1893" i="2"/>
  <c r="H1892" i="2"/>
  <c r="G1892" i="2"/>
  <c r="F1892" i="2"/>
  <c r="H1891" i="2"/>
  <c r="G1891" i="2"/>
  <c r="F1891" i="2"/>
  <c r="H1890" i="2"/>
  <c r="G1890" i="2"/>
  <c r="F1890" i="2"/>
  <c r="H1889" i="2"/>
  <c r="G1889" i="2"/>
  <c r="F1889" i="2"/>
  <c r="H1888" i="2"/>
  <c r="G1888" i="2"/>
  <c r="F1888" i="2"/>
  <c r="H1887" i="2"/>
  <c r="G1887" i="2"/>
  <c r="F1887" i="2"/>
  <c r="H1886" i="2"/>
  <c r="G1886" i="2"/>
  <c r="F1886" i="2"/>
  <c r="H1885" i="2"/>
  <c r="G1885" i="2"/>
  <c r="F1885" i="2"/>
  <c r="H1884" i="2"/>
  <c r="G1884" i="2"/>
  <c r="F1884" i="2"/>
  <c r="H1883" i="2"/>
  <c r="G1883" i="2"/>
  <c r="F1883" i="2"/>
  <c r="H1882" i="2"/>
  <c r="G1882" i="2"/>
  <c r="F1882" i="2"/>
  <c r="H1881" i="2"/>
  <c r="G1881" i="2"/>
  <c r="F1881" i="2"/>
  <c r="H1880" i="2"/>
  <c r="G1880" i="2"/>
  <c r="F1880" i="2"/>
  <c r="H1879" i="2"/>
  <c r="G1879" i="2"/>
  <c r="F1879" i="2"/>
  <c r="H1878" i="2"/>
  <c r="G1878" i="2"/>
  <c r="F1878" i="2"/>
  <c r="H1877" i="2"/>
  <c r="G1877" i="2"/>
  <c r="F1877" i="2"/>
  <c r="H1876" i="2"/>
  <c r="G1876" i="2"/>
  <c r="F1876" i="2"/>
  <c r="H1875" i="2"/>
  <c r="G1875" i="2"/>
  <c r="F1875" i="2"/>
  <c r="H1874" i="2"/>
  <c r="G1874" i="2"/>
  <c r="F1874" i="2"/>
  <c r="H1873" i="2"/>
  <c r="G1873" i="2"/>
  <c r="F1873" i="2"/>
  <c r="H1872" i="2"/>
  <c r="G1872" i="2"/>
  <c r="F1872" i="2"/>
  <c r="H1871" i="2"/>
  <c r="G1871" i="2"/>
  <c r="F1871" i="2"/>
  <c r="H1870" i="2"/>
  <c r="G1870" i="2"/>
  <c r="F1870" i="2"/>
  <c r="H1869" i="2"/>
  <c r="G1869" i="2"/>
  <c r="F1869" i="2"/>
  <c r="H1868" i="2"/>
  <c r="G1868" i="2"/>
  <c r="F1868" i="2"/>
  <c r="H1867" i="2"/>
  <c r="G1867" i="2"/>
  <c r="F1867" i="2"/>
  <c r="H1866" i="2"/>
  <c r="G1866" i="2"/>
  <c r="F1866" i="2"/>
  <c r="H1865" i="2"/>
  <c r="G1865" i="2"/>
  <c r="F1865" i="2"/>
  <c r="H1864" i="2"/>
  <c r="G1864" i="2"/>
  <c r="F1864" i="2"/>
  <c r="H1863" i="2"/>
  <c r="G1863" i="2"/>
  <c r="F1863" i="2"/>
  <c r="H1862" i="2"/>
  <c r="G1862" i="2"/>
  <c r="F1862" i="2"/>
  <c r="H1861" i="2"/>
  <c r="G1861" i="2"/>
  <c r="F1861" i="2"/>
  <c r="H1860" i="2"/>
  <c r="G1860" i="2"/>
  <c r="F1860" i="2"/>
  <c r="H1859" i="2"/>
  <c r="G1859" i="2"/>
  <c r="F1859" i="2"/>
  <c r="H1858" i="2"/>
  <c r="G1858" i="2"/>
  <c r="F1858" i="2"/>
  <c r="H1857" i="2"/>
  <c r="G1857" i="2"/>
  <c r="F1857" i="2"/>
  <c r="H1856" i="2"/>
  <c r="G1856" i="2"/>
  <c r="F1856" i="2"/>
  <c r="H1855" i="2"/>
  <c r="G1855" i="2"/>
  <c r="F1855" i="2"/>
  <c r="H1854" i="2"/>
  <c r="G1854" i="2"/>
  <c r="F1854" i="2"/>
  <c r="H1853" i="2"/>
  <c r="G1853" i="2"/>
  <c r="F1853" i="2"/>
  <c r="H1852" i="2"/>
  <c r="G1852" i="2"/>
  <c r="F1852" i="2"/>
  <c r="H1851" i="2"/>
  <c r="G1851" i="2"/>
  <c r="F1851" i="2"/>
  <c r="H1850" i="2"/>
  <c r="G1850" i="2"/>
  <c r="F1850" i="2"/>
  <c r="H1849" i="2"/>
  <c r="G1849" i="2"/>
  <c r="F1849" i="2"/>
  <c r="H1848" i="2"/>
  <c r="G1848" i="2"/>
  <c r="F1848" i="2"/>
  <c r="H1847" i="2"/>
  <c r="G1847" i="2"/>
  <c r="F1847" i="2"/>
  <c r="H1846" i="2"/>
  <c r="G1846" i="2"/>
  <c r="F1846" i="2"/>
  <c r="H1845" i="2"/>
  <c r="G1845" i="2"/>
  <c r="F1845" i="2"/>
  <c r="H1844" i="2"/>
  <c r="G1844" i="2"/>
  <c r="F1844" i="2"/>
  <c r="H1843" i="2"/>
  <c r="G1843" i="2"/>
  <c r="F1843" i="2"/>
  <c r="H1842" i="2"/>
  <c r="G1842" i="2"/>
  <c r="F1842" i="2"/>
  <c r="H1841" i="2"/>
  <c r="G1841" i="2"/>
  <c r="F1841" i="2"/>
  <c r="H1840" i="2"/>
  <c r="G1840" i="2"/>
  <c r="F1840" i="2"/>
  <c r="H1839" i="2"/>
  <c r="G1839" i="2"/>
  <c r="F1839" i="2"/>
  <c r="H1838" i="2"/>
  <c r="G1838" i="2"/>
  <c r="F1838" i="2"/>
  <c r="H1837" i="2"/>
  <c r="G1837" i="2"/>
  <c r="F1837" i="2"/>
  <c r="H1836" i="2"/>
  <c r="G1836" i="2"/>
  <c r="F1836" i="2"/>
  <c r="H1835" i="2"/>
  <c r="G1835" i="2"/>
  <c r="F1835" i="2"/>
  <c r="H1834" i="2"/>
  <c r="G1834" i="2"/>
  <c r="F1834" i="2"/>
  <c r="H1833" i="2"/>
  <c r="G1833" i="2"/>
  <c r="F1833" i="2"/>
  <c r="H1832" i="2"/>
  <c r="G1832" i="2"/>
  <c r="F1832" i="2"/>
  <c r="H1831" i="2"/>
  <c r="G1831" i="2"/>
  <c r="F1831" i="2"/>
  <c r="H1830" i="2"/>
  <c r="G1830" i="2"/>
  <c r="F1830" i="2"/>
  <c r="H1829" i="2"/>
  <c r="G1829" i="2"/>
  <c r="F1829" i="2"/>
  <c r="H1828" i="2"/>
  <c r="G1828" i="2"/>
  <c r="F1828" i="2"/>
  <c r="H1827" i="2"/>
  <c r="G1827" i="2"/>
  <c r="F1827" i="2"/>
  <c r="H1826" i="2"/>
  <c r="G1826" i="2"/>
  <c r="F1826" i="2"/>
  <c r="H1825" i="2"/>
  <c r="G1825" i="2"/>
  <c r="F1825" i="2"/>
  <c r="H1824" i="2"/>
  <c r="G1824" i="2"/>
  <c r="F1824" i="2"/>
  <c r="H1823" i="2"/>
  <c r="G1823" i="2"/>
  <c r="F1823" i="2"/>
  <c r="H1822" i="2"/>
  <c r="G1822" i="2"/>
  <c r="F1822" i="2"/>
  <c r="H1821" i="2"/>
  <c r="G1821" i="2"/>
  <c r="F1821" i="2"/>
  <c r="H1820" i="2"/>
  <c r="G1820" i="2"/>
  <c r="F1820" i="2"/>
  <c r="H1819" i="2"/>
  <c r="G1819" i="2"/>
  <c r="F1819" i="2"/>
  <c r="H1818" i="2"/>
  <c r="G1818" i="2"/>
  <c r="F1818" i="2"/>
  <c r="H1817" i="2"/>
  <c r="G1817" i="2"/>
  <c r="F1817" i="2"/>
  <c r="H1816" i="2"/>
  <c r="G1816" i="2"/>
  <c r="F1816" i="2"/>
  <c r="H1815" i="2"/>
  <c r="G1815" i="2"/>
  <c r="F1815" i="2"/>
  <c r="H1814" i="2"/>
  <c r="G1814" i="2"/>
  <c r="F1814" i="2"/>
  <c r="H1813" i="2"/>
  <c r="G1813" i="2"/>
  <c r="F1813" i="2"/>
  <c r="H1812" i="2"/>
  <c r="G1812" i="2"/>
  <c r="F1812" i="2"/>
  <c r="H1811" i="2"/>
  <c r="G1811" i="2"/>
  <c r="F1811" i="2"/>
  <c r="H1810" i="2"/>
  <c r="G1810" i="2"/>
  <c r="F1810" i="2"/>
  <c r="H1809" i="2"/>
  <c r="G1809" i="2"/>
  <c r="F1809" i="2"/>
  <c r="H1808" i="2"/>
  <c r="G1808" i="2"/>
  <c r="F1808" i="2"/>
  <c r="H1807" i="2"/>
  <c r="G1807" i="2"/>
  <c r="F1807" i="2"/>
  <c r="H1806" i="2"/>
  <c r="G1806" i="2"/>
  <c r="F1806" i="2"/>
  <c r="H1805" i="2"/>
  <c r="G1805" i="2"/>
  <c r="F1805" i="2"/>
  <c r="H1804" i="2"/>
  <c r="G1804" i="2"/>
  <c r="F1804" i="2"/>
  <c r="H1803" i="2"/>
  <c r="G1803" i="2"/>
  <c r="F1803" i="2"/>
  <c r="H1802" i="2"/>
  <c r="G1802" i="2"/>
  <c r="F1802" i="2"/>
  <c r="H1801" i="2"/>
  <c r="G1801" i="2"/>
  <c r="F1801" i="2"/>
  <c r="H1800" i="2"/>
  <c r="G1800" i="2"/>
  <c r="F1800" i="2"/>
  <c r="H1799" i="2"/>
  <c r="G1799" i="2"/>
  <c r="F1799" i="2"/>
  <c r="H1798" i="2"/>
  <c r="G1798" i="2"/>
  <c r="F1798" i="2"/>
  <c r="H1797" i="2"/>
  <c r="G1797" i="2"/>
  <c r="F1797" i="2"/>
  <c r="H1796" i="2"/>
  <c r="G1796" i="2"/>
  <c r="F1796" i="2"/>
  <c r="H1795" i="2"/>
  <c r="G1795" i="2"/>
  <c r="F1795" i="2"/>
  <c r="H1794" i="2"/>
  <c r="G1794" i="2"/>
  <c r="F1794" i="2"/>
  <c r="H1793" i="2"/>
  <c r="G1793" i="2"/>
  <c r="F1793" i="2"/>
  <c r="H1792" i="2"/>
  <c r="G1792" i="2"/>
  <c r="F1792" i="2"/>
  <c r="H1791" i="2"/>
  <c r="G1791" i="2"/>
  <c r="F1791" i="2"/>
  <c r="H1790" i="2"/>
  <c r="G1790" i="2"/>
  <c r="F1790" i="2"/>
  <c r="H1789" i="2"/>
  <c r="G1789" i="2"/>
  <c r="F1789" i="2"/>
  <c r="H1788" i="2"/>
  <c r="G1788" i="2"/>
  <c r="F1788" i="2"/>
  <c r="H1787" i="2"/>
  <c r="G1787" i="2"/>
  <c r="F1787" i="2"/>
  <c r="H1786" i="2"/>
  <c r="G1786" i="2"/>
  <c r="F1786" i="2"/>
  <c r="H1785" i="2"/>
  <c r="G1785" i="2"/>
  <c r="F1785" i="2"/>
  <c r="H1784" i="2"/>
  <c r="G1784" i="2"/>
  <c r="F1784" i="2"/>
  <c r="H1783" i="2"/>
  <c r="G1783" i="2"/>
  <c r="F1783" i="2"/>
  <c r="H1782" i="2"/>
  <c r="G1782" i="2"/>
  <c r="F1782" i="2"/>
  <c r="H1781" i="2"/>
  <c r="G1781" i="2"/>
  <c r="F1781" i="2"/>
  <c r="H1780" i="2"/>
  <c r="G1780" i="2"/>
  <c r="F1780" i="2"/>
  <c r="H1779" i="2"/>
  <c r="G1779" i="2"/>
  <c r="F1779" i="2"/>
  <c r="H1778" i="2"/>
  <c r="G1778" i="2"/>
  <c r="F1778" i="2"/>
  <c r="H1777" i="2"/>
  <c r="G1777" i="2"/>
  <c r="F1777" i="2"/>
  <c r="H1776" i="2"/>
  <c r="G1776" i="2"/>
  <c r="F1776" i="2"/>
  <c r="H1775" i="2"/>
  <c r="G1775" i="2"/>
  <c r="F1775" i="2"/>
  <c r="H1774" i="2"/>
  <c r="G1774" i="2"/>
  <c r="F1774" i="2"/>
  <c r="H1773" i="2"/>
  <c r="G1773" i="2"/>
  <c r="F1773" i="2"/>
  <c r="H1772" i="2"/>
  <c r="G1772" i="2"/>
  <c r="F1772" i="2"/>
  <c r="H1771" i="2"/>
  <c r="G1771" i="2"/>
  <c r="F1771" i="2"/>
  <c r="H1770" i="2"/>
  <c r="G1770" i="2"/>
  <c r="F1770" i="2"/>
  <c r="H1769" i="2"/>
  <c r="G1769" i="2"/>
  <c r="F1769" i="2"/>
  <c r="H1768" i="2"/>
  <c r="G1768" i="2"/>
  <c r="F1768" i="2"/>
  <c r="H1767" i="2"/>
  <c r="G1767" i="2"/>
  <c r="F1767" i="2"/>
  <c r="H1766" i="2"/>
  <c r="G1766" i="2"/>
  <c r="F1766" i="2"/>
  <c r="H1765" i="2"/>
  <c r="G1765" i="2"/>
  <c r="F1765" i="2"/>
  <c r="H1764" i="2"/>
  <c r="G1764" i="2"/>
  <c r="F1764" i="2"/>
  <c r="H1763" i="2"/>
  <c r="G1763" i="2"/>
  <c r="F1763" i="2"/>
  <c r="H1762" i="2"/>
  <c r="G1762" i="2"/>
  <c r="F1762" i="2"/>
  <c r="H1761" i="2"/>
  <c r="G1761" i="2"/>
  <c r="F1761" i="2"/>
  <c r="H1760" i="2"/>
  <c r="G1760" i="2"/>
  <c r="F1760" i="2"/>
  <c r="H1759" i="2"/>
  <c r="G1759" i="2"/>
  <c r="F1759" i="2"/>
  <c r="H1758" i="2"/>
  <c r="G1758" i="2"/>
  <c r="F1758" i="2"/>
  <c r="H1757" i="2"/>
  <c r="G1757" i="2"/>
  <c r="F1757" i="2"/>
  <c r="H1756" i="2"/>
  <c r="G1756" i="2"/>
  <c r="F1756" i="2"/>
  <c r="H1755" i="2"/>
  <c r="G1755" i="2"/>
  <c r="F1755" i="2"/>
  <c r="H1754" i="2"/>
  <c r="G1754" i="2"/>
  <c r="F1754" i="2"/>
  <c r="H1753" i="2"/>
  <c r="G1753" i="2"/>
  <c r="F1753" i="2"/>
  <c r="H1752" i="2"/>
  <c r="G1752" i="2"/>
  <c r="F1752" i="2"/>
  <c r="H1751" i="2"/>
  <c r="G1751" i="2"/>
  <c r="F1751" i="2"/>
  <c r="H1750" i="2"/>
  <c r="G1750" i="2"/>
  <c r="F1750" i="2"/>
  <c r="H1749" i="2"/>
  <c r="G1749" i="2"/>
  <c r="F1749" i="2"/>
  <c r="H1748" i="2"/>
  <c r="G1748" i="2"/>
  <c r="F1748" i="2"/>
  <c r="H1747" i="2"/>
  <c r="G1747" i="2"/>
  <c r="F1747" i="2"/>
  <c r="H1746" i="2"/>
  <c r="G1746" i="2"/>
  <c r="F1746" i="2"/>
  <c r="H1745" i="2"/>
  <c r="G1745" i="2"/>
  <c r="F1745" i="2"/>
  <c r="H1744" i="2"/>
  <c r="G1744" i="2"/>
  <c r="F1744" i="2"/>
  <c r="H1743" i="2"/>
  <c r="G1743" i="2"/>
  <c r="F1743" i="2"/>
  <c r="H1742" i="2"/>
  <c r="G1742" i="2"/>
  <c r="F1742" i="2"/>
  <c r="H1741" i="2"/>
  <c r="G1741" i="2"/>
  <c r="F1741" i="2"/>
  <c r="H1740" i="2"/>
  <c r="G1740" i="2"/>
  <c r="F1740" i="2"/>
  <c r="H1739" i="2"/>
  <c r="G1739" i="2"/>
  <c r="F1739" i="2"/>
  <c r="H1738" i="2"/>
  <c r="G1738" i="2"/>
  <c r="F1738" i="2"/>
  <c r="H1737" i="2"/>
  <c r="G1737" i="2"/>
  <c r="F1737" i="2"/>
  <c r="H1736" i="2"/>
  <c r="G1736" i="2"/>
  <c r="F1736" i="2"/>
  <c r="H1735" i="2"/>
  <c r="G1735" i="2"/>
  <c r="F1735" i="2"/>
  <c r="H1734" i="2"/>
  <c r="G1734" i="2"/>
  <c r="F1734" i="2"/>
  <c r="H1733" i="2"/>
  <c r="G1733" i="2"/>
  <c r="F1733" i="2"/>
  <c r="H1732" i="2"/>
  <c r="G1732" i="2"/>
  <c r="F1732" i="2"/>
  <c r="H1731" i="2"/>
  <c r="G1731" i="2"/>
  <c r="F1731" i="2"/>
  <c r="H1730" i="2"/>
  <c r="G1730" i="2"/>
  <c r="F1730" i="2"/>
  <c r="H1729" i="2"/>
  <c r="G1729" i="2"/>
  <c r="F1729" i="2"/>
  <c r="H1728" i="2"/>
  <c r="G1728" i="2"/>
  <c r="F1728" i="2"/>
  <c r="H1727" i="2"/>
  <c r="G1727" i="2"/>
  <c r="F1727" i="2"/>
  <c r="H1726" i="2"/>
  <c r="G1726" i="2"/>
  <c r="F1726" i="2"/>
  <c r="H1725" i="2"/>
  <c r="G1725" i="2"/>
  <c r="F1725" i="2"/>
  <c r="H1724" i="2"/>
  <c r="G1724" i="2"/>
  <c r="F1724" i="2"/>
  <c r="H1723" i="2"/>
  <c r="G1723" i="2"/>
  <c r="F1723" i="2"/>
  <c r="H1722" i="2"/>
  <c r="G1722" i="2"/>
  <c r="F1722" i="2"/>
  <c r="H1721" i="2"/>
  <c r="G1721" i="2"/>
  <c r="F1721" i="2"/>
  <c r="H1720" i="2"/>
  <c r="G1720" i="2"/>
  <c r="F1720" i="2"/>
  <c r="H1719" i="2"/>
  <c r="G1719" i="2"/>
  <c r="F1719" i="2"/>
  <c r="H1718" i="2"/>
  <c r="G1718" i="2"/>
  <c r="F1718" i="2"/>
  <c r="H1717" i="2"/>
  <c r="G1717" i="2"/>
  <c r="F1717" i="2"/>
  <c r="H1716" i="2"/>
  <c r="G1716" i="2"/>
  <c r="F1716" i="2"/>
  <c r="H1715" i="2"/>
  <c r="G1715" i="2"/>
  <c r="F1715" i="2"/>
  <c r="H1714" i="2"/>
  <c r="G1714" i="2"/>
  <c r="F1714" i="2"/>
  <c r="H1713" i="2"/>
  <c r="G1713" i="2"/>
  <c r="F1713" i="2"/>
  <c r="H1712" i="2"/>
  <c r="G1712" i="2"/>
  <c r="F1712" i="2"/>
  <c r="H1711" i="2"/>
  <c r="G1711" i="2"/>
  <c r="F1711" i="2"/>
  <c r="H1710" i="2"/>
  <c r="G1710" i="2"/>
  <c r="F1710" i="2"/>
  <c r="H1709" i="2"/>
  <c r="G1709" i="2"/>
  <c r="F1709" i="2"/>
  <c r="H1708" i="2"/>
  <c r="G1708" i="2"/>
  <c r="F1708" i="2"/>
  <c r="H1707" i="2"/>
  <c r="G1707" i="2"/>
  <c r="F1707" i="2"/>
  <c r="H1706" i="2"/>
  <c r="G1706" i="2"/>
  <c r="F1706" i="2"/>
  <c r="H1705" i="2"/>
  <c r="G1705" i="2"/>
  <c r="F1705" i="2"/>
  <c r="H1704" i="2"/>
  <c r="G1704" i="2"/>
  <c r="F1704" i="2"/>
  <c r="H1703" i="2"/>
  <c r="G1703" i="2"/>
  <c r="F1703" i="2"/>
  <c r="H1702" i="2"/>
  <c r="G1702" i="2"/>
  <c r="F1702" i="2"/>
  <c r="H1701" i="2"/>
  <c r="G1701" i="2"/>
  <c r="F1701" i="2"/>
  <c r="H1700" i="2"/>
  <c r="G1700" i="2"/>
  <c r="F1700" i="2"/>
  <c r="H1699" i="2"/>
  <c r="G1699" i="2"/>
  <c r="F1699" i="2"/>
  <c r="H1698" i="2"/>
  <c r="G1698" i="2"/>
  <c r="F1698" i="2"/>
  <c r="H1697" i="2"/>
  <c r="G1697" i="2"/>
  <c r="F1697" i="2"/>
  <c r="H1696" i="2"/>
  <c r="G1696" i="2"/>
  <c r="F1696" i="2"/>
  <c r="H1695" i="2"/>
  <c r="G1695" i="2"/>
  <c r="F1695" i="2"/>
  <c r="H1694" i="2"/>
  <c r="G1694" i="2"/>
  <c r="F1694" i="2"/>
  <c r="H1693" i="2"/>
  <c r="G1693" i="2"/>
  <c r="F1693" i="2"/>
  <c r="H1692" i="2"/>
  <c r="G1692" i="2"/>
  <c r="F1692" i="2"/>
  <c r="H1691" i="2"/>
  <c r="G1691" i="2"/>
  <c r="F1691" i="2"/>
  <c r="H1690" i="2"/>
  <c r="G1690" i="2"/>
  <c r="F1690" i="2"/>
  <c r="H1689" i="2"/>
  <c r="G1689" i="2"/>
  <c r="F1689" i="2"/>
  <c r="H1688" i="2"/>
  <c r="G1688" i="2"/>
  <c r="F1688" i="2"/>
  <c r="H1687" i="2"/>
  <c r="G1687" i="2"/>
  <c r="F1687" i="2"/>
  <c r="H1686" i="2"/>
  <c r="G1686" i="2"/>
  <c r="F1686" i="2"/>
  <c r="H1685" i="2"/>
  <c r="G1685" i="2"/>
  <c r="F1685" i="2"/>
  <c r="H1684" i="2"/>
  <c r="G1684" i="2"/>
  <c r="F1684" i="2"/>
  <c r="H1683" i="2"/>
  <c r="G1683" i="2"/>
  <c r="F1683" i="2"/>
  <c r="H1682" i="2"/>
  <c r="G1682" i="2"/>
  <c r="F1682" i="2"/>
  <c r="H1681" i="2"/>
  <c r="G1681" i="2"/>
  <c r="F1681" i="2"/>
  <c r="H1680" i="2"/>
  <c r="G1680" i="2"/>
  <c r="F1680" i="2"/>
  <c r="H1679" i="2"/>
  <c r="G1679" i="2"/>
  <c r="F1679" i="2"/>
  <c r="H1678" i="2"/>
  <c r="G1678" i="2"/>
  <c r="F1678" i="2"/>
  <c r="H1677" i="2"/>
  <c r="G1677" i="2"/>
  <c r="F1677" i="2"/>
  <c r="H1676" i="2"/>
  <c r="G1676" i="2"/>
  <c r="F1676" i="2"/>
  <c r="H1675" i="2"/>
  <c r="G1675" i="2"/>
  <c r="F1675" i="2"/>
  <c r="H1674" i="2"/>
  <c r="G1674" i="2"/>
  <c r="F1674" i="2"/>
  <c r="H1673" i="2"/>
  <c r="G1673" i="2"/>
  <c r="F1673" i="2"/>
  <c r="H1672" i="2"/>
  <c r="G1672" i="2"/>
  <c r="F1672" i="2"/>
  <c r="H1671" i="2"/>
  <c r="G1671" i="2"/>
  <c r="F1671" i="2"/>
  <c r="H1670" i="2"/>
  <c r="G1670" i="2"/>
  <c r="F1670" i="2"/>
  <c r="H1669" i="2"/>
  <c r="G1669" i="2"/>
  <c r="F1669" i="2"/>
  <c r="H1668" i="2"/>
  <c r="G1668" i="2"/>
  <c r="F1668" i="2"/>
  <c r="H1667" i="2"/>
  <c r="G1667" i="2"/>
  <c r="F1667" i="2"/>
  <c r="H1666" i="2"/>
  <c r="G1666" i="2"/>
  <c r="F1666" i="2"/>
  <c r="H1665" i="2"/>
  <c r="G1665" i="2"/>
  <c r="F1665" i="2"/>
  <c r="H1664" i="2"/>
  <c r="G1664" i="2"/>
  <c r="F1664" i="2"/>
  <c r="H1663" i="2"/>
  <c r="G1663" i="2"/>
  <c r="F1663" i="2"/>
  <c r="H1662" i="2"/>
  <c r="G1662" i="2"/>
  <c r="F1662" i="2"/>
  <c r="H1661" i="2"/>
  <c r="G1661" i="2"/>
  <c r="F1661" i="2"/>
  <c r="H1660" i="2"/>
  <c r="G1660" i="2"/>
  <c r="F1660" i="2"/>
  <c r="H1659" i="2"/>
  <c r="G1659" i="2"/>
  <c r="F1659" i="2"/>
  <c r="H1658" i="2"/>
  <c r="G1658" i="2"/>
  <c r="F1658" i="2"/>
  <c r="H1657" i="2"/>
  <c r="G1657" i="2"/>
  <c r="F1657" i="2"/>
  <c r="H1656" i="2"/>
  <c r="G1656" i="2"/>
  <c r="F1656" i="2"/>
  <c r="H1655" i="2"/>
  <c r="G1655" i="2"/>
  <c r="F1655" i="2"/>
  <c r="H1654" i="2"/>
  <c r="G1654" i="2"/>
  <c r="F1654" i="2"/>
  <c r="H1653" i="2"/>
  <c r="G1653" i="2"/>
  <c r="F1653" i="2"/>
  <c r="H1652" i="2"/>
  <c r="G1652" i="2"/>
  <c r="F1652" i="2"/>
  <c r="H1651" i="2"/>
  <c r="G1651" i="2"/>
  <c r="F1651" i="2"/>
  <c r="H1650" i="2"/>
  <c r="G1650" i="2"/>
  <c r="F1650" i="2"/>
  <c r="H1649" i="2"/>
  <c r="G1649" i="2"/>
  <c r="F1649" i="2"/>
  <c r="H1648" i="2"/>
  <c r="G1648" i="2"/>
  <c r="F1648" i="2"/>
  <c r="H1647" i="2"/>
  <c r="G1647" i="2"/>
  <c r="F1647" i="2"/>
  <c r="H1646" i="2"/>
  <c r="G1646" i="2"/>
  <c r="F1646" i="2"/>
  <c r="H1645" i="2"/>
  <c r="G1645" i="2"/>
  <c r="F1645" i="2"/>
  <c r="H1644" i="2"/>
  <c r="G1644" i="2"/>
  <c r="F1644" i="2"/>
  <c r="H1643" i="2"/>
  <c r="G1643" i="2"/>
  <c r="F1643" i="2"/>
  <c r="H1642" i="2"/>
  <c r="G1642" i="2"/>
  <c r="F1642" i="2"/>
  <c r="H1641" i="2"/>
  <c r="G1641" i="2"/>
  <c r="F1641" i="2"/>
  <c r="H1640" i="2"/>
  <c r="G1640" i="2"/>
  <c r="F1640" i="2"/>
  <c r="H1639" i="2"/>
  <c r="G1639" i="2"/>
  <c r="F1639" i="2"/>
  <c r="H1638" i="2"/>
  <c r="G1638" i="2"/>
  <c r="F1638" i="2"/>
  <c r="H1637" i="2"/>
  <c r="G1637" i="2"/>
  <c r="F1637" i="2"/>
  <c r="H1636" i="2"/>
  <c r="G1636" i="2"/>
  <c r="F1636" i="2"/>
  <c r="H1635" i="2"/>
  <c r="G1635" i="2"/>
  <c r="F1635" i="2"/>
  <c r="H1634" i="2"/>
  <c r="G1634" i="2"/>
  <c r="F1634" i="2"/>
  <c r="H1633" i="2"/>
  <c r="G1633" i="2"/>
  <c r="F1633" i="2"/>
  <c r="H1632" i="2"/>
  <c r="G1632" i="2"/>
  <c r="F1632" i="2"/>
  <c r="H1631" i="2"/>
  <c r="G1631" i="2"/>
  <c r="F1631" i="2"/>
  <c r="H1630" i="2"/>
  <c r="G1630" i="2"/>
  <c r="F1630" i="2"/>
  <c r="H1629" i="2"/>
  <c r="G1629" i="2"/>
  <c r="F1629" i="2"/>
  <c r="H1628" i="2"/>
  <c r="G1628" i="2"/>
  <c r="F1628" i="2"/>
  <c r="H1627" i="2"/>
  <c r="G1627" i="2"/>
  <c r="F1627" i="2"/>
  <c r="H1626" i="2"/>
  <c r="G1626" i="2"/>
  <c r="F1626" i="2"/>
  <c r="H1625" i="2"/>
  <c r="G1625" i="2"/>
  <c r="F1625" i="2"/>
  <c r="H1624" i="2"/>
  <c r="G1624" i="2"/>
  <c r="F1624" i="2"/>
  <c r="H1623" i="2"/>
  <c r="G1623" i="2"/>
  <c r="F1623" i="2"/>
  <c r="H1622" i="2"/>
  <c r="G1622" i="2"/>
  <c r="F1622" i="2"/>
  <c r="H1621" i="2"/>
  <c r="G1621" i="2"/>
  <c r="F1621" i="2"/>
  <c r="H1620" i="2"/>
  <c r="G1620" i="2"/>
  <c r="F1620" i="2"/>
  <c r="H1619" i="2"/>
  <c r="G1619" i="2"/>
  <c r="F1619" i="2"/>
  <c r="H1618" i="2"/>
  <c r="G1618" i="2"/>
  <c r="F1618" i="2"/>
  <c r="H1617" i="2"/>
  <c r="G1617" i="2"/>
  <c r="F1617" i="2"/>
  <c r="H1616" i="2"/>
  <c r="G1616" i="2"/>
  <c r="F1616" i="2"/>
  <c r="H1615" i="2"/>
  <c r="G1615" i="2"/>
  <c r="F1615" i="2"/>
  <c r="H1614" i="2"/>
  <c r="G1614" i="2"/>
  <c r="F1614" i="2"/>
  <c r="H1613" i="2"/>
  <c r="G1613" i="2"/>
  <c r="F1613" i="2"/>
  <c r="H1612" i="2"/>
  <c r="G1612" i="2"/>
  <c r="F1612" i="2"/>
  <c r="H1611" i="2"/>
  <c r="G1611" i="2"/>
  <c r="F1611" i="2"/>
  <c r="H1610" i="2"/>
  <c r="G1610" i="2"/>
  <c r="F1610" i="2"/>
  <c r="H1609" i="2"/>
  <c r="G1609" i="2"/>
  <c r="F1609" i="2"/>
  <c r="H1608" i="2"/>
  <c r="G1608" i="2"/>
  <c r="F1608" i="2"/>
  <c r="H1607" i="2"/>
  <c r="G1607" i="2"/>
  <c r="F1607" i="2"/>
  <c r="H1606" i="2"/>
  <c r="G1606" i="2"/>
  <c r="F1606" i="2"/>
  <c r="H1605" i="2"/>
  <c r="G1605" i="2"/>
  <c r="F1605" i="2"/>
  <c r="H1604" i="2"/>
  <c r="G1604" i="2"/>
  <c r="F1604" i="2"/>
  <c r="H1603" i="2"/>
  <c r="G1603" i="2"/>
  <c r="F1603" i="2"/>
  <c r="H1602" i="2"/>
  <c r="G1602" i="2"/>
  <c r="F1602" i="2"/>
  <c r="H1601" i="2"/>
  <c r="G1601" i="2"/>
  <c r="F1601" i="2"/>
  <c r="H1600" i="2"/>
  <c r="G1600" i="2"/>
  <c r="F1600" i="2"/>
  <c r="H1599" i="2"/>
  <c r="G1599" i="2"/>
  <c r="F1599" i="2"/>
  <c r="H1598" i="2"/>
  <c r="G1598" i="2"/>
  <c r="F1598" i="2"/>
  <c r="H1597" i="2"/>
  <c r="G1597" i="2"/>
  <c r="F1597" i="2"/>
  <c r="H1596" i="2"/>
  <c r="G1596" i="2"/>
  <c r="F1596" i="2"/>
  <c r="H1595" i="2"/>
  <c r="G1595" i="2"/>
  <c r="F1595" i="2"/>
  <c r="H1594" i="2"/>
  <c r="G1594" i="2"/>
  <c r="F1594" i="2"/>
  <c r="H1593" i="2"/>
  <c r="G1593" i="2"/>
  <c r="F1593" i="2"/>
  <c r="H1592" i="2"/>
  <c r="G1592" i="2"/>
  <c r="F1592" i="2"/>
  <c r="H1591" i="2"/>
  <c r="G1591" i="2"/>
  <c r="F1591" i="2"/>
  <c r="H1590" i="2"/>
  <c r="G1590" i="2"/>
  <c r="F1590" i="2"/>
  <c r="H1589" i="2"/>
  <c r="G1589" i="2"/>
  <c r="F1589" i="2"/>
  <c r="H1588" i="2"/>
  <c r="G1588" i="2"/>
  <c r="F1588" i="2"/>
  <c r="H1587" i="2"/>
  <c r="G1587" i="2"/>
  <c r="F1587" i="2"/>
  <c r="H1586" i="2"/>
  <c r="G1586" i="2"/>
  <c r="F1586" i="2"/>
  <c r="H1585" i="2"/>
  <c r="G1585" i="2"/>
  <c r="F1585" i="2"/>
  <c r="H1584" i="2"/>
  <c r="G1584" i="2"/>
  <c r="F1584" i="2"/>
  <c r="H1583" i="2"/>
  <c r="G1583" i="2"/>
  <c r="F1583" i="2"/>
  <c r="H1582" i="2"/>
  <c r="G1582" i="2"/>
  <c r="F1582" i="2"/>
  <c r="H1581" i="2"/>
  <c r="G1581" i="2"/>
  <c r="F1581" i="2"/>
  <c r="H1580" i="2"/>
  <c r="G1580" i="2"/>
  <c r="F1580" i="2"/>
  <c r="H1579" i="2"/>
  <c r="G1579" i="2"/>
  <c r="F1579" i="2"/>
  <c r="H1578" i="2"/>
  <c r="G1578" i="2"/>
  <c r="F1578" i="2"/>
  <c r="H1577" i="2"/>
  <c r="G1577" i="2"/>
  <c r="F1577" i="2"/>
  <c r="H1576" i="2"/>
  <c r="G1576" i="2"/>
  <c r="F1576" i="2"/>
  <c r="H1575" i="2"/>
  <c r="G1575" i="2"/>
  <c r="F1575" i="2"/>
  <c r="H1574" i="2"/>
  <c r="G1574" i="2"/>
  <c r="F1574" i="2"/>
  <c r="H1573" i="2"/>
  <c r="G1573" i="2"/>
  <c r="F1573" i="2"/>
  <c r="H1572" i="2"/>
  <c r="G1572" i="2"/>
  <c r="F1572" i="2"/>
  <c r="H1571" i="2"/>
  <c r="G1571" i="2"/>
  <c r="F1571" i="2"/>
  <c r="H1570" i="2"/>
  <c r="G1570" i="2"/>
  <c r="F1570" i="2"/>
  <c r="H1569" i="2"/>
  <c r="G1569" i="2"/>
  <c r="F1569" i="2"/>
  <c r="H1568" i="2"/>
  <c r="G1568" i="2"/>
  <c r="F1568" i="2"/>
  <c r="H1567" i="2"/>
  <c r="G1567" i="2"/>
  <c r="F1567" i="2"/>
  <c r="H1566" i="2"/>
  <c r="G1566" i="2"/>
  <c r="F1566" i="2"/>
  <c r="H1565" i="2"/>
  <c r="G1565" i="2"/>
  <c r="F1565" i="2"/>
  <c r="H1564" i="2"/>
  <c r="G1564" i="2"/>
  <c r="F1564" i="2"/>
  <c r="H1563" i="2"/>
  <c r="G1563" i="2"/>
  <c r="F1563" i="2"/>
  <c r="H1562" i="2"/>
  <c r="G1562" i="2"/>
  <c r="F1562" i="2"/>
  <c r="H1561" i="2"/>
  <c r="G1561" i="2"/>
  <c r="F1561" i="2"/>
  <c r="H1560" i="2"/>
  <c r="G1560" i="2"/>
  <c r="F1560" i="2"/>
  <c r="H1559" i="2"/>
  <c r="G1559" i="2"/>
  <c r="F1559" i="2"/>
  <c r="H1558" i="2"/>
  <c r="G1558" i="2"/>
  <c r="F1558" i="2"/>
  <c r="H1557" i="2"/>
  <c r="G1557" i="2"/>
  <c r="F1557" i="2"/>
  <c r="H1556" i="2"/>
  <c r="G1556" i="2"/>
  <c r="F1556" i="2"/>
  <c r="H1555" i="2"/>
  <c r="G1555" i="2"/>
  <c r="F1555" i="2"/>
  <c r="H1554" i="2"/>
  <c r="G1554" i="2"/>
  <c r="F1554" i="2"/>
  <c r="H1553" i="2"/>
  <c r="G1553" i="2"/>
  <c r="F1553" i="2"/>
  <c r="H1552" i="2"/>
  <c r="G1552" i="2"/>
  <c r="F1552" i="2"/>
  <c r="H1551" i="2"/>
  <c r="G1551" i="2"/>
  <c r="F1551" i="2"/>
  <c r="H1550" i="2"/>
  <c r="G1550" i="2"/>
  <c r="F1550" i="2"/>
  <c r="H1549" i="2"/>
  <c r="G1549" i="2"/>
  <c r="F1549" i="2"/>
  <c r="H1548" i="2"/>
  <c r="G1548" i="2"/>
  <c r="F1548" i="2"/>
  <c r="H1547" i="2"/>
  <c r="G1547" i="2"/>
  <c r="F1547" i="2"/>
  <c r="H1546" i="2"/>
  <c r="G1546" i="2"/>
  <c r="F1546" i="2"/>
  <c r="H1545" i="2"/>
  <c r="G1545" i="2"/>
  <c r="F1545" i="2"/>
  <c r="H1544" i="2"/>
  <c r="G1544" i="2"/>
  <c r="F1544" i="2"/>
  <c r="H1543" i="2"/>
  <c r="G1543" i="2"/>
  <c r="F1543" i="2"/>
  <c r="H1542" i="2"/>
  <c r="G1542" i="2"/>
  <c r="F1542" i="2"/>
  <c r="H1541" i="2"/>
  <c r="G1541" i="2"/>
  <c r="F1541" i="2"/>
  <c r="H1540" i="2"/>
  <c r="G1540" i="2"/>
  <c r="F1540" i="2"/>
  <c r="H1539" i="2"/>
  <c r="G1539" i="2"/>
  <c r="F1539" i="2"/>
  <c r="H1538" i="2"/>
  <c r="G1538" i="2"/>
  <c r="F1538" i="2"/>
  <c r="H1537" i="2"/>
  <c r="G1537" i="2"/>
  <c r="F1537" i="2"/>
  <c r="H1536" i="2"/>
  <c r="G1536" i="2"/>
  <c r="F1536" i="2"/>
  <c r="H1535" i="2"/>
  <c r="G1535" i="2"/>
  <c r="F1535" i="2"/>
  <c r="H1534" i="2"/>
  <c r="G1534" i="2"/>
  <c r="F1534" i="2"/>
  <c r="H1533" i="2"/>
  <c r="G1533" i="2"/>
  <c r="F1533" i="2"/>
  <c r="H1532" i="2"/>
  <c r="G1532" i="2"/>
  <c r="F1532" i="2"/>
  <c r="H1531" i="2"/>
  <c r="G1531" i="2"/>
  <c r="F1531" i="2"/>
  <c r="H1530" i="2"/>
  <c r="G1530" i="2"/>
  <c r="F1530" i="2"/>
  <c r="H1529" i="2"/>
  <c r="G1529" i="2"/>
  <c r="F1529" i="2"/>
  <c r="H1528" i="2"/>
  <c r="G1528" i="2"/>
  <c r="F1528" i="2"/>
  <c r="H1527" i="2"/>
  <c r="G1527" i="2"/>
  <c r="F1527" i="2"/>
  <c r="H1526" i="2"/>
  <c r="G1526" i="2"/>
  <c r="F1526" i="2"/>
  <c r="H1525" i="2"/>
  <c r="G1525" i="2"/>
  <c r="F1525" i="2"/>
  <c r="H1524" i="2"/>
  <c r="G1524" i="2"/>
  <c r="F1524" i="2"/>
  <c r="H1523" i="2"/>
  <c r="G1523" i="2"/>
  <c r="F1523" i="2"/>
  <c r="H1522" i="2"/>
  <c r="G1522" i="2"/>
  <c r="F1522" i="2"/>
  <c r="H1521" i="2"/>
  <c r="G1521" i="2"/>
  <c r="F1521" i="2"/>
  <c r="H1520" i="2"/>
  <c r="G1520" i="2"/>
  <c r="F1520" i="2"/>
  <c r="H1519" i="2"/>
  <c r="G1519" i="2"/>
  <c r="F1519" i="2"/>
  <c r="H1518" i="2"/>
  <c r="G1518" i="2"/>
  <c r="F1518" i="2"/>
  <c r="H1517" i="2"/>
  <c r="G1517" i="2"/>
  <c r="F1517" i="2"/>
  <c r="H1516" i="2"/>
  <c r="G1516" i="2"/>
  <c r="F1516" i="2"/>
  <c r="H1515" i="2"/>
  <c r="G1515" i="2"/>
  <c r="F1515" i="2"/>
  <c r="H1514" i="2"/>
  <c r="G1514" i="2"/>
  <c r="F1514" i="2"/>
  <c r="H1513" i="2"/>
  <c r="G1513" i="2"/>
  <c r="F1513" i="2"/>
  <c r="H1512" i="2"/>
  <c r="G1512" i="2"/>
  <c r="F1512" i="2"/>
  <c r="H1511" i="2"/>
  <c r="G1511" i="2"/>
  <c r="F1511" i="2"/>
  <c r="H1510" i="2"/>
  <c r="G1510" i="2"/>
  <c r="F1510" i="2"/>
  <c r="H1509" i="2"/>
  <c r="G1509" i="2"/>
  <c r="F1509" i="2"/>
  <c r="H1508" i="2"/>
  <c r="G1508" i="2"/>
  <c r="F1508" i="2"/>
  <c r="H1507" i="2"/>
  <c r="G1507" i="2"/>
  <c r="F1507" i="2"/>
  <c r="H1506" i="2"/>
  <c r="G1506" i="2"/>
  <c r="F1506" i="2"/>
  <c r="H1505" i="2"/>
  <c r="G1505" i="2"/>
  <c r="F1505" i="2"/>
  <c r="H1504" i="2"/>
  <c r="G1504" i="2"/>
  <c r="F1504" i="2"/>
  <c r="H1503" i="2"/>
  <c r="G1503" i="2"/>
  <c r="F1503" i="2"/>
  <c r="H1502" i="2"/>
  <c r="G1502" i="2"/>
  <c r="F1502" i="2"/>
  <c r="H1501" i="2"/>
  <c r="G1501" i="2"/>
  <c r="F1501" i="2"/>
  <c r="H1500" i="2"/>
  <c r="G1500" i="2"/>
  <c r="F1500" i="2"/>
  <c r="H1499" i="2"/>
  <c r="G1499" i="2"/>
  <c r="F1499" i="2"/>
  <c r="H1498" i="2"/>
  <c r="G1498" i="2"/>
  <c r="F1498" i="2"/>
  <c r="H1497" i="2"/>
  <c r="G1497" i="2"/>
  <c r="F1497" i="2"/>
  <c r="H1496" i="2"/>
  <c r="G1496" i="2"/>
  <c r="F1496" i="2"/>
  <c r="H1495" i="2"/>
  <c r="G1495" i="2"/>
  <c r="F1495" i="2"/>
  <c r="H1494" i="2"/>
  <c r="G1494" i="2"/>
  <c r="F1494" i="2"/>
  <c r="H1493" i="2"/>
  <c r="G1493" i="2"/>
  <c r="F1493" i="2"/>
  <c r="H1492" i="2"/>
  <c r="G1492" i="2"/>
  <c r="F1492" i="2"/>
  <c r="H1491" i="2"/>
  <c r="G1491" i="2"/>
  <c r="F1491" i="2"/>
  <c r="H1490" i="2"/>
  <c r="G1490" i="2"/>
  <c r="F1490" i="2"/>
  <c r="H1489" i="2"/>
  <c r="G1489" i="2"/>
  <c r="F1489" i="2"/>
  <c r="H1488" i="2"/>
  <c r="G1488" i="2"/>
  <c r="F1488" i="2"/>
  <c r="H1487" i="2"/>
  <c r="G1487" i="2"/>
  <c r="F1487" i="2"/>
  <c r="H1486" i="2"/>
  <c r="G1486" i="2"/>
  <c r="F1486" i="2"/>
  <c r="H1485" i="2"/>
  <c r="G1485" i="2"/>
  <c r="F1485" i="2"/>
  <c r="H1484" i="2"/>
  <c r="G1484" i="2"/>
  <c r="F1484" i="2"/>
  <c r="H1483" i="2"/>
  <c r="G1483" i="2"/>
  <c r="F1483" i="2"/>
  <c r="H1482" i="2"/>
  <c r="G1482" i="2"/>
  <c r="F1482" i="2"/>
  <c r="H1481" i="2"/>
  <c r="G1481" i="2"/>
  <c r="F1481" i="2"/>
  <c r="H1480" i="2"/>
  <c r="G1480" i="2"/>
  <c r="F1480" i="2"/>
  <c r="H1479" i="2"/>
  <c r="G1479" i="2"/>
  <c r="F1479" i="2"/>
  <c r="H1478" i="2"/>
  <c r="G1478" i="2"/>
  <c r="F1478" i="2"/>
  <c r="H1477" i="2"/>
  <c r="G1477" i="2"/>
  <c r="F1477" i="2"/>
  <c r="H1476" i="2"/>
  <c r="G1476" i="2"/>
  <c r="F1476" i="2"/>
  <c r="H1475" i="2"/>
  <c r="G1475" i="2"/>
  <c r="F1475" i="2"/>
  <c r="H1474" i="2"/>
  <c r="G1474" i="2"/>
  <c r="F1474" i="2"/>
  <c r="H1473" i="2"/>
  <c r="G1473" i="2"/>
  <c r="F1473" i="2"/>
  <c r="H1472" i="2"/>
  <c r="G1472" i="2"/>
  <c r="F1472" i="2"/>
  <c r="H1471" i="2"/>
  <c r="G1471" i="2"/>
  <c r="F1471" i="2"/>
  <c r="H1470" i="2"/>
  <c r="G1470" i="2"/>
  <c r="F1470" i="2"/>
  <c r="H1469" i="2"/>
  <c r="G1469" i="2"/>
  <c r="F1469" i="2"/>
  <c r="H1468" i="2"/>
  <c r="G1468" i="2"/>
  <c r="F1468" i="2"/>
  <c r="H1467" i="2"/>
  <c r="G1467" i="2"/>
  <c r="F1467" i="2"/>
  <c r="H1466" i="2"/>
  <c r="G1466" i="2"/>
  <c r="F1466" i="2"/>
  <c r="H1465" i="2"/>
  <c r="G1465" i="2"/>
  <c r="F1465" i="2"/>
  <c r="H1464" i="2"/>
  <c r="G1464" i="2"/>
  <c r="F1464" i="2"/>
  <c r="H1463" i="2"/>
  <c r="G1463" i="2"/>
  <c r="F1463" i="2"/>
  <c r="H1462" i="2"/>
  <c r="G1462" i="2"/>
  <c r="F1462" i="2"/>
  <c r="H1461" i="2"/>
  <c r="G1461" i="2"/>
  <c r="F1461" i="2"/>
  <c r="H1460" i="2"/>
  <c r="G1460" i="2"/>
  <c r="F1460" i="2"/>
  <c r="H1459" i="2"/>
  <c r="G1459" i="2"/>
  <c r="F1459" i="2"/>
  <c r="H1458" i="2"/>
  <c r="G1458" i="2"/>
  <c r="F1458" i="2"/>
  <c r="H1457" i="2"/>
  <c r="G1457" i="2"/>
  <c r="F1457" i="2"/>
  <c r="H1456" i="2"/>
  <c r="G1456" i="2"/>
  <c r="F1456" i="2"/>
  <c r="H1455" i="2"/>
  <c r="G1455" i="2"/>
  <c r="F1455" i="2"/>
  <c r="H1454" i="2"/>
  <c r="G1454" i="2"/>
  <c r="F1454" i="2"/>
  <c r="H1453" i="2"/>
  <c r="G1453" i="2"/>
  <c r="F1453" i="2"/>
  <c r="H1452" i="2"/>
  <c r="G1452" i="2"/>
  <c r="F1452" i="2"/>
  <c r="H1451" i="2"/>
  <c r="G1451" i="2"/>
  <c r="F1451" i="2"/>
  <c r="H1450" i="2"/>
  <c r="G1450" i="2"/>
  <c r="F1450" i="2"/>
  <c r="H1449" i="2"/>
  <c r="G1449" i="2"/>
  <c r="F1449" i="2"/>
  <c r="H1448" i="2"/>
  <c r="G1448" i="2"/>
  <c r="F1448" i="2"/>
  <c r="H1447" i="2"/>
  <c r="G1447" i="2"/>
  <c r="F1447" i="2"/>
  <c r="H1446" i="2"/>
  <c r="G1446" i="2"/>
  <c r="F1446" i="2"/>
  <c r="H1445" i="2"/>
  <c r="G1445" i="2"/>
  <c r="F1445" i="2"/>
  <c r="H1444" i="2"/>
  <c r="G1444" i="2"/>
  <c r="F1444" i="2"/>
  <c r="H1443" i="2"/>
  <c r="G1443" i="2"/>
  <c r="F1443" i="2"/>
  <c r="H1442" i="2"/>
  <c r="G1442" i="2"/>
  <c r="F1442" i="2"/>
  <c r="H1441" i="2"/>
  <c r="G1441" i="2"/>
  <c r="F1441" i="2"/>
  <c r="H1440" i="2"/>
  <c r="G1440" i="2"/>
  <c r="F1440" i="2"/>
  <c r="H1439" i="2"/>
  <c r="G1439" i="2"/>
  <c r="F1439" i="2"/>
  <c r="H1438" i="2"/>
  <c r="G1438" i="2"/>
  <c r="F1438" i="2"/>
  <c r="H1437" i="2"/>
  <c r="G1437" i="2"/>
  <c r="F1437" i="2"/>
  <c r="H1436" i="2"/>
  <c r="G1436" i="2"/>
  <c r="F1436" i="2"/>
  <c r="H1435" i="2"/>
  <c r="G1435" i="2"/>
  <c r="F1435" i="2"/>
  <c r="H1434" i="2"/>
  <c r="G1434" i="2"/>
  <c r="F1434" i="2"/>
  <c r="H1433" i="2"/>
  <c r="G1433" i="2"/>
  <c r="F1433" i="2"/>
  <c r="H1432" i="2"/>
  <c r="G1432" i="2"/>
  <c r="F1432" i="2"/>
  <c r="H1431" i="2"/>
  <c r="G1431" i="2"/>
  <c r="F1431" i="2"/>
  <c r="H1430" i="2"/>
  <c r="G1430" i="2"/>
  <c r="F1430" i="2"/>
  <c r="H1429" i="2"/>
  <c r="G1429" i="2"/>
  <c r="F1429" i="2"/>
  <c r="H1428" i="2"/>
  <c r="G1428" i="2"/>
  <c r="F1428" i="2"/>
  <c r="H1427" i="2"/>
  <c r="G1427" i="2"/>
  <c r="F1427" i="2"/>
  <c r="H1426" i="2"/>
  <c r="G1426" i="2"/>
  <c r="F1426" i="2"/>
  <c r="H1425" i="2"/>
  <c r="G1425" i="2"/>
  <c r="F1425" i="2"/>
  <c r="H1424" i="2"/>
  <c r="G1424" i="2"/>
  <c r="F1424" i="2"/>
  <c r="H1423" i="2"/>
  <c r="G1423" i="2"/>
  <c r="F1423" i="2"/>
  <c r="H1422" i="2"/>
  <c r="G1422" i="2"/>
  <c r="F1422" i="2"/>
  <c r="H1421" i="2"/>
  <c r="G1421" i="2"/>
  <c r="F1421" i="2"/>
  <c r="H1420" i="2"/>
  <c r="G1420" i="2"/>
  <c r="F1420" i="2"/>
  <c r="H1419" i="2"/>
  <c r="G1419" i="2"/>
  <c r="F1419" i="2"/>
  <c r="H1418" i="2"/>
  <c r="G1418" i="2"/>
  <c r="F1418" i="2"/>
  <c r="H1417" i="2"/>
  <c r="G1417" i="2"/>
  <c r="F1417" i="2"/>
  <c r="H1416" i="2"/>
  <c r="G1416" i="2"/>
  <c r="F1416" i="2"/>
  <c r="H1415" i="2"/>
  <c r="G1415" i="2"/>
  <c r="F1415" i="2"/>
  <c r="H1414" i="2"/>
  <c r="G1414" i="2"/>
  <c r="F1414" i="2"/>
  <c r="H1413" i="2"/>
  <c r="G1413" i="2"/>
  <c r="F1413" i="2"/>
  <c r="H1412" i="2"/>
  <c r="G1412" i="2"/>
  <c r="F1412" i="2"/>
  <c r="H1411" i="2"/>
  <c r="G1411" i="2"/>
  <c r="F1411" i="2"/>
  <c r="H1410" i="2"/>
  <c r="G1410" i="2"/>
  <c r="F1410" i="2"/>
  <c r="H1409" i="2"/>
  <c r="G1409" i="2"/>
  <c r="F1409" i="2"/>
  <c r="H1408" i="2"/>
  <c r="G1408" i="2"/>
  <c r="F1408" i="2"/>
  <c r="H1407" i="2"/>
  <c r="G1407" i="2"/>
  <c r="F1407" i="2"/>
  <c r="H1406" i="2"/>
  <c r="G1406" i="2"/>
  <c r="F1406" i="2"/>
  <c r="H1405" i="2"/>
  <c r="G1405" i="2"/>
  <c r="F1405" i="2"/>
  <c r="H1404" i="2"/>
  <c r="G1404" i="2"/>
  <c r="F1404" i="2"/>
  <c r="H1403" i="2"/>
  <c r="G1403" i="2"/>
  <c r="F1403" i="2"/>
  <c r="H1402" i="2"/>
  <c r="G1402" i="2"/>
  <c r="F1402" i="2"/>
  <c r="H1401" i="2"/>
  <c r="G1401" i="2"/>
  <c r="F1401" i="2"/>
  <c r="H1400" i="2"/>
  <c r="G1400" i="2"/>
  <c r="F1400" i="2"/>
  <c r="H1399" i="2"/>
  <c r="G1399" i="2"/>
  <c r="F1399" i="2"/>
  <c r="H1398" i="2"/>
  <c r="G1398" i="2"/>
  <c r="F1398" i="2"/>
  <c r="H1397" i="2"/>
  <c r="G1397" i="2"/>
  <c r="F1397" i="2"/>
  <c r="H1396" i="2"/>
  <c r="G1396" i="2"/>
  <c r="F1396" i="2"/>
  <c r="H1395" i="2"/>
  <c r="G1395" i="2"/>
  <c r="F1395" i="2"/>
  <c r="H1394" i="2"/>
  <c r="G1394" i="2"/>
  <c r="F1394" i="2"/>
  <c r="H1393" i="2"/>
  <c r="G1393" i="2"/>
  <c r="F1393" i="2"/>
  <c r="H1392" i="2"/>
  <c r="G1392" i="2"/>
  <c r="F1392" i="2"/>
  <c r="H1391" i="2"/>
  <c r="G1391" i="2"/>
  <c r="F1391" i="2"/>
  <c r="H1390" i="2"/>
  <c r="G1390" i="2"/>
  <c r="F1390" i="2"/>
  <c r="H1389" i="2"/>
  <c r="G1389" i="2"/>
  <c r="F1389" i="2"/>
  <c r="H1388" i="2"/>
  <c r="G1388" i="2"/>
  <c r="F1388" i="2"/>
  <c r="H1387" i="2"/>
  <c r="G1387" i="2"/>
  <c r="F1387" i="2"/>
  <c r="H1386" i="2"/>
  <c r="G1386" i="2"/>
  <c r="F1386" i="2"/>
  <c r="H1385" i="2"/>
  <c r="G1385" i="2"/>
  <c r="F1385" i="2"/>
  <c r="H1384" i="2"/>
  <c r="G1384" i="2"/>
  <c r="F1384" i="2"/>
  <c r="H1383" i="2"/>
  <c r="G1383" i="2"/>
  <c r="F1383" i="2"/>
  <c r="H1382" i="2"/>
  <c r="G1382" i="2"/>
  <c r="F1382" i="2"/>
  <c r="H1381" i="2"/>
  <c r="G1381" i="2"/>
  <c r="F1381" i="2"/>
  <c r="H1380" i="2"/>
  <c r="G1380" i="2"/>
  <c r="F1380" i="2"/>
  <c r="H1379" i="2"/>
  <c r="G1379" i="2"/>
  <c r="F1379" i="2"/>
  <c r="H1378" i="2"/>
  <c r="G1378" i="2"/>
  <c r="F1378" i="2"/>
  <c r="H1377" i="2"/>
  <c r="G1377" i="2"/>
  <c r="F1377" i="2"/>
  <c r="H1376" i="2"/>
  <c r="G1376" i="2"/>
  <c r="F1376" i="2"/>
  <c r="H1375" i="2"/>
  <c r="G1375" i="2"/>
  <c r="F1375" i="2"/>
  <c r="H1374" i="2"/>
  <c r="G1374" i="2"/>
  <c r="F1374" i="2"/>
  <c r="H1373" i="2"/>
  <c r="G1373" i="2"/>
  <c r="F1373" i="2"/>
  <c r="H1372" i="2"/>
  <c r="G1372" i="2"/>
  <c r="F1372" i="2"/>
  <c r="H1371" i="2"/>
  <c r="G1371" i="2"/>
  <c r="F1371" i="2"/>
  <c r="H1370" i="2"/>
  <c r="G1370" i="2"/>
  <c r="F1370" i="2"/>
  <c r="H1369" i="2"/>
  <c r="G1369" i="2"/>
  <c r="F1369" i="2"/>
  <c r="H1368" i="2"/>
  <c r="G1368" i="2"/>
  <c r="F1368" i="2"/>
  <c r="H1367" i="2"/>
  <c r="G1367" i="2"/>
  <c r="F1367" i="2"/>
  <c r="H1366" i="2"/>
  <c r="G1366" i="2"/>
  <c r="F1366" i="2"/>
  <c r="H1365" i="2"/>
  <c r="G1365" i="2"/>
  <c r="F1365" i="2"/>
  <c r="H1364" i="2"/>
  <c r="G1364" i="2"/>
  <c r="F1364" i="2"/>
  <c r="H1363" i="2"/>
  <c r="G1363" i="2"/>
  <c r="F1363" i="2"/>
  <c r="H1362" i="2"/>
  <c r="G1362" i="2"/>
  <c r="F1362" i="2"/>
  <c r="H1361" i="2"/>
  <c r="G1361" i="2"/>
  <c r="F1361" i="2"/>
  <c r="H1360" i="2"/>
  <c r="G1360" i="2"/>
  <c r="F1360" i="2"/>
  <c r="H1359" i="2"/>
  <c r="G1359" i="2"/>
  <c r="F1359" i="2"/>
  <c r="H1358" i="2"/>
  <c r="G1358" i="2"/>
  <c r="F1358" i="2"/>
  <c r="H1357" i="2"/>
  <c r="G1357" i="2"/>
  <c r="F1357" i="2"/>
  <c r="H1356" i="2"/>
  <c r="G1356" i="2"/>
  <c r="F1356" i="2"/>
  <c r="H1355" i="2"/>
  <c r="G1355" i="2"/>
  <c r="F1355" i="2"/>
  <c r="H1354" i="2"/>
  <c r="G1354" i="2"/>
  <c r="F1354" i="2"/>
  <c r="H1353" i="2"/>
  <c r="G1353" i="2"/>
  <c r="F1353" i="2"/>
  <c r="H1352" i="2"/>
  <c r="G1352" i="2"/>
  <c r="F1352" i="2"/>
  <c r="H1351" i="2"/>
  <c r="G1351" i="2"/>
  <c r="F1351" i="2"/>
  <c r="H1350" i="2"/>
  <c r="G1350" i="2"/>
  <c r="F1350" i="2"/>
  <c r="H1349" i="2"/>
  <c r="G1349" i="2"/>
  <c r="F1349" i="2"/>
  <c r="H1348" i="2"/>
  <c r="G1348" i="2"/>
  <c r="F1348" i="2"/>
  <c r="H1347" i="2"/>
  <c r="G1347" i="2"/>
  <c r="F1347" i="2"/>
  <c r="H1346" i="2"/>
  <c r="G1346" i="2"/>
  <c r="F1346" i="2"/>
  <c r="H1345" i="2"/>
  <c r="G1345" i="2"/>
  <c r="F1345" i="2"/>
  <c r="H1344" i="2"/>
  <c r="G1344" i="2"/>
  <c r="F1344" i="2"/>
  <c r="H1343" i="2"/>
  <c r="G1343" i="2"/>
  <c r="F1343" i="2"/>
  <c r="H1342" i="2"/>
  <c r="G1342" i="2"/>
  <c r="F1342" i="2"/>
  <c r="H1341" i="2"/>
  <c r="G1341" i="2"/>
  <c r="F1341" i="2"/>
  <c r="H1340" i="2"/>
  <c r="G1340" i="2"/>
  <c r="F1340" i="2"/>
  <c r="H1339" i="2"/>
  <c r="G1339" i="2"/>
  <c r="F1339" i="2"/>
  <c r="H1338" i="2"/>
  <c r="G1338" i="2"/>
  <c r="F1338" i="2"/>
  <c r="H1337" i="2"/>
  <c r="G1337" i="2"/>
  <c r="F1337" i="2"/>
  <c r="H1336" i="2"/>
  <c r="G1336" i="2"/>
  <c r="F1336" i="2"/>
  <c r="H1335" i="2"/>
  <c r="G1335" i="2"/>
  <c r="F1335" i="2"/>
  <c r="H1334" i="2"/>
  <c r="G1334" i="2"/>
  <c r="F1334" i="2"/>
  <c r="H1333" i="2"/>
  <c r="G1333" i="2"/>
  <c r="F1333" i="2"/>
  <c r="H1332" i="2"/>
  <c r="G1332" i="2"/>
  <c r="F1332" i="2"/>
  <c r="H1331" i="2"/>
  <c r="G1331" i="2"/>
  <c r="F1331" i="2"/>
  <c r="H1330" i="2"/>
  <c r="G1330" i="2"/>
  <c r="F1330" i="2"/>
  <c r="H1329" i="2"/>
  <c r="G1329" i="2"/>
  <c r="F1329" i="2"/>
  <c r="H1328" i="2"/>
  <c r="G1328" i="2"/>
  <c r="F1328" i="2"/>
  <c r="H1327" i="2"/>
  <c r="G1327" i="2"/>
  <c r="F1327" i="2"/>
  <c r="H1326" i="2"/>
  <c r="G1326" i="2"/>
  <c r="F1326" i="2"/>
  <c r="H1325" i="2"/>
  <c r="G1325" i="2"/>
  <c r="F1325" i="2"/>
  <c r="H1324" i="2"/>
  <c r="G1324" i="2"/>
  <c r="F1324" i="2"/>
  <c r="H1323" i="2"/>
  <c r="G1323" i="2"/>
  <c r="F1323" i="2"/>
  <c r="H1322" i="2"/>
  <c r="G1322" i="2"/>
  <c r="F1322" i="2"/>
  <c r="H1321" i="2"/>
  <c r="G1321" i="2"/>
  <c r="F1321" i="2"/>
  <c r="H1320" i="2"/>
  <c r="G1320" i="2"/>
  <c r="F1320" i="2"/>
  <c r="H1319" i="2"/>
  <c r="G1319" i="2"/>
  <c r="F1319" i="2"/>
  <c r="H1318" i="2"/>
  <c r="G1318" i="2"/>
  <c r="F1318" i="2"/>
  <c r="H1317" i="2"/>
  <c r="G1317" i="2"/>
  <c r="F1317" i="2"/>
  <c r="H1316" i="2"/>
  <c r="G1316" i="2"/>
  <c r="F1316" i="2"/>
  <c r="H1315" i="2"/>
  <c r="G1315" i="2"/>
  <c r="F1315" i="2"/>
  <c r="H1314" i="2"/>
  <c r="G1314" i="2"/>
  <c r="F1314" i="2"/>
  <c r="H1313" i="2"/>
  <c r="G1313" i="2"/>
  <c r="F1313" i="2"/>
  <c r="H1312" i="2"/>
  <c r="G1312" i="2"/>
  <c r="F1312" i="2"/>
  <c r="H1311" i="2"/>
  <c r="G1311" i="2"/>
  <c r="F1311" i="2"/>
  <c r="H1310" i="2"/>
  <c r="G1310" i="2"/>
  <c r="F1310" i="2"/>
  <c r="H1309" i="2"/>
  <c r="G1309" i="2"/>
  <c r="F1309" i="2"/>
  <c r="H1308" i="2"/>
  <c r="G1308" i="2"/>
  <c r="F1308" i="2"/>
  <c r="H1307" i="2"/>
  <c r="G1307" i="2"/>
  <c r="F1307" i="2"/>
  <c r="H1306" i="2"/>
  <c r="G1306" i="2"/>
  <c r="F1306" i="2"/>
  <c r="H1305" i="2"/>
  <c r="G1305" i="2"/>
  <c r="F1305" i="2"/>
  <c r="H1304" i="2"/>
  <c r="G1304" i="2"/>
  <c r="F1304" i="2"/>
  <c r="H1303" i="2"/>
  <c r="G1303" i="2"/>
  <c r="F1303" i="2"/>
  <c r="H1302" i="2"/>
  <c r="G1302" i="2"/>
  <c r="F1302" i="2"/>
  <c r="H1301" i="2"/>
  <c r="G1301" i="2"/>
  <c r="F1301" i="2"/>
  <c r="H1300" i="2"/>
  <c r="G1300" i="2"/>
  <c r="F1300" i="2"/>
  <c r="H1299" i="2"/>
  <c r="G1299" i="2"/>
  <c r="F1299" i="2"/>
  <c r="H1298" i="2"/>
  <c r="G1298" i="2"/>
  <c r="F1298" i="2"/>
  <c r="H1297" i="2"/>
  <c r="G1297" i="2"/>
  <c r="F1297" i="2"/>
  <c r="H1296" i="2"/>
  <c r="G1296" i="2"/>
  <c r="F1296" i="2"/>
  <c r="H1295" i="2"/>
  <c r="G1295" i="2"/>
  <c r="F1295" i="2"/>
  <c r="H1294" i="2"/>
  <c r="G1294" i="2"/>
  <c r="F1294" i="2"/>
  <c r="H1293" i="2"/>
  <c r="G1293" i="2"/>
  <c r="F1293" i="2"/>
  <c r="H1292" i="2"/>
  <c r="G1292" i="2"/>
  <c r="F1292" i="2"/>
  <c r="H1291" i="2"/>
  <c r="G1291" i="2"/>
  <c r="F1291" i="2"/>
  <c r="H1290" i="2"/>
  <c r="G1290" i="2"/>
  <c r="F1290" i="2"/>
  <c r="H1289" i="2"/>
  <c r="G1289" i="2"/>
  <c r="F1289" i="2"/>
  <c r="H1288" i="2"/>
  <c r="G1288" i="2"/>
  <c r="F1288" i="2"/>
  <c r="H1287" i="2"/>
  <c r="G1287" i="2"/>
  <c r="F1287" i="2"/>
  <c r="H1286" i="2"/>
  <c r="G1286" i="2"/>
  <c r="F1286" i="2"/>
  <c r="H1285" i="2"/>
  <c r="G1285" i="2"/>
  <c r="F1285" i="2"/>
  <c r="H1284" i="2"/>
  <c r="G1284" i="2"/>
  <c r="F1284" i="2"/>
  <c r="H1283" i="2"/>
  <c r="G1283" i="2"/>
  <c r="F1283" i="2"/>
  <c r="H1282" i="2"/>
  <c r="G1282" i="2"/>
  <c r="F1282" i="2"/>
  <c r="H1281" i="2"/>
  <c r="G1281" i="2"/>
  <c r="F1281" i="2"/>
  <c r="H1280" i="2"/>
  <c r="G1280" i="2"/>
  <c r="F1280" i="2"/>
  <c r="H1279" i="2"/>
  <c r="G1279" i="2"/>
  <c r="F1279" i="2"/>
  <c r="H1278" i="2"/>
  <c r="G1278" i="2"/>
  <c r="F1278" i="2"/>
  <c r="H1277" i="2"/>
  <c r="G1277" i="2"/>
  <c r="F1277" i="2"/>
  <c r="H1276" i="2"/>
  <c r="G1276" i="2"/>
  <c r="F1276" i="2"/>
  <c r="H1275" i="2"/>
  <c r="G1275" i="2"/>
  <c r="F1275" i="2"/>
  <c r="H1274" i="2"/>
  <c r="G1274" i="2"/>
  <c r="F1274" i="2"/>
  <c r="H1273" i="2"/>
  <c r="G1273" i="2"/>
  <c r="F1273" i="2"/>
  <c r="H1272" i="2"/>
  <c r="G1272" i="2"/>
  <c r="F1272" i="2"/>
  <c r="H1271" i="2"/>
  <c r="G1271" i="2"/>
  <c r="F1271" i="2"/>
  <c r="H1270" i="2"/>
  <c r="G1270" i="2"/>
  <c r="F1270" i="2"/>
  <c r="H1269" i="2"/>
  <c r="G1269" i="2"/>
  <c r="F1269" i="2"/>
  <c r="H1268" i="2"/>
  <c r="G1268" i="2"/>
  <c r="F1268" i="2"/>
  <c r="H1267" i="2"/>
  <c r="G1267" i="2"/>
  <c r="F1267" i="2"/>
  <c r="H1266" i="2"/>
  <c r="G1266" i="2"/>
  <c r="F1266" i="2"/>
  <c r="H1265" i="2"/>
  <c r="G1265" i="2"/>
  <c r="F1265" i="2"/>
  <c r="H1264" i="2"/>
  <c r="G1264" i="2"/>
  <c r="F1264" i="2"/>
  <c r="H1263" i="2"/>
  <c r="G1263" i="2"/>
  <c r="F1263" i="2"/>
  <c r="H1262" i="2"/>
  <c r="G1262" i="2"/>
  <c r="F1262" i="2"/>
  <c r="H1261" i="2"/>
  <c r="G1261" i="2"/>
  <c r="F1261" i="2"/>
  <c r="H1260" i="2"/>
  <c r="G1260" i="2"/>
  <c r="F1260" i="2"/>
  <c r="H1259" i="2"/>
  <c r="G1259" i="2"/>
  <c r="F1259" i="2"/>
  <c r="H1258" i="2"/>
  <c r="G1258" i="2"/>
  <c r="F1258" i="2"/>
  <c r="H1257" i="2"/>
  <c r="G1257" i="2"/>
  <c r="F1257" i="2"/>
  <c r="H1256" i="2"/>
  <c r="G1256" i="2"/>
  <c r="F1256" i="2"/>
  <c r="H1255" i="2"/>
  <c r="G1255" i="2"/>
  <c r="F1255" i="2"/>
  <c r="H1254" i="2"/>
  <c r="G1254" i="2"/>
  <c r="F1254" i="2"/>
  <c r="H1253" i="2"/>
  <c r="G1253" i="2"/>
  <c r="F1253" i="2"/>
  <c r="H1252" i="2"/>
  <c r="G1252" i="2"/>
  <c r="F1252" i="2"/>
  <c r="H1251" i="2"/>
  <c r="G1251" i="2"/>
  <c r="F1251" i="2"/>
  <c r="H1250" i="2"/>
  <c r="G1250" i="2"/>
  <c r="F1250" i="2"/>
  <c r="H1249" i="2"/>
  <c r="G1249" i="2"/>
  <c r="F1249" i="2"/>
  <c r="H1248" i="2"/>
  <c r="G1248" i="2"/>
  <c r="F1248" i="2"/>
  <c r="H1247" i="2"/>
  <c r="G1247" i="2"/>
  <c r="F1247" i="2"/>
  <c r="H1246" i="2"/>
  <c r="G1246" i="2"/>
  <c r="F1246" i="2"/>
  <c r="H1245" i="2"/>
  <c r="G1245" i="2"/>
  <c r="F1245" i="2"/>
  <c r="H1244" i="2"/>
  <c r="G1244" i="2"/>
  <c r="F1244" i="2"/>
  <c r="H1243" i="2"/>
  <c r="G1243" i="2"/>
  <c r="F1243" i="2"/>
  <c r="H1242" i="2"/>
  <c r="G1242" i="2"/>
  <c r="F1242" i="2"/>
  <c r="H1241" i="2"/>
  <c r="G1241" i="2"/>
  <c r="F1241" i="2"/>
  <c r="H1240" i="2"/>
  <c r="G1240" i="2"/>
  <c r="F1240" i="2"/>
  <c r="H1239" i="2"/>
  <c r="G1239" i="2"/>
  <c r="F1239" i="2"/>
  <c r="H1238" i="2"/>
  <c r="G1238" i="2"/>
  <c r="F1238" i="2"/>
  <c r="H1237" i="2"/>
  <c r="G1237" i="2"/>
  <c r="F1237" i="2"/>
  <c r="H1236" i="2"/>
  <c r="G1236" i="2"/>
  <c r="F1236" i="2"/>
  <c r="H1235" i="2"/>
  <c r="G1235" i="2"/>
  <c r="F1235" i="2"/>
  <c r="H1234" i="2"/>
  <c r="G1234" i="2"/>
  <c r="F1234" i="2"/>
  <c r="H1233" i="2"/>
  <c r="G1233" i="2"/>
  <c r="F1233" i="2"/>
  <c r="H1232" i="2"/>
  <c r="G1232" i="2"/>
  <c r="F1232" i="2"/>
  <c r="H1231" i="2"/>
  <c r="G1231" i="2"/>
  <c r="F1231" i="2"/>
  <c r="H1230" i="2"/>
  <c r="G1230" i="2"/>
  <c r="F1230" i="2"/>
  <c r="H1229" i="2"/>
  <c r="G1229" i="2"/>
  <c r="F1229" i="2"/>
  <c r="H1228" i="2"/>
  <c r="G1228" i="2"/>
  <c r="F1228" i="2"/>
  <c r="H1227" i="2"/>
  <c r="G1227" i="2"/>
  <c r="F1227" i="2"/>
  <c r="H1226" i="2"/>
  <c r="G1226" i="2"/>
  <c r="F1226" i="2"/>
  <c r="H1225" i="2"/>
  <c r="G1225" i="2"/>
  <c r="F1225" i="2"/>
  <c r="H1224" i="2"/>
  <c r="G1224" i="2"/>
  <c r="F1224" i="2"/>
  <c r="H1223" i="2"/>
  <c r="G1223" i="2"/>
  <c r="F1223" i="2"/>
  <c r="H1222" i="2"/>
  <c r="G1222" i="2"/>
  <c r="F1222" i="2"/>
  <c r="H1221" i="2"/>
  <c r="G1221" i="2"/>
  <c r="F1221" i="2"/>
  <c r="H1220" i="2"/>
  <c r="G1220" i="2"/>
  <c r="F1220" i="2"/>
  <c r="H1219" i="2"/>
  <c r="G1219" i="2"/>
  <c r="F1219" i="2"/>
  <c r="H1218" i="2"/>
  <c r="G1218" i="2"/>
  <c r="F1218" i="2"/>
  <c r="H1217" i="2"/>
  <c r="G1217" i="2"/>
  <c r="F1217" i="2"/>
  <c r="H1216" i="2"/>
  <c r="G1216" i="2"/>
  <c r="F1216" i="2"/>
  <c r="H1215" i="2"/>
  <c r="G1215" i="2"/>
  <c r="F1215" i="2"/>
  <c r="H1214" i="2"/>
  <c r="G1214" i="2"/>
  <c r="F1214" i="2"/>
  <c r="H1213" i="2"/>
  <c r="G1213" i="2"/>
  <c r="F1213" i="2"/>
  <c r="H1212" i="2"/>
  <c r="G1212" i="2"/>
  <c r="F1212" i="2"/>
  <c r="H1211" i="2"/>
  <c r="G1211" i="2"/>
  <c r="F1211" i="2"/>
  <c r="H1210" i="2"/>
  <c r="G1210" i="2"/>
  <c r="F1210" i="2"/>
  <c r="H1209" i="2"/>
  <c r="G1209" i="2"/>
  <c r="F1209" i="2"/>
  <c r="H1208" i="2"/>
  <c r="G1208" i="2"/>
  <c r="F1208" i="2"/>
  <c r="H1207" i="2"/>
  <c r="G1207" i="2"/>
  <c r="F1207" i="2"/>
  <c r="H1206" i="2"/>
  <c r="G1206" i="2"/>
  <c r="F1206" i="2"/>
  <c r="H1205" i="2"/>
  <c r="G1205" i="2"/>
  <c r="F1205" i="2"/>
  <c r="H1204" i="2"/>
  <c r="G1204" i="2"/>
  <c r="F1204" i="2"/>
  <c r="H1203" i="2"/>
  <c r="G1203" i="2"/>
  <c r="F1203" i="2"/>
  <c r="H1202" i="2"/>
  <c r="G1202" i="2"/>
  <c r="F1202" i="2"/>
  <c r="H1201" i="2"/>
  <c r="G1201" i="2"/>
  <c r="F1201" i="2"/>
  <c r="H1200" i="2"/>
  <c r="G1200" i="2"/>
  <c r="F1200" i="2"/>
  <c r="H1199" i="2"/>
  <c r="G1199" i="2"/>
  <c r="F1199" i="2"/>
  <c r="H1198" i="2"/>
  <c r="G1198" i="2"/>
  <c r="F1198" i="2"/>
  <c r="H1197" i="2"/>
  <c r="G1197" i="2"/>
  <c r="F1197" i="2"/>
  <c r="H1196" i="2"/>
  <c r="G1196" i="2"/>
  <c r="F1196" i="2"/>
  <c r="H1195" i="2"/>
  <c r="G1195" i="2"/>
  <c r="F1195" i="2"/>
  <c r="H1194" i="2"/>
  <c r="G1194" i="2"/>
  <c r="F1194" i="2"/>
  <c r="H1193" i="2"/>
  <c r="G1193" i="2"/>
  <c r="F1193" i="2"/>
  <c r="H1192" i="2"/>
  <c r="G1192" i="2"/>
  <c r="F1192" i="2"/>
  <c r="H1191" i="2"/>
  <c r="G1191" i="2"/>
  <c r="F1191" i="2"/>
  <c r="H1190" i="2"/>
  <c r="G1190" i="2"/>
  <c r="F1190" i="2"/>
  <c r="H1189" i="2"/>
  <c r="G1189" i="2"/>
  <c r="F1189" i="2"/>
  <c r="H1188" i="2"/>
  <c r="G1188" i="2"/>
  <c r="F1188" i="2"/>
  <c r="H1187" i="2"/>
  <c r="G1187" i="2"/>
  <c r="F1187" i="2"/>
  <c r="H1186" i="2"/>
  <c r="G1186" i="2"/>
  <c r="F1186" i="2"/>
  <c r="H1185" i="2"/>
  <c r="G1185" i="2"/>
  <c r="F1185" i="2"/>
  <c r="H1184" i="2"/>
  <c r="G1184" i="2"/>
  <c r="F1184" i="2"/>
  <c r="H1183" i="2"/>
  <c r="G1183" i="2"/>
  <c r="F1183" i="2"/>
  <c r="H1182" i="2"/>
  <c r="G1182" i="2"/>
  <c r="F1182" i="2"/>
  <c r="H1181" i="2"/>
  <c r="G1181" i="2"/>
  <c r="F1181" i="2"/>
  <c r="H1180" i="2"/>
  <c r="G1180" i="2"/>
  <c r="F1180" i="2"/>
  <c r="H1179" i="2"/>
  <c r="G1179" i="2"/>
  <c r="F1179" i="2"/>
  <c r="H1178" i="2"/>
  <c r="G1178" i="2"/>
  <c r="F1178" i="2"/>
  <c r="H1177" i="2"/>
  <c r="G1177" i="2"/>
  <c r="F1177" i="2"/>
  <c r="H1176" i="2"/>
  <c r="G1176" i="2"/>
  <c r="F1176" i="2"/>
  <c r="H1175" i="2"/>
  <c r="G1175" i="2"/>
  <c r="F1175" i="2"/>
  <c r="H1174" i="2"/>
  <c r="G1174" i="2"/>
  <c r="F1174" i="2"/>
  <c r="H1173" i="2"/>
  <c r="G1173" i="2"/>
  <c r="F1173" i="2"/>
  <c r="H1172" i="2"/>
  <c r="G1172" i="2"/>
  <c r="F1172" i="2"/>
  <c r="H1171" i="2"/>
  <c r="G1171" i="2"/>
  <c r="F1171" i="2"/>
  <c r="H1170" i="2"/>
  <c r="G1170" i="2"/>
  <c r="F1170" i="2"/>
  <c r="H1169" i="2"/>
  <c r="G1169" i="2"/>
  <c r="F1169" i="2"/>
  <c r="H1168" i="2"/>
  <c r="G1168" i="2"/>
  <c r="F1168" i="2"/>
  <c r="H1167" i="2"/>
  <c r="G1167" i="2"/>
  <c r="F1167" i="2"/>
  <c r="H1166" i="2"/>
  <c r="G1166" i="2"/>
  <c r="F1166" i="2"/>
  <c r="H1165" i="2"/>
  <c r="G1165" i="2"/>
  <c r="F1165" i="2"/>
  <c r="H1164" i="2"/>
  <c r="G1164" i="2"/>
  <c r="F1164" i="2"/>
  <c r="H1163" i="2"/>
  <c r="G1163" i="2"/>
  <c r="F1163" i="2"/>
  <c r="H1162" i="2"/>
  <c r="G1162" i="2"/>
  <c r="F1162" i="2"/>
  <c r="H1161" i="2"/>
  <c r="G1161" i="2"/>
  <c r="F1161" i="2"/>
  <c r="H1160" i="2"/>
  <c r="G1160" i="2"/>
  <c r="F1160" i="2"/>
  <c r="H1159" i="2"/>
  <c r="G1159" i="2"/>
  <c r="F1159" i="2"/>
  <c r="H1158" i="2"/>
  <c r="G1158" i="2"/>
  <c r="F1158" i="2"/>
  <c r="H1157" i="2"/>
  <c r="G1157" i="2"/>
  <c r="F1157" i="2"/>
  <c r="H1156" i="2"/>
  <c r="G1156" i="2"/>
  <c r="F1156" i="2"/>
  <c r="H1155" i="2"/>
  <c r="G1155" i="2"/>
  <c r="F1155" i="2"/>
  <c r="H1154" i="2"/>
  <c r="G1154" i="2"/>
  <c r="F1154" i="2"/>
  <c r="H1153" i="2"/>
  <c r="G1153" i="2"/>
  <c r="F1153" i="2"/>
  <c r="H1152" i="2"/>
  <c r="G1152" i="2"/>
  <c r="F1152" i="2"/>
  <c r="H1151" i="2"/>
  <c r="G1151" i="2"/>
  <c r="F1151" i="2"/>
  <c r="H1150" i="2"/>
  <c r="G1150" i="2"/>
  <c r="F1150" i="2"/>
  <c r="H1149" i="2"/>
  <c r="G1149" i="2"/>
  <c r="F1149" i="2"/>
  <c r="H1148" i="2"/>
  <c r="G1148" i="2"/>
  <c r="F1148" i="2"/>
  <c r="H1147" i="2"/>
  <c r="G1147" i="2"/>
  <c r="F1147" i="2"/>
  <c r="H1146" i="2"/>
  <c r="G1146" i="2"/>
  <c r="F1146" i="2"/>
  <c r="H1145" i="2"/>
  <c r="G1145" i="2"/>
  <c r="F1145" i="2"/>
  <c r="H1144" i="2"/>
  <c r="G1144" i="2"/>
  <c r="F1144" i="2"/>
  <c r="H1143" i="2"/>
  <c r="G1143" i="2"/>
  <c r="F1143" i="2"/>
  <c r="H1142" i="2"/>
  <c r="G1142" i="2"/>
  <c r="F1142" i="2"/>
  <c r="H1141" i="2"/>
  <c r="G1141" i="2"/>
  <c r="F1141" i="2"/>
  <c r="H1140" i="2"/>
  <c r="G1140" i="2"/>
  <c r="F1140" i="2"/>
  <c r="H1139" i="2"/>
  <c r="G1139" i="2"/>
  <c r="F1139" i="2"/>
  <c r="H1138" i="2"/>
  <c r="G1138" i="2"/>
  <c r="F1138" i="2"/>
  <c r="H1137" i="2"/>
  <c r="G1137" i="2"/>
  <c r="F1137" i="2"/>
  <c r="H1136" i="2"/>
  <c r="G1136" i="2"/>
  <c r="F1136" i="2"/>
  <c r="H1135" i="2"/>
  <c r="G1135" i="2"/>
  <c r="F1135" i="2"/>
  <c r="H1134" i="2"/>
  <c r="G1134" i="2"/>
  <c r="F1134" i="2"/>
  <c r="H1133" i="2"/>
  <c r="G1133" i="2"/>
  <c r="F1133" i="2"/>
  <c r="H1132" i="2"/>
  <c r="G1132" i="2"/>
  <c r="F1132" i="2"/>
  <c r="H1131" i="2"/>
  <c r="G1131" i="2"/>
  <c r="F1131" i="2"/>
  <c r="H1130" i="2"/>
  <c r="G1130" i="2"/>
  <c r="F1130" i="2"/>
  <c r="H1129" i="2"/>
  <c r="G1129" i="2"/>
  <c r="F1129" i="2"/>
  <c r="H1128" i="2"/>
  <c r="G1128" i="2"/>
  <c r="F1128" i="2"/>
  <c r="H1127" i="2"/>
  <c r="G1127" i="2"/>
  <c r="F1127" i="2"/>
  <c r="H1126" i="2"/>
  <c r="G1126" i="2"/>
  <c r="F1126" i="2"/>
  <c r="H1125" i="2"/>
  <c r="G1125" i="2"/>
  <c r="F1125" i="2"/>
  <c r="H1124" i="2"/>
  <c r="G1124" i="2"/>
  <c r="F1124" i="2"/>
  <c r="H1123" i="2"/>
  <c r="G1123" i="2"/>
  <c r="F1123" i="2"/>
  <c r="H1122" i="2"/>
  <c r="G1122" i="2"/>
  <c r="F1122" i="2"/>
  <c r="H1121" i="2"/>
  <c r="G1121" i="2"/>
  <c r="F1121" i="2"/>
  <c r="H1120" i="2"/>
  <c r="G1120" i="2"/>
  <c r="F1120" i="2"/>
  <c r="H1119" i="2"/>
  <c r="G1119" i="2"/>
  <c r="F1119" i="2"/>
  <c r="H1118" i="2"/>
  <c r="G1118" i="2"/>
  <c r="F1118" i="2"/>
  <c r="H1117" i="2"/>
  <c r="G1117" i="2"/>
  <c r="F1117" i="2"/>
  <c r="H1116" i="2"/>
  <c r="G1116" i="2"/>
  <c r="F1116" i="2"/>
  <c r="H1115" i="2"/>
  <c r="G1115" i="2"/>
  <c r="F1115" i="2"/>
  <c r="H1114" i="2"/>
  <c r="G1114" i="2"/>
  <c r="F1114" i="2"/>
  <c r="H1113" i="2"/>
  <c r="G1113" i="2"/>
  <c r="F1113" i="2"/>
  <c r="H1112" i="2"/>
  <c r="G1112" i="2"/>
  <c r="F1112" i="2"/>
  <c r="H1111" i="2"/>
  <c r="G1111" i="2"/>
  <c r="F1111" i="2"/>
  <c r="H1110" i="2"/>
  <c r="G1110" i="2"/>
  <c r="F1110" i="2"/>
  <c r="H1109" i="2"/>
  <c r="G1109" i="2"/>
  <c r="F1109" i="2"/>
  <c r="H1108" i="2"/>
  <c r="G1108" i="2"/>
  <c r="F1108" i="2"/>
  <c r="H1107" i="2"/>
  <c r="G1107" i="2"/>
  <c r="F1107" i="2"/>
  <c r="H1106" i="2"/>
  <c r="G1106" i="2"/>
  <c r="F1106" i="2"/>
  <c r="H1105" i="2"/>
  <c r="G1105" i="2"/>
  <c r="F1105" i="2"/>
  <c r="H1104" i="2"/>
  <c r="G1104" i="2"/>
  <c r="F1104" i="2"/>
  <c r="H1103" i="2"/>
  <c r="G1103" i="2"/>
  <c r="F1103" i="2"/>
  <c r="H1102" i="2"/>
  <c r="G1102" i="2"/>
  <c r="F1102" i="2"/>
  <c r="H1101" i="2"/>
  <c r="G1101" i="2"/>
  <c r="F1101" i="2"/>
  <c r="H1100" i="2"/>
  <c r="G1100" i="2"/>
  <c r="F1100" i="2"/>
  <c r="H1099" i="2"/>
  <c r="G1099" i="2"/>
  <c r="F1099" i="2"/>
  <c r="H1098" i="2"/>
  <c r="G1098" i="2"/>
  <c r="F1098" i="2"/>
  <c r="H1097" i="2"/>
  <c r="G1097" i="2"/>
  <c r="F1097" i="2"/>
  <c r="H1096" i="2"/>
  <c r="G1096" i="2"/>
  <c r="F1096" i="2"/>
  <c r="H1095" i="2"/>
  <c r="G1095" i="2"/>
  <c r="F1095" i="2"/>
  <c r="H1094" i="2"/>
  <c r="G1094" i="2"/>
  <c r="F1094" i="2"/>
  <c r="H1093" i="2"/>
  <c r="G1093" i="2"/>
  <c r="F1093" i="2"/>
  <c r="H1092" i="2"/>
  <c r="G1092" i="2"/>
  <c r="F1092" i="2"/>
  <c r="H1091" i="2"/>
  <c r="G1091" i="2"/>
  <c r="F1091" i="2"/>
  <c r="H1090" i="2"/>
  <c r="G1090" i="2"/>
  <c r="F1090" i="2"/>
  <c r="H1089" i="2"/>
  <c r="G1089" i="2"/>
  <c r="F1089" i="2"/>
  <c r="H1088" i="2"/>
  <c r="G1088" i="2"/>
  <c r="F1088" i="2"/>
  <c r="H1087" i="2"/>
  <c r="G1087" i="2"/>
  <c r="F1087" i="2"/>
  <c r="H1086" i="2"/>
  <c r="G1086" i="2"/>
  <c r="F1086" i="2"/>
  <c r="H1085" i="2"/>
  <c r="G1085" i="2"/>
  <c r="F1085" i="2"/>
  <c r="H1084" i="2"/>
  <c r="G1084" i="2"/>
  <c r="F1084" i="2"/>
  <c r="H1083" i="2"/>
  <c r="G1083" i="2"/>
  <c r="F1083" i="2"/>
  <c r="H1082" i="2"/>
  <c r="G1082" i="2"/>
  <c r="F1082" i="2"/>
  <c r="H1081" i="2"/>
  <c r="G1081" i="2"/>
  <c r="F1081" i="2"/>
  <c r="H1080" i="2"/>
  <c r="G1080" i="2"/>
  <c r="F1080" i="2"/>
  <c r="H1079" i="2"/>
  <c r="G1079" i="2"/>
  <c r="F1079" i="2"/>
  <c r="H1078" i="2"/>
  <c r="G1078" i="2"/>
  <c r="F1078" i="2"/>
  <c r="H1077" i="2"/>
  <c r="G1077" i="2"/>
  <c r="F1077" i="2"/>
  <c r="H1076" i="2"/>
  <c r="G1076" i="2"/>
  <c r="F1076" i="2"/>
  <c r="H1075" i="2"/>
  <c r="G1075" i="2"/>
  <c r="F1075" i="2"/>
  <c r="H1074" i="2"/>
  <c r="G1074" i="2"/>
  <c r="F1074" i="2"/>
  <c r="H1073" i="2"/>
  <c r="G1073" i="2"/>
  <c r="F1073" i="2"/>
  <c r="H1072" i="2"/>
  <c r="G1072" i="2"/>
  <c r="F1072" i="2"/>
  <c r="H1071" i="2"/>
  <c r="G1071" i="2"/>
  <c r="F1071" i="2"/>
  <c r="H1070" i="2"/>
  <c r="G1070" i="2"/>
  <c r="F1070" i="2"/>
  <c r="H1069" i="2"/>
  <c r="G1069" i="2"/>
  <c r="F1069" i="2"/>
  <c r="H1068" i="2"/>
  <c r="G1068" i="2"/>
  <c r="F1068" i="2"/>
  <c r="H1067" i="2"/>
  <c r="G1067" i="2"/>
  <c r="F1067" i="2"/>
  <c r="H1066" i="2"/>
  <c r="G1066" i="2"/>
  <c r="F1066" i="2"/>
  <c r="H1065" i="2"/>
  <c r="G1065" i="2"/>
  <c r="F1065" i="2"/>
  <c r="H1064" i="2"/>
  <c r="G1064" i="2"/>
  <c r="F1064" i="2"/>
  <c r="H1063" i="2"/>
  <c r="G1063" i="2"/>
  <c r="F1063" i="2"/>
  <c r="H1062" i="2"/>
  <c r="G1062" i="2"/>
  <c r="F1062" i="2"/>
  <c r="H1061" i="2"/>
  <c r="G1061" i="2"/>
  <c r="F1061" i="2"/>
  <c r="H1060" i="2"/>
  <c r="G1060" i="2"/>
  <c r="F1060" i="2"/>
  <c r="H1059" i="2"/>
  <c r="G1059" i="2"/>
  <c r="F1059" i="2"/>
  <c r="H1058" i="2"/>
  <c r="G1058" i="2"/>
  <c r="F1058" i="2"/>
  <c r="H1057" i="2"/>
  <c r="G1057" i="2"/>
  <c r="F1057" i="2"/>
  <c r="H1056" i="2"/>
  <c r="G1056" i="2"/>
  <c r="F1056" i="2"/>
  <c r="H1055" i="2"/>
  <c r="G1055" i="2"/>
  <c r="F1055" i="2"/>
  <c r="H1054" i="2"/>
  <c r="G1054" i="2"/>
  <c r="F1054" i="2"/>
  <c r="H1053" i="2"/>
  <c r="G1053" i="2"/>
  <c r="F1053" i="2"/>
  <c r="H1052" i="2"/>
  <c r="G1052" i="2"/>
  <c r="F1052" i="2"/>
  <c r="H1051" i="2"/>
  <c r="G1051" i="2"/>
  <c r="F1051" i="2"/>
  <c r="H1050" i="2"/>
  <c r="G1050" i="2"/>
  <c r="F1050" i="2"/>
  <c r="H1049" i="2"/>
  <c r="G1049" i="2"/>
  <c r="F1049" i="2"/>
  <c r="H1048" i="2"/>
  <c r="G1048" i="2"/>
  <c r="F1048" i="2"/>
  <c r="H1047" i="2"/>
  <c r="G1047" i="2"/>
  <c r="F1047" i="2"/>
  <c r="H1046" i="2"/>
  <c r="G1046" i="2"/>
  <c r="F1046" i="2"/>
  <c r="H1045" i="2"/>
  <c r="G1045" i="2"/>
  <c r="F1045" i="2"/>
  <c r="H1044" i="2"/>
  <c r="G1044" i="2"/>
  <c r="F1044" i="2"/>
  <c r="H1043" i="2"/>
  <c r="G1043" i="2"/>
  <c r="F1043" i="2"/>
  <c r="H1042" i="2"/>
  <c r="G1042" i="2"/>
  <c r="F1042" i="2"/>
  <c r="H1041" i="2"/>
  <c r="G1041" i="2"/>
  <c r="F1041" i="2"/>
  <c r="H1040" i="2"/>
  <c r="G1040" i="2"/>
  <c r="F1040" i="2"/>
  <c r="H1039" i="2"/>
  <c r="G1039" i="2"/>
  <c r="F1039" i="2"/>
  <c r="H1038" i="2"/>
  <c r="G1038" i="2"/>
  <c r="F1038" i="2"/>
  <c r="H1037" i="2"/>
  <c r="G1037" i="2"/>
  <c r="F1037" i="2"/>
  <c r="H1036" i="2"/>
  <c r="G1036" i="2"/>
  <c r="F1036" i="2"/>
  <c r="H1035" i="2"/>
  <c r="G1035" i="2"/>
  <c r="F1035" i="2"/>
  <c r="H1034" i="2"/>
  <c r="G1034" i="2"/>
  <c r="F1034" i="2"/>
  <c r="H1033" i="2"/>
  <c r="G1033" i="2"/>
  <c r="F1033" i="2"/>
  <c r="H1032" i="2"/>
  <c r="G1032" i="2"/>
  <c r="F1032" i="2"/>
  <c r="H1031" i="2"/>
  <c r="G1031" i="2"/>
  <c r="F1031" i="2"/>
  <c r="H1030" i="2"/>
  <c r="G1030" i="2"/>
  <c r="F1030" i="2"/>
  <c r="H1029" i="2"/>
  <c r="G1029" i="2"/>
  <c r="F1029" i="2"/>
  <c r="H1028" i="2"/>
  <c r="G1028" i="2"/>
  <c r="F1028" i="2"/>
  <c r="H1027" i="2"/>
  <c r="G1027" i="2"/>
  <c r="F1027" i="2"/>
  <c r="H1026" i="2"/>
  <c r="G1026" i="2"/>
  <c r="F1026" i="2"/>
  <c r="H1025" i="2"/>
  <c r="G1025" i="2"/>
  <c r="F1025" i="2"/>
  <c r="H1024" i="2"/>
  <c r="G1024" i="2"/>
  <c r="F1024" i="2"/>
  <c r="H1023" i="2"/>
  <c r="G1023" i="2"/>
  <c r="F1023" i="2"/>
  <c r="H1022" i="2"/>
  <c r="G1022" i="2"/>
  <c r="F1022" i="2"/>
  <c r="H1021" i="2"/>
  <c r="G1021" i="2"/>
  <c r="F1021" i="2"/>
  <c r="H1020" i="2"/>
  <c r="G1020" i="2"/>
  <c r="F1020" i="2"/>
  <c r="H1019" i="2"/>
  <c r="G1019" i="2"/>
  <c r="F1019" i="2"/>
  <c r="H1018" i="2"/>
  <c r="G1018" i="2"/>
  <c r="F1018" i="2"/>
  <c r="H1017" i="2"/>
  <c r="G1017" i="2"/>
  <c r="F1017" i="2"/>
  <c r="H1016" i="2"/>
  <c r="G1016" i="2"/>
  <c r="F1016" i="2"/>
  <c r="H1015" i="2"/>
  <c r="G1015" i="2"/>
  <c r="F1015" i="2"/>
  <c r="H1014" i="2"/>
  <c r="G1014" i="2"/>
  <c r="F1014" i="2"/>
  <c r="H1013" i="2"/>
  <c r="G1013" i="2"/>
  <c r="F1013" i="2"/>
  <c r="H1012" i="2"/>
  <c r="G1012" i="2"/>
  <c r="F1012" i="2"/>
  <c r="H1011" i="2"/>
  <c r="G1011" i="2"/>
  <c r="F1011" i="2"/>
  <c r="H1010" i="2"/>
  <c r="G1010" i="2"/>
  <c r="F1010" i="2"/>
  <c r="H1009" i="2"/>
  <c r="G1009" i="2"/>
  <c r="F1009" i="2"/>
  <c r="H1008" i="2"/>
  <c r="G1008" i="2"/>
  <c r="F1008" i="2"/>
  <c r="H1007" i="2"/>
  <c r="G1007" i="2"/>
  <c r="F1007" i="2"/>
  <c r="H1006" i="2"/>
  <c r="G1006" i="2"/>
  <c r="F1006" i="2"/>
  <c r="H1005" i="2"/>
  <c r="G1005" i="2"/>
  <c r="F1005" i="2"/>
  <c r="H1004" i="2"/>
  <c r="G1004" i="2"/>
  <c r="F1004" i="2"/>
  <c r="H1003" i="2"/>
  <c r="G1003" i="2"/>
  <c r="F1003" i="2"/>
  <c r="H1002" i="2"/>
  <c r="G1002" i="2"/>
  <c r="F1002" i="2"/>
  <c r="H1001" i="2"/>
  <c r="G1001" i="2"/>
  <c r="F1001" i="2"/>
  <c r="H1000" i="2"/>
  <c r="G1000" i="2"/>
  <c r="F1000" i="2"/>
  <c r="H999" i="2"/>
  <c r="G999" i="2"/>
  <c r="F999" i="2"/>
  <c r="H998" i="2"/>
  <c r="G998" i="2"/>
  <c r="F998" i="2"/>
  <c r="H997" i="2"/>
  <c r="G997" i="2"/>
  <c r="F997" i="2"/>
  <c r="H996" i="2"/>
  <c r="G996" i="2"/>
  <c r="F996" i="2"/>
  <c r="H995" i="2"/>
  <c r="G995" i="2"/>
  <c r="F995" i="2"/>
  <c r="H994" i="2"/>
  <c r="G994" i="2"/>
  <c r="F994" i="2"/>
  <c r="H993" i="2"/>
  <c r="G993" i="2"/>
  <c r="F993" i="2"/>
  <c r="H992" i="2"/>
  <c r="G992" i="2"/>
  <c r="F992" i="2"/>
  <c r="H991" i="2"/>
  <c r="G991" i="2"/>
  <c r="F991" i="2"/>
  <c r="H990" i="2"/>
  <c r="G990" i="2"/>
  <c r="F990" i="2"/>
  <c r="H989" i="2"/>
  <c r="G989" i="2"/>
  <c r="F989" i="2"/>
  <c r="H988" i="2"/>
  <c r="G988" i="2"/>
  <c r="F988" i="2"/>
  <c r="H987" i="2"/>
  <c r="G987" i="2"/>
  <c r="F987" i="2"/>
  <c r="H986" i="2"/>
  <c r="G986" i="2"/>
  <c r="F986" i="2"/>
  <c r="H985" i="2"/>
  <c r="G985" i="2"/>
  <c r="F985" i="2"/>
  <c r="H984" i="2"/>
  <c r="G984" i="2"/>
  <c r="F984" i="2"/>
  <c r="H983" i="2"/>
  <c r="G983" i="2"/>
  <c r="F983" i="2"/>
  <c r="H982" i="2"/>
  <c r="G982" i="2"/>
  <c r="F982" i="2"/>
  <c r="H981" i="2"/>
  <c r="G981" i="2"/>
  <c r="F981" i="2"/>
  <c r="H980" i="2"/>
  <c r="G980" i="2"/>
  <c r="F980" i="2"/>
  <c r="H979" i="2"/>
  <c r="G979" i="2"/>
  <c r="F979" i="2"/>
  <c r="H978" i="2"/>
  <c r="G978" i="2"/>
  <c r="F978" i="2"/>
  <c r="H977" i="2"/>
  <c r="G977" i="2"/>
  <c r="F977" i="2"/>
  <c r="H976" i="2"/>
  <c r="G976" i="2"/>
  <c r="F976" i="2"/>
  <c r="H975" i="2"/>
  <c r="G975" i="2"/>
  <c r="F975" i="2"/>
  <c r="H974" i="2"/>
  <c r="G974" i="2"/>
  <c r="F974" i="2"/>
  <c r="H973" i="2"/>
  <c r="G973" i="2"/>
  <c r="F973" i="2"/>
  <c r="H972" i="2"/>
  <c r="G972" i="2"/>
  <c r="F972" i="2"/>
  <c r="H971" i="2"/>
  <c r="G971" i="2"/>
  <c r="F971" i="2"/>
  <c r="H970" i="2"/>
  <c r="G970" i="2"/>
  <c r="F970" i="2"/>
  <c r="H969" i="2"/>
  <c r="G969" i="2"/>
  <c r="F969" i="2"/>
  <c r="H968" i="2"/>
  <c r="G968" i="2"/>
  <c r="F968" i="2"/>
  <c r="H967" i="2"/>
  <c r="G967" i="2"/>
  <c r="F967" i="2"/>
  <c r="H966" i="2"/>
  <c r="G966" i="2"/>
  <c r="F966" i="2"/>
  <c r="H965" i="2"/>
  <c r="G965" i="2"/>
  <c r="F965" i="2"/>
  <c r="H964" i="2"/>
  <c r="G964" i="2"/>
  <c r="F964" i="2"/>
  <c r="H963" i="2"/>
  <c r="G963" i="2"/>
  <c r="F963" i="2"/>
  <c r="H962" i="2"/>
  <c r="G962" i="2"/>
  <c r="F962" i="2"/>
  <c r="H961" i="2"/>
  <c r="G961" i="2"/>
  <c r="F961" i="2"/>
  <c r="H960" i="2"/>
  <c r="G960" i="2"/>
  <c r="F960" i="2"/>
  <c r="H959" i="2"/>
  <c r="G959" i="2"/>
  <c r="F959" i="2"/>
  <c r="H958" i="2"/>
  <c r="G958" i="2"/>
  <c r="F958" i="2"/>
  <c r="H957" i="2"/>
  <c r="G957" i="2"/>
  <c r="F957" i="2"/>
  <c r="H956" i="2"/>
  <c r="G956" i="2"/>
  <c r="F956" i="2"/>
  <c r="H955" i="2"/>
  <c r="G955" i="2"/>
  <c r="F955" i="2"/>
  <c r="H954" i="2"/>
  <c r="G954" i="2"/>
  <c r="F954" i="2"/>
  <c r="H953" i="2"/>
  <c r="G953" i="2"/>
  <c r="F953" i="2"/>
  <c r="H952" i="2"/>
  <c r="G952" i="2"/>
  <c r="F952" i="2"/>
  <c r="H951" i="2"/>
  <c r="G951" i="2"/>
  <c r="F951" i="2"/>
  <c r="H950" i="2"/>
  <c r="G950" i="2"/>
  <c r="F950" i="2"/>
  <c r="H949" i="2"/>
  <c r="G949" i="2"/>
  <c r="F949" i="2"/>
  <c r="H948" i="2"/>
  <c r="G948" i="2"/>
  <c r="F948" i="2"/>
  <c r="H947" i="2"/>
  <c r="G947" i="2"/>
  <c r="F947" i="2"/>
  <c r="H946" i="2"/>
  <c r="G946" i="2"/>
  <c r="F946" i="2"/>
  <c r="H945" i="2"/>
  <c r="G945" i="2"/>
  <c r="F945" i="2"/>
  <c r="H944" i="2"/>
  <c r="G944" i="2"/>
  <c r="F944" i="2"/>
  <c r="H943" i="2"/>
  <c r="G943" i="2"/>
  <c r="F943" i="2"/>
  <c r="H942" i="2"/>
  <c r="G942" i="2"/>
  <c r="F942" i="2"/>
  <c r="H941" i="2"/>
  <c r="G941" i="2"/>
  <c r="F941" i="2"/>
  <c r="H940" i="2"/>
  <c r="G940" i="2"/>
  <c r="F940" i="2"/>
  <c r="H939" i="2"/>
  <c r="G939" i="2"/>
  <c r="F939" i="2"/>
  <c r="H938" i="2"/>
  <c r="G938" i="2"/>
  <c r="F938" i="2"/>
  <c r="H937" i="2"/>
  <c r="G937" i="2"/>
  <c r="F937" i="2"/>
  <c r="H936" i="2"/>
  <c r="G936" i="2"/>
  <c r="F936" i="2"/>
  <c r="H935" i="2"/>
  <c r="G935" i="2"/>
  <c r="F935" i="2"/>
  <c r="H934" i="2"/>
  <c r="G934" i="2"/>
  <c r="F934" i="2"/>
  <c r="H933" i="2"/>
  <c r="G933" i="2"/>
  <c r="F933" i="2"/>
  <c r="H932" i="2"/>
  <c r="G932" i="2"/>
  <c r="F932" i="2"/>
  <c r="H931" i="2"/>
  <c r="G931" i="2"/>
  <c r="F931" i="2"/>
  <c r="H930" i="2"/>
  <c r="G930" i="2"/>
  <c r="F930" i="2"/>
  <c r="H929" i="2"/>
  <c r="G929" i="2"/>
  <c r="F929" i="2"/>
  <c r="H928" i="2"/>
  <c r="G928" i="2"/>
  <c r="F928" i="2"/>
  <c r="H927" i="2"/>
  <c r="G927" i="2"/>
  <c r="F927" i="2"/>
  <c r="H926" i="2"/>
  <c r="G926" i="2"/>
  <c r="F926" i="2"/>
  <c r="H925" i="2"/>
  <c r="G925" i="2"/>
  <c r="F925" i="2"/>
  <c r="H924" i="2"/>
  <c r="G924" i="2"/>
  <c r="F924" i="2"/>
  <c r="H923" i="2"/>
  <c r="G923" i="2"/>
  <c r="F923" i="2"/>
  <c r="H922" i="2"/>
  <c r="G922" i="2"/>
  <c r="F922" i="2"/>
  <c r="H921" i="2"/>
  <c r="G921" i="2"/>
  <c r="F921" i="2"/>
  <c r="H920" i="2"/>
  <c r="G920" i="2"/>
  <c r="F920" i="2"/>
  <c r="H919" i="2"/>
  <c r="G919" i="2"/>
  <c r="F919" i="2"/>
  <c r="H918" i="2"/>
  <c r="G918" i="2"/>
  <c r="F918" i="2"/>
  <c r="H917" i="2"/>
  <c r="G917" i="2"/>
  <c r="F917" i="2"/>
  <c r="H916" i="2"/>
  <c r="G916" i="2"/>
  <c r="F916" i="2"/>
  <c r="H915" i="2"/>
  <c r="G915" i="2"/>
  <c r="F915" i="2"/>
  <c r="H914" i="2"/>
  <c r="G914" i="2"/>
  <c r="F914" i="2"/>
  <c r="H913" i="2"/>
  <c r="G913" i="2"/>
  <c r="F913" i="2"/>
  <c r="H912" i="2"/>
  <c r="G912" i="2"/>
  <c r="F912" i="2"/>
  <c r="H911" i="2"/>
  <c r="G911" i="2"/>
  <c r="F911" i="2"/>
  <c r="H910" i="2"/>
  <c r="G910" i="2"/>
  <c r="F910" i="2"/>
  <c r="H909" i="2"/>
  <c r="G909" i="2"/>
  <c r="F909" i="2"/>
  <c r="H908" i="2"/>
  <c r="G908" i="2"/>
  <c r="F908" i="2"/>
  <c r="H907" i="2"/>
  <c r="G907" i="2"/>
  <c r="F907" i="2"/>
  <c r="H906" i="2"/>
  <c r="G906" i="2"/>
  <c r="F906" i="2"/>
  <c r="H905" i="2"/>
  <c r="G905" i="2"/>
  <c r="F905" i="2"/>
  <c r="H904" i="2"/>
  <c r="G904" i="2"/>
  <c r="F904" i="2"/>
  <c r="H903" i="2"/>
  <c r="G903" i="2"/>
  <c r="F903" i="2"/>
  <c r="H902" i="2"/>
  <c r="G902" i="2"/>
  <c r="F902" i="2"/>
  <c r="H901" i="2"/>
  <c r="G901" i="2"/>
  <c r="F901" i="2"/>
  <c r="H900" i="2"/>
  <c r="G900" i="2"/>
  <c r="F900" i="2"/>
  <c r="H899" i="2"/>
  <c r="G899" i="2"/>
  <c r="F899" i="2"/>
  <c r="H898" i="2"/>
  <c r="G898" i="2"/>
  <c r="F898" i="2"/>
  <c r="H897" i="2"/>
  <c r="G897" i="2"/>
  <c r="F897" i="2"/>
  <c r="H896" i="2"/>
  <c r="G896" i="2"/>
  <c r="F896" i="2"/>
  <c r="H895" i="2"/>
  <c r="G895" i="2"/>
  <c r="F895" i="2"/>
  <c r="H894" i="2"/>
  <c r="G894" i="2"/>
  <c r="F894" i="2"/>
  <c r="H893" i="2"/>
  <c r="G893" i="2"/>
  <c r="F893" i="2"/>
  <c r="H892" i="2"/>
  <c r="G892" i="2"/>
  <c r="F892" i="2"/>
  <c r="H891" i="2"/>
  <c r="G891" i="2"/>
  <c r="F891" i="2"/>
  <c r="H890" i="2"/>
  <c r="G890" i="2"/>
  <c r="F890" i="2"/>
  <c r="H889" i="2"/>
  <c r="G889" i="2"/>
  <c r="F889" i="2"/>
  <c r="H888" i="2"/>
  <c r="G888" i="2"/>
  <c r="F888" i="2"/>
  <c r="H887" i="2"/>
  <c r="G887" i="2"/>
  <c r="F887" i="2"/>
  <c r="H886" i="2"/>
  <c r="G886" i="2"/>
  <c r="F886" i="2"/>
  <c r="H885" i="2"/>
  <c r="G885" i="2"/>
  <c r="F885" i="2"/>
  <c r="H884" i="2"/>
  <c r="G884" i="2"/>
  <c r="F884" i="2"/>
  <c r="H883" i="2"/>
  <c r="G883" i="2"/>
  <c r="F883" i="2"/>
  <c r="H882" i="2"/>
  <c r="G882" i="2"/>
  <c r="F882" i="2"/>
  <c r="H881" i="2"/>
  <c r="G881" i="2"/>
  <c r="F881" i="2"/>
  <c r="H880" i="2"/>
  <c r="G880" i="2"/>
  <c r="F880" i="2"/>
  <c r="H879" i="2"/>
  <c r="G879" i="2"/>
  <c r="F879" i="2"/>
  <c r="H878" i="2"/>
  <c r="G878" i="2"/>
  <c r="F878" i="2"/>
  <c r="H877" i="2"/>
  <c r="G877" i="2"/>
  <c r="F877" i="2"/>
  <c r="H876" i="2"/>
  <c r="G876" i="2"/>
  <c r="F876" i="2"/>
  <c r="H875" i="2"/>
  <c r="G875" i="2"/>
  <c r="F875" i="2"/>
  <c r="H874" i="2"/>
  <c r="G874" i="2"/>
  <c r="F874" i="2"/>
  <c r="H873" i="2"/>
  <c r="G873" i="2"/>
  <c r="F873" i="2"/>
  <c r="H872" i="2"/>
  <c r="G872" i="2"/>
  <c r="F872" i="2"/>
  <c r="H871" i="2"/>
  <c r="G871" i="2"/>
  <c r="F871" i="2"/>
  <c r="H870" i="2"/>
  <c r="G870" i="2"/>
  <c r="F870" i="2"/>
  <c r="H869" i="2"/>
  <c r="G869" i="2"/>
  <c r="F869" i="2"/>
  <c r="H868" i="2"/>
  <c r="G868" i="2"/>
  <c r="F868" i="2"/>
  <c r="H867" i="2"/>
  <c r="G867" i="2"/>
  <c r="F867" i="2"/>
  <c r="H866" i="2"/>
  <c r="G866" i="2"/>
  <c r="F866" i="2"/>
  <c r="H865" i="2"/>
  <c r="G865" i="2"/>
  <c r="F865" i="2"/>
  <c r="H864" i="2"/>
  <c r="G864" i="2"/>
  <c r="F864" i="2"/>
  <c r="H863" i="2"/>
  <c r="G863" i="2"/>
  <c r="F863" i="2"/>
  <c r="H862" i="2"/>
  <c r="G862" i="2"/>
  <c r="F862" i="2"/>
  <c r="H861" i="2"/>
  <c r="G861" i="2"/>
  <c r="F861" i="2"/>
  <c r="H860" i="2"/>
  <c r="G860" i="2"/>
  <c r="F860" i="2"/>
  <c r="H859" i="2"/>
  <c r="G859" i="2"/>
  <c r="F859" i="2"/>
  <c r="H858" i="2"/>
  <c r="G858" i="2"/>
  <c r="F858" i="2"/>
  <c r="H857" i="2"/>
  <c r="G857" i="2"/>
  <c r="F857" i="2"/>
  <c r="H856" i="2"/>
  <c r="G856" i="2"/>
  <c r="F856" i="2"/>
  <c r="H855" i="2"/>
  <c r="G855" i="2"/>
  <c r="F855" i="2"/>
  <c r="H854" i="2"/>
  <c r="G854" i="2"/>
  <c r="F854" i="2"/>
  <c r="H853" i="2"/>
  <c r="G853" i="2"/>
  <c r="F853" i="2"/>
  <c r="H852" i="2"/>
  <c r="G852" i="2"/>
  <c r="F852" i="2"/>
  <c r="H851" i="2"/>
  <c r="G851" i="2"/>
  <c r="F851" i="2"/>
  <c r="H850" i="2"/>
  <c r="G850" i="2"/>
  <c r="F850" i="2"/>
  <c r="H849" i="2"/>
  <c r="G849" i="2"/>
  <c r="F849" i="2"/>
  <c r="H848" i="2"/>
  <c r="G848" i="2"/>
  <c r="F848" i="2"/>
  <c r="H847" i="2"/>
  <c r="G847" i="2"/>
  <c r="F847" i="2"/>
  <c r="H846" i="2"/>
  <c r="G846" i="2"/>
  <c r="F846" i="2"/>
  <c r="H845" i="2"/>
  <c r="G845" i="2"/>
  <c r="F845" i="2"/>
  <c r="H844" i="2"/>
  <c r="G844" i="2"/>
  <c r="F844" i="2"/>
  <c r="H843" i="2"/>
  <c r="G843" i="2"/>
  <c r="F843" i="2"/>
  <c r="H842" i="2"/>
  <c r="G842" i="2"/>
  <c r="F842" i="2"/>
  <c r="H841" i="2"/>
  <c r="G841" i="2"/>
  <c r="F841" i="2"/>
  <c r="H840" i="2"/>
  <c r="G840" i="2"/>
  <c r="F840" i="2"/>
  <c r="H839" i="2"/>
  <c r="G839" i="2"/>
  <c r="F839" i="2"/>
  <c r="H838" i="2"/>
  <c r="G838" i="2"/>
  <c r="F838" i="2"/>
  <c r="H837" i="2"/>
  <c r="G837" i="2"/>
  <c r="F837" i="2"/>
  <c r="H836" i="2"/>
  <c r="G836" i="2"/>
  <c r="F836" i="2"/>
  <c r="H835" i="2"/>
  <c r="G835" i="2"/>
  <c r="F835" i="2"/>
  <c r="H834" i="2"/>
  <c r="G834" i="2"/>
  <c r="F834" i="2"/>
  <c r="H833" i="2"/>
  <c r="G833" i="2"/>
  <c r="F833" i="2"/>
  <c r="H832" i="2"/>
  <c r="G832" i="2"/>
  <c r="F832" i="2"/>
  <c r="H831" i="2"/>
  <c r="G831" i="2"/>
  <c r="F831" i="2"/>
  <c r="H830" i="2"/>
  <c r="G830" i="2"/>
  <c r="F830" i="2"/>
  <c r="H829" i="2"/>
  <c r="G829" i="2"/>
  <c r="F829" i="2"/>
  <c r="H828" i="2"/>
  <c r="G828" i="2"/>
  <c r="F828" i="2"/>
  <c r="H827" i="2"/>
  <c r="G827" i="2"/>
  <c r="F827" i="2"/>
  <c r="H826" i="2"/>
  <c r="G826" i="2"/>
  <c r="F826" i="2"/>
  <c r="H825" i="2"/>
  <c r="G825" i="2"/>
  <c r="F825" i="2"/>
  <c r="H824" i="2"/>
  <c r="G824" i="2"/>
  <c r="F824" i="2"/>
  <c r="H823" i="2"/>
  <c r="G823" i="2"/>
  <c r="F823" i="2"/>
  <c r="H822" i="2"/>
  <c r="G822" i="2"/>
  <c r="F822" i="2"/>
  <c r="H821" i="2"/>
  <c r="G821" i="2"/>
  <c r="F821" i="2"/>
  <c r="H820" i="2"/>
  <c r="G820" i="2"/>
  <c r="F820" i="2"/>
  <c r="H819" i="2"/>
  <c r="G819" i="2"/>
  <c r="F819" i="2"/>
  <c r="H818" i="2"/>
  <c r="G818" i="2"/>
  <c r="F818" i="2"/>
  <c r="H817" i="2"/>
  <c r="G817" i="2"/>
  <c r="F817" i="2"/>
  <c r="H816" i="2"/>
  <c r="G816" i="2"/>
  <c r="F816" i="2"/>
  <c r="H815" i="2"/>
  <c r="G815" i="2"/>
  <c r="F815" i="2"/>
  <c r="H814" i="2"/>
  <c r="G814" i="2"/>
  <c r="F814" i="2"/>
  <c r="H813" i="2"/>
  <c r="G813" i="2"/>
  <c r="F813" i="2"/>
  <c r="H812" i="2"/>
  <c r="G812" i="2"/>
  <c r="F812" i="2"/>
  <c r="H811" i="2"/>
  <c r="G811" i="2"/>
  <c r="F811" i="2"/>
  <c r="H810" i="2"/>
  <c r="G810" i="2"/>
  <c r="F810" i="2"/>
  <c r="H809" i="2"/>
  <c r="G809" i="2"/>
  <c r="F809" i="2"/>
  <c r="H808" i="2"/>
  <c r="G808" i="2"/>
  <c r="F808" i="2"/>
  <c r="H807" i="2"/>
  <c r="G807" i="2"/>
  <c r="F807" i="2"/>
  <c r="H806" i="2"/>
  <c r="G806" i="2"/>
  <c r="F806" i="2"/>
  <c r="H805" i="2"/>
  <c r="G805" i="2"/>
  <c r="F805" i="2"/>
  <c r="H804" i="2"/>
  <c r="G804" i="2"/>
  <c r="F804" i="2"/>
  <c r="H803" i="2"/>
  <c r="G803" i="2"/>
  <c r="F803" i="2"/>
  <c r="H802" i="2"/>
  <c r="G802" i="2"/>
  <c r="F802" i="2"/>
  <c r="H801" i="2"/>
  <c r="G801" i="2"/>
  <c r="F801" i="2"/>
  <c r="H800" i="2"/>
  <c r="G800" i="2"/>
  <c r="F800" i="2"/>
  <c r="H799" i="2"/>
  <c r="G799" i="2"/>
  <c r="F799" i="2"/>
  <c r="H798" i="2"/>
  <c r="G798" i="2"/>
  <c r="F798" i="2"/>
  <c r="H797" i="2"/>
  <c r="G797" i="2"/>
  <c r="F797" i="2"/>
  <c r="H796" i="2"/>
  <c r="G796" i="2"/>
  <c r="F796" i="2"/>
  <c r="H795" i="2"/>
  <c r="G795" i="2"/>
  <c r="F795" i="2"/>
  <c r="H794" i="2"/>
  <c r="G794" i="2"/>
  <c r="F794" i="2"/>
  <c r="H793" i="2"/>
  <c r="G793" i="2"/>
  <c r="F793" i="2"/>
  <c r="H792" i="2"/>
  <c r="G792" i="2"/>
  <c r="F792" i="2"/>
  <c r="H791" i="2"/>
  <c r="G791" i="2"/>
  <c r="F791" i="2"/>
  <c r="H790" i="2"/>
  <c r="G790" i="2"/>
  <c r="F790" i="2"/>
  <c r="H789" i="2"/>
  <c r="G789" i="2"/>
  <c r="F789" i="2"/>
  <c r="H788" i="2"/>
  <c r="G788" i="2"/>
  <c r="F788" i="2"/>
  <c r="H787" i="2"/>
  <c r="G787" i="2"/>
  <c r="F787" i="2"/>
  <c r="H786" i="2"/>
  <c r="G786" i="2"/>
  <c r="F786" i="2"/>
  <c r="H785" i="2"/>
  <c r="G785" i="2"/>
  <c r="F785" i="2"/>
  <c r="H784" i="2"/>
  <c r="G784" i="2"/>
  <c r="F784" i="2"/>
  <c r="H783" i="2"/>
  <c r="G783" i="2"/>
  <c r="F783" i="2"/>
  <c r="H782" i="2"/>
  <c r="G782" i="2"/>
  <c r="F782" i="2"/>
  <c r="H781" i="2"/>
  <c r="G781" i="2"/>
  <c r="F781" i="2"/>
  <c r="H780" i="2"/>
  <c r="G780" i="2"/>
  <c r="F780" i="2"/>
  <c r="H779" i="2"/>
  <c r="G779" i="2"/>
  <c r="F779" i="2"/>
  <c r="H778" i="2"/>
  <c r="G778" i="2"/>
  <c r="F778" i="2"/>
  <c r="H777" i="2"/>
  <c r="G777" i="2"/>
  <c r="F777" i="2"/>
  <c r="H776" i="2"/>
  <c r="G776" i="2"/>
  <c r="F776" i="2"/>
  <c r="H775" i="2"/>
  <c r="G775" i="2"/>
  <c r="F775" i="2"/>
  <c r="H774" i="2"/>
  <c r="G774" i="2"/>
  <c r="F774" i="2"/>
  <c r="H773" i="2"/>
  <c r="G773" i="2"/>
  <c r="F773" i="2"/>
  <c r="H772" i="2"/>
  <c r="G772" i="2"/>
  <c r="F772" i="2"/>
  <c r="H771" i="2"/>
  <c r="G771" i="2"/>
  <c r="F771" i="2"/>
  <c r="H770" i="2"/>
  <c r="G770" i="2"/>
  <c r="F770" i="2"/>
  <c r="H769" i="2"/>
  <c r="G769" i="2"/>
  <c r="F769" i="2"/>
  <c r="H768" i="2"/>
  <c r="G768" i="2"/>
  <c r="F768" i="2"/>
  <c r="H767" i="2"/>
  <c r="G767" i="2"/>
  <c r="F767" i="2"/>
  <c r="H766" i="2"/>
  <c r="G766" i="2"/>
  <c r="F766" i="2"/>
  <c r="H765" i="2"/>
  <c r="G765" i="2"/>
  <c r="F765" i="2"/>
  <c r="H764" i="2"/>
  <c r="G764" i="2"/>
  <c r="F764" i="2"/>
  <c r="H763" i="2"/>
  <c r="G763" i="2"/>
  <c r="F763" i="2"/>
  <c r="H762" i="2"/>
  <c r="G762" i="2"/>
  <c r="F762" i="2"/>
  <c r="H761" i="2"/>
  <c r="G761" i="2"/>
  <c r="F761" i="2"/>
  <c r="H760" i="2"/>
  <c r="G760" i="2"/>
  <c r="F760" i="2"/>
  <c r="H759" i="2"/>
  <c r="G759" i="2"/>
  <c r="F759" i="2"/>
  <c r="H758" i="2"/>
  <c r="G758" i="2"/>
  <c r="F758" i="2"/>
  <c r="H757" i="2"/>
  <c r="G757" i="2"/>
  <c r="F757" i="2"/>
  <c r="H756" i="2"/>
  <c r="G756" i="2"/>
  <c r="F756" i="2"/>
  <c r="H755" i="2"/>
  <c r="G755" i="2"/>
  <c r="F755" i="2"/>
  <c r="H754" i="2"/>
  <c r="G754" i="2"/>
  <c r="F754" i="2"/>
  <c r="H753" i="2"/>
  <c r="G753" i="2"/>
  <c r="F753" i="2"/>
  <c r="H752" i="2"/>
  <c r="G752" i="2"/>
  <c r="F752" i="2"/>
  <c r="H751" i="2"/>
  <c r="G751" i="2"/>
  <c r="F751" i="2"/>
  <c r="H750" i="2"/>
  <c r="G750" i="2"/>
  <c r="F750" i="2"/>
  <c r="H749" i="2"/>
  <c r="G749" i="2"/>
  <c r="F749" i="2"/>
  <c r="H748" i="2"/>
  <c r="G748" i="2"/>
  <c r="F748" i="2"/>
  <c r="H747" i="2"/>
  <c r="G747" i="2"/>
  <c r="F747" i="2"/>
  <c r="H746" i="2"/>
  <c r="G746" i="2"/>
  <c r="F746" i="2"/>
  <c r="H745" i="2"/>
  <c r="G745" i="2"/>
  <c r="F745" i="2"/>
  <c r="H744" i="2"/>
  <c r="G744" i="2"/>
  <c r="F744" i="2"/>
  <c r="H743" i="2"/>
  <c r="G743" i="2"/>
  <c r="F743" i="2"/>
  <c r="H742" i="2"/>
  <c r="G742" i="2"/>
  <c r="F742" i="2"/>
  <c r="H741" i="2"/>
  <c r="G741" i="2"/>
  <c r="F741" i="2"/>
  <c r="H740" i="2"/>
  <c r="G740" i="2"/>
  <c r="F740" i="2"/>
  <c r="H739" i="2"/>
  <c r="G739" i="2"/>
  <c r="F739" i="2"/>
  <c r="H738" i="2"/>
  <c r="G738" i="2"/>
  <c r="F738" i="2"/>
  <c r="H737" i="2"/>
  <c r="G737" i="2"/>
  <c r="F737" i="2"/>
  <c r="H736" i="2"/>
  <c r="G736" i="2"/>
  <c r="F736" i="2"/>
  <c r="H735" i="2"/>
  <c r="G735" i="2"/>
  <c r="F735" i="2"/>
  <c r="H734" i="2"/>
  <c r="G734" i="2"/>
  <c r="F734" i="2"/>
  <c r="H733" i="2"/>
  <c r="G733" i="2"/>
  <c r="F733" i="2"/>
  <c r="H732" i="2"/>
  <c r="G732" i="2"/>
  <c r="F732" i="2"/>
  <c r="H731" i="2"/>
  <c r="G731" i="2"/>
  <c r="F731" i="2"/>
  <c r="H730" i="2"/>
  <c r="G730" i="2"/>
  <c r="F730" i="2"/>
  <c r="H729" i="2"/>
  <c r="G729" i="2"/>
  <c r="F729" i="2"/>
  <c r="H728" i="2"/>
  <c r="G728" i="2"/>
  <c r="F728" i="2"/>
  <c r="H727" i="2"/>
  <c r="G727" i="2"/>
  <c r="F727" i="2"/>
  <c r="H726" i="2"/>
  <c r="G726" i="2"/>
  <c r="F726" i="2"/>
  <c r="H725" i="2"/>
  <c r="G725" i="2"/>
  <c r="F725" i="2"/>
  <c r="H724" i="2"/>
  <c r="G724" i="2"/>
  <c r="F724" i="2"/>
  <c r="H723" i="2"/>
  <c r="G723" i="2"/>
  <c r="F723" i="2"/>
  <c r="H722" i="2"/>
  <c r="G722" i="2"/>
  <c r="F722" i="2"/>
  <c r="H721" i="2"/>
  <c r="G721" i="2"/>
  <c r="F721" i="2"/>
  <c r="H720" i="2"/>
  <c r="G720" i="2"/>
  <c r="F720" i="2"/>
  <c r="H719" i="2"/>
  <c r="G719" i="2"/>
  <c r="F719" i="2"/>
  <c r="H718" i="2"/>
  <c r="G718" i="2"/>
  <c r="F718" i="2"/>
  <c r="H717" i="2"/>
  <c r="G717" i="2"/>
  <c r="F717" i="2"/>
  <c r="H716" i="2"/>
  <c r="G716" i="2"/>
  <c r="F716" i="2"/>
  <c r="H715" i="2"/>
  <c r="G715" i="2"/>
  <c r="F715" i="2"/>
  <c r="H714" i="2"/>
  <c r="G714" i="2"/>
  <c r="F714" i="2"/>
  <c r="H713" i="2"/>
  <c r="G713" i="2"/>
  <c r="F713" i="2"/>
  <c r="H712" i="2"/>
  <c r="G712" i="2"/>
  <c r="F712" i="2"/>
  <c r="H711" i="2"/>
  <c r="G711" i="2"/>
  <c r="F711" i="2"/>
  <c r="H710" i="2"/>
  <c r="G710" i="2"/>
  <c r="F710" i="2"/>
  <c r="H709" i="2"/>
  <c r="G709" i="2"/>
  <c r="F709" i="2"/>
  <c r="H708" i="2"/>
  <c r="G708" i="2"/>
  <c r="F708" i="2"/>
  <c r="H707" i="2"/>
  <c r="G707" i="2"/>
  <c r="F707" i="2"/>
  <c r="H706" i="2"/>
  <c r="G706" i="2"/>
  <c r="F706" i="2"/>
  <c r="H705" i="2"/>
  <c r="G705" i="2"/>
  <c r="F705" i="2"/>
  <c r="H704" i="2"/>
  <c r="G704" i="2"/>
  <c r="F704" i="2"/>
  <c r="H703" i="2"/>
  <c r="G703" i="2"/>
  <c r="F703" i="2"/>
  <c r="H702" i="2"/>
  <c r="G702" i="2"/>
  <c r="F702" i="2"/>
  <c r="H701" i="2"/>
  <c r="G701" i="2"/>
  <c r="F701" i="2"/>
  <c r="H700" i="2"/>
  <c r="G700" i="2"/>
  <c r="F700" i="2"/>
  <c r="H699" i="2"/>
  <c r="G699" i="2"/>
  <c r="F699" i="2"/>
  <c r="H698" i="2"/>
  <c r="G698" i="2"/>
  <c r="F698" i="2"/>
  <c r="H697" i="2"/>
  <c r="G697" i="2"/>
  <c r="F697" i="2"/>
  <c r="H696" i="2"/>
  <c r="G696" i="2"/>
  <c r="F696" i="2"/>
  <c r="H695" i="2"/>
  <c r="G695" i="2"/>
  <c r="F695" i="2"/>
  <c r="H694" i="2"/>
  <c r="G694" i="2"/>
  <c r="F694" i="2"/>
  <c r="H693" i="2"/>
  <c r="G693" i="2"/>
  <c r="F693" i="2"/>
  <c r="H692" i="2"/>
  <c r="G692" i="2"/>
  <c r="F692" i="2"/>
  <c r="H691" i="2"/>
  <c r="G691" i="2"/>
  <c r="F691" i="2"/>
  <c r="H690" i="2"/>
  <c r="G690" i="2"/>
  <c r="F690" i="2"/>
  <c r="H689" i="2"/>
  <c r="G689" i="2"/>
  <c r="F689" i="2"/>
  <c r="H688" i="2"/>
  <c r="G688" i="2"/>
  <c r="F688" i="2"/>
  <c r="H687" i="2"/>
  <c r="G687" i="2"/>
  <c r="F687" i="2"/>
  <c r="H686" i="2"/>
  <c r="G686" i="2"/>
  <c r="F686" i="2"/>
  <c r="H685" i="2"/>
  <c r="G685" i="2"/>
  <c r="F685" i="2"/>
  <c r="H684" i="2"/>
  <c r="G684" i="2"/>
  <c r="F684" i="2"/>
  <c r="H683" i="2"/>
  <c r="G683" i="2"/>
  <c r="F683" i="2"/>
  <c r="H682" i="2"/>
  <c r="G682" i="2"/>
  <c r="F682" i="2"/>
  <c r="H681" i="2"/>
  <c r="G681" i="2"/>
  <c r="F681" i="2"/>
  <c r="H680" i="2"/>
  <c r="G680" i="2"/>
  <c r="F680" i="2"/>
  <c r="H679" i="2"/>
  <c r="G679" i="2"/>
  <c r="F679" i="2"/>
  <c r="H678" i="2"/>
  <c r="G678" i="2"/>
  <c r="F678" i="2"/>
  <c r="H677" i="2"/>
  <c r="G677" i="2"/>
  <c r="F677" i="2"/>
  <c r="H676" i="2"/>
  <c r="G676" i="2"/>
  <c r="F676" i="2"/>
  <c r="H675" i="2"/>
  <c r="G675" i="2"/>
  <c r="F675" i="2"/>
  <c r="H674" i="2"/>
  <c r="G674" i="2"/>
  <c r="F674" i="2"/>
  <c r="H673" i="2"/>
  <c r="G673" i="2"/>
  <c r="F673" i="2"/>
  <c r="H672" i="2"/>
  <c r="G672" i="2"/>
  <c r="F672" i="2"/>
  <c r="H671" i="2"/>
  <c r="G671" i="2"/>
  <c r="F671" i="2"/>
  <c r="H670" i="2"/>
  <c r="G670" i="2"/>
  <c r="F670" i="2"/>
  <c r="H669" i="2"/>
  <c r="G669" i="2"/>
  <c r="F669" i="2"/>
  <c r="H668" i="2"/>
  <c r="G668" i="2"/>
  <c r="F668" i="2"/>
  <c r="H667" i="2"/>
  <c r="G667" i="2"/>
  <c r="F667" i="2"/>
  <c r="H666" i="2"/>
  <c r="G666" i="2"/>
  <c r="F666" i="2"/>
  <c r="H665" i="2"/>
  <c r="G665" i="2"/>
  <c r="F665" i="2"/>
  <c r="H664" i="2"/>
  <c r="G664" i="2"/>
  <c r="F664" i="2"/>
  <c r="H663" i="2"/>
  <c r="G663" i="2"/>
  <c r="F663" i="2"/>
  <c r="H662" i="2"/>
  <c r="G662" i="2"/>
  <c r="F662" i="2"/>
  <c r="H661" i="2"/>
  <c r="G661" i="2"/>
  <c r="F661" i="2"/>
  <c r="H660" i="2"/>
  <c r="G660" i="2"/>
  <c r="F660" i="2"/>
  <c r="H659" i="2"/>
  <c r="G659" i="2"/>
  <c r="F659" i="2"/>
  <c r="H658" i="2"/>
  <c r="G658" i="2"/>
  <c r="F658" i="2"/>
  <c r="H657" i="2"/>
  <c r="G657" i="2"/>
  <c r="F657" i="2"/>
  <c r="H656" i="2"/>
  <c r="G656" i="2"/>
  <c r="F656" i="2"/>
  <c r="H655" i="2"/>
  <c r="G655" i="2"/>
  <c r="F655" i="2"/>
  <c r="H654" i="2"/>
  <c r="G654" i="2"/>
  <c r="F654" i="2"/>
  <c r="H653" i="2"/>
  <c r="G653" i="2"/>
  <c r="F653" i="2"/>
  <c r="H652" i="2"/>
  <c r="G652" i="2"/>
  <c r="F652" i="2"/>
  <c r="H651" i="2"/>
  <c r="G651" i="2"/>
  <c r="F651" i="2"/>
  <c r="H650" i="2"/>
  <c r="G650" i="2"/>
  <c r="F650" i="2"/>
  <c r="H649" i="2"/>
  <c r="G649" i="2"/>
  <c r="F649" i="2"/>
  <c r="H648" i="2"/>
  <c r="G648" i="2"/>
  <c r="F648" i="2"/>
  <c r="H647" i="2"/>
  <c r="G647" i="2"/>
  <c r="F647" i="2"/>
  <c r="H646" i="2"/>
  <c r="G646" i="2"/>
  <c r="F646" i="2"/>
  <c r="H645" i="2"/>
  <c r="G645" i="2"/>
  <c r="F645" i="2"/>
  <c r="H644" i="2"/>
  <c r="G644" i="2"/>
  <c r="F644" i="2"/>
  <c r="H643" i="2"/>
  <c r="G643" i="2"/>
  <c r="F643" i="2"/>
  <c r="H642" i="2"/>
  <c r="G642" i="2"/>
  <c r="F642" i="2"/>
  <c r="H641" i="2"/>
  <c r="G641" i="2"/>
  <c r="F641" i="2"/>
  <c r="H640" i="2"/>
  <c r="G640" i="2"/>
  <c r="F640" i="2"/>
  <c r="H639" i="2"/>
  <c r="G639" i="2"/>
  <c r="F639" i="2"/>
  <c r="H638" i="2"/>
  <c r="G638" i="2"/>
  <c r="F638" i="2"/>
  <c r="H637" i="2"/>
  <c r="G637" i="2"/>
  <c r="F637" i="2"/>
  <c r="H636" i="2"/>
  <c r="G636" i="2"/>
  <c r="F636" i="2"/>
  <c r="H635" i="2"/>
  <c r="G635" i="2"/>
  <c r="F635" i="2"/>
  <c r="H634" i="2"/>
  <c r="G634" i="2"/>
  <c r="F634" i="2"/>
  <c r="H633" i="2"/>
  <c r="G633" i="2"/>
  <c r="F633" i="2"/>
  <c r="H632" i="2"/>
  <c r="G632" i="2"/>
  <c r="F632" i="2"/>
  <c r="H631" i="2"/>
  <c r="G631" i="2"/>
  <c r="F631" i="2"/>
  <c r="H630" i="2"/>
  <c r="G630" i="2"/>
  <c r="F630" i="2"/>
  <c r="H629" i="2"/>
  <c r="G629" i="2"/>
  <c r="F629" i="2"/>
  <c r="H628" i="2"/>
  <c r="G628" i="2"/>
  <c r="F628" i="2"/>
  <c r="H627" i="2"/>
  <c r="G627" i="2"/>
  <c r="F627" i="2"/>
  <c r="H626" i="2"/>
  <c r="G626" i="2"/>
  <c r="F626" i="2"/>
  <c r="H625" i="2"/>
  <c r="G625" i="2"/>
  <c r="F625" i="2"/>
  <c r="H624" i="2"/>
  <c r="G624" i="2"/>
  <c r="F624" i="2"/>
  <c r="H623" i="2"/>
  <c r="G623" i="2"/>
  <c r="F623" i="2"/>
  <c r="H622" i="2"/>
  <c r="G622" i="2"/>
  <c r="F622" i="2"/>
  <c r="H621" i="2"/>
  <c r="G621" i="2"/>
  <c r="F621" i="2"/>
  <c r="H620" i="2"/>
  <c r="G620" i="2"/>
  <c r="F620" i="2"/>
  <c r="H619" i="2"/>
  <c r="G619" i="2"/>
  <c r="F619" i="2"/>
  <c r="H618" i="2"/>
  <c r="G618" i="2"/>
  <c r="F618" i="2"/>
  <c r="H617" i="2"/>
  <c r="G617" i="2"/>
  <c r="F617" i="2"/>
  <c r="H616" i="2"/>
  <c r="G616" i="2"/>
  <c r="F616" i="2"/>
  <c r="H615" i="2"/>
  <c r="G615" i="2"/>
  <c r="F615" i="2"/>
  <c r="H614" i="2"/>
  <c r="G614" i="2"/>
  <c r="F614" i="2"/>
  <c r="H613" i="2"/>
  <c r="G613" i="2"/>
  <c r="F613" i="2"/>
  <c r="H612" i="2"/>
  <c r="G612" i="2"/>
  <c r="F612" i="2"/>
  <c r="H611" i="2"/>
  <c r="G611" i="2"/>
  <c r="F611" i="2"/>
  <c r="H610" i="2"/>
  <c r="G610" i="2"/>
  <c r="F610" i="2"/>
  <c r="H609" i="2"/>
  <c r="G609" i="2"/>
  <c r="F609" i="2"/>
  <c r="H608" i="2"/>
  <c r="G608" i="2"/>
  <c r="F608" i="2"/>
  <c r="H607" i="2"/>
  <c r="G607" i="2"/>
  <c r="F607" i="2"/>
  <c r="H606" i="2"/>
  <c r="G606" i="2"/>
  <c r="F606" i="2"/>
  <c r="H605" i="2"/>
  <c r="G605" i="2"/>
  <c r="F605" i="2"/>
  <c r="H604" i="2"/>
  <c r="G604" i="2"/>
  <c r="F604" i="2"/>
  <c r="H603" i="2"/>
  <c r="G603" i="2"/>
  <c r="F603" i="2"/>
  <c r="H602" i="2"/>
  <c r="G602" i="2"/>
  <c r="F602" i="2"/>
  <c r="H601" i="2"/>
  <c r="G601" i="2"/>
  <c r="F601" i="2"/>
  <c r="H600" i="2"/>
  <c r="G600" i="2"/>
  <c r="F600" i="2"/>
  <c r="H599" i="2"/>
  <c r="G599" i="2"/>
  <c r="F599" i="2"/>
  <c r="H598" i="2"/>
  <c r="G598" i="2"/>
  <c r="F598" i="2"/>
  <c r="H597" i="2"/>
  <c r="G597" i="2"/>
  <c r="F597" i="2"/>
  <c r="H596" i="2"/>
  <c r="G596" i="2"/>
  <c r="F596" i="2"/>
  <c r="H595" i="2"/>
  <c r="G595" i="2"/>
  <c r="F595" i="2"/>
  <c r="H594" i="2"/>
  <c r="G594" i="2"/>
  <c r="F594" i="2"/>
  <c r="H593" i="2"/>
  <c r="G593" i="2"/>
  <c r="F593" i="2"/>
  <c r="H592" i="2"/>
  <c r="G592" i="2"/>
  <c r="F592" i="2"/>
  <c r="H591" i="2"/>
  <c r="G591" i="2"/>
  <c r="F591" i="2"/>
  <c r="H590" i="2"/>
  <c r="G590" i="2"/>
  <c r="F590" i="2"/>
  <c r="H589" i="2"/>
  <c r="G589" i="2"/>
  <c r="F589" i="2"/>
  <c r="H588" i="2"/>
  <c r="G588" i="2"/>
  <c r="F588" i="2"/>
  <c r="H587" i="2"/>
  <c r="G587" i="2"/>
  <c r="F587" i="2"/>
  <c r="H586" i="2"/>
  <c r="G586" i="2"/>
  <c r="F586" i="2"/>
  <c r="H585" i="2"/>
  <c r="G585" i="2"/>
  <c r="F585" i="2"/>
  <c r="H584" i="2"/>
  <c r="G584" i="2"/>
  <c r="F584" i="2"/>
  <c r="H583" i="2"/>
  <c r="G583" i="2"/>
  <c r="F583" i="2"/>
  <c r="H582" i="2"/>
  <c r="G582" i="2"/>
  <c r="F582" i="2"/>
  <c r="H581" i="2"/>
  <c r="G581" i="2"/>
  <c r="F581" i="2"/>
  <c r="H580" i="2"/>
  <c r="G580" i="2"/>
  <c r="F580" i="2"/>
  <c r="H579" i="2"/>
  <c r="G579" i="2"/>
  <c r="F579" i="2"/>
  <c r="H578" i="2"/>
  <c r="G578" i="2"/>
  <c r="F578" i="2"/>
  <c r="H577" i="2"/>
  <c r="G577" i="2"/>
  <c r="F577" i="2"/>
  <c r="H576" i="2"/>
  <c r="G576" i="2"/>
  <c r="F576" i="2"/>
  <c r="H575" i="2"/>
  <c r="G575" i="2"/>
  <c r="F575" i="2"/>
  <c r="H574" i="2"/>
  <c r="G574" i="2"/>
  <c r="F574" i="2"/>
  <c r="H573" i="2"/>
  <c r="G573" i="2"/>
  <c r="F573" i="2"/>
  <c r="H572" i="2"/>
  <c r="G572" i="2"/>
  <c r="F572" i="2"/>
  <c r="H571" i="2"/>
  <c r="G571" i="2"/>
  <c r="F571" i="2"/>
  <c r="H570" i="2"/>
  <c r="G570" i="2"/>
  <c r="F570" i="2"/>
  <c r="H569" i="2"/>
  <c r="G569" i="2"/>
  <c r="F569" i="2"/>
  <c r="H568" i="2"/>
  <c r="G568" i="2"/>
  <c r="F568" i="2"/>
  <c r="H567" i="2"/>
  <c r="G567" i="2"/>
  <c r="F567" i="2"/>
  <c r="H566" i="2"/>
  <c r="G566" i="2"/>
  <c r="F566" i="2"/>
  <c r="H565" i="2"/>
  <c r="G565" i="2"/>
  <c r="F565" i="2"/>
  <c r="H564" i="2"/>
  <c r="G564" i="2"/>
  <c r="F564" i="2"/>
  <c r="H563" i="2"/>
  <c r="G563" i="2"/>
  <c r="F563" i="2"/>
  <c r="H562" i="2"/>
  <c r="G562" i="2"/>
  <c r="F562" i="2"/>
  <c r="H561" i="2"/>
  <c r="G561" i="2"/>
  <c r="F561" i="2"/>
  <c r="H560" i="2"/>
  <c r="G560" i="2"/>
  <c r="F560" i="2"/>
  <c r="H559" i="2"/>
  <c r="G559" i="2"/>
  <c r="F559" i="2"/>
  <c r="H558" i="2"/>
  <c r="G558" i="2"/>
  <c r="F558" i="2"/>
  <c r="H557" i="2"/>
  <c r="G557" i="2"/>
  <c r="F557" i="2"/>
  <c r="H556" i="2"/>
  <c r="G556" i="2"/>
  <c r="F556" i="2"/>
  <c r="H555" i="2"/>
  <c r="G555" i="2"/>
  <c r="F555" i="2"/>
  <c r="H554" i="2"/>
  <c r="G554" i="2"/>
  <c r="F554" i="2"/>
  <c r="H553" i="2"/>
  <c r="G553" i="2"/>
  <c r="F553" i="2"/>
  <c r="H552" i="2"/>
  <c r="G552" i="2"/>
  <c r="F552" i="2"/>
  <c r="H551" i="2"/>
  <c r="G551" i="2"/>
  <c r="F551" i="2"/>
  <c r="H550" i="2"/>
  <c r="G550" i="2"/>
  <c r="F550" i="2"/>
  <c r="H549" i="2"/>
  <c r="G549" i="2"/>
  <c r="F549" i="2"/>
  <c r="H548" i="2"/>
  <c r="G548" i="2"/>
  <c r="F548" i="2"/>
  <c r="H547" i="2"/>
  <c r="G547" i="2"/>
  <c r="F547" i="2"/>
  <c r="H546" i="2"/>
  <c r="G546" i="2"/>
  <c r="F546" i="2"/>
  <c r="H545" i="2"/>
  <c r="G545" i="2"/>
  <c r="F545" i="2"/>
  <c r="H544" i="2"/>
  <c r="G544" i="2"/>
  <c r="F544" i="2"/>
  <c r="H543" i="2"/>
  <c r="G543" i="2"/>
  <c r="F543" i="2"/>
  <c r="H542" i="2"/>
  <c r="G542" i="2"/>
  <c r="F542" i="2"/>
  <c r="H541" i="2"/>
  <c r="G541" i="2"/>
  <c r="F541" i="2"/>
  <c r="H540" i="2"/>
  <c r="G540" i="2"/>
  <c r="F540" i="2"/>
  <c r="H539" i="2"/>
  <c r="G539" i="2"/>
  <c r="F539" i="2"/>
  <c r="H538" i="2"/>
  <c r="G538" i="2"/>
  <c r="F538" i="2"/>
  <c r="H537" i="2"/>
  <c r="G537" i="2"/>
  <c r="F537" i="2"/>
  <c r="H536" i="2"/>
  <c r="G536" i="2"/>
  <c r="F536" i="2"/>
  <c r="H535" i="2"/>
  <c r="G535" i="2"/>
  <c r="F535" i="2"/>
  <c r="H534" i="2"/>
  <c r="G534" i="2"/>
  <c r="F534" i="2"/>
  <c r="H533" i="2"/>
  <c r="G533" i="2"/>
  <c r="F533" i="2"/>
  <c r="H532" i="2"/>
  <c r="G532" i="2"/>
  <c r="F532" i="2"/>
  <c r="H531" i="2"/>
  <c r="G531" i="2"/>
  <c r="F531" i="2"/>
  <c r="H530" i="2"/>
  <c r="G530" i="2"/>
  <c r="F530" i="2"/>
  <c r="H529" i="2"/>
  <c r="G529" i="2"/>
  <c r="F529" i="2"/>
  <c r="H528" i="2"/>
  <c r="G528" i="2"/>
  <c r="F528" i="2"/>
  <c r="H527" i="2"/>
  <c r="G527" i="2"/>
  <c r="F527" i="2"/>
  <c r="H526" i="2"/>
  <c r="G526" i="2"/>
  <c r="F526" i="2"/>
  <c r="H525" i="2"/>
  <c r="G525" i="2"/>
  <c r="F525" i="2"/>
  <c r="H524" i="2"/>
  <c r="G524" i="2"/>
  <c r="F524" i="2"/>
  <c r="H523" i="2"/>
  <c r="G523" i="2"/>
  <c r="F523" i="2"/>
  <c r="H522" i="2"/>
  <c r="G522" i="2"/>
  <c r="F522" i="2"/>
  <c r="H521" i="2"/>
  <c r="G521" i="2"/>
  <c r="F521" i="2"/>
  <c r="H520" i="2"/>
  <c r="G520" i="2"/>
  <c r="F520" i="2"/>
  <c r="H519" i="2"/>
  <c r="G519" i="2"/>
  <c r="F519" i="2"/>
  <c r="H518" i="2"/>
  <c r="G518" i="2"/>
  <c r="F518" i="2"/>
  <c r="H517" i="2"/>
  <c r="G517" i="2"/>
  <c r="F517" i="2"/>
  <c r="H516" i="2"/>
  <c r="G516" i="2"/>
  <c r="F516" i="2"/>
  <c r="H515" i="2"/>
  <c r="G515" i="2"/>
  <c r="F515" i="2"/>
  <c r="H514" i="2"/>
  <c r="G514" i="2"/>
  <c r="F514" i="2"/>
  <c r="H513" i="2"/>
  <c r="G513" i="2"/>
  <c r="F513" i="2"/>
  <c r="H512" i="2"/>
  <c r="G512" i="2"/>
  <c r="F512" i="2"/>
  <c r="H511" i="2"/>
  <c r="G511" i="2"/>
  <c r="F511" i="2"/>
  <c r="H510" i="2"/>
  <c r="G510" i="2"/>
  <c r="F510" i="2"/>
  <c r="H509" i="2"/>
  <c r="G509" i="2"/>
  <c r="F509" i="2"/>
  <c r="H508" i="2"/>
  <c r="G508" i="2"/>
  <c r="F508" i="2"/>
  <c r="H507" i="2"/>
  <c r="G507" i="2"/>
  <c r="F507" i="2"/>
  <c r="H506" i="2"/>
  <c r="G506" i="2"/>
  <c r="F506" i="2"/>
  <c r="H505" i="2"/>
  <c r="G505" i="2"/>
  <c r="F505" i="2"/>
  <c r="H504" i="2"/>
  <c r="G504" i="2"/>
  <c r="F504" i="2"/>
  <c r="H503" i="2"/>
  <c r="G503" i="2"/>
  <c r="F503" i="2"/>
  <c r="H502" i="2"/>
  <c r="G502" i="2"/>
  <c r="F502" i="2"/>
  <c r="H501" i="2"/>
  <c r="G501" i="2"/>
  <c r="F501" i="2"/>
  <c r="H500" i="2"/>
  <c r="G500" i="2"/>
  <c r="F500" i="2"/>
  <c r="H499" i="2"/>
  <c r="G499" i="2"/>
  <c r="F499" i="2"/>
  <c r="H498" i="2"/>
  <c r="G498" i="2"/>
  <c r="F498" i="2"/>
  <c r="H497" i="2"/>
  <c r="G497" i="2"/>
  <c r="F497" i="2"/>
  <c r="H496" i="2"/>
  <c r="G496" i="2"/>
  <c r="F496" i="2"/>
  <c r="H495" i="2"/>
  <c r="G495" i="2"/>
  <c r="F495" i="2"/>
  <c r="H494" i="2"/>
  <c r="G494" i="2"/>
  <c r="F494" i="2"/>
  <c r="H493" i="2"/>
  <c r="G493" i="2"/>
  <c r="F493" i="2"/>
  <c r="H492" i="2"/>
  <c r="G492" i="2"/>
  <c r="F492" i="2"/>
  <c r="H491" i="2"/>
  <c r="G491" i="2"/>
  <c r="F491" i="2"/>
  <c r="H490" i="2"/>
  <c r="G490" i="2"/>
  <c r="F490" i="2"/>
  <c r="H489" i="2"/>
  <c r="G489" i="2"/>
  <c r="F489" i="2"/>
  <c r="H488" i="2"/>
  <c r="G488" i="2"/>
  <c r="F488" i="2"/>
  <c r="H487" i="2"/>
  <c r="G487" i="2"/>
  <c r="F487" i="2"/>
  <c r="H486" i="2"/>
  <c r="G486" i="2"/>
  <c r="F486" i="2"/>
  <c r="H485" i="2"/>
  <c r="G485" i="2"/>
  <c r="F485" i="2"/>
  <c r="H484" i="2"/>
  <c r="G484" i="2"/>
  <c r="F484" i="2"/>
  <c r="H483" i="2"/>
  <c r="G483" i="2"/>
  <c r="F483" i="2"/>
  <c r="H482" i="2"/>
  <c r="G482" i="2"/>
  <c r="F482" i="2"/>
  <c r="H481" i="2"/>
  <c r="G481" i="2"/>
  <c r="F481" i="2"/>
  <c r="H480" i="2"/>
  <c r="G480" i="2"/>
  <c r="F480" i="2"/>
  <c r="H479" i="2"/>
  <c r="G479" i="2"/>
  <c r="F479" i="2"/>
  <c r="H478" i="2"/>
  <c r="G478" i="2"/>
  <c r="F478" i="2"/>
  <c r="H477" i="2"/>
  <c r="G477" i="2"/>
  <c r="F477" i="2"/>
  <c r="H476" i="2"/>
  <c r="G476" i="2"/>
  <c r="F476" i="2"/>
  <c r="H475" i="2"/>
  <c r="G475" i="2"/>
  <c r="F475" i="2"/>
  <c r="H474" i="2"/>
  <c r="G474" i="2"/>
  <c r="F474" i="2"/>
  <c r="H473" i="2"/>
  <c r="G473" i="2"/>
  <c r="F473" i="2"/>
  <c r="H472" i="2"/>
  <c r="G472" i="2"/>
  <c r="F472" i="2"/>
  <c r="H471" i="2"/>
  <c r="G471" i="2"/>
  <c r="F471" i="2"/>
  <c r="H470" i="2"/>
  <c r="G470" i="2"/>
  <c r="F470" i="2"/>
  <c r="H469" i="2"/>
  <c r="G469" i="2"/>
  <c r="F469" i="2"/>
  <c r="H468" i="2"/>
  <c r="G468" i="2"/>
  <c r="F468" i="2"/>
  <c r="H467" i="2"/>
  <c r="G467" i="2"/>
  <c r="F467" i="2"/>
  <c r="H466" i="2"/>
  <c r="G466" i="2"/>
  <c r="F466" i="2"/>
  <c r="H465" i="2"/>
  <c r="G465" i="2"/>
  <c r="F465" i="2"/>
  <c r="H464" i="2"/>
  <c r="G464" i="2"/>
  <c r="F464" i="2"/>
  <c r="H463" i="2"/>
  <c r="G463" i="2"/>
  <c r="F463" i="2"/>
  <c r="H462" i="2"/>
  <c r="G462" i="2"/>
  <c r="F462" i="2"/>
  <c r="H461" i="2"/>
  <c r="G461" i="2"/>
  <c r="F461" i="2"/>
  <c r="H460" i="2"/>
  <c r="G460" i="2"/>
  <c r="F460" i="2"/>
  <c r="H459" i="2"/>
  <c r="G459" i="2"/>
  <c r="F459" i="2"/>
  <c r="H458" i="2"/>
  <c r="G458" i="2"/>
  <c r="F458" i="2"/>
  <c r="H457" i="2"/>
  <c r="G457" i="2"/>
  <c r="F457" i="2"/>
  <c r="H456" i="2"/>
  <c r="G456" i="2"/>
  <c r="F456" i="2"/>
  <c r="H455" i="2"/>
  <c r="G455" i="2"/>
  <c r="F455" i="2"/>
  <c r="H454" i="2"/>
  <c r="G454" i="2"/>
  <c r="F454" i="2"/>
  <c r="H453" i="2"/>
  <c r="G453" i="2"/>
  <c r="F453" i="2"/>
  <c r="H452" i="2"/>
  <c r="G452" i="2"/>
  <c r="F452" i="2"/>
  <c r="H451" i="2"/>
  <c r="G451" i="2"/>
  <c r="F451" i="2"/>
  <c r="H450" i="2"/>
  <c r="G450" i="2"/>
  <c r="F450" i="2"/>
  <c r="H449" i="2"/>
  <c r="G449" i="2"/>
  <c r="F449" i="2"/>
  <c r="H448" i="2"/>
  <c r="G448" i="2"/>
  <c r="F448" i="2"/>
  <c r="H447" i="2"/>
  <c r="G447" i="2"/>
  <c r="F447" i="2"/>
  <c r="H446" i="2"/>
  <c r="G446" i="2"/>
  <c r="F446" i="2"/>
  <c r="H445" i="2"/>
  <c r="G445" i="2"/>
  <c r="F445" i="2"/>
  <c r="H444" i="2"/>
  <c r="G444" i="2"/>
  <c r="F444" i="2"/>
  <c r="H443" i="2"/>
  <c r="G443" i="2"/>
  <c r="F443" i="2"/>
  <c r="H442" i="2"/>
  <c r="G442" i="2"/>
  <c r="F442" i="2"/>
  <c r="H441" i="2"/>
  <c r="G441" i="2"/>
  <c r="F441" i="2"/>
  <c r="H440" i="2"/>
  <c r="G440" i="2"/>
  <c r="F440" i="2"/>
  <c r="H439" i="2"/>
  <c r="G439" i="2"/>
  <c r="F439" i="2"/>
  <c r="H438" i="2"/>
  <c r="G438" i="2"/>
  <c r="F438" i="2"/>
  <c r="H437" i="2"/>
  <c r="G437" i="2"/>
  <c r="F437" i="2"/>
  <c r="H436" i="2"/>
  <c r="G436" i="2"/>
  <c r="F436" i="2"/>
  <c r="H435" i="2"/>
  <c r="G435" i="2"/>
  <c r="F435" i="2"/>
  <c r="H434" i="2"/>
  <c r="G434" i="2"/>
  <c r="F434" i="2"/>
  <c r="H433" i="2"/>
  <c r="G433" i="2"/>
  <c r="F433" i="2"/>
  <c r="H432" i="2"/>
  <c r="G432" i="2"/>
  <c r="F432" i="2"/>
  <c r="H431" i="2"/>
  <c r="G431" i="2"/>
  <c r="F431" i="2"/>
  <c r="H430" i="2"/>
  <c r="G430" i="2"/>
  <c r="F430" i="2"/>
  <c r="H429" i="2"/>
  <c r="G429" i="2"/>
  <c r="F429" i="2"/>
  <c r="H428" i="2"/>
  <c r="G428" i="2"/>
  <c r="F428" i="2"/>
  <c r="H427" i="2"/>
  <c r="G427" i="2"/>
  <c r="F427" i="2"/>
  <c r="H426" i="2"/>
  <c r="G426" i="2"/>
  <c r="F426" i="2"/>
  <c r="H425" i="2"/>
  <c r="G425" i="2"/>
  <c r="F425" i="2"/>
  <c r="H424" i="2"/>
  <c r="G424" i="2"/>
  <c r="F424" i="2"/>
  <c r="H423" i="2"/>
  <c r="G423" i="2"/>
  <c r="F423" i="2"/>
  <c r="H422" i="2"/>
  <c r="G422" i="2"/>
  <c r="F422" i="2"/>
  <c r="H421" i="2"/>
  <c r="G421" i="2"/>
  <c r="F421" i="2"/>
  <c r="H420" i="2"/>
  <c r="G420" i="2"/>
  <c r="F420" i="2"/>
  <c r="H419" i="2"/>
  <c r="G419" i="2"/>
  <c r="F419" i="2"/>
  <c r="H418" i="2"/>
  <c r="G418" i="2"/>
  <c r="F418" i="2"/>
  <c r="H417" i="2"/>
  <c r="G417" i="2"/>
  <c r="F417" i="2"/>
  <c r="H416" i="2"/>
  <c r="G416" i="2"/>
  <c r="F416" i="2"/>
  <c r="H415" i="2"/>
  <c r="G415" i="2"/>
  <c r="F415" i="2"/>
  <c r="H414" i="2"/>
  <c r="G414" i="2"/>
  <c r="F414" i="2"/>
  <c r="H413" i="2"/>
  <c r="G413" i="2"/>
  <c r="F413" i="2"/>
  <c r="H412" i="2"/>
  <c r="G412" i="2"/>
  <c r="F412" i="2"/>
  <c r="H411" i="2"/>
  <c r="G411" i="2"/>
  <c r="F411" i="2"/>
  <c r="H410" i="2"/>
  <c r="G410" i="2"/>
  <c r="F410" i="2"/>
  <c r="H409" i="2"/>
  <c r="G409" i="2"/>
  <c r="F409" i="2"/>
  <c r="H408" i="2"/>
  <c r="G408" i="2"/>
  <c r="F408" i="2"/>
  <c r="H407" i="2"/>
  <c r="G407" i="2"/>
  <c r="F407" i="2"/>
  <c r="H406" i="2"/>
  <c r="G406" i="2"/>
  <c r="F406" i="2"/>
  <c r="H405" i="2"/>
  <c r="G405" i="2"/>
  <c r="F405" i="2"/>
  <c r="H404" i="2"/>
  <c r="G404" i="2"/>
  <c r="F404" i="2"/>
  <c r="H403" i="2"/>
  <c r="G403" i="2"/>
  <c r="F403" i="2"/>
  <c r="H402" i="2"/>
  <c r="G402" i="2"/>
  <c r="F402" i="2"/>
  <c r="H401" i="2"/>
  <c r="G401" i="2"/>
  <c r="F401" i="2"/>
  <c r="H400" i="2"/>
  <c r="G400" i="2"/>
  <c r="F400" i="2"/>
  <c r="H399" i="2"/>
  <c r="G399" i="2"/>
  <c r="F399" i="2"/>
  <c r="H398" i="2"/>
  <c r="G398" i="2"/>
  <c r="F398" i="2"/>
  <c r="H397" i="2"/>
  <c r="G397" i="2"/>
  <c r="F397" i="2"/>
  <c r="H396" i="2"/>
  <c r="G396" i="2"/>
  <c r="F396" i="2"/>
  <c r="H395" i="2"/>
  <c r="G395" i="2"/>
  <c r="F395" i="2"/>
  <c r="H394" i="2"/>
  <c r="G394" i="2"/>
  <c r="F394" i="2"/>
  <c r="H393" i="2"/>
  <c r="G393" i="2"/>
  <c r="F393" i="2"/>
  <c r="H392" i="2"/>
  <c r="G392" i="2"/>
  <c r="F392" i="2"/>
  <c r="H391" i="2"/>
  <c r="G391" i="2"/>
  <c r="F391" i="2"/>
  <c r="H390" i="2"/>
  <c r="G390" i="2"/>
  <c r="F390" i="2"/>
  <c r="H389" i="2"/>
  <c r="G389" i="2"/>
  <c r="F389" i="2"/>
  <c r="H388" i="2"/>
  <c r="G388" i="2"/>
  <c r="F388" i="2"/>
  <c r="H387" i="2"/>
  <c r="G387" i="2"/>
  <c r="F387" i="2"/>
  <c r="H386" i="2"/>
  <c r="G386" i="2"/>
  <c r="F386" i="2"/>
  <c r="H385" i="2"/>
  <c r="G385" i="2"/>
  <c r="F385" i="2"/>
  <c r="H384" i="2"/>
  <c r="G384" i="2"/>
  <c r="F384" i="2"/>
  <c r="H383" i="2"/>
  <c r="G383" i="2"/>
  <c r="F383" i="2"/>
  <c r="H382" i="2"/>
  <c r="G382" i="2"/>
  <c r="F382" i="2"/>
  <c r="H381" i="2"/>
  <c r="G381" i="2"/>
  <c r="F381" i="2"/>
  <c r="H380" i="2"/>
  <c r="G380" i="2"/>
  <c r="F380" i="2"/>
  <c r="H379" i="2"/>
  <c r="G379" i="2"/>
  <c r="F379" i="2"/>
  <c r="H378" i="2"/>
  <c r="G378" i="2"/>
  <c r="F378" i="2"/>
  <c r="H377" i="2"/>
  <c r="G377" i="2"/>
  <c r="F377" i="2"/>
  <c r="H376" i="2"/>
  <c r="G376" i="2"/>
  <c r="F376" i="2"/>
  <c r="H375" i="2"/>
  <c r="G375" i="2"/>
  <c r="F375" i="2"/>
  <c r="H374" i="2"/>
  <c r="G374" i="2"/>
  <c r="F374" i="2"/>
  <c r="H373" i="2"/>
  <c r="G373" i="2"/>
  <c r="F373" i="2"/>
  <c r="H372" i="2"/>
  <c r="G372" i="2"/>
  <c r="F372" i="2"/>
  <c r="H371" i="2"/>
  <c r="G371" i="2"/>
  <c r="F371" i="2"/>
  <c r="H370" i="2"/>
  <c r="G370" i="2"/>
  <c r="F370" i="2"/>
  <c r="H369" i="2"/>
  <c r="G369" i="2"/>
  <c r="F369" i="2"/>
  <c r="H368" i="2"/>
  <c r="G368" i="2"/>
  <c r="F368" i="2"/>
  <c r="H367" i="2"/>
  <c r="G367" i="2"/>
  <c r="F367" i="2"/>
  <c r="H366" i="2"/>
  <c r="G366" i="2"/>
  <c r="F366" i="2"/>
  <c r="H365" i="2"/>
  <c r="G365" i="2"/>
  <c r="F365" i="2"/>
  <c r="H364" i="2"/>
  <c r="G364" i="2"/>
  <c r="F364" i="2"/>
  <c r="H363" i="2"/>
  <c r="G363" i="2"/>
  <c r="F363" i="2"/>
  <c r="H362" i="2"/>
  <c r="G362" i="2"/>
  <c r="F362" i="2"/>
  <c r="H361" i="2"/>
  <c r="G361" i="2"/>
  <c r="F361" i="2"/>
  <c r="H360" i="2"/>
  <c r="G360" i="2"/>
  <c r="F360" i="2"/>
  <c r="H359" i="2"/>
  <c r="G359" i="2"/>
  <c r="F359" i="2"/>
  <c r="H358" i="2"/>
  <c r="G358" i="2"/>
  <c r="F358" i="2"/>
  <c r="H357" i="2"/>
  <c r="G357" i="2"/>
  <c r="F357" i="2"/>
  <c r="H356" i="2"/>
  <c r="G356" i="2"/>
  <c r="F356" i="2"/>
  <c r="H355" i="2"/>
  <c r="G355" i="2"/>
  <c r="F355" i="2"/>
  <c r="H354" i="2"/>
  <c r="G354" i="2"/>
  <c r="F354" i="2"/>
  <c r="H353" i="2"/>
  <c r="G353" i="2"/>
  <c r="F353" i="2"/>
  <c r="H352" i="2"/>
  <c r="G352" i="2"/>
  <c r="F352" i="2"/>
  <c r="H351" i="2"/>
  <c r="G351" i="2"/>
  <c r="F351" i="2"/>
  <c r="H350" i="2"/>
  <c r="G350" i="2"/>
  <c r="F350" i="2"/>
  <c r="H349" i="2"/>
  <c r="G349" i="2"/>
  <c r="F349" i="2"/>
  <c r="H348" i="2"/>
  <c r="G348" i="2"/>
  <c r="F348" i="2"/>
  <c r="H347" i="2"/>
  <c r="G347" i="2"/>
  <c r="F347" i="2"/>
  <c r="H346" i="2"/>
  <c r="G346" i="2"/>
  <c r="F346" i="2"/>
  <c r="H345" i="2"/>
  <c r="G345" i="2"/>
  <c r="F345" i="2"/>
  <c r="H344" i="2"/>
  <c r="G344" i="2"/>
  <c r="F344" i="2"/>
  <c r="H343" i="2"/>
  <c r="G343" i="2"/>
  <c r="F343" i="2"/>
  <c r="H342" i="2"/>
  <c r="G342" i="2"/>
  <c r="F342" i="2"/>
  <c r="H341" i="2"/>
  <c r="G341" i="2"/>
  <c r="F341" i="2"/>
  <c r="H340" i="2"/>
  <c r="G340" i="2"/>
  <c r="F340" i="2"/>
  <c r="H339" i="2"/>
  <c r="G339" i="2"/>
  <c r="F339" i="2"/>
  <c r="H338" i="2"/>
  <c r="G338" i="2"/>
  <c r="F338" i="2"/>
  <c r="H337" i="2"/>
  <c r="G337" i="2"/>
  <c r="F337" i="2"/>
  <c r="H336" i="2"/>
  <c r="G336" i="2"/>
  <c r="F336" i="2"/>
  <c r="H335" i="2"/>
  <c r="G335" i="2"/>
  <c r="F335" i="2"/>
  <c r="H334" i="2"/>
  <c r="G334" i="2"/>
  <c r="F334" i="2"/>
  <c r="H333" i="2"/>
  <c r="G333" i="2"/>
  <c r="F333" i="2"/>
  <c r="H332" i="2"/>
  <c r="G332" i="2"/>
  <c r="F332" i="2"/>
  <c r="H331" i="2"/>
  <c r="G331" i="2"/>
  <c r="F331" i="2"/>
  <c r="H330" i="2"/>
  <c r="G330" i="2"/>
  <c r="F330" i="2"/>
  <c r="H329" i="2"/>
  <c r="G329" i="2"/>
  <c r="F329" i="2"/>
  <c r="H328" i="2"/>
  <c r="G328" i="2"/>
  <c r="F328" i="2"/>
  <c r="H327" i="2"/>
  <c r="G327" i="2"/>
  <c r="F327" i="2"/>
  <c r="H326" i="2"/>
  <c r="G326" i="2"/>
  <c r="F326" i="2"/>
  <c r="H325" i="2"/>
  <c r="G325" i="2"/>
  <c r="F325" i="2"/>
  <c r="H324" i="2"/>
  <c r="G324" i="2"/>
  <c r="F324" i="2"/>
  <c r="H323" i="2"/>
  <c r="G323" i="2"/>
  <c r="F323" i="2"/>
  <c r="H322" i="2"/>
  <c r="G322" i="2"/>
  <c r="F322" i="2"/>
  <c r="H321" i="2"/>
  <c r="G321" i="2"/>
  <c r="F321" i="2"/>
  <c r="H320" i="2"/>
  <c r="G320" i="2"/>
  <c r="F320" i="2"/>
  <c r="H319" i="2"/>
  <c r="G319" i="2"/>
  <c r="F319" i="2"/>
  <c r="H318" i="2"/>
  <c r="G318" i="2"/>
  <c r="F318" i="2"/>
  <c r="H317" i="2"/>
  <c r="G317" i="2"/>
  <c r="F317" i="2"/>
  <c r="H316" i="2"/>
  <c r="G316" i="2"/>
  <c r="F316" i="2"/>
  <c r="H315" i="2"/>
  <c r="G315" i="2"/>
  <c r="F315" i="2"/>
  <c r="H314" i="2"/>
  <c r="G314" i="2"/>
  <c r="F314" i="2"/>
  <c r="H313" i="2"/>
  <c r="G313" i="2"/>
  <c r="F313" i="2"/>
  <c r="H312" i="2"/>
  <c r="G312" i="2"/>
  <c r="F312" i="2"/>
  <c r="H311" i="2"/>
  <c r="G311" i="2"/>
  <c r="F311" i="2"/>
  <c r="H310" i="2"/>
  <c r="G310" i="2"/>
  <c r="F310" i="2"/>
  <c r="H309" i="2"/>
  <c r="G309" i="2"/>
  <c r="F309" i="2"/>
  <c r="H308" i="2"/>
  <c r="G308" i="2"/>
  <c r="F308" i="2"/>
  <c r="H307" i="2"/>
  <c r="G307" i="2"/>
  <c r="F307" i="2"/>
  <c r="H306" i="2"/>
  <c r="G306" i="2"/>
  <c r="F306" i="2"/>
  <c r="H305" i="2"/>
  <c r="G305" i="2"/>
  <c r="F305" i="2"/>
  <c r="H304" i="2"/>
  <c r="G304" i="2"/>
  <c r="F304" i="2"/>
  <c r="H303" i="2"/>
  <c r="G303" i="2"/>
  <c r="F303" i="2"/>
  <c r="H302" i="2"/>
  <c r="G302" i="2"/>
  <c r="F302" i="2"/>
  <c r="H301" i="2"/>
  <c r="G301" i="2"/>
  <c r="F301" i="2"/>
  <c r="H300" i="2"/>
  <c r="G300" i="2"/>
  <c r="F300" i="2"/>
  <c r="H299" i="2"/>
  <c r="G299" i="2"/>
  <c r="F299" i="2"/>
  <c r="H298" i="2"/>
  <c r="G298" i="2"/>
  <c r="F298" i="2"/>
  <c r="H297" i="2"/>
  <c r="G297" i="2"/>
  <c r="F297" i="2"/>
  <c r="H296" i="2"/>
  <c r="G296" i="2"/>
  <c r="F296" i="2"/>
  <c r="H295" i="2"/>
  <c r="G295" i="2"/>
  <c r="F295" i="2"/>
  <c r="H294" i="2"/>
  <c r="G294" i="2"/>
  <c r="F294" i="2"/>
  <c r="H293" i="2"/>
  <c r="G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O4" i="7" l="1"/>
  <c r="O6" i="7"/>
  <c r="H46" i="8" s="1"/>
  <c r="S23" i="7" a="1"/>
  <c r="S23" i="7" s="1"/>
  <c r="M14" i="8" s="1"/>
  <c r="S25" i="7" a="1"/>
  <c r="S25" i="7" s="1"/>
  <c r="M16" i="8" s="1"/>
  <c r="O3" i="7"/>
  <c r="D46" i="8" s="1"/>
  <c r="S28" i="7" a="1"/>
  <c r="S28" i="7" s="1"/>
  <c r="M19" i="8" s="1"/>
  <c r="S27" i="7" a="1"/>
  <c r="S27" i="7" s="1"/>
  <c r="M18" i="8" s="1"/>
  <c r="O5" i="7"/>
  <c r="L46" i="8" s="1"/>
  <c r="S26" i="7" a="1"/>
  <c r="S26" i="7" s="1"/>
  <c r="M17" i="8" s="1"/>
  <c r="S24" i="7" a="1"/>
  <c r="S24" i="7" s="1"/>
  <c r="S22" i="7" a="1"/>
  <c r="S22" i="7" s="1"/>
  <c r="M13" i="8" s="1"/>
  <c r="S21" i="7" a="1"/>
  <c r="S21" i="7" s="1"/>
  <c r="S20" i="7" a="1"/>
  <c r="S20" i="7" s="1"/>
  <c r="S19" i="7" a="1"/>
  <c r="S19" i="7" s="1"/>
  <c r="R28" i="7" a="1"/>
  <c r="R28" i="7" s="1"/>
  <c r="K19" i="8" s="1"/>
  <c r="S4" i="7" a="1"/>
  <c r="S4" i="7" s="1"/>
  <c r="R4" i="7" s="1" a="1"/>
  <c r="R4" i="7" s="1"/>
  <c r="P10" i="8" s="1"/>
  <c r="S13" i="7" a="1"/>
  <c r="S13" i="7" s="1"/>
  <c r="R19" i="8" s="1"/>
  <c r="S7" i="7" a="1"/>
  <c r="S7" i="7" s="1"/>
  <c r="R13" i="8" s="1"/>
  <c r="S12" i="7" a="1"/>
  <c r="S12" i="7" s="1"/>
  <c r="R18" i="8" s="1"/>
  <c r="S11" i="7" a="1"/>
  <c r="S11" i="7" s="1"/>
  <c r="R17" i="8" s="1"/>
  <c r="S6" i="7" a="1"/>
  <c r="S6" i="7" s="1"/>
  <c r="R12" i="8" s="1"/>
  <c r="S5" i="7" a="1"/>
  <c r="S5" i="7" s="1"/>
  <c r="R11" i="8" s="1"/>
  <c r="S10" i="7" a="1"/>
  <c r="S10" i="7" s="1"/>
  <c r="R16" i="8" s="1"/>
  <c r="S9" i="7" a="1"/>
  <c r="S9" i="7" s="1"/>
  <c r="R15" i="8" s="1"/>
  <c r="L3" i="7"/>
  <c r="S8" i="7" a="1"/>
  <c r="S8" i="7" s="1"/>
  <c r="R14" i="8" s="1"/>
  <c r="L5" i="7"/>
  <c r="L10" i="7" s="1"/>
  <c r="E10" i="7"/>
  <c r="E14" i="7"/>
  <c r="E35" i="7"/>
  <c r="E36" i="7"/>
  <c r="E38" i="7"/>
  <c r="E23" i="7"/>
  <c r="E29" i="7"/>
  <c r="E16" i="7"/>
  <c r="E20" i="7"/>
  <c r="E22" i="7"/>
  <c r="E8" i="7"/>
  <c r="E28" i="7"/>
  <c r="E31" i="7"/>
  <c r="E11" i="7"/>
  <c r="E15" i="7"/>
  <c r="E18" i="7"/>
  <c r="E19" i="7"/>
  <c r="E26" i="7"/>
  <c r="E27" i="7"/>
  <c r="E33" i="7"/>
  <c r="E34" i="7"/>
  <c r="E7" i="7"/>
  <c r="E13" i="7"/>
  <c r="E24" i="7"/>
  <c r="E25" i="7"/>
  <c r="E30" i="7"/>
  <c r="E4" i="7"/>
  <c r="E12" i="7"/>
  <c r="E17" i="7"/>
  <c r="E37" i="7"/>
  <c r="E5" i="7"/>
  <c r="E6" i="7"/>
  <c r="E9" i="7"/>
  <c r="E21" i="7"/>
  <c r="E32" i="7"/>
  <c r="G23" i="7"/>
  <c r="F17" i="7"/>
  <c r="F25" i="7"/>
  <c r="F33" i="7"/>
  <c r="G38" i="7"/>
  <c r="G17" i="7"/>
  <c r="G19" i="7"/>
  <c r="G27" i="7"/>
  <c r="G35" i="7"/>
  <c r="G13" i="7"/>
  <c r="G21" i="7"/>
  <c r="G29" i="7"/>
  <c r="G37" i="7"/>
  <c r="G32" i="7"/>
  <c r="G18" i="7"/>
  <c r="G26" i="7"/>
  <c r="G34" i="7"/>
  <c r="G30" i="7"/>
  <c r="F12" i="7"/>
  <c r="F20" i="7"/>
  <c r="F28" i="7"/>
  <c r="F36" i="7"/>
  <c r="F13" i="7"/>
  <c r="G14" i="7"/>
  <c r="F21" i="7"/>
  <c r="G22" i="7"/>
  <c r="G4" i="7"/>
  <c r="F11" i="7"/>
  <c r="G12" i="7"/>
  <c r="F19" i="7"/>
  <c r="G20" i="7"/>
  <c r="F27" i="7"/>
  <c r="G28" i="7"/>
  <c r="F35" i="7"/>
  <c r="G36" i="7"/>
  <c r="F24" i="7"/>
  <c r="G25" i="7"/>
  <c r="F23" i="7"/>
  <c r="G24" i="7"/>
  <c r="F14" i="7"/>
  <c r="G15" i="7"/>
  <c r="F30" i="7"/>
  <c r="G31" i="7"/>
  <c r="F4" i="7"/>
  <c r="G5" i="7"/>
  <c r="G6" i="7"/>
  <c r="F29" i="7"/>
  <c r="F10" i="7"/>
  <c r="G11" i="7"/>
  <c r="F18" i="7"/>
  <c r="F26" i="7"/>
  <c r="F34" i="7"/>
  <c r="F8" i="7"/>
  <c r="G9" i="7"/>
  <c r="F32" i="7"/>
  <c r="G33" i="7"/>
  <c r="F15" i="7"/>
  <c r="G16" i="7"/>
  <c r="F5" i="7"/>
  <c r="F6" i="7"/>
  <c r="G7" i="7"/>
  <c r="F9" i="7"/>
  <c r="G10" i="7"/>
  <c r="F38" i="7"/>
  <c r="F37" i="7"/>
  <c r="F16" i="7"/>
  <c r="F7" i="7"/>
  <c r="G8" i="7"/>
  <c r="F31" i="7"/>
  <c r="F22" i="7"/>
  <c r="R19" i="7" l="1" a="1"/>
  <c r="R19" i="7" s="1"/>
  <c r="K10" i="8" s="1"/>
  <c r="M10" i="8"/>
  <c r="R20" i="7" a="1"/>
  <c r="R20" i="7" s="1"/>
  <c r="K11" i="8" s="1"/>
  <c r="M11" i="8"/>
  <c r="R21" i="7" a="1"/>
  <c r="R21" i="7" s="1"/>
  <c r="K12" i="8" s="1"/>
  <c r="M12" i="8"/>
  <c r="R24" i="7" a="1"/>
  <c r="R24" i="7" s="1"/>
  <c r="K15" i="8" s="1"/>
  <c r="M15" i="8"/>
  <c r="R26" i="7" a="1"/>
  <c r="R26" i="7" s="1"/>
  <c r="K17" i="8" s="1"/>
  <c r="R23" i="7" a="1"/>
  <c r="R23" i="7" s="1"/>
  <c r="K14" i="8" s="1"/>
  <c r="R25" i="7" a="1"/>
  <c r="R25" i="7" s="1"/>
  <c r="K16" i="8" s="1"/>
  <c r="R22" i="7" a="1"/>
  <c r="R22" i="7" s="1"/>
  <c r="K13" i="8" s="1"/>
  <c r="L13" i="7"/>
  <c r="L7" i="7"/>
  <c r="R27" i="7" a="1"/>
  <c r="R27" i="7" s="1"/>
  <c r="K18" i="8" s="1"/>
  <c r="R10" i="8"/>
  <c r="L9" i="7"/>
  <c r="L6" i="7"/>
  <c r="L4" i="7"/>
  <c r="L12" i="7"/>
  <c r="M4" i="8" s="1"/>
  <c r="R13" i="7" a="1"/>
  <c r="R13" i="7" s="1"/>
  <c r="P19" i="8" s="1"/>
  <c r="R5" i="7" a="1"/>
  <c r="R5" i="7" s="1"/>
  <c r="R12" i="7" a="1"/>
  <c r="R12" i="7" s="1"/>
  <c r="P18" i="8" s="1"/>
  <c r="R8" i="7" a="1"/>
  <c r="R8" i="7" s="1"/>
  <c r="P14" i="8" s="1"/>
  <c r="R11" i="7" a="1"/>
  <c r="R11" i="7" s="1"/>
  <c r="P17" i="8" s="1"/>
  <c r="R7" i="7" a="1"/>
  <c r="R7" i="7" s="1"/>
  <c r="P13" i="8" s="1"/>
  <c r="R6" i="7" a="1"/>
  <c r="R6" i="7" s="1"/>
  <c r="P12" i="8" s="1"/>
  <c r="R10" i="7" a="1"/>
  <c r="R10" i="7" s="1"/>
  <c r="P16" i="8" s="1"/>
  <c r="R9" i="7" a="1"/>
  <c r="R9" i="7" s="1"/>
  <c r="P15" i="8" s="1"/>
  <c r="M33" i="7"/>
  <c r="M24" i="7"/>
  <c r="M22" i="7"/>
  <c r="M20" i="7"/>
  <c r="M32" i="7"/>
  <c r="N25" i="7"/>
  <c r="N21" i="7"/>
  <c r="N34" i="7"/>
  <c r="M25" i="7"/>
  <c r="M21" i="7"/>
  <c r="M34" i="7"/>
  <c r="N31" i="7"/>
  <c r="L19" i="7"/>
  <c r="N36" i="7"/>
  <c r="N35" i="7"/>
  <c r="L24" i="7"/>
  <c r="L22" i="7"/>
  <c r="L20" i="7"/>
  <c r="N23" i="7"/>
  <c r="N19" i="7"/>
  <c r="M23" i="7"/>
  <c r="M19" i="7"/>
  <c r="L25" i="7"/>
  <c r="L23" i="7"/>
  <c r="L21" i="7"/>
  <c r="M31" i="7"/>
  <c r="M36" i="7"/>
  <c r="M35" i="7"/>
  <c r="N32" i="7"/>
  <c r="N33" i="7"/>
  <c r="N24" i="7"/>
  <c r="N22" i="7"/>
  <c r="N20" i="7"/>
  <c r="P11" i="8" l="1"/>
  <c r="L11" i="7"/>
  <c r="R4" i="8" s="1"/>
  <c r="O19" i="7"/>
  <c r="O23" i="7"/>
  <c r="O35" i="7"/>
  <c r="O36" i="7"/>
  <c r="O32" i="7"/>
  <c r="O31" i="7"/>
  <c r="O20" i="7"/>
  <c r="O34" i="7"/>
  <c r="O22" i="7"/>
  <c r="O21" i="7"/>
  <c r="O24" i="7"/>
  <c r="O25" i="7"/>
  <c r="P25" i="7" s="1"/>
  <c r="O33" i="7"/>
  <c r="L8" i="7" l="1"/>
  <c r="H4" i="8" s="1"/>
  <c r="P23" i="7"/>
  <c r="P31" i="7"/>
  <c r="P32" i="7"/>
  <c r="P33" i="7"/>
  <c r="P34" i="7"/>
  <c r="P35" i="7"/>
  <c r="P36" i="7"/>
  <c r="P19" i="7"/>
  <c r="P20" i="7"/>
  <c r="P24" i="7"/>
  <c r="P21" i="7"/>
  <c r="P2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885F57-74F7-491E-A1A0-7B2683AA2018}" keepAlive="1" name="Query - AQI_Data" description="Connection to the 'AQI_Data' query in the workbook." type="5" refreshedVersion="0" background="1">
    <dbPr connection="Provider=Microsoft.Mashup.OleDb.1;Data Source=$Workbook$;Location=AQI_Data;Extended Properties=&quot;&quot;" command="SELECT * FROM [AQI_Data]"/>
  </connection>
</connections>
</file>

<file path=xl/sharedStrings.xml><?xml version="1.0" encoding="utf-8"?>
<sst xmlns="http://schemas.openxmlformats.org/spreadsheetml/2006/main" count="30487" uniqueCount="5131">
  <si>
    <t>State</t>
  </si>
  <si>
    <t>District</t>
  </si>
  <si>
    <t>Most AQI Reached</t>
  </si>
  <si>
    <t>Current AQI</t>
  </si>
  <si>
    <t>Major Source of Pollution</t>
  </si>
  <si>
    <t>Andhra Pradesh</t>
  </si>
  <si>
    <t>Anantapur</t>
  </si>
  <si>
    <t>Vehicle</t>
  </si>
  <si>
    <t>Anantapur (Area 1)</t>
  </si>
  <si>
    <t>Industrial Emissions</t>
  </si>
  <si>
    <t>Anantapur (Area 2)</t>
  </si>
  <si>
    <t>Road Dust</t>
  </si>
  <si>
    <t>Anantapur (Area 3)</t>
  </si>
  <si>
    <t>Anantapur (Area 4)</t>
  </si>
  <si>
    <t>Anantapur (Area 5)</t>
  </si>
  <si>
    <t>Domestic Fuel</t>
  </si>
  <si>
    <t>Anantapur (Area 6)</t>
  </si>
  <si>
    <t>Crop Burning</t>
  </si>
  <si>
    <t>Chittoor</t>
  </si>
  <si>
    <t>Chittoor (Area 1)</t>
  </si>
  <si>
    <t>Chittoor (Area 2)</t>
  </si>
  <si>
    <t>Construction Dust</t>
  </si>
  <si>
    <t>Chittoor (Area 3)</t>
  </si>
  <si>
    <t>Chittoor (Area 4)</t>
  </si>
  <si>
    <t>Chittoor (Area 5)</t>
  </si>
  <si>
    <t>Chittoor (Area 6)</t>
  </si>
  <si>
    <t>East Godavari</t>
  </si>
  <si>
    <t>East Godavari (Area 1)</t>
  </si>
  <si>
    <t>East Godavari (Area 2)</t>
  </si>
  <si>
    <t>East Godavari (Area 3)</t>
  </si>
  <si>
    <t>East Godavari (Area 4)</t>
  </si>
  <si>
    <t>East Godavari (Area 5)</t>
  </si>
  <si>
    <t>East Godavari (Area 6)</t>
  </si>
  <si>
    <t>Waste Burning</t>
  </si>
  <si>
    <t>Guntur</t>
  </si>
  <si>
    <t>Guntur (Area 1)</t>
  </si>
  <si>
    <t>Guntur (Area 2)</t>
  </si>
  <si>
    <t>Guntur (Area 3)</t>
  </si>
  <si>
    <t>Guntur (Area 4)</t>
  </si>
  <si>
    <t>Guntur (Area 5)</t>
  </si>
  <si>
    <t>Guntur (Area 6)</t>
  </si>
  <si>
    <t>Krishna</t>
  </si>
  <si>
    <t>Krishna (Area 1)</t>
  </si>
  <si>
    <t>Krishna (Area 2)</t>
  </si>
  <si>
    <t>Krishna (Area 3)</t>
  </si>
  <si>
    <t>Krishna (Area 4)</t>
  </si>
  <si>
    <t>Krishna (Area 5)</t>
  </si>
  <si>
    <t>Krishna (Area 6)</t>
  </si>
  <si>
    <t>Kurnool</t>
  </si>
  <si>
    <t>Kurnool (Area 1)</t>
  </si>
  <si>
    <t>Kurnool (Area 2)</t>
  </si>
  <si>
    <t>Kurnool (Area 3)</t>
  </si>
  <si>
    <t>Kurnool (Area 4)</t>
  </si>
  <si>
    <t>Kurnool (Area 5)</t>
  </si>
  <si>
    <t>Kurnool (Area 6)</t>
  </si>
  <si>
    <t>Nellore</t>
  </si>
  <si>
    <t>Nellore (Area 1)</t>
  </si>
  <si>
    <t>Nellore (Area 2)</t>
  </si>
  <si>
    <t>Nellore (Area 3)</t>
  </si>
  <si>
    <t>Nellore (Area 4)</t>
  </si>
  <si>
    <t>Nellore (Area 5)</t>
  </si>
  <si>
    <t>Nellore (Area 6)</t>
  </si>
  <si>
    <t>Prakasam</t>
  </si>
  <si>
    <t>Prakasam (Area 1)</t>
  </si>
  <si>
    <t>Prakasam (Area 2)</t>
  </si>
  <si>
    <t>Prakasam (Area 3)</t>
  </si>
  <si>
    <t>Prakasam (Area 4)</t>
  </si>
  <si>
    <t>Prakasam (Area 5)</t>
  </si>
  <si>
    <t>Prakasam (Area 6)</t>
  </si>
  <si>
    <t>Srikakulam</t>
  </si>
  <si>
    <t>Srikakulam (Area 1)</t>
  </si>
  <si>
    <t>Srikakulam (Area 2)</t>
  </si>
  <si>
    <t>Srikakulam (Area 3)</t>
  </si>
  <si>
    <t>Srikakulam (Area 4)</t>
  </si>
  <si>
    <t>Srikakulam (Area 5)</t>
  </si>
  <si>
    <t>Srikakulam (Area 6)</t>
  </si>
  <si>
    <t>Visakhapatnam</t>
  </si>
  <si>
    <t>Visakhapatnam (Area 1)</t>
  </si>
  <si>
    <t>Visakhapatnam (Area 2)</t>
  </si>
  <si>
    <t>Visakhapatnam (Area 3)</t>
  </si>
  <si>
    <t>Visakhapatnam (Area 4)</t>
  </si>
  <si>
    <t>Visakhapatnam (Area 5)</t>
  </si>
  <si>
    <t>Visakhapatnam (Area 6)</t>
  </si>
  <si>
    <t>Vizianagaram</t>
  </si>
  <si>
    <t>Vizianagaram (Area 1)</t>
  </si>
  <si>
    <t>Vizianagaram (Area 2)</t>
  </si>
  <si>
    <t>Vizianagaram (Area 3)</t>
  </si>
  <si>
    <t>Vizianagaram (Area 4)</t>
  </si>
  <si>
    <t>Vizianagaram (Area 5)</t>
  </si>
  <si>
    <t>Vizianagaram (Area 6)</t>
  </si>
  <si>
    <t>West Godavari</t>
  </si>
  <si>
    <t>West Godavari (Area 1)</t>
  </si>
  <si>
    <t>West Godavari (Area 2)</t>
  </si>
  <si>
    <t>West Godavari (Area 3)</t>
  </si>
  <si>
    <t>West Godavari (Area 4)</t>
  </si>
  <si>
    <t>West Godavari (Area 5)</t>
  </si>
  <si>
    <t>West Godavari (Area 6)</t>
  </si>
  <si>
    <t>YSR Kadapa</t>
  </si>
  <si>
    <t>YSR Kadapa (Area 1)</t>
  </si>
  <si>
    <t>YSR Kadapa (Area 2)</t>
  </si>
  <si>
    <t>YSR Kadapa (Area 3)</t>
  </si>
  <si>
    <t>YSR Kadapa (Area 4)</t>
  </si>
  <si>
    <t>YSR Kadapa (Area 5)</t>
  </si>
  <si>
    <t>YSR Kadapa (Area 6)</t>
  </si>
  <si>
    <t>Arunachal Pradesh</t>
  </si>
  <si>
    <t>Tawang</t>
  </si>
  <si>
    <t>Tawang (Area 1)</t>
  </si>
  <si>
    <t>Tawang (Area 2)</t>
  </si>
  <si>
    <t>Tawang (Area 3)</t>
  </si>
  <si>
    <t>Tawang (Area 4)</t>
  </si>
  <si>
    <t>Tawang (Area 5)</t>
  </si>
  <si>
    <t>Tawang (Area 6)</t>
  </si>
  <si>
    <t>West Kameng</t>
  </si>
  <si>
    <t>West Kameng (Area 1)</t>
  </si>
  <si>
    <t>West Kameng (Area 2)</t>
  </si>
  <si>
    <t>West Kameng (Area 3)</t>
  </si>
  <si>
    <t>West Kameng (Area 4)</t>
  </si>
  <si>
    <t>West Kameng (Area 5)</t>
  </si>
  <si>
    <t>West Kameng (Area 6)</t>
  </si>
  <si>
    <t>East Kameng</t>
  </si>
  <si>
    <t>East Kameng (Area 1)</t>
  </si>
  <si>
    <t>East Kameng (Area 2)</t>
  </si>
  <si>
    <t>East Kameng (Area 3)</t>
  </si>
  <si>
    <t>East Kameng (Area 4)</t>
  </si>
  <si>
    <t>East Kameng (Area 5)</t>
  </si>
  <si>
    <t>East Kameng (Area 6)</t>
  </si>
  <si>
    <t>Papum Pare</t>
  </si>
  <si>
    <t>Papum Pare (Area 1)</t>
  </si>
  <si>
    <t>Papum Pare (Area 2)</t>
  </si>
  <si>
    <t>Papum Pare (Area 3)</t>
  </si>
  <si>
    <t>Papum Pare (Area 4)</t>
  </si>
  <si>
    <t>Papum Pare (Area 5)</t>
  </si>
  <si>
    <t>Papum Pare (Area 6)</t>
  </si>
  <si>
    <t>Kurung Kumey</t>
  </si>
  <si>
    <t>Kurung Kumey (Area 1)</t>
  </si>
  <si>
    <t>Kurung Kumey (Area 2)</t>
  </si>
  <si>
    <t>Kurung Kumey (Area 3)</t>
  </si>
  <si>
    <t>Kurung Kumey (Area 4)</t>
  </si>
  <si>
    <t>Kurung Kumey (Area 5)</t>
  </si>
  <si>
    <t>Kurung Kumey (Area 6)</t>
  </si>
  <si>
    <t>Kra Daadi</t>
  </si>
  <si>
    <t>Kra Daadi (Area 1)</t>
  </si>
  <si>
    <t>Kra Daadi (Area 2)</t>
  </si>
  <si>
    <t>Kra Daadi (Area 3)</t>
  </si>
  <si>
    <t>Kra Daadi (Area 4)</t>
  </si>
  <si>
    <t>Kra Daadi (Area 5)</t>
  </si>
  <si>
    <t>Kra Daadi (Area 6)</t>
  </si>
  <si>
    <t>Lower Subansiri</t>
  </si>
  <si>
    <t>Lower Subansiri (Area 1)</t>
  </si>
  <si>
    <t>Lower Subansiri (Area 2)</t>
  </si>
  <si>
    <t>Lower Subansiri (Area 3)</t>
  </si>
  <si>
    <t>Lower Subansiri (Area 4)</t>
  </si>
  <si>
    <t>Lower Subansiri (Area 5)</t>
  </si>
  <si>
    <t>Lower Subansiri (Area 6)</t>
  </si>
  <si>
    <t>Upper Subansiri</t>
  </si>
  <si>
    <t>Upper Subansiri (Area 1)</t>
  </si>
  <si>
    <t>Upper Subansiri (Area 2)</t>
  </si>
  <si>
    <t>Upper Subansiri (Area 3)</t>
  </si>
  <si>
    <t>Upper Subansiri (Area 4)</t>
  </si>
  <si>
    <t>Upper Subansiri (Area 5)</t>
  </si>
  <si>
    <t>Upper Subansiri (Area 6)</t>
  </si>
  <si>
    <t>West Siang</t>
  </si>
  <si>
    <t>West Siang (Area 1)</t>
  </si>
  <si>
    <t>West Siang (Area 2)</t>
  </si>
  <si>
    <t>West Siang (Area 3)</t>
  </si>
  <si>
    <t>West Siang (Area 4)</t>
  </si>
  <si>
    <t>West Siang (Area 5)</t>
  </si>
  <si>
    <t>West Siang (Area 6)</t>
  </si>
  <si>
    <t>East Siang</t>
  </si>
  <si>
    <t>East Siang (Area 1)</t>
  </si>
  <si>
    <t>East Siang (Area 2)</t>
  </si>
  <si>
    <t>East Siang (Area 3)</t>
  </si>
  <si>
    <t>East Siang (Area 4)</t>
  </si>
  <si>
    <t>East Siang (Area 5)</t>
  </si>
  <si>
    <t>East Siang (Area 6)</t>
  </si>
  <si>
    <t>Siang</t>
  </si>
  <si>
    <t>Siang (Area 1)</t>
  </si>
  <si>
    <t>Siang (Area 2)</t>
  </si>
  <si>
    <t>Siang (Area 3)</t>
  </si>
  <si>
    <t>Siang (Area 4)</t>
  </si>
  <si>
    <t>Siang (Area 5)</t>
  </si>
  <si>
    <t>Siang (Area 6)</t>
  </si>
  <si>
    <t>Upper Siang</t>
  </si>
  <si>
    <t>Upper Siang (Area 1)</t>
  </si>
  <si>
    <t>Upper Siang (Area 2)</t>
  </si>
  <si>
    <t>Upper Siang (Area 3)</t>
  </si>
  <si>
    <t>Upper Siang (Area 4)</t>
  </si>
  <si>
    <t>Upper Siang (Area 5)</t>
  </si>
  <si>
    <t>Upper Siang (Area 6)</t>
  </si>
  <si>
    <t>Lower Siang</t>
  </si>
  <si>
    <t>Lower Siang (Area 1)</t>
  </si>
  <si>
    <t>Lower Siang (Area 2)</t>
  </si>
  <si>
    <t>Lower Siang (Area 3)</t>
  </si>
  <si>
    <t>Lower Siang (Area 4)</t>
  </si>
  <si>
    <t>Lower Siang (Area 5)</t>
  </si>
  <si>
    <t>Lower Siang (Area 6)</t>
  </si>
  <si>
    <t>Lower Dibang Valley</t>
  </si>
  <si>
    <t>Lower Dibang Valley (Area 1)</t>
  </si>
  <si>
    <t>Lower Dibang Valley (Area 2)</t>
  </si>
  <si>
    <t>Lower Dibang Valley (Area 3)</t>
  </si>
  <si>
    <t>Lower Dibang Valley (Area 4)</t>
  </si>
  <si>
    <t>Lower Dibang Valley (Area 5)</t>
  </si>
  <si>
    <t>Lower Dibang Valley (Area 6)</t>
  </si>
  <si>
    <t>Dibang Valley</t>
  </si>
  <si>
    <t>Dibang Valley (Area 1)</t>
  </si>
  <si>
    <t>Dibang Valley (Area 2)</t>
  </si>
  <si>
    <t>Dibang Valley (Area 3)</t>
  </si>
  <si>
    <t>Dibang Valley (Area 4)</t>
  </si>
  <si>
    <t>Dibang Valley (Area 5)</t>
  </si>
  <si>
    <t>Dibang Valley (Area 6)</t>
  </si>
  <si>
    <t>Anjaw</t>
  </si>
  <si>
    <t>Anjaw (Area 1)</t>
  </si>
  <si>
    <t>Anjaw (Area 2)</t>
  </si>
  <si>
    <t>Anjaw (Area 3)</t>
  </si>
  <si>
    <t>Anjaw (Area 4)</t>
  </si>
  <si>
    <t>Anjaw (Area 5)</t>
  </si>
  <si>
    <t>Anjaw (Area 6)</t>
  </si>
  <si>
    <t>Lohit</t>
  </si>
  <si>
    <t>Lohit (Area 1)</t>
  </si>
  <si>
    <t>Lohit (Area 2)</t>
  </si>
  <si>
    <t>Lohit (Area 3)</t>
  </si>
  <si>
    <t>Lohit (Area 4)</t>
  </si>
  <si>
    <t>Lohit (Area 5)</t>
  </si>
  <si>
    <t>Lohit (Area 6)</t>
  </si>
  <si>
    <t>Namsai</t>
  </si>
  <si>
    <t>Namsai (Area 1)</t>
  </si>
  <si>
    <t>Namsai (Area 2)</t>
  </si>
  <si>
    <t>Namsai (Area 3)</t>
  </si>
  <si>
    <t>Namsai (Area 4)</t>
  </si>
  <si>
    <t>Namsai (Area 5)</t>
  </si>
  <si>
    <t>Namsai (Area 6)</t>
  </si>
  <si>
    <t>Changlang</t>
  </si>
  <si>
    <t>Changlang (Area 1)</t>
  </si>
  <si>
    <t>Changlang (Area 2)</t>
  </si>
  <si>
    <t>Changlang (Area 3)</t>
  </si>
  <si>
    <t>Changlang (Area 4)</t>
  </si>
  <si>
    <t>Changlang (Area 5)</t>
  </si>
  <si>
    <t>Changlang (Area 6)</t>
  </si>
  <si>
    <t>Tirap</t>
  </si>
  <si>
    <t>Tirap (Area 1)</t>
  </si>
  <si>
    <t>Tirap (Area 2)</t>
  </si>
  <si>
    <t>Tirap (Area 3)</t>
  </si>
  <si>
    <t>Tirap (Area 4)</t>
  </si>
  <si>
    <t>Tirap (Area 5)</t>
  </si>
  <si>
    <t>Tirap (Area 6)</t>
  </si>
  <si>
    <t>Longding</t>
  </si>
  <si>
    <t>Longding (Area 1)</t>
  </si>
  <si>
    <t>Longding (Area 2)</t>
  </si>
  <si>
    <t>Longding (Area 3)</t>
  </si>
  <si>
    <t>Longding (Area 4)</t>
  </si>
  <si>
    <t>Longding (Area 5)</t>
  </si>
  <si>
    <t>Longding (Area 6)</t>
  </si>
  <si>
    <t>Assam</t>
  </si>
  <si>
    <t>Baksa</t>
  </si>
  <si>
    <t>Baksa (Area 1)</t>
  </si>
  <si>
    <t>Baksa (Area 2)</t>
  </si>
  <si>
    <t>Baksa (Area 3)</t>
  </si>
  <si>
    <t>Baksa (Area 4)</t>
  </si>
  <si>
    <t>Baksa (Area 5)</t>
  </si>
  <si>
    <t>Baksa (Area 6)</t>
  </si>
  <si>
    <t>Barpeta</t>
  </si>
  <si>
    <t>Barpeta (Area 1)</t>
  </si>
  <si>
    <t>Barpeta (Area 2)</t>
  </si>
  <si>
    <t>Barpeta (Area 3)</t>
  </si>
  <si>
    <t>Barpeta (Area 4)</t>
  </si>
  <si>
    <t>Barpeta (Area 5)</t>
  </si>
  <si>
    <t>Barpeta (Area 6)</t>
  </si>
  <si>
    <t>Biswanath</t>
  </si>
  <si>
    <t>Biswanath (Area 1)</t>
  </si>
  <si>
    <t>Biswanath (Area 2)</t>
  </si>
  <si>
    <t>Biswanath (Area 3)</t>
  </si>
  <si>
    <t>Biswanath (Area 4)</t>
  </si>
  <si>
    <t>Biswanath (Area 5)</t>
  </si>
  <si>
    <t>Biswanath (Area 6)</t>
  </si>
  <si>
    <t>Bongaigaon</t>
  </si>
  <si>
    <t>Bongaigaon (Area 1)</t>
  </si>
  <si>
    <t>Bongaigaon (Area 2)</t>
  </si>
  <si>
    <t>Bongaigaon (Area 3)</t>
  </si>
  <si>
    <t>Bongaigaon (Area 4)</t>
  </si>
  <si>
    <t>Bongaigaon (Area 5)</t>
  </si>
  <si>
    <t>Bongaigaon (Area 6)</t>
  </si>
  <si>
    <t>Cachar</t>
  </si>
  <si>
    <t>Cachar (Area 1)</t>
  </si>
  <si>
    <t>Cachar (Area 2)</t>
  </si>
  <si>
    <t>Cachar (Area 3)</t>
  </si>
  <si>
    <t>Cachar (Area 4)</t>
  </si>
  <si>
    <t>Cachar (Area 5)</t>
  </si>
  <si>
    <t>Cachar (Area 6)</t>
  </si>
  <si>
    <t>Charaideo</t>
  </si>
  <si>
    <t>Charaideo (Area 1)</t>
  </si>
  <si>
    <t>Charaideo (Area 2)</t>
  </si>
  <si>
    <t>Charaideo (Area 3)</t>
  </si>
  <si>
    <t>Charaideo (Area 4)</t>
  </si>
  <si>
    <t>Charaideo (Area 5)</t>
  </si>
  <si>
    <t>Charaideo (Area 6)</t>
  </si>
  <si>
    <t>Chirang</t>
  </si>
  <si>
    <t>Chirang (Area 1)</t>
  </si>
  <si>
    <t>Chirang (Area 2)</t>
  </si>
  <si>
    <t>Chirang (Area 3)</t>
  </si>
  <si>
    <t>Chirang (Area 4)</t>
  </si>
  <si>
    <t>Chirang (Area 5)</t>
  </si>
  <si>
    <t>Chirang (Area 6)</t>
  </si>
  <si>
    <t>Darrang</t>
  </si>
  <si>
    <t>Darrang (Area 1)</t>
  </si>
  <si>
    <t>Darrang (Area 2)</t>
  </si>
  <si>
    <t>Darrang (Area 3)</t>
  </si>
  <si>
    <t>Darrang (Area 4)</t>
  </si>
  <si>
    <t>Darrang (Area 5)</t>
  </si>
  <si>
    <t>Darrang (Area 6)</t>
  </si>
  <si>
    <t>Dhemaji</t>
  </si>
  <si>
    <t>Dhemaji (Area 1)</t>
  </si>
  <si>
    <t>Dhemaji (Area 2)</t>
  </si>
  <si>
    <t>Dhemaji (Area 3)</t>
  </si>
  <si>
    <t>Dhemaji (Area 4)</t>
  </si>
  <si>
    <t>Dhemaji (Area 5)</t>
  </si>
  <si>
    <t>Dhemaji (Area 6)</t>
  </si>
  <si>
    <t>Dhubri</t>
  </si>
  <si>
    <t>Dhubri (Area 1)</t>
  </si>
  <si>
    <t>Dhubri (Area 2)</t>
  </si>
  <si>
    <t>Dhubri (Area 3)</t>
  </si>
  <si>
    <t>Dhubri (Area 4)</t>
  </si>
  <si>
    <t>Dhubri (Area 5)</t>
  </si>
  <si>
    <t>Dhubri (Area 6)</t>
  </si>
  <si>
    <t>Dibrugarh</t>
  </si>
  <si>
    <t>Dibrugarh (Area 1)</t>
  </si>
  <si>
    <t>Dibrugarh (Area 2)</t>
  </si>
  <si>
    <t>Dibrugarh (Area 3)</t>
  </si>
  <si>
    <t>Dibrugarh (Area 4)</t>
  </si>
  <si>
    <t>Dibrugarh (Area 5)</t>
  </si>
  <si>
    <t>Dibrugarh (Area 6)</t>
  </si>
  <si>
    <t>Goalpara</t>
  </si>
  <si>
    <t>Goalpara (Area 1)</t>
  </si>
  <si>
    <t>Goalpara (Area 2)</t>
  </si>
  <si>
    <t>Goalpara (Area 3)</t>
  </si>
  <si>
    <t>Goalpara (Area 4)</t>
  </si>
  <si>
    <t>Goalpara (Area 5)</t>
  </si>
  <si>
    <t>Goalpara (Area 6)</t>
  </si>
  <si>
    <t>Golaghat</t>
  </si>
  <si>
    <t>Golaghat (Area 1)</t>
  </si>
  <si>
    <t>Golaghat (Area 2)</t>
  </si>
  <si>
    <t>Golaghat (Area 3)</t>
  </si>
  <si>
    <t>Golaghat (Area 4)</t>
  </si>
  <si>
    <t>Golaghat (Area 5)</t>
  </si>
  <si>
    <t>Golaghat (Area 6)</t>
  </si>
  <si>
    <t>Hailakandi</t>
  </si>
  <si>
    <t>Hailakandi (Area 1)</t>
  </si>
  <si>
    <t>Hailakandi (Area 2)</t>
  </si>
  <si>
    <t>Hailakandi (Area 3)</t>
  </si>
  <si>
    <t>Hailakandi (Area 4)</t>
  </si>
  <si>
    <t>Hailakandi (Area 5)</t>
  </si>
  <si>
    <t>Hailakandi (Area 6)</t>
  </si>
  <si>
    <t>Hojai</t>
  </si>
  <si>
    <t>Hojai (Area 1)</t>
  </si>
  <si>
    <t>Hojai (Area 2)</t>
  </si>
  <si>
    <t>Hojai (Area 3)</t>
  </si>
  <si>
    <t>Hojai (Area 4)</t>
  </si>
  <si>
    <t>Hojai (Area 5)</t>
  </si>
  <si>
    <t>Hojai (Area 6)</t>
  </si>
  <si>
    <t>Jorhat</t>
  </si>
  <si>
    <t>Jorhat (Area 1)</t>
  </si>
  <si>
    <t>Jorhat (Area 2)</t>
  </si>
  <si>
    <t>Jorhat (Area 3)</t>
  </si>
  <si>
    <t>Jorhat (Area 4)</t>
  </si>
  <si>
    <t>Jorhat (Area 5)</t>
  </si>
  <si>
    <t>Jorhat (Area 6)</t>
  </si>
  <si>
    <t>Kamrup Metropolitan</t>
  </si>
  <si>
    <t>Kamrup Metropolitan (Area 1)</t>
  </si>
  <si>
    <t>Kamrup Metropolitan (Area 2)</t>
  </si>
  <si>
    <t>Kamrup Metropolitan (Area 3)</t>
  </si>
  <si>
    <t>Kamrup Metropolitan (Area 4)</t>
  </si>
  <si>
    <t>Kamrup Metropolitan (Area 5)</t>
  </si>
  <si>
    <t>Kamrup Metropolitan (Area 6)</t>
  </si>
  <si>
    <t>Kamrup</t>
  </si>
  <si>
    <t>Kamrup (Area 1)</t>
  </si>
  <si>
    <t>Kamrup (Area 2)</t>
  </si>
  <si>
    <t>Kamrup (Area 3)</t>
  </si>
  <si>
    <t>Kamrup (Area 4)</t>
  </si>
  <si>
    <t>Kamrup (Area 5)</t>
  </si>
  <si>
    <t>Kamrup (Area 6)</t>
  </si>
  <si>
    <t>Karbi Anglong</t>
  </si>
  <si>
    <t>Karbi Anglong (Area 1)</t>
  </si>
  <si>
    <t>Karbi Anglong (Area 2)</t>
  </si>
  <si>
    <t>Karbi Anglong (Area 3)</t>
  </si>
  <si>
    <t>Karbi Anglong (Area 4)</t>
  </si>
  <si>
    <t>Karbi Anglong (Area 5)</t>
  </si>
  <si>
    <t>Karbi Anglong (Area 6)</t>
  </si>
  <si>
    <t>Karimganj</t>
  </si>
  <si>
    <t>Karimganj (Area 1)</t>
  </si>
  <si>
    <t>Karimganj (Area 2)</t>
  </si>
  <si>
    <t>Karimganj (Area 3)</t>
  </si>
  <si>
    <t>Karimganj (Area 4)</t>
  </si>
  <si>
    <t>Karimganj (Area 5)</t>
  </si>
  <si>
    <t>Karimganj (Area 6)</t>
  </si>
  <si>
    <t>Kokrajhar</t>
  </si>
  <si>
    <t>Kokrajhar (Area 1)</t>
  </si>
  <si>
    <t>Kokrajhar (Area 2)</t>
  </si>
  <si>
    <t>Kokrajhar (Area 3)</t>
  </si>
  <si>
    <t>Kokrajhar (Area 4)</t>
  </si>
  <si>
    <t>Kokrajhar (Area 5)</t>
  </si>
  <si>
    <t>Kokrajhar (Area 6)</t>
  </si>
  <si>
    <t>Lakhimpur</t>
  </si>
  <si>
    <t>Lakhimpur (Area 1)</t>
  </si>
  <si>
    <t>Lakhimpur (Area 2)</t>
  </si>
  <si>
    <t>Lakhimpur (Area 3)</t>
  </si>
  <si>
    <t>Lakhimpur (Area 4)</t>
  </si>
  <si>
    <t>Lakhimpur (Area 5)</t>
  </si>
  <si>
    <t>Lakhimpur (Area 6)</t>
  </si>
  <si>
    <t>Majuli</t>
  </si>
  <si>
    <t>Majuli (Area 1)</t>
  </si>
  <si>
    <t>Majuli (Area 2)</t>
  </si>
  <si>
    <t>Majuli (Area 3)</t>
  </si>
  <si>
    <t>Majuli (Area 4)</t>
  </si>
  <si>
    <t>Majuli (Area 5)</t>
  </si>
  <si>
    <t>Majuli (Area 6)</t>
  </si>
  <si>
    <t>Morigaon</t>
  </si>
  <si>
    <t>Morigaon (Area 1)</t>
  </si>
  <si>
    <t>Morigaon (Area 2)</t>
  </si>
  <si>
    <t>Morigaon (Area 3)</t>
  </si>
  <si>
    <t>Morigaon (Area 4)</t>
  </si>
  <si>
    <t>Morigaon (Area 5)</t>
  </si>
  <si>
    <t>Morigaon (Area 6)</t>
  </si>
  <si>
    <t>Nagaon</t>
  </si>
  <si>
    <t>Nagaon (Area 1)</t>
  </si>
  <si>
    <t>Nagaon (Area 2)</t>
  </si>
  <si>
    <t>Nagaon (Area 3)</t>
  </si>
  <si>
    <t>Nagaon (Area 4)</t>
  </si>
  <si>
    <t>Nagaon (Area 5)</t>
  </si>
  <si>
    <t>Nagaon (Area 6)</t>
  </si>
  <si>
    <t>Nalbari</t>
  </si>
  <si>
    <t>Nalbari (Area 1)</t>
  </si>
  <si>
    <t>Nalbari (Area 2)</t>
  </si>
  <si>
    <t>Nalbari (Area 3)</t>
  </si>
  <si>
    <t>Nalbari (Area 4)</t>
  </si>
  <si>
    <t>Nalbari (Area 5)</t>
  </si>
  <si>
    <t>Nalbari (Area 6)</t>
  </si>
  <si>
    <t>Dima Hasao</t>
  </si>
  <si>
    <t>Dima Hasao (Area 1)</t>
  </si>
  <si>
    <t>Dima Hasao (Area 2)</t>
  </si>
  <si>
    <t>Dima Hasao (Area 3)</t>
  </si>
  <si>
    <t>Dima Hasao (Area 4)</t>
  </si>
  <si>
    <t>Dima Hasao (Area 5)</t>
  </si>
  <si>
    <t>Dima Hasao (Area 6)</t>
  </si>
  <si>
    <t>Sivasagar</t>
  </si>
  <si>
    <t>Sivasagar (Area 1)</t>
  </si>
  <si>
    <t>Sivasagar (Area 2)</t>
  </si>
  <si>
    <t>Sivasagar (Area 3)</t>
  </si>
  <si>
    <t>Sivasagar (Area 4)</t>
  </si>
  <si>
    <t>Sivasagar (Area 5)</t>
  </si>
  <si>
    <t>Sivasagar (Area 6)</t>
  </si>
  <si>
    <t>Sonitpur</t>
  </si>
  <si>
    <t>Sonitpur (Area 1)</t>
  </si>
  <si>
    <t>Sonitpur (Area 2)</t>
  </si>
  <si>
    <t>Sonitpur (Area 3)</t>
  </si>
  <si>
    <t>Sonitpur (Area 4)</t>
  </si>
  <si>
    <t>Sonitpur (Area 5)</t>
  </si>
  <si>
    <t>Sonitpur (Area 6)</t>
  </si>
  <si>
    <t>South Salmara-Mankachar</t>
  </si>
  <si>
    <t>South Salmara-Mankachar (Area 1)</t>
  </si>
  <si>
    <t>South Salmara-Mankachar (Area 2)</t>
  </si>
  <si>
    <t>South Salmara-Mankachar (Area 3)</t>
  </si>
  <si>
    <t>South Salmara-Mankachar (Area 4)</t>
  </si>
  <si>
    <t>South Salmara-Mankachar (Area 5)</t>
  </si>
  <si>
    <t>South Salmara-Mankachar (Area 6)</t>
  </si>
  <si>
    <t>Tinsukia</t>
  </si>
  <si>
    <t>Tinsukia (Area 1)</t>
  </si>
  <si>
    <t>Tinsukia (Area 2)</t>
  </si>
  <si>
    <t>Tinsukia (Area 3)</t>
  </si>
  <si>
    <t>Tinsukia (Area 4)</t>
  </si>
  <si>
    <t>Tinsukia (Area 5)</t>
  </si>
  <si>
    <t>Tinsukia (Area 6)</t>
  </si>
  <si>
    <t>Udalguri</t>
  </si>
  <si>
    <t>Udalguri (Area 1)</t>
  </si>
  <si>
    <t>Udalguri (Area 2)</t>
  </si>
  <si>
    <t>Udalguri (Area 3)</t>
  </si>
  <si>
    <t>Udalguri (Area 4)</t>
  </si>
  <si>
    <t>Udalguri (Area 5)</t>
  </si>
  <si>
    <t>Udalguri (Area 6)</t>
  </si>
  <si>
    <t>West Karbi Anglong</t>
  </si>
  <si>
    <t>West Karbi Anglong (Area 1)</t>
  </si>
  <si>
    <t>West Karbi Anglong (Area 2)</t>
  </si>
  <si>
    <t>West Karbi Anglong (Area 3)</t>
  </si>
  <si>
    <t>West Karbi Anglong (Area 4)</t>
  </si>
  <si>
    <t>West Karbi Anglong (Area 5)</t>
  </si>
  <si>
    <t>West Karbi Anglong (Area 6)</t>
  </si>
  <si>
    <t>Bihar</t>
  </si>
  <si>
    <t>Araria</t>
  </si>
  <si>
    <t>Araria (Area 1)</t>
  </si>
  <si>
    <t>Araria (Area 2)</t>
  </si>
  <si>
    <t>Araria (Area 3)</t>
  </si>
  <si>
    <t>Araria (Area 4)</t>
  </si>
  <si>
    <t>Araria (Area 5)</t>
  </si>
  <si>
    <t>Araria (Area 6)</t>
  </si>
  <si>
    <t>Arwal</t>
  </si>
  <si>
    <t>Arwal (Area 1)</t>
  </si>
  <si>
    <t>Arwal (Area 2)</t>
  </si>
  <si>
    <t>Arwal (Area 3)</t>
  </si>
  <si>
    <t>Arwal (Area 4)</t>
  </si>
  <si>
    <t>Arwal (Area 5)</t>
  </si>
  <si>
    <t>Arwal (Area 6)</t>
  </si>
  <si>
    <t>Aurangabad</t>
  </si>
  <si>
    <t>Aurangabad (Area 1)</t>
  </si>
  <si>
    <t>Aurangabad (Area 2)</t>
  </si>
  <si>
    <t>Aurangabad (Area 3)</t>
  </si>
  <si>
    <t>Aurangabad (Area 4)</t>
  </si>
  <si>
    <t>Aurangabad (Area 5)</t>
  </si>
  <si>
    <t>Aurangabad (Area 6)</t>
  </si>
  <si>
    <t>Banka</t>
  </si>
  <si>
    <t>Banka (Area 1)</t>
  </si>
  <si>
    <t>Banka (Area 2)</t>
  </si>
  <si>
    <t>Banka (Area 3)</t>
  </si>
  <si>
    <t>Banka (Area 4)</t>
  </si>
  <si>
    <t>Banka (Area 5)</t>
  </si>
  <si>
    <t>Banka (Area 6)</t>
  </si>
  <si>
    <t>Begusarai</t>
  </si>
  <si>
    <t>Begusarai (Area 1)</t>
  </si>
  <si>
    <t>Begusarai (Area 2)</t>
  </si>
  <si>
    <t>Begusarai (Area 3)</t>
  </si>
  <si>
    <t>Begusarai (Area 4)</t>
  </si>
  <si>
    <t>Begusarai (Area 5)</t>
  </si>
  <si>
    <t>Begusarai (Area 6)</t>
  </si>
  <si>
    <t>Bhagalpur</t>
  </si>
  <si>
    <t>Bhagalpur (Area 1)</t>
  </si>
  <si>
    <t>Bhagalpur (Area 2)</t>
  </si>
  <si>
    <t>Bhagalpur (Area 3)</t>
  </si>
  <si>
    <t>Bhagalpur (Area 4)</t>
  </si>
  <si>
    <t>Bhagalpur (Area 5)</t>
  </si>
  <si>
    <t>Bhagalpur (Area 6)</t>
  </si>
  <si>
    <t>Bhojpur</t>
  </si>
  <si>
    <t>Bhojpur (Area 1)</t>
  </si>
  <si>
    <t>Bhojpur (Area 2)</t>
  </si>
  <si>
    <t>Bhojpur (Area 3)</t>
  </si>
  <si>
    <t>Bhojpur (Area 4)</t>
  </si>
  <si>
    <t>Bhojpur (Area 5)</t>
  </si>
  <si>
    <t>Bhojpur (Area 6)</t>
  </si>
  <si>
    <t>Buxar</t>
  </si>
  <si>
    <t>Buxar (Area 1)</t>
  </si>
  <si>
    <t>Buxar (Area 2)</t>
  </si>
  <si>
    <t>Buxar (Area 3)</t>
  </si>
  <si>
    <t>Buxar (Area 4)</t>
  </si>
  <si>
    <t>Buxar (Area 5)</t>
  </si>
  <si>
    <t>Buxar (Area 6)</t>
  </si>
  <si>
    <t>Darbhanga</t>
  </si>
  <si>
    <t>Darbhanga (Area 1)</t>
  </si>
  <si>
    <t>Darbhanga (Area 2)</t>
  </si>
  <si>
    <t>Darbhanga (Area 3)</t>
  </si>
  <si>
    <t>Darbhanga (Area 4)</t>
  </si>
  <si>
    <t>Darbhanga (Area 5)</t>
  </si>
  <si>
    <t>Darbhanga (Area 6)</t>
  </si>
  <si>
    <t>East Champaran (Motihari)</t>
  </si>
  <si>
    <t>East Champaran (Motihari) (Area 1)</t>
  </si>
  <si>
    <t>East Champaran (Motihari) (Area 2)</t>
  </si>
  <si>
    <t>East Champaran (Motihari) (Area 3)</t>
  </si>
  <si>
    <t>East Champaran (Motihari) (Area 4)</t>
  </si>
  <si>
    <t>East Champaran (Motihari) (Area 5)</t>
  </si>
  <si>
    <t>East Champaran (Motihari) (Area 6)</t>
  </si>
  <si>
    <t>Gaya</t>
  </si>
  <si>
    <t>Gaya (Area 1)</t>
  </si>
  <si>
    <t>Gaya (Area 2)</t>
  </si>
  <si>
    <t>Gaya (Area 3)</t>
  </si>
  <si>
    <t>Gaya (Area 4)</t>
  </si>
  <si>
    <t>Gaya (Area 5)</t>
  </si>
  <si>
    <t>Gaya (Area 6)</t>
  </si>
  <si>
    <t>Gopalganj</t>
  </si>
  <si>
    <t>Gopalganj (Area 1)</t>
  </si>
  <si>
    <t>Gopalganj (Area 2)</t>
  </si>
  <si>
    <t>Gopalganj (Area 3)</t>
  </si>
  <si>
    <t>Gopalganj (Area 4)</t>
  </si>
  <si>
    <t>Gopalganj (Area 5)</t>
  </si>
  <si>
    <t>Gopalganj (Area 6)</t>
  </si>
  <si>
    <t>Jamui</t>
  </si>
  <si>
    <t>Jamui (Area 1)</t>
  </si>
  <si>
    <t>Jamui (Area 2)</t>
  </si>
  <si>
    <t>Jamui (Area 3)</t>
  </si>
  <si>
    <t>Jamui (Area 4)</t>
  </si>
  <si>
    <t>Jamui (Area 5)</t>
  </si>
  <si>
    <t>Jamui (Area 6)</t>
  </si>
  <si>
    <t>Jehanabad</t>
  </si>
  <si>
    <t>Jehanabad (Area 1)</t>
  </si>
  <si>
    <t>Jehanabad (Area 2)</t>
  </si>
  <si>
    <t>Jehanabad (Area 3)</t>
  </si>
  <si>
    <t>Jehanabad (Area 4)</t>
  </si>
  <si>
    <t>Jehanabad (Area 5)</t>
  </si>
  <si>
    <t>Jehanabad (Area 6)</t>
  </si>
  <si>
    <t>Kaimur (Bhabua)</t>
  </si>
  <si>
    <t>Kaimur (Bhabua) (Area 1)</t>
  </si>
  <si>
    <t>Kaimur (Bhabua) (Area 2)</t>
  </si>
  <si>
    <t>Kaimur (Bhabua) (Area 3)</t>
  </si>
  <si>
    <t>Kaimur (Bhabua) (Area 4)</t>
  </si>
  <si>
    <t>Kaimur (Bhabua) (Area 5)</t>
  </si>
  <si>
    <t>Kaimur (Bhabua) (Area 6)</t>
  </si>
  <si>
    <t>Katihar</t>
  </si>
  <si>
    <t>Katihar (Area 1)</t>
  </si>
  <si>
    <t>Katihar (Area 2)</t>
  </si>
  <si>
    <t>Katihar (Area 3)</t>
  </si>
  <si>
    <t>Katihar (Area 4)</t>
  </si>
  <si>
    <t>Katihar (Area 5)</t>
  </si>
  <si>
    <t>Katihar (Area 6)</t>
  </si>
  <si>
    <t>Khagaria</t>
  </si>
  <si>
    <t>Khagaria (Area 1)</t>
  </si>
  <si>
    <t>Khagaria (Area 2)</t>
  </si>
  <si>
    <t>Khagaria (Area 3)</t>
  </si>
  <si>
    <t>Khagaria (Area 4)</t>
  </si>
  <si>
    <t>Khagaria (Area 5)</t>
  </si>
  <si>
    <t>Khagaria (Area 6)</t>
  </si>
  <si>
    <t>Kishanganj</t>
  </si>
  <si>
    <t>Kishanganj (Area 1)</t>
  </si>
  <si>
    <t>Kishanganj (Area 2)</t>
  </si>
  <si>
    <t>Kishanganj (Area 3)</t>
  </si>
  <si>
    <t>Kishanganj (Area 4)</t>
  </si>
  <si>
    <t>Kishanganj (Area 5)</t>
  </si>
  <si>
    <t>Kishanganj (Area 6)</t>
  </si>
  <si>
    <t>Lakhisarai</t>
  </si>
  <si>
    <t>Lakhisarai (Area 1)</t>
  </si>
  <si>
    <t>Lakhisarai (Area 2)</t>
  </si>
  <si>
    <t>Lakhisarai (Area 3)</t>
  </si>
  <si>
    <t>Lakhisarai (Area 4)</t>
  </si>
  <si>
    <t>Lakhisarai (Area 5)</t>
  </si>
  <si>
    <t>Lakhisarai (Area 6)</t>
  </si>
  <si>
    <t>Madhepura</t>
  </si>
  <si>
    <t>Madhepura (Area 1)</t>
  </si>
  <si>
    <t>Madhepura (Area 2)</t>
  </si>
  <si>
    <t>Madhepura (Area 3)</t>
  </si>
  <si>
    <t>Madhepura (Area 4)</t>
  </si>
  <si>
    <t>Madhepura (Area 5)</t>
  </si>
  <si>
    <t>Madhepura (Area 6)</t>
  </si>
  <si>
    <t>Madhubani</t>
  </si>
  <si>
    <t>Madhubani (Area 1)</t>
  </si>
  <si>
    <t>Madhubani (Area 2)</t>
  </si>
  <si>
    <t>Madhubani (Area 3)</t>
  </si>
  <si>
    <t>Madhubani (Area 4)</t>
  </si>
  <si>
    <t>Madhubani (Area 5)</t>
  </si>
  <si>
    <t>Madhubani (Area 6)</t>
  </si>
  <si>
    <t>Munger (Monghyr)</t>
  </si>
  <si>
    <t>Munger (Monghyr) (Area 1)</t>
  </si>
  <si>
    <t>Munger (Monghyr) (Area 2)</t>
  </si>
  <si>
    <t>Munger (Monghyr) (Area 3)</t>
  </si>
  <si>
    <t>Munger (Monghyr) (Area 4)</t>
  </si>
  <si>
    <t>Munger (Monghyr) (Area 5)</t>
  </si>
  <si>
    <t>Munger (Monghyr) (Area 6)</t>
  </si>
  <si>
    <t>Muzaffarpur</t>
  </si>
  <si>
    <t>Muzaffarpur (Area 1)</t>
  </si>
  <si>
    <t>Muzaffarpur (Area 2)</t>
  </si>
  <si>
    <t>Muzaffarpur (Area 3)</t>
  </si>
  <si>
    <t>Muzaffarpur (Area 4)</t>
  </si>
  <si>
    <t>Muzaffarpur (Area 5)</t>
  </si>
  <si>
    <t>Muzaffarpur (Area 6)</t>
  </si>
  <si>
    <t>Nalanda</t>
  </si>
  <si>
    <t>Nalanda (Area 1)</t>
  </si>
  <si>
    <t>Nalanda (Area 2)</t>
  </si>
  <si>
    <t>Nalanda (Area 3)</t>
  </si>
  <si>
    <t>Nalanda (Area 4)</t>
  </si>
  <si>
    <t>Nalanda (Area 5)</t>
  </si>
  <si>
    <t>Nalanda (Area 6)</t>
  </si>
  <si>
    <t>Nawada</t>
  </si>
  <si>
    <t>Nawada (Area 1)</t>
  </si>
  <si>
    <t>Nawada (Area 2)</t>
  </si>
  <si>
    <t>Nawada (Area 3)</t>
  </si>
  <si>
    <t>Nawada (Area 4)</t>
  </si>
  <si>
    <t>Nawada (Area 5)</t>
  </si>
  <si>
    <t>Nawada (Area 6)</t>
  </si>
  <si>
    <t>Patna</t>
  </si>
  <si>
    <t>Patna (Area 1)</t>
  </si>
  <si>
    <t>Patna (Area 2)</t>
  </si>
  <si>
    <t>Patna (Area 3)</t>
  </si>
  <si>
    <t>Patna (Area 4)</t>
  </si>
  <si>
    <t>Patna (Area 5)</t>
  </si>
  <si>
    <t>Patna (Area 6)</t>
  </si>
  <si>
    <t>Purnia (Purnea)</t>
  </si>
  <si>
    <t>Purnia (Purnea) (Area 1)</t>
  </si>
  <si>
    <t>Purnia (Purnea) (Area 2)</t>
  </si>
  <si>
    <t>Purnia (Purnea) (Area 3)</t>
  </si>
  <si>
    <t>Purnia (Purnea) (Area 4)</t>
  </si>
  <si>
    <t>Purnia (Purnea) (Area 5)</t>
  </si>
  <si>
    <t>Purnia (Purnea) (Area 6)</t>
  </si>
  <si>
    <t>Rohtas</t>
  </si>
  <si>
    <t>Rohtas (Area 1)</t>
  </si>
  <si>
    <t>Rohtas (Area 2)</t>
  </si>
  <si>
    <t>Rohtas (Area 3)</t>
  </si>
  <si>
    <t>Rohtas (Area 4)</t>
  </si>
  <si>
    <t>Rohtas (Area 5)</t>
  </si>
  <si>
    <t>Rohtas (Area 6)</t>
  </si>
  <si>
    <t>Saharsa</t>
  </si>
  <si>
    <t>Saharsa (Area 1)</t>
  </si>
  <si>
    <t>Saharsa (Area 2)</t>
  </si>
  <si>
    <t>Saharsa (Area 3)</t>
  </si>
  <si>
    <t>Saharsa (Area 4)</t>
  </si>
  <si>
    <t>Saharsa (Area 5)</t>
  </si>
  <si>
    <t>Saharsa (Area 6)</t>
  </si>
  <si>
    <t>Samastipur</t>
  </si>
  <si>
    <t>Samastipur (Area 1)</t>
  </si>
  <si>
    <t>Samastipur (Area 2)</t>
  </si>
  <si>
    <t>Samastipur (Area 3)</t>
  </si>
  <si>
    <t>Samastipur (Area 4)</t>
  </si>
  <si>
    <t>Samastipur (Area 5)</t>
  </si>
  <si>
    <t>Samastipur (Area 6)</t>
  </si>
  <si>
    <t>Saran</t>
  </si>
  <si>
    <t>Saran (Area 1)</t>
  </si>
  <si>
    <t>Saran (Area 2)</t>
  </si>
  <si>
    <t>Saran (Area 3)</t>
  </si>
  <si>
    <t>Saran (Area 4)</t>
  </si>
  <si>
    <t>Saran (Area 5)</t>
  </si>
  <si>
    <t>Saran (Area 6)</t>
  </si>
  <si>
    <t>Sheikhpura</t>
  </si>
  <si>
    <t>Sheikhpura (Area 1)</t>
  </si>
  <si>
    <t>Sheikhpura (Area 2)</t>
  </si>
  <si>
    <t>Sheikhpura (Area 3)</t>
  </si>
  <si>
    <t>Sheikhpura (Area 4)</t>
  </si>
  <si>
    <t>Sheikhpura (Area 5)</t>
  </si>
  <si>
    <t>Sheikhpura (Area 6)</t>
  </si>
  <si>
    <t>Sheohar</t>
  </si>
  <si>
    <t>Sheohar (Area 1)</t>
  </si>
  <si>
    <t>Sheohar (Area 2)</t>
  </si>
  <si>
    <t>Sheohar (Area 3)</t>
  </si>
  <si>
    <t>Sheohar (Area 4)</t>
  </si>
  <si>
    <t>Sheohar (Area 5)</t>
  </si>
  <si>
    <t>Sheohar (Area 6)</t>
  </si>
  <si>
    <t>Sitamarhi</t>
  </si>
  <si>
    <t>Sitamarhi (Area 1)</t>
  </si>
  <si>
    <t>Sitamarhi (Area 2)</t>
  </si>
  <si>
    <t>Sitamarhi (Area 3)</t>
  </si>
  <si>
    <t>Sitamarhi (Area 4)</t>
  </si>
  <si>
    <t>Sitamarhi (Area 5)</t>
  </si>
  <si>
    <t>Sitamarhi (Area 6)</t>
  </si>
  <si>
    <t>Siwan</t>
  </si>
  <si>
    <t>Siwan (Area 1)</t>
  </si>
  <si>
    <t>Siwan (Area 2)</t>
  </si>
  <si>
    <t>Siwan (Area 3)</t>
  </si>
  <si>
    <t>Siwan (Area 4)</t>
  </si>
  <si>
    <t>Siwan (Area 5)</t>
  </si>
  <si>
    <t>Siwan (Area 6)</t>
  </si>
  <si>
    <t>Supaul</t>
  </si>
  <si>
    <t>Supaul (Area 1)</t>
  </si>
  <si>
    <t>Supaul (Area 2)</t>
  </si>
  <si>
    <t>Supaul (Area 3)</t>
  </si>
  <si>
    <t>Supaul (Area 4)</t>
  </si>
  <si>
    <t>Supaul (Area 5)</t>
  </si>
  <si>
    <t>Supaul (Area 6)</t>
  </si>
  <si>
    <t>Vaishali</t>
  </si>
  <si>
    <t>Vaishali (Area 1)</t>
  </si>
  <si>
    <t>Vaishali (Area 2)</t>
  </si>
  <si>
    <t>Vaishali (Area 3)</t>
  </si>
  <si>
    <t>Vaishali (Area 4)</t>
  </si>
  <si>
    <t>Vaishali (Area 5)</t>
  </si>
  <si>
    <t>Vaishali (Area 6)</t>
  </si>
  <si>
    <t>West Champaran</t>
  </si>
  <si>
    <t>West Champaran (Area 1)</t>
  </si>
  <si>
    <t>West Champaran (Area 2)</t>
  </si>
  <si>
    <t>West Champaran (Area 3)</t>
  </si>
  <si>
    <t>West Champaran (Area 4)</t>
  </si>
  <si>
    <t>West Champaran (Area 5)</t>
  </si>
  <si>
    <t>West Champaran (Area 6)</t>
  </si>
  <si>
    <t>Chandigarh (UT)</t>
  </si>
  <si>
    <t>Chandigarh</t>
  </si>
  <si>
    <t>Chandigarh (Area 1)</t>
  </si>
  <si>
    <t>Chandigarh (Area 2)</t>
  </si>
  <si>
    <t>Chandigarh (Area 3)</t>
  </si>
  <si>
    <t>Chandigarh (Area 4)</t>
  </si>
  <si>
    <t>Chandigarh (Area 5)</t>
  </si>
  <si>
    <t>Chandigarh (Area 6)</t>
  </si>
  <si>
    <t>Chhattisgarh</t>
  </si>
  <si>
    <t>Balod</t>
  </si>
  <si>
    <t>Balod (Area 1)</t>
  </si>
  <si>
    <t>Balod (Area 2)</t>
  </si>
  <si>
    <t>Balod (Area 3)</t>
  </si>
  <si>
    <t>Balod (Area 4)</t>
  </si>
  <si>
    <t>Balod (Area 5)</t>
  </si>
  <si>
    <t>Balod (Area 6)</t>
  </si>
  <si>
    <t>Baloda Bazar</t>
  </si>
  <si>
    <t>Baloda Bazar (Area 1)</t>
  </si>
  <si>
    <t>Baloda Bazar (Area 2)</t>
  </si>
  <si>
    <t>Baloda Bazar (Area 3)</t>
  </si>
  <si>
    <t>Baloda Bazar (Area 4)</t>
  </si>
  <si>
    <t>Baloda Bazar (Area 5)</t>
  </si>
  <si>
    <t>Baloda Bazar (Area 6)</t>
  </si>
  <si>
    <t>Balrampur</t>
  </si>
  <si>
    <t>Balrampur (Area 1)</t>
  </si>
  <si>
    <t>Balrampur (Area 2)</t>
  </si>
  <si>
    <t>Balrampur (Area 3)</t>
  </si>
  <si>
    <t>Balrampur (Area 4)</t>
  </si>
  <si>
    <t>Balrampur (Area 5)</t>
  </si>
  <si>
    <t>Balrampur (Area 6)</t>
  </si>
  <si>
    <t>Bastar</t>
  </si>
  <si>
    <t>Bastar (Area 1)</t>
  </si>
  <si>
    <t>Bastar (Area 2)</t>
  </si>
  <si>
    <t>Bastar (Area 3)</t>
  </si>
  <si>
    <t>Bastar (Area 4)</t>
  </si>
  <si>
    <t>Bastar (Area 5)</t>
  </si>
  <si>
    <t>Bastar (Area 6)</t>
  </si>
  <si>
    <t>Bemetara</t>
  </si>
  <si>
    <t>Bemetara (Area 1)</t>
  </si>
  <si>
    <t>Bemetara (Area 2)</t>
  </si>
  <si>
    <t>Bemetara (Area 3)</t>
  </si>
  <si>
    <t>Bemetara (Area 4)</t>
  </si>
  <si>
    <t>Bemetara (Area 5)</t>
  </si>
  <si>
    <t>Bemetara (Area 6)</t>
  </si>
  <si>
    <t>Bijapur</t>
  </si>
  <si>
    <t>Bijapur (Area 1)</t>
  </si>
  <si>
    <t>Bijapur (Area 2)</t>
  </si>
  <si>
    <t>Bijapur (Area 3)</t>
  </si>
  <si>
    <t>Bijapur (Area 4)</t>
  </si>
  <si>
    <t>Bijapur (Area 5)</t>
  </si>
  <si>
    <t>Bijapur (Area 6)</t>
  </si>
  <si>
    <t>Bilaspur</t>
  </si>
  <si>
    <t>Bilaspur (Area 1)</t>
  </si>
  <si>
    <t>Bilaspur (Area 2)</t>
  </si>
  <si>
    <t>Bilaspur (Area 3)</t>
  </si>
  <si>
    <t>Bilaspur (Area 4)</t>
  </si>
  <si>
    <t>Bilaspur (Area 5)</t>
  </si>
  <si>
    <t>Bilaspur (Area 6)</t>
  </si>
  <si>
    <t>Dantewada (South Bastar)</t>
  </si>
  <si>
    <t>Dantewada (South Bastar) (Area 1)</t>
  </si>
  <si>
    <t>Dantewada (South Bastar) (Area 2)</t>
  </si>
  <si>
    <t>Dantewada (South Bastar) (Area 3)</t>
  </si>
  <si>
    <t>Dantewada (South Bastar) (Area 4)</t>
  </si>
  <si>
    <t>Dantewada (South Bastar) (Area 5)</t>
  </si>
  <si>
    <t>Dantewada (South Bastar) (Area 6)</t>
  </si>
  <si>
    <t>Dhamtari</t>
  </si>
  <si>
    <t>Dhamtari (Area 1)</t>
  </si>
  <si>
    <t>Dhamtari (Area 2)</t>
  </si>
  <si>
    <t>Dhamtari (Area 3)</t>
  </si>
  <si>
    <t>Dhamtari (Area 4)</t>
  </si>
  <si>
    <t>Dhamtari (Area 5)</t>
  </si>
  <si>
    <t>Dhamtari (Area 6)</t>
  </si>
  <si>
    <t>Durg</t>
  </si>
  <si>
    <t>Durg (Area 1)</t>
  </si>
  <si>
    <t>Durg (Area 2)</t>
  </si>
  <si>
    <t>Durg (Area 3)</t>
  </si>
  <si>
    <t>Durg (Area 4)</t>
  </si>
  <si>
    <t>Durg (Area 5)</t>
  </si>
  <si>
    <t>Durg (Area 6)</t>
  </si>
  <si>
    <t>Gariyaband</t>
  </si>
  <si>
    <t>Gariyaband (Area 1)</t>
  </si>
  <si>
    <t>Gariyaband (Area 2)</t>
  </si>
  <si>
    <t>Gariyaband (Area 3)</t>
  </si>
  <si>
    <t>Gariyaband (Area 4)</t>
  </si>
  <si>
    <t>Gariyaband (Area 5)</t>
  </si>
  <si>
    <t>Gariyaband (Area 6)</t>
  </si>
  <si>
    <t>Janjgir-Champa</t>
  </si>
  <si>
    <t>Janjgir-Champa (Area 1)</t>
  </si>
  <si>
    <t>Janjgir-Champa (Area 2)</t>
  </si>
  <si>
    <t>Janjgir-Champa (Area 3)</t>
  </si>
  <si>
    <t>Janjgir-Champa (Area 4)</t>
  </si>
  <si>
    <t>Janjgir-Champa (Area 5)</t>
  </si>
  <si>
    <t>Janjgir-Champa (Area 6)</t>
  </si>
  <si>
    <t>Jashpur</t>
  </si>
  <si>
    <t>Jashpur (Area 1)</t>
  </si>
  <si>
    <t>Jashpur (Area 2)</t>
  </si>
  <si>
    <t>Jashpur (Area 3)</t>
  </si>
  <si>
    <t>Jashpur (Area 4)</t>
  </si>
  <si>
    <t>Jashpur (Area 5)</t>
  </si>
  <si>
    <t>Jashpur (Area 6)</t>
  </si>
  <si>
    <t>Kabirdham (Kawardha)</t>
  </si>
  <si>
    <t>Kabirdham (Kawardha) (Area 1)</t>
  </si>
  <si>
    <t>Kabirdham (Kawardha) (Area 2)</t>
  </si>
  <si>
    <t>Kabirdham (Kawardha) (Area 3)</t>
  </si>
  <si>
    <t>Kabirdham (Kawardha) (Area 4)</t>
  </si>
  <si>
    <t>Kabirdham (Kawardha) (Area 5)</t>
  </si>
  <si>
    <t>Kabirdham (Kawardha) (Area 6)</t>
  </si>
  <si>
    <t>Kanker (North Bastar)</t>
  </si>
  <si>
    <t>Kanker (North Bastar) (Area 1)</t>
  </si>
  <si>
    <t>Kanker (North Bastar) (Area 2)</t>
  </si>
  <si>
    <t>Kanker (North Bastar) (Area 3)</t>
  </si>
  <si>
    <t>Kanker (North Bastar) (Area 4)</t>
  </si>
  <si>
    <t>Kanker (North Bastar) (Area 5)</t>
  </si>
  <si>
    <t>Kanker (North Bastar) (Area 6)</t>
  </si>
  <si>
    <t>Kondagaon</t>
  </si>
  <si>
    <t>Kondagaon (Area 1)</t>
  </si>
  <si>
    <t>Kondagaon (Area 2)</t>
  </si>
  <si>
    <t>Kondagaon (Area 3)</t>
  </si>
  <si>
    <t>Kondagaon (Area 4)</t>
  </si>
  <si>
    <t>Kondagaon (Area 5)</t>
  </si>
  <si>
    <t>Kondagaon (Area 6)</t>
  </si>
  <si>
    <t>Korba</t>
  </si>
  <si>
    <t>Korba (Area 1)</t>
  </si>
  <si>
    <t>Korba (Area 2)</t>
  </si>
  <si>
    <t>Korba (Area 3)</t>
  </si>
  <si>
    <t>Korba (Area 4)</t>
  </si>
  <si>
    <t>Korba (Area 5)</t>
  </si>
  <si>
    <t>Korba (Area 6)</t>
  </si>
  <si>
    <t>Korea (Koriya)</t>
  </si>
  <si>
    <t>Korea (Koriya) (Area 1)</t>
  </si>
  <si>
    <t>Korea (Koriya) (Area 2)</t>
  </si>
  <si>
    <t>Korea (Koriya) (Area 3)</t>
  </si>
  <si>
    <t>Korea (Koriya) (Area 4)</t>
  </si>
  <si>
    <t>Korea (Koriya) (Area 5)</t>
  </si>
  <si>
    <t>Korea (Koriya) (Area 6)</t>
  </si>
  <si>
    <t>Mahasamund</t>
  </si>
  <si>
    <t>Mahasamund (Area 1)</t>
  </si>
  <si>
    <t>Mahasamund (Area 2)</t>
  </si>
  <si>
    <t>Mahasamund (Area 3)</t>
  </si>
  <si>
    <t>Mahasamund (Area 4)</t>
  </si>
  <si>
    <t>Mahasamund (Area 5)</t>
  </si>
  <si>
    <t>Mahasamund (Area 6)</t>
  </si>
  <si>
    <t>Mungeli</t>
  </si>
  <si>
    <t>Mungeli (Area 1)</t>
  </si>
  <si>
    <t>Mungeli (Area 2)</t>
  </si>
  <si>
    <t>Mungeli (Area 3)</t>
  </si>
  <si>
    <t>Mungeli (Area 4)</t>
  </si>
  <si>
    <t>Mungeli (Area 5)</t>
  </si>
  <si>
    <t>Mungeli (Area 6)</t>
  </si>
  <si>
    <t>Narayanpur</t>
  </si>
  <si>
    <t>Narayanpur (Area 1)</t>
  </si>
  <si>
    <t>Narayanpur (Area 2)</t>
  </si>
  <si>
    <t>Narayanpur (Area 3)</t>
  </si>
  <si>
    <t>Narayanpur (Area 4)</t>
  </si>
  <si>
    <t>Narayanpur (Area 5)</t>
  </si>
  <si>
    <t>Narayanpur (Area 6)</t>
  </si>
  <si>
    <t>Raigarh</t>
  </si>
  <si>
    <t>Raigarh (Area 1)</t>
  </si>
  <si>
    <t>Raigarh (Area 2)</t>
  </si>
  <si>
    <t>Raigarh (Area 3)</t>
  </si>
  <si>
    <t>Raigarh (Area 4)</t>
  </si>
  <si>
    <t>Raigarh (Area 5)</t>
  </si>
  <si>
    <t>Raigarh (Area 6)</t>
  </si>
  <si>
    <t>Raipur</t>
  </si>
  <si>
    <t>Raipur (Area 1)</t>
  </si>
  <si>
    <t>Raipur (Area 2)</t>
  </si>
  <si>
    <t>Raipur (Area 3)</t>
  </si>
  <si>
    <t>Raipur (Area 4)</t>
  </si>
  <si>
    <t>Raipur (Area 5)</t>
  </si>
  <si>
    <t>Raipur (Area 6)</t>
  </si>
  <si>
    <t>Rajnandgaon</t>
  </si>
  <si>
    <t>Rajnandgaon (Area 1)</t>
  </si>
  <si>
    <t>Rajnandgaon (Area 2)</t>
  </si>
  <si>
    <t>Rajnandgaon (Area 3)</t>
  </si>
  <si>
    <t>Rajnandgaon (Area 4)</t>
  </si>
  <si>
    <t>Rajnandgaon (Area 5)</t>
  </si>
  <si>
    <t>Rajnandgaon (Area 6)</t>
  </si>
  <si>
    <t>Sukma</t>
  </si>
  <si>
    <t>Sukma (Area 1)</t>
  </si>
  <si>
    <t>Sukma (Area 2)</t>
  </si>
  <si>
    <t>Sukma (Area 3)</t>
  </si>
  <si>
    <t>Sukma (Area 4)</t>
  </si>
  <si>
    <t>Sukma (Area 5)</t>
  </si>
  <si>
    <t>Sukma (Area 6)</t>
  </si>
  <si>
    <t xml:space="preserve">Surajpur  </t>
  </si>
  <si>
    <t>Surajpur   (Area 1)</t>
  </si>
  <si>
    <t>Surajpur   (Area 2)</t>
  </si>
  <si>
    <t>Surajpur   (Area 3)</t>
  </si>
  <si>
    <t>Surajpur   (Area 4)</t>
  </si>
  <si>
    <t>Surajpur   (Area 5)</t>
  </si>
  <si>
    <t>Surajpur   (Area 6)</t>
  </si>
  <si>
    <t>Surguja</t>
  </si>
  <si>
    <t>Surguja (Area 1)</t>
  </si>
  <si>
    <t>Surguja (Area 2)</t>
  </si>
  <si>
    <t>Surguja (Area 3)</t>
  </si>
  <si>
    <t>Surguja (Area 4)</t>
  </si>
  <si>
    <t>Surguja (Area 5)</t>
  </si>
  <si>
    <t>Surguja (Area 6)</t>
  </si>
  <si>
    <t>Dadra and Nagar Haveli (UT)</t>
  </si>
  <si>
    <t>Dadra &amp; Nagar Haveli</t>
  </si>
  <si>
    <t>Dadra &amp; Nagar Haveli (Area 1)</t>
  </si>
  <si>
    <t>Dadra &amp; Nagar Haveli (Area 2)</t>
  </si>
  <si>
    <t>Dadra &amp; Nagar Haveli (Area 3)</t>
  </si>
  <si>
    <t>Dadra &amp; Nagar Haveli (Area 4)</t>
  </si>
  <si>
    <t>Dadra &amp; Nagar Haveli (Area 5)</t>
  </si>
  <si>
    <t>Dadra &amp; Nagar Haveli (Area 6)</t>
  </si>
  <si>
    <t>Daman and Diu (UT)</t>
  </si>
  <si>
    <t>Daman</t>
  </si>
  <si>
    <t>Daman (Area 1)</t>
  </si>
  <si>
    <t>Daman (Area 2)</t>
  </si>
  <si>
    <t>Daman (Area 3)</t>
  </si>
  <si>
    <t>Daman (Area 4)</t>
  </si>
  <si>
    <t>Daman (Area 5)</t>
  </si>
  <si>
    <t>Daman (Area 6)</t>
  </si>
  <si>
    <t>Diu</t>
  </si>
  <si>
    <t>Diu (Area 1)</t>
  </si>
  <si>
    <t>Diu (Area 2)</t>
  </si>
  <si>
    <t>Diu (Area 3)</t>
  </si>
  <si>
    <t>Diu (Area 4)</t>
  </si>
  <si>
    <t>Diu (Area 5)</t>
  </si>
  <si>
    <t>Diu (Area 6)</t>
  </si>
  <si>
    <t>Delhi (NCT)</t>
  </si>
  <si>
    <t>Central Delhi</t>
  </si>
  <si>
    <t>Central Delhi (Area 1)</t>
  </si>
  <si>
    <t>Central Delhi (Area 2)</t>
  </si>
  <si>
    <t>Central Delhi (Area 3)</t>
  </si>
  <si>
    <t>Central Delhi (Area 4)</t>
  </si>
  <si>
    <t>Central Delhi (Area 5)</t>
  </si>
  <si>
    <t>Central Delhi (Area 6)</t>
  </si>
  <si>
    <t>East Delhi</t>
  </si>
  <si>
    <t>East Delhi (Area 1)</t>
  </si>
  <si>
    <t>East Delhi (Area 2)</t>
  </si>
  <si>
    <t>East Delhi (Area 3)</t>
  </si>
  <si>
    <t>East Delhi (Area 4)</t>
  </si>
  <si>
    <t>East Delhi (Area 5)</t>
  </si>
  <si>
    <t>East Delhi (Area 6)</t>
  </si>
  <si>
    <t>New Delhi</t>
  </si>
  <si>
    <t>New Delhi (Area 1)</t>
  </si>
  <si>
    <t>New Delhi (Area 2)</t>
  </si>
  <si>
    <t>New Delhi (Area 3)</t>
  </si>
  <si>
    <t>New Delhi (Area 4)</t>
  </si>
  <si>
    <t>New Delhi (Area 5)</t>
  </si>
  <si>
    <t>New Delhi (Area 6)</t>
  </si>
  <si>
    <t>North Delhi</t>
  </si>
  <si>
    <t>North Delhi (Area 1)</t>
  </si>
  <si>
    <t>North Delhi (Area 2)</t>
  </si>
  <si>
    <t>North Delhi (Area 3)</t>
  </si>
  <si>
    <t>North Delhi (Area 4)</t>
  </si>
  <si>
    <t>North Delhi (Area 5)</t>
  </si>
  <si>
    <t>North Delhi (Area 6)</t>
  </si>
  <si>
    <t>North East  Delhi</t>
  </si>
  <si>
    <t>North East  Delhi (Area 1)</t>
  </si>
  <si>
    <t>North East  Delhi (Area 2)</t>
  </si>
  <si>
    <t>North East  Delhi (Area 3)</t>
  </si>
  <si>
    <t>North East  Delhi (Area 4)</t>
  </si>
  <si>
    <t>North East  Delhi (Area 5)</t>
  </si>
  <si>
    <t>North East  Delhi (Area 6)</t>
  </si>
  <si>
    <t>North West  Delhi</t>
  </si>
  <si>
    <t>North West  Delhi (Area 1)</t>
  </si>
  <si>
    <t>North West  Delhi (Area 2)</t>
  </si>
  <si>
    <t>North West  Delhi (Area 3)</t>
  </si>
  <si>
    <t>North West  Delhi (Area 4)</t>
  </si>
  <si>
    <t>North West  Delhi (Area 5)</t>
  </si>
  <si>
    <t>North West  Delhi (Area 6)</t>
  </si>
  <si>
    <t>Shahdara</t>
  </si>
  <si>
    <t>Shahdara (Area 1)</t>
  </si>
  <si>
    <t>Shahdara (Area 2)</t>
  </si>
  <si>
    <t>Shahdara (Area 3)</t>
  </si>
  <si>
    <t>Shahdara (Area 4)</t>
  </si>
  <si>
    <t>Shahdara (Area 5)</t>
  </si>
  <si>
    <t>Shahdara (Area 6)</t>
  </si>
  <si>
    <t>South Delhi</t>
  </si>
  <si>
    <t>South Delhi (Area 1)</t>
  </si>
  <si>
    <t>South Delhi (Area 2)</t>
  </si>
  <si>
    <t>South Delhi (Area 3)</t>
  </si>
  <si>
    <t>South Delhi (Area 4)</t>
  </si>
  <si>
    <t>South Delhi (Area 5)</t>
  </si>
  <si>
    <t>South Delhi (Area 6)</t>
  </si>
  <si>
    <t>South East Delhi</t>
  </si>
  <si>
    <t>South East Delhi (Area 1)</t>
  </si>
  <si>
    <t>South East Delhi (Area 2)</t>
  </si>
  <si>
    <t>South East Delhi (Area 3)</t>
  </si>
  <si>
    <t>South East Delhi (Area 4)</t>
  </si>
  <si>
    <t>South East Delhi (Area 5)</t>
  </si>
  <si>
    <t>South East Delhi (Area 6)</t>
  </si>
  <si>
    <t>South West  Delhi</t>
  </si>
  <si>
    <t>South West  Delhi (Area 1)</t>
  </si>
  <si>
    <t>South West  Delhi (Area 2)</t>
  </si>
  <si>
    <t>South West  Delhi (Area 3)</t>
  </si>
  <si>
    <t>South West  Delhi (Area 4)</t>
  </si>
  <si>
    <t>South West  Delhi (Area 5)</t>
  </si>
  <si>
    <t>South West  Delhi (Area 6)</t>
  </si>
  <si>
    <t>West Delhi</t>
  </si>
  <si>
    <t>West Delhi (Area 1)</t>
  </si>
  <si>
    <t>West Delhi (Area 2)</t>
  </si>
  <si>
    <t>West Delhi (Area 3)</t>
  </si>
  <si>
    <t>West Delhi (Area 4)</t>
  </si>
  <si>
    <t>West Delhi (Area 5)</t>
  </si>
  <si>
    <t>West Delhi (Area 6)</t>
  </si>
  <si>
    <t>Goa</t>
  </si>
  <si>
    <t>North Goa</t>
  </si>
  <si>
    <t>North Goa (Area 1)</t>
  </si>
  <si>
    <t>North Goa (Area 2)</t>
  </si>
  <si>
    <t>North Goa (Area 3)</t>
  </si>
  <si>
    <t>North Goa (Area 4)</t>
  </si>
  <si>
    <t>North Goa (Area 5)</t>
  </si>
  <si>
    <t>North Goa (Area 6)</t>
  </si>
  <si>
    <t>South Goa</t>
  </si>
  <si>
    <t>South Goa (Area 1)</t>
  </si>
  <si>
    <t>South Goa (Area 2)</t>
  </si>
  <si>
    <t>South Goa (Area 3)</t>
  </si>
  <si>
    <t>South Goa (Area 4)</t>
  </si>
  <si>
    <t>South Goa (Area 5)</t>
  </si>
  <si>
    <t>South Goa (Area 6)</t>
  </si>
  <si>
    <t>Gujarat</t>
  </si>
  <si>
    <t>Ahmedabad</t>
  </si>
  <si>
    <t>Ahmedabad (Area 1)</t>
  </si>
  <si>
    <t>Ahmedabad (Area 2)</t>
  </si>
  <si>
    <t>Ahmedabad (Area 3)</t>
  </si>
  <si>
    <t>Ahmedabad (Area 4)</t>
  </si>
  <si>
    <t>Ahmedabad (Area 5)</t>
  </si>
  <si>
    <t>Ahmedabad (Area 6)</t>
  </si>
  <si>
    <t>Amreli</t>
  </si>
  <si>
    <t>Amreli (Area 1)</t>
  </si>
  <si>
    <t>Amreli (Area 2)</t>
  </si>
  <si>
    <t>Amreli (Area 3)</t>
  </si>
  <si>
    <t>Amreli (Area 4)</t>
  </si>
  <si>
    <t>Amreli (Area 5)</t>
  </si>
  <si>
    <t>Amreli (Area 6)</t>
  </si>
  <si>
    <t>Anand</t>
  </si>
  <si>
    <t>Anand (Area 1)</t>
  </si>
  <si>
    <t>Anand (Area 2)</t>
  </si>
  <si>
    <t>Anand (Area 3)</t>
  </si>
  <si>
    <t>Anand (Area 4)</t>
  </si>
  <si>
    <t>Anand (Area 5)</t>
  </si>
  <si>
    <t>Anand (Area 6)</t>
  </si>
  <si>
    <t>Aravalli</t>
  </si>
  <si>
    <t>Aravalli (Area 1)</t>
  </si>
  <si>
    <t>Aravalli (Area 2)</t>
  </si>
  <si>
    <t>Aravalli (Area 3)</t>
  </si>
  <si>
    <t>Aravalli (Area 4)</t>
  </si>
  <si>
    <t>Aravalli (Area 5)</t>
  </si>
  <si>
    <t>Aravalli (Area 6)</t>
  </si>
  <si>
    <t>Banaskantha (Palanpur)</t>
  </si>
  <si>
    <t>Banaskantha (Palanpur) (Area 1)</t>
  </si>
  <si>
    <t>Banaskantha (Palanpur) (Area 2)</t>
  </si>
  <si>
    <t>Banaskantha (Palanpur) (Area 3)</t>
  </si>
  <si>
    <t>Banaskantha (Palanpur) (Area 4)</t>
  </si>
  <si>
    <t>Banaskantha (Palanpur) (Area 5)</t>
  </si>
  <si>
    <t>Banaskantha (Palanpur) (Area 6)</t>
  </si>
  <si>
    <t>Bharuch</t>
  </si>
  <si>
    <t>Bharuch (Area 1)</t>
  </si>
  <si>
    <t>Bharuch (Area 2)</t>
  </si>
  <si>
    <t>Bharuch (Area 3)</t>
  </si>
  <si>
    <t>Bharuch (Area 4)</t>
  </si>
  <si>
    <t>Bharuch (Area 5)</t>
  </si>
  <si>
    <t>Bharuch (Area 6)</t>
  </si>
  <si>
    <t>Bhavnagar</t>
  </si>
  <si>
    <t>Bhavnagar (Area 1)</t>
  </si>
  <si>
    <t>Bhavnagar (Area 2)</t>
  </si>
  <si>
    <t>Bhavnagar (Area 3)</t>
  </si>
  <si>
    <t>Bhavnagar (Area 4)</t>
  </si>
  <si>
    <t>Bhavnagar (Area 5)</t>
  </si>
  <si>
    <t>Bhavnagar (Area 6)</t>
  </si>
  <si>
    <t>Botad</t>
  </si>
  <si>
    <t>Botad (Area 1)</t>
  </si>
  <si>
    <t>Botad (Area 2)</t>
  </si>
  <si>
    <t>Botad (Area 3)</t>
  </si>
  <si>
    <t>Botad (Area 4)</t>
  </si>
  <si>
    <t>Botad (Area 5)</t>
  </si>
  <si>
    <t>Botad (Area 6)</t>
  </si>
  <si>
    <t>Chhota Udepur</t>
  </si>
  <si>
    <t>Chhota Udepur (Area 1)</t>
  </si>
  <si>
    <t>Chhota Udepur (Area 2)</t>
  </si>
  <si>
    <t>Chhota Udepur (Area 3)</t>
  </si>
  <si>
    <t>Chhota Udepur (Area 4)</t>
  </si>
  <si>
    <t>Chhota Udepur (Area 5)</t>
  </si>
  <si>
    <t>Chhota Udepur (Area 6)</t>
  </si>
  <si>
    <t>Dahod</t>
  </si>
  <si>
    <t>Dahod (Area 1)</t>
  </si>
  <si>
    <t>Dahod (Area 2)</t>
  </si>
  <si>
    <t>Dahod (Area 3)</t>
  </si>
  <si>
    <t>Dahod (Area 4)</t>
  </si>
  <si>
    <t>Dahod (Area 5)</t>
  </si>
  <si>
    <t>Dahod (Area 6)</t>
  </si>
  <si>
    <t>Dangs (Ahwa)</t>
  </si>
  <si>
    <t>Dangs (Ahwa) (Area 1)</t>
  </si>
  <si>
    <t>Dangs (Ahwa) (Area 2)</t>
  </si>
  <si>
    <t>Dangs (Ahwa) (Area 3)</t>
  </si>
  <si>
    <t>Dangs (Ahwa) (Area 4)</t>
  </si>
  <si>
    <t>Dangs (Ahwa) (Area 5)</t>
  </si>
  <si>
    <t>Dangs (Ahwa) (Area 6)</t>
  </si>
  <si>
    <t>Devbhoomi Dwarka</t>
  </si>
  <si>
    <t>Devbhoomi Dwarka (Area 1)</t>
  </si>
  <si>
    <t>Devbhoomi Dwarka (Area 2)</t>
  </si>
  <si>
    <t>Devbhoomi Dwarka (Area 3)</t>
  </si>
  <si>
    <t>Devbhoomi Dwarka (Area 4)</t>
  </si>
  <si>
    <t>Devbhoomi Dwarka (Area 5)</t>
  </si>
  <si>
    <t>Devbhoomi Dwarka (Area 6)</t>
  </si>
  <si>
    <t>Gandhinagar</t>
  </si>
  <si>
    <t>Gandhinagar (Area 1)</t>
  </si>
  <si>
    <t>Gandhinagar (Area 2)</t>
  </si>
  <si>
    <t>Gandhinagar (Area 3)</t>
  </si>
  <si>
    <t>Gandhinagar (Area 4)</t>
  </si>
  <si>
    <t>Gandhinagar (Area 5)</t>
  </si>
  <si>
    <t>Gandhinagar (Area 6)</t>
  </si>
  <si>
    <t>Gir Somnath</t>
  </si>
  <si>
    <t>Gir Somnath (Area 1)</t>
  </si>
  <si>
    <t>Gir Somnath (Area 2)</t>
  </si>
  <si>
    <t>Gir Somnath (Area 3)</t>
  </si>
  <si>
    <t>Gir Somnath (Area 4)</t>
  </si>
  <si>
    <t>Gir Somnath (Area 5)</t>
  </si>
  <si>
    <t>Gir Somnath (Area 6)</t>
  </si>
  <si>
    <t>Jamnagar</t>
  </si>
  <si>
    <t>Jamnagar (Area 1)</t>
  </si>
  <si>
    <t>Jamnagar (Area 2)</t>
  </si>
  <si>
    <t>Jamnagar (Area 3)</t>
  </si>
  <si>
    <t>Jamnagar (Area 4)</t>
  </si>
  <si>
    <t>Jamnagar (Area 5)</t>
  </si>
  <si>
    <t>Jamnagar (Area 6)</t>
  </si>
  <si>
    <t>Junagadh</t>
  </si>
  <si>
    <t>Junagadh (Area 1)</t>
  </si>
  <si>
    <t>Junagadh (Area 2)</t>
  </si>
  <si>
    <t>Junagadh (Area 3)</t>
  </si>
  <si>
    <t>Junagadh (Area 4)</t>
  </si>
  <si>
    <t>Junagadh (Area 5)</t>
  </si>
  <si>
    <t>Junagadh (Area 6)</t>
  </si>
  <si>
    <t>Kachchh</t>
  </si>
  <si>
    <t>Kachchh (Area 1)</t>
  </si>
  <si>
    <t>Kachchh (Area 2)</t>
  </si>
  <si>
    <t>Kachchh (Area 3)</t>
  </si>
  <si>
    <t>Kachchh (Area 4)</t>
  </si>
  <si>
    <t>Kachchh (Area 5)</t>
  </si>
  <si>
    <t>Kachchh (Area 6)</t>
  </si>
  <si>
    <t>Kheda (Nadiad)</t>
  </si>
  <si>
    <t>Kheda (Nadiad) (Area 1)</t>
  </si>
  <si>
    <t>Kheda (Nadiad) (Area 2)</t>
  </si>
  <si>
    <t>Kheda (Nadiad) (Area 3)</t>
  </si>
  <si>
    <t>Kheda (Nadiad) (Area 4)</t>
  </si>
  <si>
    <t>Kheda (Nadiad) (Area 5)</t>
  </si>
  <si>
    <t>Kheda (Nadiad) (Area 6)</t>
  </si>
  <si>
    <t>Mahisagar</t>
  </si>
  <si>
    <t>Mahisagar (Area 1)</t>
  </si>
  <si>
    <t>Mahisagar (Area 2)</t>
  </si>
  <si>
    <t>Mahisagar (Area 3)</t>
  </si>
  <si>
    <t>Mahisagar (Area 4)</t>
  </si>
  <si>
    <t>Mahisagar (Area 5)</t>
  </si>
  <si>
    <t>Mahisagar (Area 6)</t>
  </si>
  <si>
    <t>Mehsana</t>
  </si>
  <si>
    <t>Mehsana (Area 1)</t>
  </si>
  <si>
    <t>Mehsana (Area 2)</t>
  </si>
  <si>
    <t>Mehsana (Area 3)</t>
  </si>
  <si>
    <t>Mehsana (Area 4)</t>
  </si>
  <si>
    <t>Mehsana (Area 5)</t>
  </si>
  <si>
    <t>Mehsana (Area 6)</t>
  </si>
  <si>
    <t>Morbi</t>
  </si>
  <si>
    <t>Morbi (Area 1)</t>
  </si>
  <si>
    <t>Morbi (Area 2)</t>
  </si>
  <si>
    <t>Morbi (Area 3)</t>
  </si>
  <si>
    <t>Morbi (Area 4)</t>
  </si>
  <si>
    <t>Morbi (Area 5)</t>
  </si>
  <si>
    <t>Morbi (Area 6)</t>
  </si>
  <si>
    <t>Narmada (Rajpipla)</t>
  </si>
  <si>
    <t>Narmada (Rajpipla) (Area 1)</t>
  </si>
  <si>
    <t>Narmada (Rajpipla) (Area 2)</t>
  </si>
  <si>
    <t>Narmada (Rajpipla) (Area 3)</t>
  </si>
  <si>
    <t>Narmada (Rajpipla) (Area 4)</t>
  </si>
  <si>
    <t>Narmada (Rajpipla) (Area 5)</t>
  </si>
  <si>
    <t>Narmada (Rajpipla) (Area 6)</t>
  </si>
  <si>
    <t>Navsari</t>
  </si>
  <si>
    <t>Navsari (Area 1)</t>
  </si>
  <si>
    <t>Navsari (Area 2)</t>
  </si>
  <si>
    <t>Navsari (Area 3)</t>
  </si>
  <si>
    <t>Navsari (Area 4)</t>
  </si>
  <si>
    <t>Navsari (Area 5)</t>
  </si>
  <si>
    <t>Navsari (Area 6)</t>
  </si>
  <si>
    <t>Panchmahal (Godhra)</t>
  </si>
  <si>
    <t>Panchmahal (Godhra) (Area 1)</t>
  </si>
  <si>
    <t>Panchmahal (Godhra) (Area 2)</t>
  </si>
  <si>
    <t>Panchmahal (Godhra) (Area 3)</t>
  </si>
  <si>
    <t>Panchmahal (Godhra) (Area 4)</t>
  </si>
  <si>
    <t>Panchmahal (Godhra) (Area 5)</t>
  </si>
  <si>
    <t>Panchmahal (Godhra) (Area 6)</t>
  </si>
  <si>
    <t>Patan</t>
  </si>
  <si>
    <t>Patan (Area 1)</t>
  </si>
  <si>
    <t>Patan (Area 2)</t>
  </si>
  <si>
    <t>Patan (Area 3)</t>
  </si>
  <si>
    <t>Patan (Area 4)</t>
  </si>
  <si>
    <t>Patan (Area 5)</t>
  </si>
  <si>
    <t>Patan (Area 6)</t>
  </si>
  <si>
    <t>Porbandar</t>
  </si>
  <si>
    <t>Porbandar (Area 1)</t>
  </si>
  <si>
    <t>Porbandar (Area 2)</t>
  </si>
  <si>
    <t>Porbandar (Area 3)</t>
  </si>
  <si>
    <t>Porbandar (Area 4)</t>
  </si>
  <si>
    <t>Porbandar (Area 5)</t>
  </si>
  <si>
    <t>Porbandar (Area 6)</t>
  </si>
  <si>
    <t>Rajkot</t>
  </si>
  <si>
    <t>Rajkot (Area 1)</t>
  </si>
  <si>
    <t>Rajkot (Area 2)</t>
  </si>
  <si>
    <t>Rajkot (Area 3)</t>
  </si>
  <si>
    <t>Rajkot (Area 4)</t>
  </si>
  <si>
    <t>Rajkot (Area 5)</t>
  </si>
  <si>
    <t>Rajkot (Area 6)</t>
  </si>
  <si>
    <t>Sabarkantha (Himmatnagar)</t>
  </si>
  <si>
    <t>Sabarkantha (Himmatnagar) (Area 1)</t>
  </si>
  <si>
    <t>Sabarkantha (Himmatnagar) (Area 2)</t>
  </si>
  <si>
    <t>Sabarkantha (Himmatnagar) (Area 3)</t>
  </si>
  <si>
    <t>Sabarkantha (Himmatnagar) (Area 4)</t>
  </si>
  <si>
    <t>Sabarkantha (Himmatnagar) (Area 5)</t>
  </si>
  <si>
    <t>Sabarkantha (Himmatnagar) (Area 6)</t>
  </si>
  <si>
    <t>Surat</t>
  </si>
  <si>
    <t>Surat (Area 1)</t>
  </si>
  <si>
    <t>Surat (Area 2)</t>
  </si>
  <si>
    <t>Surat (Area 3)</t>
  </si>
  <si>
    <t>Surat (Area 4)</t>
  </si>
  <si>
    <t>Surat (Area 5)</t>
  </si>
  <si>
    <t>Surat (Area 6)</t>
  </si>
  <si>
    <t>Surendranagar</t>
  </si>
  <si>
    <t>Surendranagar (Area 1)</t>
  </si>
  <si>
    <t>Surendranagar (Area 2)</t>
  </si>
  <si>
    <t>Surendranagar (Area 3)</t>
  </si>
  <si>
    <t>Surendranagar (Area 4)</t>
  </si>
  <si>
    <t>Surendranagar (Area 5)</t>
  </si>
  <si>
    <t>Surendranagar (Area 6)</t>
  </si>
  <si>
    <t>Tapi (Vyara)</t>
  </si>
  <si>
    <t>Tapi (Vyara) (Area 1)</t>
  </si>
  <si>
    <t>Tapi (Vyara) (Area 2)</t>
  </si>
  <si>
    <t>Tapi (Vyara) (Area 3)</t>
  </si>
  <si>
    <t>Tapi (Vyara) (Area 4)</t>
  </si>
  <si>
    <t>Tapi (Vyara) (Area 5)</t>
  </si>
  <si>
    <t>Tapi (Vyara) (Area 6)</t>
  </si>
  <si>
    <t>Vadodara</t>
  </si>
  <si>
    <t>Vadodara (Area 1)</t>
  </si>
  <si>
    <t>Vadodara (Area 2)</t>
  </si>
  <si>
    <t>Vadodara (Area 3)</t>
  </si>
  <si>
    <t>Vadodara (Area 4)</t>
  </si>
  <si>
    <t>Vadodara (Area 5)</t>
  </si>
  <si>
    <t>Vadodara (Area 6)</t>
  </si>
  <si>
    <t>Valsad</t>
  </si>
  <si>
    <t>Valsad (Area 1)</t>
  </si>
  <si>
    <t>Valsad (Area 2)</t>
  </si>
  <si>
    <t>Valsad (Area 3)</t>
  </si>
  <si>
    <t>Valsad (Area 4)</t>
  </si>
  <si>
    <t>Valsad (Area 5)</t>
  </si>
  <si>
    <t>Valsad (Area 6)</t>
  </si>
  <si>
    <t>Haryana</t>
  </si>
  <si>
    <t>Ambala</t>
  </si>
  <si>
    <t>Ambala (Area 1)</t>
  </si>
  <si>
    <t>Ambala (Area 2)</t>
  </si>
  <si>
    <t>Ambala (Area 3)</t>
  </si>
  <si>
    <t>Ambala (Area 4)</t>
  </si>
  <si>
    <t>Ambala (Area 5)</t>
  </si>
  <si>
    <t>Ambala (Area 6)</t>
  </si>
  <si>
    <t>Bhiwani</t>
  </si>
  <si>
    <t>Bhiwani (Area 1)</t>
  </si>
  <si>
    <t>Bhiwani (Area 2)</t>
  </si>
  <si>
    <t>Bhiwani (Area 3)</t>
  </si>
  <si>
    <t>Bhiwani (Area 4)</t>
  </si>
  <si>
    <t>Bhiwani (Area 5)</t>
  </si>
  <si>
    <t>Bhiwani (Area 6)</t>
  </si>
  <si>
    <t>Charkhi Dadri</t>
  </si>
  <si>
    <t>Charkhi Dadri (Area 1)</t>
  </si>
  <si>
    <t>Charkhi Dadri (Area 2)</t>
  </si>
  <si>
    <t>Charkhi Dadri (Area 3)</t>
  </si>
  <si>
    <t>Charkhi Dadri (Area 4)</t>
  </si>
  <si>
    <t>Charkhi Dadri (Area 5)</t>
  </si>
  <si>
    <t>Charkhi Dadri (Area 6)</t>
  </si>
  <si>
    <t>Faridabad</t>
  </si>
  <si>
    <t>Faridabad (Area 1)</t>
  </si>
  <si>
    <t>Faridabad (Area 2)</t>
  </si>
  <si>
    <t>Faridabad (Area 3)</t>
  </si>
  <si>
    <t>Faridabad (Area 4)</t>
  </si>
  <si>
    <t>Faridabad (Area 5)</t>
  </si>
  <si>
    <t>Faridabad (Area 6)</t>
  </si>
  <si>
    <t>Fatehabad</t>
  </si>
  <si>
    <t>Fatehabad (Area 1)</t>
  </si>
  <si>
    <t>Fatehabad (Area 2)</t>
  </si>
  <si>
    <t>Fatehabad (Area 3)</t>
  </si>
  <si>
    <t>Fatehabad (Area 4)</t>
  </si>
  <si>
    <t>Fatehabad (Area 5)</t>
  </si>
  <si>
    <t>Fatehabad (Area 6)</t>
  </si>
  <si>
    <t>Gurgaon</t>
  </si>
  <si>
    <t>Gurgaon (Area 1)</t>
  </si>
  <si>
    <t>Gurgaon (Area 2)</t>
  </si>
  <si>
    <t>Gurgaon (Area 3)</t>
  </si>
  <si>
    <t>Gurgaon (Area 4)</t>
  </si>
  <si>
    <t>Gurgaon (Area 5)</t>
  </si>
  <si>
    <t>Gurgaon (Area 6)</t>
  </si>
  <si>
    <t>Hisar</t>
  </si>
  <si>
    <t>Hisar (Area 1)</t>
  </si>
  <si>
    <t>Hisar (Area 2)</t>
  </si>
  <si>
    <t>Hisar (Area 3)</t>
  </si>
  <si>
    <t>Hisar (Area 4)</t>
  </si>
  <si>
    <t>Hisar (Area 5)</t>
  </si>
  <si>
    <t>Hisar (Area 6)</t>
  </si>
  <si>
    <t>Jhajjar</t>
  </si>
  <si>
    <t>Jhajjar (Area 1)</t>
  </si>
  <si>
    <t>Jhajjar (Area 2)</t>
  </si>
  <si>
    <t>Jhajjar (Area 3)</t>
  </si>
  <si>
    <t>Jhajjar (Area 4)</t>
  </si>
  <si>
    <t>Jhajjar (Area 5)</t>
  </si>
  <si>
    <t>Jhajjar (Area 6)</t>
  </si>
  <si>
    <t>Jind</t>
  </si>
  <si>
    <t>Jind (Area 1)</t>
  </si>
  <si>
    <t>Jind (Area 2)</t>
  </si>
  <si>
    <t>Jind (Area 3)</t>
  </si>
  <si>
    <t>Jind (Area 4)</t>
  </si>
  <si>
    <t>Jind (Area 5)</t>
  </si>
  <si>
    <t>Jind (Area 6)</t>
  </si>
  <si>
    <t>Kaithal</t>
  </si>
  <si>
    <t>Kaithal (Area 1)</t>
  </si>
  <si>
    <t>Kaithal (Area 2)</t>
  </si>
  <si>
    <t>Kaithal (Area 3)</t>
  </si>
  <si>
    <t>Kaithal (Area 4)</t>
  </si>
  <si>
    <t>Kaithal (Area 5)</t>
  </si>
  <si>
    <t>Kaithal (Area 6)</t>
  </si>
  <si>
    <t>Karnal</t>
  </si>
  <si>
    <t>Karnal (Area 1)</t>
  </si>
  <si>
    <t>Karnal (Area 2)</t>
  </si>
  <si>
    <t>Karnal (Area 3)</t>
  </si>
  <si>
    <t>Karnal (Area 4)</t>
  </si>
  <si>
    <t>Karnal (Area 5)</t>
  </si>
  <si>
    <t>Karnal (Area 6)</t>
  </si>
  <si>
    <t>Kurukshetra</t>
  </si>
  <si>
    <t>Kurukshetra (Area 1)</t>
  </si>
  <si>
    <t>Kurukshetra (Area 2)</t>
  </si>
  <si>
    <t>Kurukshetra (Area 3)</t>
  </si>
  <si>
    <t>Kurukshetra (Area 4)</t>
  </si>
  <si>
    <t>Kurukshetra (Area 5)</t>
  </si>
  <si>
    <t>Kurukshetra (Area 6)</t>
  </si>
  <si>
    <t>Mahendragarh</t>
  </si>
  <si>
    <t>Mahendragarh (Area 1)</t>
  </si>
  <si>
    <t>Mahendragarh (Area 2)</t>
  </si>
  <si>
    <t>Mahendragarh (Area 3)</t>
  </si>
  <si>
    <t>Mahendragarh (Area 4)</t>
  </si>
  <si>
    <t>Mahendragarh (Area 5)</t>
  </si>
  <si>
    <t>Mahendragarh (Area 6)</t>
  </si>
  <si>
    <t>Mewat</t>
  </si>
  <si>
    <t>Mewat (Area 1)</t>
  </si>
  <si>
    <t>Mewat (Area 2)</t>
  </si>
  <si>
    <t>Mewat (Area 3)</t>
  </si>
  <si>
    <t>Mewat (Area 4)</t>
  </si>
  <si>
    <t>Mewat (Area 5)</t>
  </si>
  <si>
    <t>Mewat (Area 6)</t>
  </si>
  <si>
    <t>Palwal</t>
  </si>
  <si>
    <t>Palwal (Area 1)</t>
  </si>
  <si>
    <t>Palwal (Area 2)</t>
  </si>
  <si>
    <t>Palwal (Area 3)</t>
  </si>
  <si>
    <t>Palwal (Area 4)</t>
  </si>
  <si>
    <t>Palwal (Area 5)</t>
  </si>
  <si>
    <t>Palwal (Area 6)</t>
  </si>
  <si>
    <t>Panchkula</t>
  </si>
  <si>
    <t>Panchkula (Area 1)</t>
  </si>
  <si>
    <t>Panchkula (Area 2)</t>
  </si>
  <si>
    <t>Panchkula (Area 3)</t>
  </si>
  <si>
    <t>Panchkula (Area 4)</t>
  </si>
  <si>
    <t>Panchkula (Area 5)</t>
  </si>
  <si>
    <t>Panchkula (Area 6)</t>
  </si>
  <si>
    <t>Panipat</t>
  </si>
  <si>
    <t>Panipat (Area 1)</t>
  </si>
  <si>
    <t>Panipat (Area 2)</t>
  </si>
  <si>
    <t>Panipat (Area 3)</t>
  </si>
  <si>
    <t>Panipat (Area 4)</t>
  </si>
  <si>
    <t>Panipat (Area 5)</t>
  </si>
  <si>
    <t>Panipat (Area 6)</t>
  </si>
  <si>
    <t>Rewari</t>
  </si>
  <si>
    <t>Rewari (Area 1)</t>
  </si>
  <si>
    <t>Rewari (Area 2)</t>
  </si>
  <si>
    <t>Rewari (Area 3)</t>
  </si>
  <si>
    <t>Rewari (Area 4)</t>
  </si>
  <si>
    <t>Rewari (Area 5)</t>
  </si>
  <si>
    <t>Rewari (Area 6)</t>
  </si>
  <si>
    <t>Rohtak</t>
  </si>
  <si>
    <t>Rohtak (Area 1)</t>
  </si>
  <si>
    <t>Rohtak (Area 2)</t>
  </si>
  <si>
    <t>Rohtak (Area 3)</t>
  </si>
  <si>
    <t>Rohtak (Area 4)</t>
  </si>
  <si>
    <t>Rohtak (Area 5)</t>
  </si>
  <si>
    <t>Rohtak (Area 6)</t>
  </si>
  <si>
    <t>Sirsa</t>
  </si>
  <si>
    <t>Sirsa (Area 1)</t>
  </si>
  <si>
    <t>Sirsa (Area 2)</t>
  </si>
  <si>
    <t>Sirsa (Area 3)</t>
  </si>
  <si>
    <t>Sirsa (Area 4)</t>
  </si>
  <si>
    <t>Sirsa (Area 5)</t>
  </si>
  <si>
    <t>Sirsa (Area 6)</t>
  </si>
  <si>
    <t>Sonipat</t>
  </si>
  <si>
    <t>Sonipat (Area 1)</t>
  </si>
  <si>
    <t>Sonipat (Area 2)</t>
  </si>
  <si>
    <t>Sonipat (Area 3)</t>
  </si>
  <si>
    <t>Sonipat (Area 4)</t>
  </si>
  <si>
    <t>Sonipat (Area 5)</t>
  </si>
  <si>
    <t>Sonipat (Area 6)</t>
  </si>
  <si>
    <t>Yamunanagar</t>
  </si>
  <si>
    <t>Yamunanagar (Area 1)</t>
  </si>
  <si>
    <t>Yamunanagar (Area 2)</t>
  </si>
  <si>
    <t>Yamunanagar (Area 3)</t>
  </si>
  <si>
    <t>Yamunanagar (Area 4)</t>
  </si>
  <si>
    <t>Yamunanagar (Area 5)</t>
  </si>
  <si>
    <t>Yamunanagar (Area 6)</t>
  </si>
  <si>
    <t>Himachal Pradesh</t>
  </si>
  <si>
    <t>Chamba</t>
  </si>
  <si>
    <t>Chamba (Area 1)</t>
  </si>
  <si>
    <t>Chamba (Area 2)</t>
  </si>
  <si>
    <t>Chamba (Area 3)</t>
  </si>
  <si>
    <t>Chamba (Area 4)</t>
  </si>
  <si>
    <t>Chamba (Area 5)</t>
  </si>
  <si>
    <t>Chamba (Area 6)</t>
  </si>
  <si>
    <t>Hamirpur</t>
  </si>
  <si>
    <t>Hamirpur (Area 1)</t>
  </si>
  <si>
    <t>Hamirpur (Area 2)</t>
  </si>
  <si>
    <t>Hamirpur (Area 3)</t>
  </si>
  <si>
    <t>Hamirpur (Area 4)</t>
  </si>
  <si>
    <t>Hamirpur (Area 5)</t>
  </si>
  <si>
    <t>Hamirpur (Area 6)</t>
  </si>
  <si>
    <t>Kangra</t>
  </si>
  <si>
    <t>Kangra (Area 1)</t>
  </si>
  <si>
    <t>Kangra (Area 2)</t>
  </si>
  <si>
    <t>Kangra (Area 3)</t>
  </si>
  <si>
    <t>Kangra (Area 4)</t>
  </si>
  <si>
    <t>Kangra (Area 5)</t>
  </si>
  <si>
    <t>Kangra (Area 6)</t>
  </si>
  <si>
    <t>Kinnaur</t>
  </si>
  <si>
    <t>Kinnaur (Area 1)</t>
  </si>
  <si>
    <t>Kinnaur (Area 2)</t>
  </si>
  <si>
    <t>Kinnaur (Area 3)</t>
  </si>
  <si>
    <t>Kinnaur (Area 4)</t>
  </si>
  <si>
    <t>Kinnaur (Area 5)</t>
  </si>
  <si>
    <t>Kinnaur (Area 6)</t>
  </si>
  <si>
    <t>Kullu</t>
  </si>
  <si>
    <t>Kullu (Area 1)</t>
  </si>
  <si>
    <t>Kullu (Area 2)</t>
  </si>
  <si>
    <t>Kullu (Area 3)</t>
  </si>
  <si>
    <t>Kullu (Area 4)</t>
  </si>
  <si>
    <t>Kullu (Area 5)</t>
  </si>
  <si>
    <t>Kullu (Area 6)</t>
  </si>
  <si>
    <t>Lahaul &amp;amp; Spiti</t>
  </si>
  <si>
    <t>Lahaul &amp;amp; Spiti (Area 1)</t>
  </si>
  <si>
    <t>Lahaul &amp;amp; Spiti (Area 2)</t>
  </si>
  <si>
    <t>Lahaul &amp;amp; Spiti (Area 3)</t>
  </si>
  <si>
    <t>Lahaul &amp;amp; Spiti (Area 4)</t>
  </si>
  <si>
    <t>Lahaul &amp;amp; Spiti (Area 5)</t>
  </si>
  <si>
    <t>Lahaul &amp;amp; Spiti (Area 6)</t>
  </si>
  <si>
    <t>Mandi</t>
  </si>
  <si>
    <t>Mandi (Area 1)</t>
  </si>
  <si>
    <t>Mandi (Area 2)</t>
  </si>
  <si>
    <t>Mandi (Area 3)</t>
  </si>
  <si>
    <t>Mandi (Area 4)</t>
  </si>
  <si>
    <t>Mandi (Area 5)</t>
  </si>
  <si>
    <t>Mandi (Area 6)</t>
  </si>
  <si>
    <t>Shimla</t>
  </si>
  <si>
    <t>Shimla (Area 1)</t>
  </si>
  <si>
    <t>Shimla (Area 2)</t>
  </si>
  <si>
    <t>Shimla (Area 3)</t>
  </si>
  <si>
    <t>Shimla (Area 4)</t>
  </si>
  <si>
    <t>Shimla (Area 5)</t>
  </si>
  <si>
    <t>Shimla (Area 6)</t>
  </si>
  <si>
    <t>Sirmaur (Sirmour)</t>
  </si>
  <si>
    <t>Sirmaur (Sirmour) (Area 1)</t>
  </si>
  <si>
    <t>Sirmaur (Sirmour) (Area 2)</t>
  </si>
  <si>
    <t>Sirmaur (Sirmour) (Area 3)</t>
  </si>
  <si>
    <t>Sirmaur (Sirmour) (Area 4)</t>
  </si>
  <si>
    <t>Sirmaur (Sirmour) (Area 5)</t>
  </si>
  <si>
    <t>Sirmaur (Sirmour) (Area 6)</t>
  </si>
  <si>
    <t>Solan</t>
  </si>
  <si>
    <t>Solan (Area 1)</t>
  </si>
  <si>
    <t>Solan (Area 2)</t>
  </si>
  <si>
    <t>Solan (Area 3)</t>
  </si>
  <si>
    <t>Solan (Area 4)</t>
  </si>
  <si>
    <t>Solan (Area 5)</t>
  </si>
  <si>
    <t>Solan (Area 6)</t>
  </si>
  <si>
    <t>Una</t>
  </si>
  <si>
    <t>Una (Area 1)</t>
  </si>
  <si>
    <t>Una (Area 2)</t>
  </si>
  <si>
    <t>Una (Area 3)</t>
  </si>
  <si>
    <t>Una (Area 4)</t>
  </si>
  <si>
    <t>Una (Area 5)</t>
  </si>
  <si>
    <t>Una (Area 6)</t>
  </si>
  <si>
    <t>Jammu and Kashmir</t>
  </si>
  <si>
    <t>Anantnag</t>
  </si>
  <si>
    <t>Anantnag (Area 1)</t>
  </si>
  <si>
    <t>Anantnag (Area 2)</t>
  </si>
  <si>
    <t>Anantnag (Area 3)</t>
  </si>
  <si>
    <t>Anantnag (Area 4)</t>
  </si>
  <si>
    <t>Anantnag (Area 5)</t>
  </si>
  <si>
    <t>Anantnag (Area 6)</t>
  </si>
  <si>
    <t>Bandipore</t>
  </si>
  <si>
    <t>Bandipore (Area 1)</t>
  </si>
  <si>
    <t>Bandipore (Area 2)</t>
  </si>
  <si>
    <t>Bandipore (Area 3)</t>
  </si>
  <si>
    <t>Bandipore (Area 4)</t>
  </si>
  <si>
    <t>Bandipore (Area 5)</t>
  </si>
  <si>
    <t>Bandipore (Area 6)</t>
  </si>
  <si>
    <t>Baramulla</t>
  </si>
  <si>
    <t>Baramulla (Area 1)</t>
  </si>
  <si>
    <t>Baramulla (Area 2)</t>
  </si>
  <si>
    <t>Baramulla (Area 3)</t>
  </si>
  <si>
    <t>Baramulla (Area 4)</t>
  </si>
  <si>
    <t>Baramulla (Area 5)</t>
  </si>
  <si>
    <t>Baramulla (Area 6)</t>
  </si>
  <si>
    <t>Budgam</t>
  </si>
  <si>
    <t>Budgam (Area 1)</t>
  </si>
  <si>
    <t>Budgam (Area 2)</t>
  </si>
  <si>
    <t>Budgam (Area 3)</t>
  </si>
  <si>
    <t>Budgam (Area 4)</t>
  </si>
  <si>
    <t>Budgam (Area 5)</t>
  </si>
  <si>
    <t>Budgam (Area 6)</t>
  </si>
  <si>
    <t>Doda</t>
  </si>
  <si>
    <t>Doda (Area 1)</t>
  </si>
  <si>
    <t>Doda (Area 2)</t>
  </si>
  <si>
    <t>Doda (Area 3)</t>
  </si>
  <si>
    <t>Doda (Area 4)</t>
  </si>
  <si>
    <t>Doda (Area 5)</t>
  </si>
  <si>
    <t>Doda (Area 6)</t>
  </si>
  <si>
    <t>Ganderbal</t>
  </si>
  <si>
    <t>Ganderbal (Area 1)</t>
  </si>
  <si>
    <t>Ganderbal (Area 2)</t>
  </si>
  <si>
    <t>Ganderbal (Area 3)</t>
  </si>
  <si>
    <t>Ganderbal (Area 4)</t>
  </si>
  <si>
    <t>Ganderbal (Area 5)</t>
  </si>
  <si>
    <t>Ganderbal (Area 6)</t>
  </si>
  <si>
    <t>Jammu</t>
  </si>
  <si>
    <t>Jammu (Area 1)</t>
  </si>
  <si>
    <t>Jammu (Area 2)</t>
  </si>
  <si>
    <t>Jammu (Area 3)</t>
  </si>
  <si>
    <t>Jammu (Area 4)</t>
  </si>
  <si>
    <t>Jammu (Area 5)</t>
  </si>
  <si>
    <t>Jammu (Area 6)</t>
  </si>
  <si>
    <t>Kargil</t>
  </si>
  <si>
    <t>Kargil (Area 1)</t>
  </si>
  <si>
    <t>Kargil (Area 2)</t>
  </si>
  <si>
    <t>Kargil (Area 3)</t>
  </si>
  <si>
    <t>Kargil (Area 4)</t>
  </si>
  <si>
    <t>Kargil (Area 5)</t>
  </si>
  <si>
    <t>Kargil (Area 6)</t>
  </si>
  <si>
    <t>Kathua</t>
  </si>
  <si>
    <t>Kathua (Area 1)</t>
  </si>
  <si>
    <t>Kathua (Area 2)</t>
  </si>
  <si>
    <t>Kathua (Area 3)</t>
  </si>
  <si>
    <t>Kathua (Area 4)</t>
  </si>
  <si>
    <t>Kathua (Area 5)</t>
  </si>
  <si>
    <t>Kathua (Area 6)</t>
  </si>
  <si>
    <t>Kishtwar</t>
  </si>
  <si>
    <t>Kishtwar (Area 1)</t>
  </si>
  <si>
    <t>Kishtwar (Area 2)</t>
  </si>
  <si>
    <t>Kishtwar (Area 3)</t>
  </si>
  <si>
    <t>Kishtwar (Area 4)</t>
  </si>
  <si>
    <t>Kishtwar (Area 5)</t>
  </si>
  <si>
    <t>Kishtwar (Area 6)</t>
  </si>
  <si>
    <t>Kulgam</t>
  </si>
  <si>
    <t>Kulgam (Area 1)</t>
  </si>
  <si>
    <t>Kulgam (Area 2)</t>
  </si>
  <si>
    <t>Kulgam (Area 3)</t>
  </si>
  <si>
    <t>Kulgam (Area 4)</t>
  </si>
  <si>
    <t>Kulgam (Area 5)</t>
  </si>
  <si>
    <t>Kulgam (Area 6)</t>
  </si>
  <si>
    <t>Kupwara</t>
  </si>
  <si>
    <t>Kupwara (Area 1)</t>
  </si>
  <si>
    <t>Kupwara (Area 2)</t>
  </si>
  <si>
    <t>Kupwara (Area 3)</t>
  </si>
  <si>
    <t>Kupwara (Area 4)</t>
  </si>
  <si>
    <t>Kupwara (Area 5)</t>
  </si>
  <si>
    <t>Kupwara (Area 6)</t>
  </si>
  <si>
    <t>Leh</t>
  </si>
  <si>
    <t>Leh (Area 1)</t>
  </si>
  <si>
    <t>Leh (Area 2)</t>
  </si>
  <si>
    <t>Leh (Area 3)</t>
  </si>
  <si>
    <t>Leh (Area 4)</t>
  </si>
  <si>
    <t>Leh (Area 5)</t>
  </si>
  <si>
    <t>Leh (Area 6)</t>
  </si>
  <si>
    <t>Poonch</t>
  </si>
  <si>
    <t>Poonch (Area 1)</t>
  </si>
  <si>
    <t>Poonch (Area 2)</t>
  </si>
  <si>
    <t>Poonch (Area 3)</t>
  </si>
  <si>
    <t>Poonch (Area 4)</t>
  </si>
  <si>
    <t>Poonch (Area 5)</t>
  </si>
  <si>
    <t>Poonch (Area 6)</t>
  </si>
  <si>
    <t>Pulwama</t>
  </si>
  <si>
    <t>Pulwama (Area 1)</t>
  </si>
  <si>
    <t>Pulwama (Area 2)</t>
  </si>
  <si>
    <t>Pulwama (Area 3)</t>
  </si>
  <si>
    <t>Pulwama (Area 4)</t>
  </si>
  <si>
    <t>Pulwama (Area 5)</t>
  </si>
  <si>
    <t>Pulwama (Area 6)</t>
  </si>
  <si>
    <t>Rajouri</t>
  </si>
  <si>
    <t>Rajouri (Area 1)</t>
  </si>
  <si>
    <t>Rajouri (Area 2)</t>
  </si>
  <si>
    <t>Rajouri (Area 3)</t>
  </si>
  <si>
    <t>Rajouri (Area 4)</t>
  </si>
  <si>
    <t>Rajouri (Area 5)</t>
  </si>
  <si>
    <t>Rajouri (Area 6)</t>
  </si>
  <si>
    <t>Ramban</t>
  </si>
  <si>
    <t>Ramban (Area 1)</t>
  </si>
  <si>
    <t>Ramban (Area 2)</t>
  </si>
  <si>
    <t>Ramban (Area 3)</t>
  </si>
  <si>
    <t>Ramban (Area 4)</t>
  </si>
  <si>
    <t>Ramban (Area 5)</t>
  </si>
  <si>
    <t>Ramban (Area 6)</t>
  </si>
  <si>
    <t>Reasi</t>
  </si>
  <si>
    <t>Reasi (Area 1)</t>
  </si>
  <si>
    <t>Reasi (Area 2)</t>
  </si>
  <si>
    <t>Reasi (Area 3)</t>
  </si>
  <si>
    <t>Reasi (Area 4)</t>
  </si>
  <si>
    <t>Reasi (Area 5)</t>
  </si>
  <si>
    <t>Reasi (Area 6)</t>
  </si>
  <si>
    <t>Samba</t>
  </si>
  <si>
    <t>Samba (Area 1)</t>
  </si>
  <si>
    <t>Samba (Area 2)</t>
  </si>
  <si>
    <t>Samba (Area 3)</t>
  </si>
  <si>
    <t>Samba (Area 4)</t>
  </si>
  <si>
    <t>Samba (Area 5)</t>
  </si>
  <si>
    <t>Samba (Area 6)</t>
  </si>
  <si>
    <t>Shopian</t>
  </si>
  <si>
    <t>Shopian (Area 1)</t>
  </si>
  <si>
    <t>Shopian (Area 2)</t>
  </si>
  <si>
    <t>Shopian (Area 3)</t>
  </si>
  <si>
    <t>Shopian (Area 4)</t>
  </si>
  <si>
    <t>Shopian (Area 5)</t>
  </si>
  <si>
    <t>Shopian (Area 6)</t>
  </si>
  <si>
    <t>Srinagar</t>
  </si>
  <si>
    <t>Srinagar (Area 1)</t>
  </si>
  <si>
    <t>Srinagar (Area 2)</t>
  </si>
  <si>
    <t>Srinagar (Area 3)</t>
  </si>
  <si>
    <t>Srinagar (Area 4)</t>
  </si>
  <si>
    <t>Srinagar (Area 5)</t>
  </si>
  <si>
    <t>Srinagar (Area 6)</t>
  </si>
  <si>
    <t>Udhampur</t>
  </si>
  <si>
    <t>Udhampur (Area 1)</t>
  </si>
  <si>
    <t>Udhampur (Area 2)</t>
  </si>
  <si>
    <t>Udhampur (Area 3)</t>
  </si>
  <si>
    <t>Udhampur (Area 4)</t>
  </si>
  <si>
    <t>Udhampur (Area 5)</t>
  </si>
  <si>
    <t>Udhampur (Area 6)</t>
  </si>
  <si>
    <t>Jharkhand</t>
  </si>
  <si>
    <t>Bokaro</t>
  </si>
  <si>
    <t>Bokaro (Area 1)</t>
  </si>
  <si>
    <t>Bokaro (Area 2)</t>
  </si>
  <si>
    <t>Bokaro (Area 3)</t>
  </si>
  <si>
    <t>Bokaro (Area 4)</t>
  </si>
  <si>
    <t>Bokaro (Area 5)</t>
  </si>
  <si>
    <t>Bokaro (Area 6)</t>
  </si>
  <si>
    <t>Chatra</t>
  </si>
  <si>
    <t>Chatra (Area 1)</t>
  </si>
  <si>
    <t>Chatra (Area 2)</t>
  </si>
  <si>
    <t>Chatra (Area 3)</t>
  </si>
  <si>
    <t>Chatra (Area 4)</t>
  </si>
  <si>
    <t>Chatra (Area 5)</t>
  </si>
  <si>
    <t>Chatra (Area 6)</t>
  </si>
  <si>
    <t>Deoghar</t>
  </si>
  <si>
    <t>Deoghar (Area 1)</t>
  </si>
  <si>
    <t>Deoghar (Area 2)</t>
  </si>
  <si>
    <t>Deoghar (Area 3)</t>
  </si>
  <si>
    <t>Deoghar (Area 4)</t>
  </si>
  <si>
    <t>Deoghar (Area 5)</t>
  </si>
  <si>
    <t>Deoghar (Area 6)</t>
  </si>
  <si>
    <t>Dhanbad</t>
  </si>
  <si>
    <t>Dhanbad (Area 1)</t>
  </si>
  <si>
    <t>Dhanbad (Area 2)</t>
  </si>
  <si>
    <t>Dhanbad (Area 3)</t>
  </si>
  <si>
    <t>Dhanbad (Area 4)</t>
  </si>
  <si>
    <t>Dhanbad (Area 5)</t>
  </si>
  <si>
    <t>Dhanbad (Area 6)</t>
  </si>
  <si>
    <t>Dumka</t>
  </si>
  <si>
    <t>Dumka (Area 1)</t>
  </si>
  <si>
    <t>Dumka (Area 2)</t>
  </si>
  <si>
    <t>Dumka (Area 3)</t>
  </si>
  <si>
    <t>Dumka (Area 4)</t>
  </si>
  <si>
    <t>Dumka (Area 5)</t>
  </si>
  <si>
    <t>Dumka (Area 6)</t>
  </si>
  <si>
    <t>East Singhbhum</t>
  </si>
  <si>
    <t>East Singhbhum (Area 1)</t>
  </si>
  <si>
    <t>East Singhbhum (Area 2)</t>
  </si>
  <si>
    <t>East Singhbhum (Area 3)</t>
  </si>
  <si>
    <t>East Singhbhum (Area 4)</t>
  </si>
  <si>
    <t>East Singhbhum (Area 5)</t>
  </si>
  <si>
    <t>East Singhbhum (Area 6)</t>
  </si>
  <si>
    <t>Garhwa</t>
  </si>
  <si>
    <t>Garhwa (Area 1)</t>
  </si>
  <si>
    <t>Garhwa (Area 2)</t>
  </si>
  <si>
    <t>Garhwa (Area 3)</t>
  </si>
  <si>
    <t>Garhwa (Area 4)</t>
  </si>
  <si>
    <t>Garhwa (Area 5)</t>
  </si>
  <si>
    <t>Garhwa (Area 6)</t>
  </si>
  <si>
    <t>Giridih</t>
  </si>
  <si>
    <t>Giridih (Area 1)</t>
  </si>
  <si>
    <t>Giridih (Area 2)</t>
  </si>
  <si>
    <t>Giridih (Area 3)</t>
  </si>
  <si>
    <t>Giridih (Area 4)</t>
  </si>
  <si>
    <t>Giridih (Area 5)</t>
  </si>
  <si>
    <t>Giridih (Area 6)</t>
  </si>
  <si>
    <t>Godda</t>
  </si>
  <si>
    <t>Godda (Area 1)</t>
  </si>
  <si>
    <t>Godda (Area 2)</t>
  </si>
  <si>
    <t>Godda (Area 3)</t>
  </si>
  <si>
    <t>Godda (Area 4)</t>
  </si>
  <si>
    <t>Godda (Area 5)</t>
  </si>
  <si>
    <t>Godda (Area 6)</t>
  </si>
  <si>
    <t>Gumla</t>
  </si>
  <si>
    <t>Gumla (Area 1)</t>
  </si>
  <si>
    <t>Gumla (Area 2)</t>
  </si>
  <si>
    <t>Gumla (Area 3)</t>
  </si>
  <si>
    <t>Gumla (Area 4)</t>
  </si>
  <si>
    <t>Gumla (Area 5)</t>
  </si>
  <si>
    <t>Gumla (Area 6)</t>
  </si>
  <si>
    <t>Hazaribag</t>
  </si>
  <si>
    <t>Hazaribag (Area 1)</t>
  </si>
  <si>
    <t>Hazaribag (Area 2)</t>
  </si>
  <si>
    <t>Hazaribag (Area 3)</t>
  </si>
  <si>
    <t>Hazaribag (Area 4)</t>
  </si>
  <si>
    <t>Hazaribag (Area 5)</t>
  </si>
  <si>
    <t>Hazaribag (Area 6)</t>
  </si>
  <si>
    <t>Jamtara</t>
  </si>
  <si>
    <t>Jamtara (Area 1)</t>
  </si>
  <si>
    <t>Jamtara (Area 2)</t>
  </si>
  <si>
    <t>Jamtara (Area 3)</t>
  </si>
  <si>
    <t>Jamtara (Area 4)</t>
  </si>
  <si>
    <t>Jamtara (Area 5)</t>
  </si>
  <si>
    <t>Jamtara (Area 6)</t>
  </si>
  <si>
    <t>Khunti</t>
  </si>
  <si>
    <t>Khunti (Area 1)</t>
  </si>
  <si>
    <t>Khunti (Area 2)</t>
  </si>
  <si>
    <t>Khunti (Area 3)</t>
  </si>
  <si>
    <t>Khunti (Area 4)</t>
  </si>
  <si>
    <t>Khunti (Area 5)</t>
  </si>
  <si>
    <t>Khunti (Area 6)</t>
  </si>
  <si>
    <t>Koderma</t>
  </si>
  <si>
    <t>Koderma (Area 1)</t>
  </si>
  <si>
    <t>Koderma (Area 2)</t>
  </si>
  <si>
    <t>Koderma (Area 3)</t>
  </si>
  <si>
    <t>Koderma (Area 4)</t>
  </si>
  <si>
    <t>Koderma (Area 5)</t>
  </si>
  <si>
    <t>Koderma (Area 6)</t>
  </si>
  <si>
    <t>Latehar</t>
  </si>
  <si>
    <t>Latehar (Area 1)</t>
  </si>
  <si>
    <t>Latehar (Area 2)</t>
  </si>
  <si>
    <t>Latehar (Area 3)</t>
  </si>
  <si>
    <t>Latehar (Area 4)</t>
  </si>
  <si>
    <t>Latehar (Area 5)</t>
  </si>
  <si>
    <t>Latehar (Area 6)</t>
  </si>
  <si>
    <t>Lohardaga</t>
  </si>
  <si>
    <t>Lohardaga (Area 1)</t>
  </si>
  <si>
    <t>Lohardaga (Area 2)</t>
  </si>
  <si>
    <t>Lohardaga (Area 3)</t>
  </si>
  <si>
    <t>Lohardaga (Area 4)</t>
  </si>
  <si>
    <t>Lohardaga (Area 5)</t>
  </si>
  <si>
    <t>Lohardaga (Area 6)</t>
  </si>
  <si>
    <t>Pakur</t>
  </si>
  <si>
    <t>Pakur (Area 1)</t>
  </si>
  <si>
    <t>Pakur (Area 2)</t>
  </si>
  <si>
    <t>Pakur (Area 3)</t>
  </si>
  <si>
    <t>Pakur (Area 4)</t>
  </si>
  <si>
    <t>Pakur (Area 5)</t>
  </si>
  <si>
    <t>Pakur (Area 6)</t>
  </si>
  <si>
    <t>Palamu</t>
  </si>
  <si>
    <t>Palamu (Area 1)</t>
  </si>
  <si>
    <t>Palamu (Area 2)</t>
  </si>
  <si>
    <t>Palamu (Area 3)</t>
  </si>
  <si>
    <t>Palamu (Area 4)</t>
  </si>
  <si>
    <t>Palamu (Area 5)</t>
  </si>
  <si>
    <t>Palamu (Area 6)</t>
  </si>
  <si>
    <t>Ramgarh</t>
  </si>
  <si>
    <t>Ramgarh (Area 1)</t>
  </si>
  <si>
    <t>Ramgarh (Area 2)</t>
  </si>
  <si>
    <t>Ramgarh (Area 3)</t>
  </si>
  <si>
    <t>Ramgarh (Area 4)</t>
  </si>
  <si>
    <t>Ramgarh (Area 5)</t>
  </si>
  <si>
    <t>Ramgarh (Area 6)</t>
  </si>
  <si>
    <t>Ranchi</t>
  </si>
  <si>
    <t>Ranchi (Area 1)</t>
  </si>
  <si>
    <t>Ranchi (Area 2)</t>
  </si>
  <si>
    <t>Ranchi (Area 3)</t>
  </si>
  <si>
    <t>Ranchi (Area 4)</t>
  </si>
  <si>
    <t>Ranchi (Area 5)</t>
  </si>
  <si>
    <t>Ranchi (Area 6)</t>
  </si>
  <si>
    <t>Sahibganj</t>
  </si>
  <si>
    <t>Sahibganj (Area 1)</t>
  </si>
  <si>
    <t>Sahibganj (Area 2)</t>
  </si>
  <si>
    <t>Sahibganj (Area 3)</t>
  </si>
  <si>
    <t>Sahibganj (Area 4)</t>
  </si>
  <si>
    <t>Sahibganj (Area 5)</t>
  </si>
  <si>
    <t>Sahibganj (Area 6)</t>
  </si>
  <si>
    <t>Seraikela-Kharsawan</t>
  </si>
  <si>
    <t>Seraikela-Kharsawan (Area 1)</t>
  </si>
  <si>
    <t>Seraikela-Kharsawan (Area 2)</t>
  </si>
  <si>
    <t>Seraikela-Kharsawan (Area 3)</t>
  </si>
  <si>
    <t>Seraikela-Kharsawan (Area 4)</t>
  </si>
  <si>
    <t>Seraikela-Kharsawan (Area 5)</t>
  </si>
  <si>
    <t>Seraikela-Kharsawan (Area 6)</t>
  </si>
  <si>
    <t>Simdega</t>
  </si>
  <si>
    <t>Simdega (Area 1)</t>
  </si>
  <si>
    <t>Simdega (Area 2)</t>
  </si>
  <si>
    <t>Simdega (Area 3)</t>
  </si>
  <si>
    <t>Simdega (Area 4)</t>
  </si>
  <si>
    <t>Simdega (Area 5)</t>
  </si>
  <si>
    <t>Simdega (Area 6)</t>
  </si>
  <si>
    <t>West Singhbhum</t>
  </si>
  <si>
    <t>West Singhbhum (Area 1)</t>
  </si>
  <si>
    <t>West Singhbhum (Area 2)</t>
  </si>
  <si>
    <t>West Singhbhum (Area 3)</t>
  </si>
  <si>
    <t>West Singhbhum (Area 4)</t>
  </si>
  <si>
    <t>West Singhbhum (Area 5)</t>
  </si>
  <si>
    <t>West Singhbhum (Area 6)</t>
  </si>
  <si>
    <t>Karnataka</t>
  </si>
  <si>
    <t>Bagalkot</t>
  </si>
  <si>
    <t>Bagalkot (Area 1)</t>
  </si>
  <si>
    <t>Bagalkot (Area 2)</t>
  </si>
  <si>
    <t>Bagalkot (Area 3)</t>
  </si>
  <si>
    <t>Bagalkot (Area 4)</t>
  </si>
  <si>
    <t>Bagalkot (Area 5)</t>
  </si>
  <si>
    <t>Bagalkot (Area 6)</t>
  </si>
  <si>
    <t>Ballari (Bellary)</t>
  </si>
  <si>
    <t>Ballari (Bellary) (Area 1)</t>
  </si>
  <si>
    <t>Ballari (Bellary) (Area 2)</t>
  </si>
  <si>
    <t>Ballari (Bellary) (Area 3)</t>
  </si>
  <si>
    <t>Ballari (Bellary) (Area 4)</t>
  </si>
  <si>
    <t>Ballari (Bellary) (Area 5)</t>
  </si>
  <si>
    <t>Ballari (Bellary) (Area 6)</t>
  </si>
  <si>
    <t>Belagavi (Belgaum)</t>
  </si>
  <si>
    <t>Belagavi (Belgaum) (Area 1)</t>
  </si>
  <si>
    <t>Belagavi (Belgaum) (Area 2)</t>
  </si>
  <si>
    <t>Belagavi (Belgaum) (Area 3)</t>
  </si>
  <si>
    <t>Belagavi (Belgaum) (Area 4)</t>
  </si>
  <si>
    <t>Belagavi (Belgaum) (Area 5)</t>
  </si>
  <si>
    <t>Belagavi (Belgaum) (Area 6)</t>
  </si>
  <si>
    <t>Bengaluru (Bangalore) Rural</t>
  </si>
  <si>
    <t>Bengaluru (Bangalore) Rural (Area 1)</t>
  </si>
  <si>
    <t>Bengaluru (Bangalore) Rural (Area 2)</t>
  </si>
  <si>
    <t>Bengaluru (Bangalore) Rural (Area 3)</t>
  </si>
  <si>
    <t>Bengaluru (Bangalore) Rural (Area 4)</t>
  </si>
  <si>
    <t>Bengaluru (Bangalore) Rural (Area 5)</t>
  </si>
  <si>
    <t>Bengaluru (Bangalore) Rural (Area 6)</t>
  </si>
  <si>
    <t>Bengaluru (Bangalore) Urban</t>
  </si>
  <si>
    <t>Bengaluru (Bangalore) Urban (Area 1)</t>
  </si>
  <si>
    <t>Bengaluru (Bangalore) Urban (Area 2)</t>
  </si>
  <si>
    <t>Bengaluru (Bangalore) Urban (Area 3)</t>
  </si>
  <si>
    <t>Bengaluru (Bangalore) Urban (Area 4)</t>
  </si>
  <si>
    <t>Bengaluru (Bangalore) Urban (Area 5)</t>
  </si>
  <si>
    <t>Bengaluru (Bangalore) Urban (Area 6)</t>
  </si>
  <si>
    <t>Bidar</t>
  </si>
  <si>
    <t>Bidar (Area 1)</t>
  </si>
  <si>
    <t>Bidar (Area 2)</t>
  </si>
  <si>
    <t>Bidar (Area 3)</t>
  </si>
  <si>
    <t>Bidar (Area 4)</t>
  </si>
  <si>
    <t>Bidar (Area 5)</t>
  </si>
  <si>
    <t>Bidar (Area 6)</t>
  </si>
  <si>
    <t>Chamarajanagar</t>
  </si>
  <si>
    <t>Chamarajanagar (Area 1)</t>
  </si>
  <si>
    <t>Chamarajanagar (Area 2)</t>
  </si>
  <si>
    <t>Chamarajanagar (Area 3)</t>
  </si>
  <si>
    <t>Chamarajanagar (Area 4)</t>
  </si>
  <si>
    <t>Chamarajanagar (Area 5)</t>
  </si>
  <si>
    <t>Chamarajanagar (Area 6)</t>
  </si>
  <si>
    <t>Chikballapur</t>
  </si>
  <si>
    <t>Chikballapur (Area 1)</t>
  </si>
  <si>
    <t>Chikballapur (Area 2)</t>
  </si>
  <si>
    <t>Chikballapur (Area 3)</t>
  </si>
  <si>
    <t>Chikballapur (Area 4)</t>
  </si>
  <si>
    <t>Chikballapur (Area 5)</t>
  </si>
  <si>
    <t>Chikballapur (Area 6)</t>
  </si>
  <si>
    <t>Chikkamagaluru (Chikmagalur)</t>
  </si>
  <si>
    <t>Chikkamagaluru (Chikmagalur) (Area 1)</t>
  </si>
  <si>
    <t>Chikkamagaluru (Chikmagalur) (Area 2)</t>
  </si>
  <si>
    <t>Chikkamagaluru (Chikmagalur) (Area 3)</t>
  </si>
  <si>
    <t>Chikkamagaluru (Chikmagalur) (Area 4)</t>
  </si>
  <si>
    <t>Chikkamagaluru (Chikmagalur) (Area 5)</t>
  </si>
  <si>
    <t>Chikkamagaluru (Chikmagalur) (Area 6)</t>
  </si>
  <si>
    <t>Chitradurga</t>
  </si>
  <si>
    <t>Chitradurga (Area 1)</t>
  </si>
  <si>
    <t>Chitradurga (Area 2)</t>
  </si>
  <si>
    <t>Chitradurga (Area 3)</t>
  </si>
  <si>
    <t>Chitradurga (Area 4)</t>
  </si>
  <si>
    <t>Chitradurga (Area 5)</t>
  </si>
  <si>
    <t>Chitradurga (Area 6)</t>
  </si>
  <si>
    <t>Dakshina Kannada</t>
  </si>
  <si>
    <t>Dakshina Kannada (Area 1)</t>
  </si>
  <si>
    <t>Dakshina Kannada (Area 2)</t>
  </si>
  <si>
    <t>Dakshina Kannada (Area 3)</t>
  </si>
  <si>
    <t>Dakshina Kannada (Area 4)</t>
  </si>
  <si>
    <t>Dakshina Kannada (Area 5)</t>
  </si>
  <si>
    <t>Dakshina Kannada (Area 6)</t>
  </si>
  <si>
    <t>Davangere</t>
  </si>
  <si>
    <t>Davangere (Area 1)</t>
  </si>
  <si>
    <t>Davangere (Area 2)</t>
  </si>
  <si>
    <t>Davangere (Area 3)</t>
  </si>
  <si>
    <t>Davangere (Area 4)</t>
  </si>
  <si>
    <t>Davangere (Area 5)</t>
  </si>
  <si>
    <t>Davangere (Area 6)</t>
  </si>
  <si>
    <t>Dharwad</t>
  </si>
  <si>
    <t>Dharwad (Area 1)</t>
  </si>
  <si>
    <t>Dharwad (Area 2)</t>
  </si>
  <si>
    <t>Dharwad (Area 3)</t>
  </si>
  <si>
    <t>Dharwad (Area 4)</t>
  </si>
  <si>
    <t>Dharwad (Area 5)</t>
  </si>
  <si>
    <t>Dharwad (Area 6)</t>
  </si>
  <si>
    <t>Gadag</t>
  </si>
  <si>
    <t>Gadag (Area 1)</t>
  </si>
  <si>
    <t>Gadag (Area 2)</t>
  </si>
  <si>
    <t>Gadag (Area 3)</t>
  </si>
  <si>
    <t>Gadag (Area 4)</t>
  </si>
  <si>
    <t>Gadag (Area 5)</t>
  </si>
  <si>
    <t>Gadag (Area 6)</t>
  </si>
  <si>
    <t>Hassan</t>
  </si>
  <si>
    <t>Hassan (Area 1)</t>
  </si>
  <si>
    <t>Hassan (Area 2)</t>
  </si>
  <si>
    <t>Hassan (Area 3)</t>
  </si>
  <si>
    <t>Hassan (Area 4)</t>
  </si>
  <si>
    <t>Hassan (Area 5)</t>
  </si>
  <si>
    <t>Hassan (Area 6)</t>
  </si>
  <si>
    <t>Haveri</t>
  </si>
  <si>
    <t>Haveri (Area 1)</t>
  </si>
  <si>
    <t>Haveri (Area 2)</t>
  </si>
  <si>
    <t>Haveri (Area 3)</t>
  </si>
  <si>
    <t>Haveri (Area 4)</t>
  </si>
  <si>
    <t>Haveri (Area 5)</t>
  </si>
  <si>
    <t>Haveri (Area 6)</t>
  </si>
  <si>
    <t>Kalaburagi (Gulbarga)</t>
  </si>
  <si>
    <t>Kalaburagi (Gulbarga) (Area 1)</t>
  </si>
  <si>
    <t>Kalaburagi (Gulbarga) (Area 2)</t>
  </si>
  <si>
    <t>Kalaburagi (Gulbarga) (Area 3)</t>
  </si>
  <si>
    <t>Kalaburagi (Gulbarga) (Area 4)</t>
  </si>
  <si>
    <t>Kalaburagi (Gulbarga) (Area 5)</t>
  </si>
  <si>
    <t>Kalaburagi (Gulbarga) (Area 6)</t>
  </si>
  <si>
    <t>Kodagu</t>
  </si>
  <si>
    <t>Kodagu (Area 1)</t>
  </si>
  <si>
    <t>Kodagu (Area 2)</t>
  </si>
  <si>
    <t>Kodagu (Area 3)</t>
  </si>
  <si>
    <t>Kodagu (Area 4)</t>
  </si>
  <si>
    <t>Kodagu (Area 5)</t>
  </si>
  <si>
    <t>Kodagu (Area 6)</t>
  </si>
  <si>
    <t>Kolar</t>
  </si>
  <si>
    <t>Kolar (Area 1)</t>
  </si>
  <si>
    <t>Kolar (Area 2)</t>
  </si>
  <si>
    <t>Kolar (Area 3)</t>
  </si>
  <si>
    <t>Kolar (Area 4)</t>
  </si>
  <si>
    <t>Kolar (Area 5)</t>
  </si>
  <si>
    <t>Kolar (Area 6)</t>
  </si>
  <si>
    <t>Koppal</t>
  </si>
  <si>
    <t>Koppal (Area 1)</t>
  </si>
  <si>
    <t>Koppal (Area 2)</t>
  </si>
  <si>
    <t>Koppal (Area 3)</t>
  </si>
  <si>
    <t>Koppal (Area 4)</t>
  </si>
  <si>
    <t>Koppal (Area 5)</t>
  </si>
  <si>
    <t>Koppal (Area 6)</t>
  </si>
  <si>
    <t>Mandya</t>
  </si>
  <si>
    <t>Mandya (Area 1)</t>
  </si>
  <si>
    <t>Mandya (Area 2)</t>
  </si>
  <si>
    <t>Mandya (Area 3)</t>
  </si>
  <si>
    <t>Mandya (Area 4)</t>
  </si>
  <si>
    <t>Mandya (Area 5)</t>
  </si>
  <si>
    <t>Mandya (Area 6)</t>
  </si>
  <si>
    <t>Mysuru (Mysore)</t>
  </si>
  <si>
    <t>Mysuru (Mysore) (Area 1)</t>
  </si>
  <si>
    <t>Mysuru (Mysore) (Area 2)</t>
  </si>
  <si>
    <t>Mysuru (Mysore) (Area 3)</t>
  </si>
  <si>
    <t>Mysuru (Mysore) (Area 4)</t>
  </si>
  <si>
    <t>Mysuru (Mysore) (Area 5)</t>
  </si>
  <si>
    <t>Mysuru (Mysore) (Area 6)</t>
  </si>
  <si>
    <t>Raichur</t>
  </si>
  <si>
    <t>Raichur (Area 1)</t>
  </si>
  <si>
    <t>Raichur (Area 2)</t>
  </si>
  <si>
    <t>Raichur (Area 3)</t>
  </si>
  <si>
    <t>Raichur (Area 4)</t>
  </si>
  <si>
    <t>Raichur (Area 5)</t>
  </si>
  <si>
    <t>Raichur (Area 6)</t>
  </si>
  <si>
    <t>Ramanagara</t>
  </si>
  <si>
    <t>Ramanagara (Area 1)</t>
  </si>
  <si>
    <t>Ramanagara (Area 2)</t>
  </si>
  <si>
    <t>Ramanagara (Area 3)</t>
  </si>
  <si>
    <t>Ramanagara (Area 4)</t>
  </si>
  <si>
    <t>Ramanagara (Area 5)</t>
  </si>
  <si>
    <t>Ramanagara (Area 6)</t>
  </si>
  <si>
    <t>Shivamogga (Shimoga)</t>
  </si>
  <si>
    <t>Shivamogga (Shimoga) (Area 1)</t>
  </si>
  <si>
    <t>Shivamogga (Shimoga) (Area 2)</t>
  </si>
  <si>
    <t>Shivamogga (Shimoga) (Area 3)</t>
  </si>
  <si>
    <t>Shivamogga (Shimoga) (Area 4)</t>
  </si>
  <si>
    <t>Shivamogga (Shimoga) (Area 5)</t>
  </si>
  <si>
    <t>Shivamogga (Shimoga) (Area 6)</t>
  </si>
  <si>
    <t>Tumakuru (Tumkur)</t>
  </si>
  <si>
    <t>Tumakuru (Tumkur) (Area 1)</t>
  </si>
  <si>
    <t>Tumakuru (Tumkur) (Area 2)</t>
  </si>
  <si>
    <t>Tumakuru (Tumkur) (Area 3)</t>
  </si>
  <si>
    <t>Tumakuru (Tumkur) (Area 4)</t>
  </si>
  <si>
    <t>Tumakuru (Tumkur) (Area 5)</t>
  </si>
  <si>
    <t>Tumakuru (Tumkur) (Area 6)</t>
  </si>
  <si>
    <t>Udupi</t>
  </si>
  <si>
    <t>Udupi (Area 1)</t>
  </si>
  <si>
    <t>Udupi (Area 2)</t>
  </si>
  <si>
    <t>Udupi (Area 3)</t>
  </si>
  <si>
    <t>Udupi (Area 4)</t>
  </si>
  <si>
    <t>Udupi (Area 5)</t>
  </si>
  <si>
    <t>Udupi (Area 6)</t>
  </si>
  <si>
    <t>Uttara Kannada (Karwar)</t>
  </si>
  <si>
    <t>Uttara Kannada (Karwar) (Area 1)</t>
  </si>
  <si>
    <t>Uttara Kannada (Karwar) (Area 2)</t>
  </si>
  <si>
    <t>Uttara Kannada (Karwar) (Area 3)</t>
  </si>
  <si>
    <t>Uttara Kannada (Karwar) (Area 4)</t>
  </si>
  <si>
    <t>Uttara Kannada (Karwar) (Area 5)</t>
  </si>
  <si>
    <t>Uttara Kannada (Karwar) (Area 6)</t>
  </si>
  <si>
    <t>Vijayapura (Bijapur)</t>
  </si>
  <si>
    <t>Vijayapura (Bijapur) (Area 1)</t>
  </si>
  <si>
    <t>Vijayapura (Bijapur) (Area 2)</t>
  </si>
  <si>
    <t>Vijayapura (Bijapur) (Area 3)</t>
  </si>
  <si>
    <t>Vijayapura (Bijapur) (Area 4)</t>
  </si>
  <si>
    <t>Vijayapura (Bijapur) (Area 5)</t>
  </si>
  <si>
    <t>Vijayapura (Bijapur) (Area 6)</t>
  </si>
  <si>
    <t>Yadgir</t>
  </si>
  <si>
    <t>Yadgir (Area 1)</t>
  </si>
  <si>
    <t>Yadgir (Area 2)</t>
  </si>
  <si>
    <t>Yadgir (Area 3)</t>
  </si>
  <si>
    <t>Yadgir (Area 4)</t>
  </si>
  <si>
    <t>Yadgir (Area 5)</t>
  </si>
  <si>
    <t>Yadgir (Area 6)</t>
  </si>
  <si>
    <t>Kerala</t>
  </si>
  <si>
    <t>Alappuzha</t>
  </si>
  <si>
    <t>Alappuzha (Area 1)</t>
  </si>
  <si>
    <t>Alappuzha (Area 2)</t>
  </si>
  <si>
    <t>Alappuzha (Area 3)</t>
  </si>
  <si>
    <t>Alappuzha (Area 4)</t>
  </si>
  <si>
    <t>Alappuzha (Area 5)</t>
  </si>
  <si>
    <t>Alappuzha (Area 6)</t>
  </si>
  <si>
    <t>Ernakulam</t>
  </si>
  <si>
    <t>Ernakulam (Area 1)</t>
  </si>
  <si>
    <t>Ernakulam (Area 2)</t>
  </si>
  <si>
    <t>Ernakulam (Area 3)</t>
  </si>
  <si>
    <t>Ernakulam (Area 4)</t>
  </si>
  <si>
    <t>Ernakulam (Area 5)</t>
  </si>
  <si>
    <t>Ernakulam (Area 6)</t>
  </si>
  <si>
    <t>Idukki</t>
  </si>
  <si>
    <t>Idukki (Area 1)</t>
  </si>
  <si>
    <t>Idukki (Area 2)</t>
  </si>
  <si>
    <t>Idukki (Area 3)</t>
  </si>
  <si>
    <t>Idukki (Area 4)</t>
  </si>
  <si>
    <t>Idukki (Area 5)</t>
  </si>
  <si>
    <t>Idukki (Area 6)</t>
  </si>
  <si>
    <t>Kannur</t>
  </si>
  <si>
    <t>Kannur (Area 1)</t>
  </si>
  <si>
    <t>Kannur (Area 2)</t>
  </si>
  <si>
    <t>Kannur (Area 3)</t>
  </si>
  <si>
    <t>Kannur (Area 4)</t>
  </si>
  <si>
    <t>Kannur (Area 5)</t>
  </si>
  <si>
    <t>Kannur (Area 6)</t>
  </si>
  <si>
    <t>Kasaragod</t>
  </si>
  <si>
    <t>Kasaragod (Area 1)</t>
  </si>
  <si>
    <t>Kasaragod (Area 2)</t>
  </si>
  <si>
    <t>Kasaragod (Area 3)</t>
  </si>
  <si>
    <t>Kasaragod (Area 4)</t>
  </si>
  <si>
    <t>Kasaragod (Area 5)</t>
  </si>
  <si>
    <t>Kasaragod (Area 6)</t>
  </si>
  <si>
    <t>Kollam</t>
  </si>
  <si>
    <t>Kollam (Area 1)</t>
  </si>
  <si>
    <t>Kollam (Area 2)</t>
  </si>
  <si>
    <t>Kollam (Area 3)</t>
  </si>
  <si>
    <t>Kollam (Area 4)</t>
  </si>
  <si>
    <t>Kollam (Area 5)</t>
  </si>
  <si>
    <t>Kollam (Area 6)</t>
  </si>
  <si>
    <t>Kottayam</t>
  </si>
  <si>
    <t>Kottayam (Area 1)</t>
  </si>
  <si>
    <t>Kottayam (Area 2)</t>
  </si>
  <si>
    <t>Kottayam (Area 3)</t>
  </si>
  <si>
    <t>Kottayam (Area 4)</t>
  </si>
  <si>
    <t>Kottayam (Area 5)</t>
  </si>
  <si>
    <t>Kottayam (Area 6)</t>
  </si>
  <si>
    <t>Kozhikode</t>
  </si>
  <si>
    <t>Kozhikode (Area 1)</t>
  </si>
  <si>
    <t>Kozhikode (Area 2)</t>
  </si>
  <si>
    <t>Kozhikode (Area 3)</t>
  </si>
  <si>
    <t>Kozhikode (Area 4)</t>
  </si>
  <si>
    <t>Kozhikode (Area 5)</t>
  </si>
  <si>
    <t>Kozhikode (Area 6)</t>
  </si>
  <si>
    <t>Malappuram</t>
  </si>
  <si>
    <t>Malappuram (Area 1)</t>
  </si>
  <si>
    <t>Malappuram (Area 2)</t>
  </si>
  <si>
    <t>Malappuram (Area 3)</t>
  </si>
  <si>
    <t>Malappuram (Area 4)</t>
  </si>
  <si>
    <t>Malappuram (Area 5)</t>
  </si>
  <si>
    <t>Malappuram (Area 6)</t>
  </si>
  <si>
    <t>Palakkad</t>
  </si>
  <si>
    <t>Palakkad (Area 1)</t>
  </si>
  <si>
    <t>Palakkad (Area 2)</t>
  </si>
  <si>
    <t>Palakkad (Area 3)</t>
  </si>
  <si>
    <t>Palakkad (Area 4)</t>
  </si>
  <si>
    <t>Palakkad (Area 5)</t>
  </si>
  <si>
    <t>Palakkad (Area 6)</t>
  </si>
  <si>
    <t>Pathanamthitta</t>
  </si>
  <si>
    <t>Pathanamthitta (Area 1)</t>
  </si>
  <si>
    <t>Pathanamthitta (Area 2)</t>
  </si>
  <si>
    <t>Pathanamthitta (Area 3)</t>
  </si>
  <si>
    <t>Pathanamthitta (Area 4)</t>
  </si>
  <si>
    <t>Pathanamthitta (Area 5)</t>
  </si>
  <si>
    <t>Pathanamthitta (Area 6)</t>
  </si>
  <si>
    <t>Thiruvananthapuram</t>
  </si>
  <si>
    <t>Thiruvananthapuram (Area 1)</t>
  </si>
  <si>
    <t>Thiruvananthapuram (Area 2)</t>
  </si>
  <si>
    <t>Thiruvananthapuram (Area 3)</t>
  </si>
  <si>
    <t>Thiruvananthapuram (Area 4)</t>
  </si>
  <si>
    <t>Thiruvananthapuram (Area 5)</t>
  </si>
  <si>
    <t>Thiruvananthapuram (Area 6)</t>
  </si>
  <si>
    <t>Thrissur</t>
  </si>
  <si>
    <t>Thrissur (Area 1)</t>
  </si>
  <si>
    <t>Thrissur (Area 2)</t>
  </si>
  <si>
    <t>Thrissur (Area 3)</t>
  </si>
  <si>
    <t>Thrissur (Area 4)</t>
  </si>
  <si>
    <t>Thrissur (Area 5)</t>
  </si>
  <si>
    <t>Thrissur (Area 6)</t>
  </si>
  <si>
    <t>Wayanad</t>
  </si>
  <si>
    <t>Wayanad (Area 1)</t>
  </si>
  <si>
    <t>Wayanad (Area 2)</t>
  </si>
  <si>
    <t>Wayanad (Area 3)</t>
  </si>
  <si>
    <t>Wayanad (Area 4)</t>
  </si>
  <si>
    <t>Wayanad (Area 5)</t>
  </si>
  <si>
    <t>Wayanad (Area 6)</t>
  </si>
  <si>
    <t>Lakshadweep (UT)</t>
  </si>
  <si>
    <t>Agatti</t>
  </si>
  <si>
    <t>Agatti (Area 1)</t>
  </si>
  <si>
    <t>Agatti (Area 2)</t>
  </si>
  <si>
    <t>Agatti (Area 3)</t>
  </si>
  <si>
    <t>Agatti (Area 4)</t>
  </si>
  <si>
    <t>Agatti (Area 5)</t>
  </si>
  <si>
    <t>Agatti (Area 6)</t>
  </si>
  <si>
    <t>Amini</t>
  </si>
  <si>
    <t>Amini (Area 1)</t>
  </si>
  <si>
    <t>Amini (Area 2)</t>
  </si>
  <si>
    <t>Amini (Area 3)</t>
  </si>
  <si>
    <t>Amini (Area 4)</t>
  </si>
  <si>
    <t>Amini (Area 5)</t>
  </si>
  <si>
    <t>Amini (Area 6)</t>
  </si>
  <si>
    <t>Androth</t>
  </si>
  <si>
    <t>Androth (Area 1)</t>
  </si>
  <si>
    <t>Androth (Area 2)</t>
  </si>
  <si>
    <t>Androth (Area 3)</t>
  </si>
  <si>
    <t>Androth (Area 4)</t>
  </si>
  <si>
    <t>Androth (Area 5)</t>
  </si>
  <si>
    <t>Androth (Area 6)</t>
  </si>
  <si>
    <t>Bithra</t>
  </si>
  <si>
    <t>Bithra (Area 1)</t>
  </si>
  <si>
    <t>Bithra (Area 2)</t>
  </si>
  <si>
    <t>Bithra (Area 3)</t>
  </si>
  <si>
    <t>Bithra (Area 4)</t>
  </si>
  <si>
    <t>Bithra (Area 5)</t>
  </si>
  <si>
    <t>Bithra (Area 6)</t>
  </si>
  <si>
    <t>Chethlath</t>
  </si>
  <si>
    <t>Chethlath (Area 1)</t>
  </si>
  <si>
    <t>Chethlath (Area 2)</t>
  </si>
  <si>
    <t>Chethlath (Area 3)</t>
  </si>
  <si>
    <t>Chethlath (Area 4)</t>
  </si>
  <si>
    <t>Chethlath (Area 5)</t>
  </si>
  <si>
    <t>Chethlath (Area 6)</t>
  </si>
  <si>
    <t>Kavaratti</t>
  </si>
  <si>
    <t>Kavaratti (Area 1)</t>
  </si>
  <si>
    <t>Kavaratti (Area 2)</t>
  </si>
  <si>
    <t>Kavaratti (Area 3)</t>
  </si>
  <si>
    <t>Kavaratti (Area 4)</t>
  </si>
  <si>
    <t>Kavaratti (Area 5)</t>
  </si>
  <si>
    <t>Kavaratti (Area 6)</t>
  </si>
  <si>
    <t>Kadmath</t>
  </si>
  <si>
    <t>Kadmath (Area 1)</t>
  </si>
  <si>
    <t>Kadmath (Area 2)</t>
  </si>
  <si>
    <t>Kadmath (Area 3)</t>
  </si>
  <si>
    <t>Kadmath (Area 4)</t>
  </si>
  <si>
    <t>Kadmath (Area 5)</t>
  </si>
  <si>
    <t>Kadmath (Area 6)</t>
  </si>
  <si>
    <t>Kalpeni</t>
  </si>
  <si>
    <t>Kalpeni (Area 1)</t>
  </si>
  <si>
    <t>Kalpeni (Area 2)</t>
  </si>
  <si>
    <t>Kalpeni (Area 3)</t>
  </si>
  <si>
    <t>Kalpeni (Area 4)</t>
  </si>
  <si>
    <t>Kalpeni (Area 5)</t>
  </si>
  <si>
    <t>Kalpeni (Area 6)</t>
  </si>
  <si>
    <t>Kilthan</t>
  </si>
  <si>
    <t>Kilthan (Area 1)</t>
  </si>
  <si>
    <t>Kilthan (Area 2)</t>
  </si>
  <si>
    <t>Kilthan (Area 3)</t>
  </si>
  <si>
    <t>Kilthan (Area 4)</t>
  </si>
  <si>
    <t>Kilthan (Area 5)</t>
  </si>
  <si>
    <t>Kilthan (Area 6)</t>
  </si>
  <si>
    <t>Minicoy</t>
  </si>
  <si>
    <t>Minicoy (Area 1)</t>
  </si>
  <si>
    <t>Minicoy (Area 2)</t>
  </si>
  <si>
    <t>Minicoy (Area 3)</t>
  </si>
  <si>
    <t>Minicoy (Area 4)</t>
  </si>
  <si>
    <t>Minicoy (Area 5)</t>
  </si>
  <si>
    <t>Minicoy (Area 6)</t>
  </si>
  <si>
    <t>Madhya Pradesh</t>
  </si>
  <si>
    <t>Agar Malwa</t>
  </si>
  <si>
    <t>Agar Malwa (Area 1)</t>
  </si>
  <si>
    <t>Agar Malwa (Area 2)</t>
  </si>
  <si>
    <t>Agar Malwa (Area 3)</t>
  </si>
  <si>
    <t>Agar Malwa (Area 4)</t>
  </si>
  <si>
    <t>Agar Malwa (Area 5)</t>
  </si>
  <si>
    <t>Agar Malwa (Area 6)</t>
  </si>
  <si>
    <t>Alirajpur</t>
  </si>
  <si>
    <t>Alirajpur (Area 1)</t>
  </si>
  <si>
    <t>Alirajpur (Area 2)</t>
  </si>
  <si>
    <t>Alirajpur (Area 3)</t>
  </si>
  <si>
    <t>Alirajpur (Area 4)</t>
  </si>
  <si>
    <t>Alirajpur (Area 5)</t>
  </si>
  <si>
    <t>Alirajpur (Area 6)</t>
  </si>
  <si>
    <t>Anuppur</t>
  </si>
  <si>
    <t>Anuppur (Area 1)</t>
  </si>
  <si>
    <t>Anuppur (Area 2)</t>
  </si>
  <si>
    <t>Anuppur (Area 3)</t>
  </si>
  <si>
    <t>Anuppur (Area 4)</t>
  </si>
  <si>
    <t>Anuppur (Area 5)</t>
  </si>
  <si>
    <t>Anuppur (Area 6)</t>
  </si>
  <si>
    <t>Ashoknagar</t>
  </si>
  <si>
    <t>Ashoknagar (Area 1)</t>
  </si>
  <si>
    <t>Ashoknagar (Area 2)</t>
  </si>
  <si>
    <t>Ashoknagar (Area 3)</t>
  </si>
  <si>
    <t>Ashoknagar (Area 4)</t>
  </si>
  <si>
    <t>Ashoknagar (Area 5)</t>
  </si>
  <si>
    <t>Ashoknagar (Area 6)</t>
  </si>
  <si>
    <t>Balaghat</t>
  </si>
  <si>
    <t>Balaghat (Area 1)</t>
  </si>
  <si>
    <t>Balaghat (Area 2)</t>
  </si>
  <si>
    <t>Balaghat (Area 3)</t>
  </si>
  <si>
    <t>Balaghat (Area 4)</t>
  </si>
  <si>
    <t>Balaghat (Area 5)</t>
  </si>
  <si>
    <t>Balaghat (Area 6)</t>
  </si>
  <si>
    <t>Barwani</t>
  </si>
  <si>
    <t>Barwani (Area 1)</t>
  </si>
  <si>
    <t>Barwani (Area 2)</t>
  </si>
  <si>
    <t>Barwani (Area 3)</t>
  </si>
  <si>
    <t>Barwani (Area 4)</t>
  </si>
  <si>
    <t>Barwani (Area 5)</t>
  </si>
  <si>
    <t>Barwani (Area 6)</t>
  </si>
  <si>
    <t>Betul</t>
  </si>
  <si>
    <t>Betul (Area 1)</t>
  </si>
  <si>
    <t>Betul (Area 2)</t>
  </si>
  <si>
    <t>Betul (Area 3)</t>
  </si>
  <si>
    <t>Betul (Area 4)</t>
  </si>
  <si>
    <t>Betul (Area 5)</t>
  </si>
  <si>
    <t>Betul (Area 6)</t>
  </si>
  <si>
    <t>Bhind</t>
  </si>
  <si>
    <t>Bhind (Area 1)</t>
  </si>
  <si>
    <t>Bhind (Area 2)</t>
  </si>
  <si>
    <t>Bhind (Area 3)</t>
  </si>
  <si>
    <t>Bhind (Area 4)</t>
  </si>
  <si>
    <t>Bhind (Area 5)</t>
  </si>
  <si>
    <t>Bhind (Area 6)</t>
  </si>
  <si>
    <t>Bhopal</t>
  </si>
  <si>
    <t>Bhopal (Area 1)</t>
  </si>
  <si>
    <t>Bhopal (Area 2)</t>
  </si>
  <si>
    <t>Bhopal (Area 3)</t>
  </si>
  <si>
    <t>Bhopal (Area 4)</t>
  </si>
  <si>
    <t>Bhopal (Area 5)</t>
  </si>
  <si>
    <t>Bhopal (Area 6)</t>
  </si>
  <si>
    <t>Burhanpur</t>
  </si>
  <si>
    <t>Burhanpur (Area 1)</t>
  </si>
  <si>
    <t>Burhanpur (Area 2)</t>
  </si>
  <si>
    <t>Burhanpur (Area 3)</t>
  </si>
  <si>
    <t>Burhanpur (Area 4)</t>
  </si>
  <si>
    <t>Burhanpur (Area 5)</t>
  </si>
  <si>
    <t>Burhanpur (Area 6)</t>
  </si>
  <si>
    <t>Chhatarpur</t>
  </si>
  <si>
    <t>Chhatarpur (Area 1)</t>
  </si>
  <si>
    <t>Chhatarpur (Area 2)</t>
  </si>
  <si>
    <t>Chhatarpur (Area 3)</t>
  </si>
  <si>
    <t>Chhatarpur (Area 4)</t>
  </si>
  <si>
    <t>Chhatarpur (Area 5)</t>
  </si>
  <si>
    <t>Chhatarpur (Area 6)</t>
  </si>
  <si>
    <t>Chhindwara</t>
  </si>
  <si>
    <t>Chhindwara (Area 1)</t>
  </si>
  <si>
    <t>Chhindwara (Area 2)</t>
  </si>
  <si>
    <t>Chhindwara (Area 3)</t>
  </si>
  <si>
    <t>Chhindwara (Area 4)</t>
  </si>
  <si>
    <t>Chhindwara (Area 5)</t>
  </si>
  <si>
    <t>Chhindwara (Area 6)</t>
  </si>
  <si>
    <t>Damoh</t>
  </si>
  <si>
    <t>Damoh (Area 1)</t>
  </si>
  <si>
    <t>Damoh (Area 2)</t>
  </si>
  <si>
    <t>Damoh (Area 3)</t>
  </si>
  <si>
    <t>Damoh (Area 4)</t>
  </si>
  <si>
    <t>Damoh (Area 5)</t>
  </si>
  <si>
    <t>Damoh (Area 6)</t>
  </si>
  <si>
    <t>Datia</t>
  </si>
  <si>
    <t>Datia (Area 1)</t>
  </si>
  <si>
    <t>Datia (Area 2)</t>
  </si>
  <si>
    <t>Datia (Area 3)</t>
  </si>
  <si>
    <t>Datia (Area 4)</t>
  </si>
  <si>
    <t>Datia (Area 5)</t>
  </si>
  <si>
    <t>Datia (Area 6)</t>
  </si>
  <si>
    <t>Dewas</t>
  </si>
  <si>
    <t>Dewas (Area 1)</t>
  </si>
  <si>
    <t>Dewas (Area 2)</t>
  </si>
  <si>
    <t>Dewas (Area 3)</t>
  </si>
  <si>
    <t>Dewas (Area 4)</t>
  </si>
  <si>
    <t>Dewas (Area 5)</t>
  </si>
  <si>
    <t>Dewas (Area 6)</t>
  </si>
  <si>
    <t>Dhar</t>
  </si>
  <si>
    <t>Dhar (Area 1)</t>
  </si>
  <si>
    <t>Dhar (Area 2)</t>
  </si>
  <si>
    <t>Dhar (Area 3)</t>
  </si>
  <si>
    <t>Dhar (Area 4)</t>
  </si>
  <si>
    <t>Dhar (Area 5)</t>
  </si>
  <si>
    <t>Dhar (Area 6)</t>
  </si>
  <si>
    <t>Dindori</t>
  </si>
  <si>
    <t>Dindori (Area 1)</t>
  </si>
  <si>
    <t>Dindori (Area 2)</t>
  </si>
  <si>
    <t>Dindori (Area 3)</t>
  </si>
  <si>
    <t>Dindori (Area 4)</t>
  </si>
  <si>
    <t>Dindori (Area 5)</t>
  </si>
  <si>
    <t>Dindori (Area 6)</t>
  </si>
  <si>
    <t>Guna</t>
  </si>
  <si>
    <t>Guna (Area 1)</t>
  </si>
  <si>
    <t>Guna (Area 2)</t>
  </si>
  <si>
    <t>Guna (Area 3)</t>
  </si>
  <si>
    <t>Guna (Area 4)</t>
  </si>
  <si>
    <t>Guna (Area 5)</t>
  </si>
  <si>
    <t>Guna (Area 6)</t>
  </si>
  <si>
    <t>Gwalior</t>
  </si>
  <si>
    <t>Gwalior (Area 1)</t>
  </si>
  <si>
    <t>Gwalior (Area 2)</t>
  </si>
  <si>
    <t>Gwalior (Area 3)</t>
  </si>
  <si>
    <t>Gwalior (Area 4)</t>
  </si>
  <si>
    <t>Gwalior (Area 5)</t>
  </si>
  <si>
    <t>Gwalior (Area 6)</t>
  </si>
  <si>
    <t>Harda</t>
  </si>
  <si>
    <t>Harda (Area 1)</t>
  </si>
  <si>
    <t>Harda (Area 2)</t>
  </si>
  <si>
    <t>Harda (Area 3)</t>
  </si>
  <si>
    <t>Harda (Area 4)</t>
  </si>
  <si>
    <t>Harda (Area 5)</t>
  </si>
  <si>
    <t>Harda (Area 6)</t>
  </si>
  <si>
    <t>Hoshangabad</t>
  </si>
  <si>
    <t>Hoshangabad (Area 1)</t>
  </si>
  <si>
    <t>Hoshangabad (Area 2)</t>
  </si>
  <si>
    <t>Hoshangabad (Area 3)</t>
  </si>
  <si>
    <t>Hoshangabad (Area 4)</t>
  </si>
  <si>
    <t>Hoshangabad (Area 5)</t>
  </si>
  <si>
    <t>Hoshangabad (Area 6)</t>
  </si>
  <si>
    <t>Indore</t>
  </si>
  <si>
    <t>Indore (Area 1)</t>
  </si>
  <si>
    <t>Indore (Area 2)</t>
  </si>
  <si>
    <t>Indore (Area 3)</t>
  </si>
  <si>
    <t>Indore (Area 4)</t>
  </si>
  <si>
    <t>Indore (Area 5)</t>
  </si>
  <si>
    <t>Indore (Area 6)</t>
  </si>
  <si>
    <t>Jabalpur</t>
  </si>
  <si>
    <t>Jabalpur (Area 1)</t>
  </si>
  <si>
    <t>Jabalpur (Area 2)</t>
  </si>
  <si>
    <t>Jabalpur (Area 3)</t>
  </si>
  <si>
    <t>Jabalpur (Area 4)</t>
  </si>
  <si>
    <t>Jabalpur (Area 5)</t>
  </si>
  <si>
    <t>Jabalpur (Area 6)</t>
  </si>
  <si>
    <t>Jhabua</t>
  </si>
  <si>
    <t>Jhabua (Area 1)</t>
  </si>
  <si>
    <t>Jhabua (Area 2)</t>
  </si>
  <si>
    <t>Jhabua (Area 3)</t>
  </si>
  <si>
    <t>Jhabua (Area 4)</t>
  </si>
  <si>
    <t>Jhabua (Area 5)</t>
  </si>
  <si>
    <t>Jhabua (Area 6)</t>
  </si>
  <si>
    <t>Katni</t>
  </si>
  <si>
    <t>Katni (Area 1)</t>
  </si>
  <si>
    <t>Katni (Area 2)</t>
  </si>
  <si>
    <t>Katni (Area 3)</t>
  </si>
  <si>
    <t>Katni (Area 4)</t>
  </si>
  <si>
    <t>Katni (Area 5)</t>
  </si>
  <si>
    <t>Katni (Area 6)</t>
  </si>
  <si>
    <t>Khandwa</t>
  </si>
  <si>
    <t>Khandwa (Area 1)</t>
  </si>
  <si>
    <t>Khandwa (Area 2)</t>
  </si>
  <si>
    <t>Khandwa (Area 3)</t>
  </si>
  <si>
    <t>Khandwa (Area 4)</t>
  </si>
  <si>
    <t>Khandwa (Area 5)</t>
  </si>
  <si>
    <t>Khandwa (Area 6)</t>
  </si>
  <si>
    <t>Khargone</t>
  </si>
  <si>
    <t>Khargone (Area 1)</t>
  </si>
  <si>
    <t>Khargone (Area 2)</t>
  </si>
  <si>
    <t>Khargone (Area 3)</t>
  </si>
  <si>
    <t>Khargone (Area 4)</t>
  </si>
  <si>
    <t>Khargone (Area 5)</t>
  </si>
  <si>
    <t>Khargone (Area 6)</t>
  </si>
  <si>
    <t>Mandla</t>
  </si>
  <si>
    <t>Mandla (Area 1)</t>
  </si>
  <si>
    <t>Mandla (Area 2)</t>
  </si>
  <si>
    <t>Mandla (Area 3)</t>
  </si>
  <si>
    <t>Mandla (Area 4)</t>
  </si>
  <si>
    <t>Mandla (Area 5)</t>
  </si>
  <si>
    <t>Mandla (Area 6)</t>
  </si>
  <si>
    <t>Mandsaur</t>
  </si>
  <si>
    <t>Mandsaur (Area 1)</t>
  </si>
  <si>
    <t>Mandsaur (Area 2)</t>
  </si>
  <si>
    <t>Mandsaur (Area 3)</t>
  </si>
  <si>
    <t>Mandsaur (Area 4)</t>
  </si>
  <si>
    <t>Mandsaur (Area 5)</t>
  </si>
  <si>
    <t>Mandsaur (Area 6)</t>
  </si>
  <si>
    <t>Morena</t>
  </si>
  <si>
    <t>Morena (Area 1)</t>
  </si>
  <si>
    <t>Morena (Area 2)</t>
  </si>
  <si>
    <t>Morena (Area 3)</t>
  </si>
  <si>
    <t>Morena (Area 4)</t>
  </si>
  <si>
    <t>Morena (Area 5)</t>
  </si>
  <si>
    <t>Morena (Area 6)</t>
  </si>
  <si>
    <t>Narsinghpur</t>
  </si>
  <si>
    <t>Narsinghpur (Area 1)</t>
  </si>
  <si>
    <t>Narsinghpur (Area 2)</t>
  </si>
  <si>
    <t>Narsinghpur (Area 3)</t>
  </si>
  <si>
    <t>Narsinghpur (Area 4)</t>
  </si>
  <si>
    <t>Narsinghpur (Area 5)</t>
  </si>
  <si>
    <t>Narsinghpur (Area 6)</t>
  </si>
  <si>
    <t>Neemuch</t>
  </si>
  <si>
    <t>Neemuch (Area 1)</t>
  </si>
  <si>
    <t>Neemuch (Area 2)</t>
  </si>
  <si>
    <t>Neemuch (Area 3)</t>
  </si>
  <si>
    <t>Neemuch (Area 4)</t>
  </si>
  <si>
    <t>Neemuch (Area 5)</t>
  </si>
  <si>
    <t>Neemuch (Area 6)</t>
  </si>
  <si>
    <t>Panna</t>
  </si>
  <si>
    <t>Panna (Area 1)</t>
  </si>
  <si>
    <t>Panna (Area 2)</t>
  </si>
  <si>
    <t>Panna (Area 3)</t>
  </si>
  <si>
    <t>Panna (Area 4)</t>
  </si>
  <si>
    <t>Panna (Area 5)</t>
  </si>
  <si>
    <t>Panna (Area 6)</t>
  </si>
  <si>
    <t>Raisen</t>
  </si>
  <si>
    <t>Raisen (Area 1)</t>
  </si>
  <si>
    <t>Raisen (Area 2)</t>
  </si>
  <si>
    <t>Raisen (Area 3)</t>
  </si>
  <si>
    <t>Raisen (Area 4)</t>
  </si>
  <si>
    <t>Raisen (Area 5)</t>
  </si>
  <si>
    <t>Raisen (Area 6)</t>
  </si>
  <si>
    <t>Rajgarh</t>
  </si>
  <si>
    <t>Rajgarh (Area 1)</t>
  </si>
  <si>
    <t>Rajgarh (Area 2)</t>
  </si>
  <si>
    <t>Rajgarh (Area 3)</t>
  </si>
  <si>
    <t>Rajgarh (Area 4)</t>
  </si>
  <si>
    <t>Rajgarh (Area 5)</t>
  </si>
  <si>
    <t>Rajgarh (Area 6)</t>
  </si>
  <si>
    <t>Ratlam</t>
  </si>
  <si>
    <t>Ratlam (Area 1)</t>
  </si>
  <si>
    <t>Ratlam (Area 2)</t>
  </si>
  <si>
    <t>Ratlam (Area 3)</t>
  </si>
  <si>
    <t>Ratlam (Area 4)</t>
  </si>
  <si>
    <t>Ratlam (Area 5)</t>
  </si>
  <si>
    <t>Ratlam (Area 6)</t>
  </si>
  <si>
    <t>Rewa</t>
  </si>
  <si>
    <t>Rewa (Area 1)</t>
  </si>
  <si>
    <t>Rewa (Area 2)</t>
  </si>
  <si>
    <t>Rewa (Area 3)</t>
  </si>
  <si>
    <t>Rewa (Area 4)</t>
  </si>
  <si>
    <t>Rewa (Area 5)</t>
  </si>
  <si>
    <t>Rewa (Area 6)</t>
  </si>
  <si>
    <t>Sagar</t>
  </si>
  <si>
    <t>Sagar (Area 1)</t>
  </si>
  <si>
    <t>Sagar (Area 2)</t>
  </si>
  <si>
    <t>Sagar (Area 3)</t>
  </si>
  <si>
    <t>Sagar (Area 4)</t>
  </si>
  <si>
    <t>Sagar (Area 5)</t>
  </si>
  <si>
    <t>Sagar (Area 6)</t>
  </si>
  <si>
    <t>Satna</t>
  </si>
  <si>
    <t>Satna (Area 1)</t>
  </si>
  <si>
    <t>Satna (Area 2)</t>
  </si>
  <si>
    <t>Satna (Area 3)</t>
  </si>
  <si>
    <t>Satna (Area 4)</t>
  </si>
  <si>
    <t>Satna (Area 5)</t>
  </si>
  <si>
    <t>Satna (Area 6)</t>
  </si>
  <si>
    <t>Sehore</t>
  </si>
  <si>
    <t>Sehore (Area 1)</t>
  </si>
  <si>
    <t>Sehore (Area 2)</t>
  </si>
  <si>
    <t>Sehore (Area 3)</t>
  </si>
  <si>
    <t>Sehore (Area 4)</t>
  </si>
  <si>
    <t>Sehore (Area 5)</t>
  </si>
  <si>
    <t>Sehore (Area 6)</t>
  </si>
  <si>
    <t>Seoni</t>
  </si>
  <si>
    <t>Seoni (Area 1)</t>
  </si>
  <si>
    <t>Seoni (Area 2)</t>
  </si>
  <si>
    <t>Seoni (Area 3)</t>
  </si>
  <si>
    <t>Seoni (Area 4)</t>
  </si>
  <si>
    <t>Seoni (Area 5)</t>
  </si>
  <si>
    <t>Seoni (Area 6)</t>
  </si>
  <si>
    <t>Shahdol</t>
  </si>
  <si>
    <t>Shahdol (Area 1)</t>
  </si>
  <si>
    <t>Shahdol (Area 2)</t>
  </si>
  <si>
    <t>Shahdol (Area 3)</t>
  </si>
  <si>
    <t>Shahdol (Area 4)</t>
  </si>
  <si>
    <t>Shahdol (Area 5)</t>
  </si>
  <si>
    <t>Shahdol (Area 6)</t>
  </si>
  <si>
    <t>Shajapur</t>
  </si>
  <si>
    <t>Shajapur (Area 1)</t>
  </si>
  <si>
    <t>Shajapur (Area 2)</t>
  </si>
  <si>
    <t>Shajapur (Area 3)</t>
  </si>
  <si>
    <t>Shajapur (Area 4)</t>
  </si>
  <si>
    <t>Shajapur (Area 5)</t>
  </si>
  <si>
    <t>Shajapur (Area 6)</t>
  </si>
  <si>
    <t>Sheopur</t>
  </si>
  <si>
    <t>Sheopur (Area 1)</t>
  </si>
  <si>
    <t>Sheopur (Area 2)</t>
  </si>
  <si>
    <t>Sheopur (Area 3)</t>
  </si>
  <si>
    <t>Sheopur (Area 4)</t>
  </si>
  <si>
    <t>Sheopur (Area 5)</t>
  </si>
  <si>
    <t>Sheopur (Area 6)</t>
  </si>
  <si>
    <t>Shivpuri</t>
  </si>
  <si>
    <t>Shivpuri (Area 1)</t>
  </si>
  <si>
    <t>Shivpuri (Area 2)</t>
  </si>
  <si>
    <t>Shivpuri (Area 3)</t>
  </si>
  <si>
    <t>Shivpuri (Area 4)</t>
  </si>
  <si>
    <t>Shivpuri (Area 5)</t>
  </si>
  <si>
    <t>Shivpuri (Area 6)</t>
  </si>
  <si>
    <t>Sidhi</t>
  </si>
  <si>
    <t>Sidhi (Area 1)</t>
  </si>
  <si>
    <t>Sidhi (Area 2)</t>
  </si>
  <si>
    <t>Sidhi (Area 3)</t>
  </si>
  <si>
    <t>Sidhi (Area 4)</t>
  </si>
  <si>
    <t>Sidhi (Area 5)</t>
  </si>
  <si>
    <t>Sidhi (Area 6)</t>
  </si>
  <si>
    <t>Singrauli</t>
  </si>
  <si>
    <t>Singrauli (Area 1)</t>
  </si>
  <si>
    <t>Singrauli (Area 2)</t>
  </si>
  <si>
    <t>Singrauli (Area 3)</t>
  </si>
  <si>
    <t>Singrauli (Area 4)</t>
  </si>
  <si>
    <t>Singrauli (Area 5)</t>
  </si>
  <si>
    <t>Singrauli (Area 6)</t>
  </si>
  <si>
    <t>Tikamgarh</t>
  </si>
  <si>
    <t>Tikamgarh (Area 1)</t>
  </si>
  <si>
    <t>Tikamgarh (Area 2)</t>
  </si>
  <si>
    <t>Tikamgarh (Area 3)</t>
  </si>
  <si>
    <t>Tikamgarh (Area 4)</t>
  </si>
  <si>
    <t>Tikamgarh (Area 5)</t>
  </si>
  <si>
    <t>Tikamgarh (Area 6)</t>
  </si>
  <si>
    <t>Ujjain</t>
  </si>
  <si>
    <t>Ujjain (Area 1)</t>
  </si>
  <si>
    <t>Ujjain (Area 2)</t>
  </si>
  <si>
    <t>Ujjain (Area 3)</t>
  </si>
  <si>
    <t>Ujjain (Area 4)</t>
  </si>
  <si>
    <t>Ujjain (Area 5)</t>
  </si>
  <si>
    <t>Ujjain (Area 6)</t>
  </si>
  <si>
    <t>Umaria</t>
  </si>
  <si>
    <t>Umaria (Area 1)</t>
  </si>
  <si>
    <t>Umaria (Area 2)</t>
  </si>
  <si>
    <t>Umaria (Area 3)</t>
  </si>
  <si>
    <t>Umaria (Area 4)</t>
  </si>
  <si>
    <t>Umaria (Area 5)</t>
  </si>
  <si>
    <t>Umaria (Area 6)</t>
  </si>
  <si>
    <t>Vidisha</t>
  </si>
  <si>
    <t>Vidisha (Area 1)</t>
  </si>
  <si>
    <t>Vidisha (Area 2)</t>
  </si>
  <si>
    <t>Vidisha (Area 3)</t>
  </si>
  <si>
    <t>Vidisha (Area 4)</t>
  </si>
  <si>
    <t>Vidisha (Area 5)</t>
  </si>
  <si>
    <t>Vidisha (Area 6)</t>
  </si>
  <si>
    <t>Maharashtra</t>
  </si>
  <si>
    <t>Ahmednagar</t>
  </si>
  <si>
    <t>Ahmednagar (Area 1)</t>
  </si>
  <si>
    <t>Ahmednagar (Area 2)</t>
  </si>
  <si>
    <t>Ahmednagar (Area 3)</t>
  </si>
  <si>
    <t>Ahmednagar (Area 4)</t>
  </si>
  <si>
    <t>Ahmednagar (Area 5)</t>
  </si>
  <si>
    <t>Ahmednagar (Area 6)</t>
  </si>
  <si>
    <t>Akola</t>
  </si>
  <si>
    <t>Akola (Area 1)</t>
  </si>
  <si>
    <t>Akola (Area 2)</t>
  </si>
  <si>
    <t>Akola (Area 3)</t>
  </si>
  <si>
    <t>Akola (Area 4)</t>
  </si>
  <si>
    <t>Akola (Area 5)</t>
  </si>
  <si>
    <t>Akola (Area 6)</t>
  </si>
  <si>
    <t>Amravati</t>
  </si>
  <si>
    <t>Amravati (Area 1)</t>
  </si>
  <si>
    <t>Amravati (Area 2)</t>
  </si>
  <si>
    <t>Amravati (Area 3)</t>
  </si>
  <si>
    <t>Amravati (Area 4)</t>
  </si>
  <si>
    <t>Amravati (Area 5)</t>
  </si>
  <si>
    <t>Amravati (Area 6)</t>
  </si>
  <si>
    <t>Beed</t>
  </si>
  <si>
    <t>Beed (Area 1)</t>
  </si>
  <si>
    <t>Beed (Area 2)</t>
  </si>
  <si>
    <t>Beed (Area 3)</t>
  </si>
  <si>
    <t>Beed (Area 4)</t>
  </si>
  <si>
    <t>Beed (Area 5)</t>
  </si>
  <si>
    <t>Beed (Area 6)</t>
  </si>
  <si>
    <t>Bhandara</t>
  </si>
  <si>
    <t>Bhandara (Area 1)</t>
  </si>
  <si>
    <t>Bhandara (Area 2)</t>
  </si>
  <si>
    <t>Bhandara (Area 3)</t>
  </si>
  <si>
    <t>Bhandara (Area 4)</t>
  </si>
  <si>
    <t>Bhandara (Area 5)</t>
  </si>
  <si>
    <t>Bhandara (Area 6)</t>
  </si>
  <si>
    <t>Buldhana</t>
  </si>
  <si>
    <t>Buldhana (Area 1)</t>
  </si>
  <si>
    <t>Buldhana (Area 2)</t>
  </si>
  <si>
    <t>Buldhana (Area 3)</t>
  </si>
  <si>
    <t>Buldhana (Area 4)</t>
  </si>
  <si>
    <t>Buldhana (Area 5)</t>
  </si>
  <si>
    <t>Buldhana (Area 6)</t>
  </si>
  <si>
    <t>Chandrapur</t>
  </si>
  <si>
    <t>Chandrapur (Area 1)</t>
  </si>
  <si>
    <t>Chandrapur (Area 2)</t>
  </si>
  <si>
    <t>Chandrapur (Area 3)</t>
  </si>
  <si>
    <t>Chandrapur (Area 4)</t>
  </si>
  <si>
    <t>Chandrapur (Area 5)</t>
  </si>
  <si>
    <t>Chandrapur (Area 6)</t>
  </si>
  <si>
    <t>Dhule</t>
  </si>
  <si>
    <t>Dhule (Area 1)</t>
  </si>
  <si>
    <t>Dhule (Area 2)</t>
  </si>
  <si>
    <t>Dhule (Area 3)</t>
  </si>
  <si>
    <t>Dhule (Area 4)</t>
  </si>
  <si>
    <t>Dhule (Area 5)</t>
  </si>
  <si>
    <t>Dhule (Area 6)</t>
  </si>
  <si>
    <t>Gadchiroli</t>
  </si>
  <si>
    <t>Gadchiroli (Area 1)</t>
  </si>
  <si>
    <t>Gadchiroli (Area 2)</t>
  </si>
  <si>
    <t>Gadchiroli (Area 3)</t>
  </si>
  <si>
    <t>Gadchiroli (Area 4)</t>
  </si>
  <si>
    <t>Gadchiroli (Area 5)</t>
  </si>
  <si>
    <t>Gadchiroli (Area 6)</t>
  </si>
  <si>
    <t>Gondia</t>
  </si>
  <si>
    <t>Gondia (Area 1)</t>
  </si>
  <si>
    <t>Gondia (Area 2)</t>
  </si>
  <si>
    <t>Gondia (Area 3)</t>
  </si>
  <si>
    <t>Gondia (Area 4)</t>
  </si>
  <si>
    <t>Gondia (Area 5)</t>
  </si>
  <si>
    <t>Gondia (Area 6)</t>
  </si>
  <si>
    <t>Hingoli</t>
  </si>
  <si>
    <t>Hingoli (Area 1)</t>
  </si>
  <si>
    <t>Hingoli (Area 2)</t>
  </si>
  <si>
    <t>Hingoli (Area 3)</t>
  </si>
  <si>
    <t>Hingoli (Area 4)</t>
  </si>
  <si>
    <t>Hingoli (Area 5)</t>
  </si>
  <si>
    <t>Hingoli (Area 6)</t>
  </si>
  <si>
    <t>Jalgaon</t>
  </si>
  <si>
    <t>Jalgaon (Area 1)</t>
  </si>
  <si>
    <t>Jalgaon (Area 2)</t>
  </si>
  <si>
    <t>Jalgaon (Area 3)</t>
  </si>
  <si>
    <t>Jalgaon (Area 4)</t>
  </si>
  <si>
    <t>Jalgaon (Area 5)</t>
  </si>
  <si>
    <t>Jalgaon (Area 6)</t>
  </si>
  <si>
    <t>Jalna</t>
  </si>
  <si>
    <t>Jalna (Area 1)</t>
  </si>
  <si>
    <t>Jalna (Area 2)</t>
  </si>
  <si>
    <t>Jalna (Area 3)</t>
  </si>
  <si>
    <t>Jalna (Area 4)</t>
  </si>
  <si>
    <t>Jalna (Area 5)</t>
  </si>
  <si>
    <t>Jalna (Area 6)</t>
  </si>
  <si>
    <t>Kolhapur</t>
  </si>
  <si>
    <t>Kolhapur (Area 1)</t>
  </si>
  <si>
    <t>Kolhapur (Area 2)</t>
  </si>
  <si>
    <t>Kolhapur (Area 3)</t>
  </si>
  <si>
    <t>Kolhapur (Area 4)</t>
  </si>
  <si>
    <t>Kolhapur (Area 5)</t>
  </si>
  <si>
    <t>Kolhapur (Area 6)</t>
  </si>
  <si>
    <t>Latur</t>
  </si>
  <si>
    <t>Latur (Area 1)</t>
  </si>
  <si>
    <t>Latur (Area 2)</t>
  </si>
  <si>
    <t>Latur (Area 3)</t>
  </si>
  <si>
    <t>Latur (Area 4)</t>
  </si>
  <si>
    <t>Latur (Area 5)</t>
  </si>
  <si>
    <t>Latur (Area 6)</t>
  </si>
  <si>
    <t>Mumbai City</t>
  </si>
  <si>
    <t>Mumbai City (Area 1)</t>
  </si>
  <si>
    <t>Mumbai City (Area 2)</t>
  </si>
  <si>
    <t>Mumbai City (Area 3)</t>
  </si>
  <si>
    <t>Mumbai City (Area 4)</t>
  </si>
  <si>
    <t>Mumbai City (Area 5)</t>
  </si>
  <si>
    <t>Mumbai City (Area 6)</t>
  </si>
  <si>
    <t>Mumbai Suburban</t>
  </si>
  <si>
    <t>Mumbai Suburban (Area 1)</t>
  </si>
  <si>
    <t>Mumbai Suburban (Area 2)</t>
  </si>
  <si>
    <t>Mumbai Suburban (Area 3)</t>
  </si>
  <si>
    <t>Mumbai Suburban (Area 4)</t>
  </si>
  <si>
    <t>Mumbai Suburban (Area 5)</t>
  </si>
  <si>
    <t>Mumbai Suburban (Area 6)</t>
  </si>
  <si>
    <t>Nagpur</t>
  </si>
  <si>
    <t>Nagpur (Area 1)</t>
  </si>
  <si>
    <t>Nagpur (Area 2)</t>
  </si>
  <si>
    <t>Nagpur (Area 3)</t>
  </si>
  <si>
    <t>Nagpur (Area 4)</t>
  </si>
  <si>
    <t>Nagpur (Area 5)</t>
  </si>
  <si>
    <t>Nagpur (Area 6)</t>
  </si>
  <si>
    <t>Nanded</t>
  </si>
  <si>
    <t>Nanded (Area 1)</t>
  </si>
  <si>
    <t>Nanded (Area 2)</t>
  </si>
  <si>
    <t>Nanded (Area 3)</t>
  </si>
  <si>
    <t>Nanded (Area 4)</t>
  </si>
  <si>
    <t>Nanded (Area 5)</t>
  </si>
  <si>
    <t>Nanded (Area 6)</t>
  </si>
  <si>
    <t>Nandurbar</t>
  </si>
  <si>
    <t>Nandurbar (Area 1)</t>
  </si>
  <si>
    <t>Nandurbar (Area 2)</t>
  </si>
  <si>
    <t>Nandurbar (Area 3)</t>
  </si>
  <si>
    <t>Nandurbar (Area 4)</t>
  </si>
  <si>
    <t>Nandurbar (Area 5)</t>
  </si>
  <si>
    <t>Nandurbar (Area 6)</t>
  </si>
  <si>
    <t>Nashik</t>
  </si>
  <si>
    <t>Nashik (Area 1)</t>
  </si>
  <si>
    <t>Nashik (Area 2)</t>
  </si>
  <si>
    <t>Nashik (Area 3)</t>
  </si>
  <si>
    <t>Nashik (Area 4)</t>
  </si>
  <si>
    <t>Nashik (Area 5)</t>
  </si>
  <si>
    <t>Nashik (Area 6)</t>
  </si>
  <si>
    <t>Osmanabad</t>
  </si>
  <si>
    <t>Osmanabad (Area 1)</t>
  </si>
  <si>
    <t>Osmanabad (Area 2)</t>
  </si>
  <si>
    <t>Osmanabad (Area 3)</t>
  </si>
  <si>
    <t>Osmanabad (Area 4)</t>
  </si>
  <si>
    <t>Osmanabad (Area 5)</t>
  </si>
  <si>
    <t>Osmanabad (Area 6)</t>
  </si>
  <si>
    <t>Palghar</t>
  </si>
  <si>
    <t>Palghar (Area 1)</t>
  </si>
  <si>
    <t>Palghar (Area 2)</t>
  </si>
  <si>
    <t>Palghar (Area 3)</t>
  </si>
  <si>
    <t>Palghar (Area 4)</t>
  </si>
  <si>
    <t>Palghar (Area 5)</t>
  </si>
  <si>
    <t>Palghar (Area 6)</t>
  </si>
  <si>
    <t>Parbhani</t>
  </si>
  <si>
    <t>Parbhani (Area 1)</t>
  </si>
  <si>
    <t>Parbhani (Area 2)</t>
  </si>
  <si>
    <t>Parbhani (Area 3)</t>
  </si>
  <si>
    <t>Parbhani (Area 4)</t>
  </si>
  <si>
    <t>Parbhani (Area 5)</t>
  </si>
  <si>
    <t>Parbhani (Area 6)</t>
  </si>
  <si>
    <t>Pune</t>
  </si>
  <si>
    <t>Pune (Area 1)</t>
  </si>
  <si>
    <t>Pune (Area 2)</t>
  </si>
  <si>
    <t>Pune (Area 3)</t>
  </si>
  <si>
    <t>Pune (Area 4)</t>
  </si>
  <si>
    <t>Pune (Area 5)</t>
  </si>
  <si>
    <t>Pune (Area 6)</t>
  </si>
  <si>
    <t>Raigad</t>
  </si>
  <si>
    <t>Raigad (Area 1)</t>
  </si>
  <si>
    <t>Raigad (Area 2)</t>
  </si>
  <si>
    <t>Raigad (Area 3)</t>
  </si>
  <si>
    <t>Raigad (Area 4)</t>
  </si>
  <si>
    <t>Raigad (Area 5)</t>
  </si>
  <si>
    <t>Raigad (Area 6)</t>
  </si>
  <si>
    <t>Ratnagiri</t>
  </si>
  <si>
    <t>Ratnagiri (Area 1)</t>
  </si>
  <si>
    <t>Ratnagiri (Area 2)</t>
  </si>
  <si>
    <t>Ratnagiri (Area 3)</t>
  </si>
  <si>
    <t>Ratnagiri (Area 4)</t>
  </si>
  <si>
    <t>Ratnagiri (Area 5)</t>
  </si>
  <si>
    <t>Ratnagiri (Area 6)</t>
  </si>
  <si>
    <t>Sangli</t>
  </si>
  <si>
    <t>Sangli (Area 1)</t>
  </si>
  <si>
    <t>Sangli (Area 2)</t>
  </si>
  <si>
    <t>Sangli (Area 3)</t>
  </si>
  <si>
    <t>Sangli (Area 4)</t>
  </si>
  <si>
    <t>Sangli (Area 5)</t>
  </si>
  <si>
    <t>Sangli (Area 6)</t>
  </si>
  <si>
    <t>Satara</t>
  </si>
  <si>
    <t>Satara (Area 1)</t>
  </si>
  <si>
    <t>Satara (Area 2)</t>
  </si>
  <si>
    <t>Satara (Area 3)</t>
  </si>
  <si>
    <t>Satara (Area 4)</t>
  </si>
  <si>
    <t>Satara (Area 5)</t>
  </si>
  <si>
    <t>Satara (Area 6)</t>
  </si>
  <si>
    <t>Sindhudurg</t>
  </si>
  <si>
    <t>Sindhudurg (Area 1)</t>
  </si>
  <si>
    <t>Sindhudurg (Area 2)</t>
  </si>
  <si>
    <t>Sindhudurg (Area 3)</t>
  </si>
  <si>
    <t>Sindhudurg (Area 4)</t>
  </si>
  <si>
    <t>Sindhudurg (Area 5)</t>
  </si>
  <si>
    <t>Sindhudurg (Area 6)</t>
  </si>
  <si>
    <t>Solapur</t>
  </si>
  <si>
    <t>Solapur (Area 1)</t>
  </si>
  <si>
    <t>Solapur (Area 2)</t>
  </si>
  <si>
    <t>Solapur (Area 3)</t>
  </si>
  <si>
    <t>Solapur (Area 4)</t>
  </si>
  <si>
    <t>Solapur (Area 5)</t>
  </si>
  <si>
    <t>Solapur (Area 6)</t>
  </si>
  <si>
    <t>Thane</t>
  </si>
  <si>
    <t>Thane (Area 1)</t>
  </si>
  <si>
    <t>Thane (Area 2)</t>
  </si>
  <si>
    <t>Thane (Area 3)</t>
  </si>
  <si>
    <t>Thane (Area 4)</t>
  </si>
  <si>
    <t>Thane (Area 5)</t>
  </si>
  <si>
    <t>Thane (Area 6)</t>
  </si>
  <si>
    <t>Wardha</t>
  </si>
  <si>
    <t>Wardha (Area 1)</t>
  </si>
  <si>
    <t>Wardha (Area 2)</t>
  </si>
  <si>
    <t>Wardha (Area 3)</t>
  </si>
  <si>
    <t>Wardha (Area 4)</t>
  </si>
  <si>
    <t>Wardha (Area 5)</t>
  </si>
  <si>
    <t>Wardha (Area 6)</t>
  </si>
  <si>
    <t>Washim</t>
  </si>
  <si>
    <t>Washim (Area 1)</t>
  </si>
  <si>
    <t>Washim (Area 2)</t>
  </si>
  <si>
    <t>Washim (Area 3)</t>
  </si>
  <si>
    <t>Washim (Area 4)</t>
  </si>
  <si>
    <t>Washim (Area 5)</t>
  </si>
  <si>
    <t>Washim (Area 6)</t>
  </si>
  <si>
    <t>Yavatmal</t>
  </si>
  <si>
    <t>Yavatmal (Area 1)</t>
  </si>
  <si>
    <t>Yavatmal (Area 2)</t>
  </si>
  <si>
    <t>Yavatmal (Area 3)</t>
  </si>
  <si>
    <t>Yavatmal (Area 4)</t>
  </si>
  <si>
    <t>Yavatmal (Area 5)</t>
  </si>
  <si>
    <t>Yavatmal (Area 6)</t>
  </si>
  <si>
    <t>Manipur</t>
  </si>
  <si>
    <t>Bishnupur</t>
  </si>
  <si>
    <t>Bishnupur (Area 1)</t>
  </si>
  <si>
    <t>Bishnupur (Area 2)</t>
  </si>
  <si>
    <t>Bishnupur (Area 3)</t>
  </si>
  <si>
    <t>Bishnupur (Area 4)</t>
  </si>
  <si>
    <t>Bishnupur (Area 5)</t>
  </si>
  <si>
    <t>Bishnupur (Area 6)</t>
  </si>
  <si>
    <t>Chandel</t>
  </si>
  <si>
    <t>Chandel (Area 1)</t>
  </si>
  <si>
    <t>Chandel (Area 2)</t>
  </si>
  <si>
    <t>Chandel (Area 3)</t>
  </si>
  <si>
    <t>Chandel (Area 4)</t>
  </si>
  <si>
    <t>Chandel (Area 5)</t>
  </si>
  <si>
    <t>Chandel (Area 6)</t>
  </si>
  <si>
    <t>Churachandpur</t>
  </si>
  <si>
    <t>Churachandpur (Area 1)</t>
  </si>
  <si>
    <t>Churachandpur (Area 2)</t>
  </si>
  <si>
    <t>Churachandpur (Area 3)</t>
  </si>
  <si>
    <t>Churachandpur (Area 4)</t>
  </si>
  <si>
    <t>Churachandpur (Area 5)</t>
  </si>
  <si>
    <t>Churachandpur (Area 6)</t>
  </si>
  <si>
    <t>Imphal East</t>
  </si>
  <si>
    <t>Imphal East (Area 1)</t>
  </si>
  <si>
    <t>Imphal East (Area 2)</t>
  </si>
  <si>
    <t>Imphal East (Area 3)</t>
  </si>
  <si>
    <t>Imphal East (Area 4)</t>
  </si>
  <si>
    <t>Imphal East (Area 5)</t>
  </si>
  <si>
    <t>Imphal East (Area 6)</t>
  </si>
  <si>
    <t>Imphal West</t>
  </si>
  <si>
    <t>Imphal West (Area 1)</t>
  </si>
  <si>
    <t>Imphal West (Area 2)</t>
  </si>
  <si>
    <t>Imphal West (Area 3)</t>
  </si>
  <si>
    <t>Imphal West (Area 4)</t>
  </si>
  <si>
    <t>Imphal West (Area 5)</t>
  </si>
  <si>
    <t>Imphal West (Area 6)</t>
  </si>
  <si>
    <t>Jiribam</t>
  </si>
  <si>
    <t>Jiribam (Area 1)</t>
  </si>
  <si>
    <t>Jiribam (Area 2)</t>
  </si>
  <si>
    <t>Jiribam (Area 3)</t>
  </si>
  <si>
    <t>Jiribam (Area 4)</t>
  </si>
  <si>
    <t>Jiribam (Area 5)</t>
  </si>
  <si>
    <t>Jiribam (Area 6)</t>
  </si>
  <si>
    <t>Kakching</t>
  </si>
  <si>
    <t>Kakching (Area 1)</t>
  </si>
  <si>
    <t>Kakching (Area 2)</t>
  </si>
  <si>
    <t>Kakching (Area 3)</t>
  </si>
  <si>
    <t>Kakching (Area 4)</t>
  </si>
  <si>
    <t>Kakching (Area 5)</t>
  </si>
  <si>
    <t>Kakching (Area 6)</t>
  </si>
  <si>
    <t>Kamjong</t>
  </si>
  <si>
    <t>Kamjong (Area 1)</t>
  </si>
  <si>
    <t>Kamjong (Area 2)</t>
  </si>
  <si>
    <t>Kamjong (Area 3)</t>
  </si>
  <si>
    <t>Kamjong (Area 4)</t>
  </si>
  <si>
    <t>Kamjong (Area 5)</t>
  </si>
  <si>
    <t>Kamjong (Area 6)</t>
  </si>
  <si>
    <t>Kangpokpi</t>
  </si>
  <si>
    <t>Kangpokpi (Area 1)</t>
  </si>
  <si>
    <t>Kangpokpi (Area 2)</t>
  </si>
  <si>
    <t>Kangpokpi (Area 3)</t>
  </si>
  <si>
    <t>Kangpokpi (Area 4)</t>
  </si>
  <si>
    <t>Kangpokpi (Area 5)</t>
  </si>
  <si>
    <t>Kangpokpi (Area 6)</t>
  </si>
  <si>
    <t>Noney</t>
  </si>
  <si>
    <t>Noney (Area 1)</t>
  </si>
  <si>
    <t>Noney (Area 2)</t>
  </si>
  <si>
    <t>Noney (Area 3)</t>
  </si>
  <si>
    <t>Noney (Area 4)</t>
  </si>
  <si>
    <t>Noney (Area 5)</t>
  </si>
  <si>
    <t>Noney (Area 6)</t>
  </si>
  <si>
    <t>Pherzawl</t>
  </si>
  <si>
    <t>Pherzawl (Area 1)</t>
  </si>
  <si>
    <t>Pherzawl (Area 2)</t>
  </si>
  <si>
    <t>Pherzawl (Area 3)</t>
  </si>
  <si>
    <t>Pherzawl (Area 4)</t>
  </si>
  <si>
    <t>Pherzawl (Area 5)</t>
  </si>
  <si>
    <t>Pherzawl (Area 6)</t>
  </si>
  <si>
    <t>Senapati</t>
  </si>
  <si>
    <t>Senapati (Area 1)</t>
  </si>
  <si>
    <t>Senapati (Area 2)</t>
  </si>
  <si>
    <t>Senapati (Area 3)</t>
  </si>
  <si>
    <t>Senapati (Area 4)</t>
  </si>
  <si>
    <t>Senapati (Area 5)</t>
  </si>
  <si>
    <t>Senapati (Area 6)</t>
  </si>
  <si>
    <t>Tamenglong</t>
  </si>
  <si>
    <t>Tamenglong (Area 1)</t>
  </si>
  <si>
    <t>Tamenglong (Area 2)</t>
  </si>
  <si>
    <t>Tamenglong (Area 3)</t>
  </si>
  <si>
    <t>Tamenglong (Area 4)</t>
  </si>
  <si>
    <t>Tamenglong (Area 5)</t>
  </si>
  <si>
    <t>Tamenglong (Area 6)</t>
  </si>
  <si>
    <t>Tengnoupal</t>
  </si>
  <si>
    <t>Tengnoupal (Area 1)</t>
  </si>
  <si>
    <t>Tengnoupal (Area 2)</t>
  </si>
  <si>
    <t>Tengnoupal (Area 3)</t>
  </si>
  <si>
    <t>Tengnoupal (Area 4)</t>
  </si>
  <si>
    <t>Tengnoupal (Area 5)</t>
  </si>
  <si>
    <t>Tengnoupal (Area 6)</t>
  </si>
  <si>
    <t>Thoubal</t>
  </si>
  <si>
    <t>Thoubal (Area 1)</t>
  </si>
  <si>
    <t>Thoubal (Area 2)</t>
  </si>
  <si>
    <t>Thoubal (Area 3)</t>
  </si>
  <si>
    <t>Thoubal (Area 4)</t>
  </si>
  <si>
    <t>Thoubal (Area 5)</t>
  </si>
  <si>
    <t>Thoubal (Area 6)</t>
  </si>
  <si>
    <t>Ukhrul</t>
  </si>
  <si>
    <t>Ukhrul (Area 1)</t>
  </si>
  <si>
    <t>Ukhrul (Area 2)</t>
  </si>
  <si>
    <t>Ukhrul (Area 3)</t>
  </si>
  <si>
    <t>Ukhrul (Area 4)</t>
  </si>
  <si>
    <t>Ukhrul (Area 5)</t>
  </si>
  <si>
    <t>Ukhrul (Area 6)</t>
  </si>
  <si>
    <t>Meghalaya</t>
  </si>
  <si>
    <t>East Garo Hills</t>
  </si>
  <si>
    <t>East Garo Hills (Area 1)</t>
  </si>
  <si>
    <t>East Garo Hills (Area 2)</t>
  </si>
  <si>
    <t>East Garo Hills (Area 3)</t>
  </si>
  <si>
    <t>East Garo Hills (Area 4)</t>
  </si>
  <si>
    <t>East Garo Hills (Area 5)</t>
  </si>
  <si>
    <t>East Garo Hills (Area 6)</t>
  </si>
  <si>
    <t>East Jaintia Hills</t>
  </si>
  <si>
    <t>East Jaintia Hills (Area 1)</t>
  </si>
  <si>
    <t>East Jaintia Hills (Area 2)</t>
  </si>
  <si>
    <t>East Jaintia Hills (Area 3)</t>
  </si>
  <si>
    <t>East Jaintia Hills (Area 4)</t>
  </si>
  <si>
    <t>East Jaintia Hills (Area 5)</t>
  </si>
  <si>
    <t>East Jaintia Hills (Area 6)</t>
  </si>
  <si>
    <t>East Khasi Hills</t>
  </si>
  <si>
    <t>East Khasi Hills (Area 1)</t>
  </si>
  <si>
    <t>East Khasi Hills (Area 2)</t>
  </si>
  <si>
    <t>East Khasi Hills (Area 3)</t>
  </si>
  <si>
    <t>East Khasi Hills (Area 4)</t>
  </si>
  <si>
    <t>East Khasi Hills (Area 5)</t>
  </si>
  <si>
    <t>East Khasi Hills (Area 6)</t>
  </si>
  <si>
    <t>North Garo Hills</t>
  </si>
  <si>
    <t>North Garo Hills (Area 1)</t>
  </si>
  <si>
    <t>North Garo Hills (Area 2)</t>
  </si>
  <si>
    <t>North Garo Hills (Area 3)</t>
  </si>
  <si>
    <t>North Garo Hills (Area 4)</t>
  </si>
  <si>
    <t>North Garo Hills (Area 5)</t>
  </si>
  <si>
    <t>North Garo Hills (Area 6)</t>
  </si>
  <si>
    <t>Ri Bhoi</t>
  </si>
  <si>
    <t>Ri Bhoi (Area 1)</t>
  </si>
  <si>
    <t>Ri Bhoi (Area 2)</t>
  </si>
  <si>
    <t>Ri Bhoi (Area 3)</t>
  </si>
  <si>
    <t>Ri Bhoi (Area 4)</t>
  </si>
  <si>
    <t>Ri Bhoi (Area 5)</t>
  </si>
  <si>
    <t>Ri Bhoi (Area 6)</t>
  </si>
  <si>
    <t>South Garo Hills</t>
  </si>
  <si>
    <t>South Garo Hills (Area 1)</t>
  </si>
  <si>
    <t>South Garo Hills (Area 2)</t>
  </si>
  <si>
    <t>South Garo Hills (Area 3)</t>
  </si>
  <si>
    <t>South Garo Hills (Area 4)</t>
  </si>
  <si>
    <t>South Garo Hills (Area 5)</t>
  </si>
  <si>
    <t>South Garo Hills (Area 6)</t>
  </si>
  <si>
    <t xml:space="preserve">South West Garo Hills </t>
  </si>
  <si>
    <t>South West Garo Hills  (Area 1)</t>
  </si>
  <si>
    <t>South West Garo Hills  (Area 2)</t>
  </si>
  <si>
    <t>South West Garo Hills  (Area 3)</t>
  </si>
  <si>
    <t>South West Garo Hills  (Area 4)</t>
  </si>
  <si>
    <t>South West Garo Hills  (Area 5)</t>
  </si>
  <si>
    <t>South West Garo Hills  (Area 6)</t>
  </si>
  <si>
    <t>South West Khasi Hills</t>
  </si>
  <si>
    <t>South West Khasi Hills (Area 1)</t>
  </si>
  <si>
    <t>South West Khasi Hills (Area 2)</t>
  </si>
  <si>
    <t>South West Khasi Hills (Area 3)</t>
  </si>
  <si>
    <t>South West Khasi Hills (Area 4)</t>
  </si>
  <si>
    <t>South West Khasi Hills (Area 5)</t>
  </si>
  <si>
    <t>South West Khasi Hills (Area 6)</t>
  </si>
  <si>
    <t>West Garo Hills</t>
  </si>
  <si>
    <t>West Garo Hills (Area 1)</t>
  </si>
  <si>
    <t>West Garo Hills (Area 2)</t>
  </si>
  <si>
    <t>West Garo Hills (Area 3)</t>
  </si>
  <si>
    <t>West Garo Hills (Area 4)</t>
  </si>
  <si>
    <t>West Garo Hills (Area 5)</t>
  </si>
  <si>
    <t>West Garo Hills (Area 6)</t>
  </si>
  <si>
    <t>West Jaintia Hills</t>
  </si>
  <si>
    <t>West Jaintia Hills (Area 1)</t>
  </si>
  <si>
    <t>West Jaintia Hills (Area 2)</t>
  </si>
  <si>
    <t>West Jaintia Hills (Area 3)</t>
  </si>
  <si>
    <t>West Jaintia Hills (Area 4)</t>
  </si>
  <si>
    <t>West Jaintia Hills (Area 5)</t>
  </si>
  <si>
    <t>West Jaintia Hills (Area 6)</t>
  </si>
  <si>
    <t>West Khasi Hills</t>
  </si>
  <si>
    <t>West Khasi Hills (Area 1)</t>
  </si>
  <si>
    <t>West Khasi Hills (Area 2)</t>
  </si>
  <si>
    <t>West Khasi Hills (Area 3)</t>
  </si>
  <si>
    <t>West Khasi Hills (Area 4)</t>
  </si>
  <si>
    <t>West Khasi Hills (Area 5)</t>
  </si>
  <si>
    <t>West Khasi Hills (Area 6)</t>
  </si>
  <si>
    <t>Mizoram</t>
  </si>
  <si>
    <t>Aizawl</t>
  </si>
  <si>
    <t>Aizawl (Area 1)</t>
  </si>
  <si>
    <t>Aizawl (Area 2)</t>
  </si>
  <si>
    <t>Aizawl (Area 3)</t>
  </si>
  <si>
    <t>Aizawl (Area 4)</t>
  </si>
  <si>
    <t>Aizawl (Area 5)</t>
  </si>
  <si>
    <t>Aizawl (Area 6)</t>
  </si>
  <si>
    <t>Champhai</t>
  </si>
  <si>
    <t>Champhai (Area 1)</t>
  </si>
  <si>
    <t>Champhai (Area 2)</t>
  </si>
  <si>
    <t>Champhai (Area 3)</t>
  </si>
  <si>
    <t>Champhai (Area 4)</t>
  </si>
  <si>
    <t>Champhai (Area 5)</t>
  </si>
  <si>
    <t>Champhai (Area 6)</t>
  </si>
  <si>
    <t>Kolasib</t>
  </si>
  <si>
    <t>Kolasib (Area 1)</t>
  </si>
  <si>
    <t>Kolasib (Area 2)</t>
  </si>
  <si>
    <t>Kolasib (Area 3)</t>
  </si>
  <si>
    <t>Kolasib (Area 4)</t>
  </si>
  <si>
    <t>Kolasib (Area 5)</t>
  </si>
  <si>
    <t>Kolasib (Area 6)</t>
  </si>
  <si>
    <t>Lawngtlai</t>
  </si>
  <si>
    <t>Lawngtlai (Area 1)</t>
  </si>
  <si>
    <t>Lawngtlai (Area 2)</t>
  </si>
  <si>
    <t>Lawngtlai (Area 3)</t>
  </si>
  <si>
    <t>Lawngtlai (Area 4)</t>
  </si>
  <si>
    <t>Lawngtlai (Area 5)</t>
  </si>
  <si>
    <t>Lawngtlai (Area 6)</t>
  </si>
  <si>
    <t>Lunglei</t>
  </si>
  <si>
    <t>Lunglei (Area 1)</t>
  </si>
  <si>
    <t>Lunglei (Area 2)</t>
  </si>
  <si>
    <t>Lunglei (Area 3)</t>
  </si>
  <si>
    <t>Lunglei (Area 4)</t>
  </si>
  <si>
    <t>Lunglei (Area 5)</t>
  </si>
  <si>
    <t>Lunglei (Area 6)</t>
  </si>
  <si>
    <t>Mamit</t>
  </si>
  <si>
    <t>Mamit (Area 1)</t>
  </si>
  <si>
    <t>Mamit (Area 2)</t>
  </si>
  <si>
    <t>Mamit (Area 3)</t>
  </si>
  <si>
    <t>Mamit (Area 4)</t>
  </si>
  <si>
    <t>Mamit (Area 5)</t>
  </si>
  <si>
    <t>Mamit (Area 6)</t>
  </si>
  <si>
    <t>Saiha</t>
  </si>
  <si>
    <t>Saiha (Area 1)</t>
  </si>
  <si>
    <t>Saiha (Area 2)</t>
  </si>
  <si>
    <t>Saiha (Area 3)</t>
  </si>
  <si>
    <t>Saiha (Area 4)</t>
  </si>
  <si>
    <t>Saiha (Area 5)</t>
  </si>
  <si>
    <t>Saiha (Area 6)</t>
  </si>
  <si>
    <t>Serchhip</t>
  </si>
  <si>
    <t>Serchhip (Area 1)</t>
  </si>
  <si>
    <t>Serchhip (Area 2)</t>
  </si>
  <si>
    <t>Serchhip (Area 3)</t>
  </si>
  <si>
    <t>Serchhip (Area 4)</t>
  </si>
  <si>
    <t>Serchhip (Area 5)</t>
  </si>
  <si>
    <t>Serchhip (Area 6)</t>
  </si>
  <si>
    <t>Nagaland</t>
  </si>
  <si>
    <t>Dimapur</t>
  </si>
  <si>
    <t>Dimapur (Area 1)</t>
  </si>
  <si>
    <t>Dimapur (Area 2)</t>
  </si>
  <si>
    <t>Dimapur (Area 3)</t>
  </si>
  <si>
    <t>Dimapur (Area 4)</t>
  </si>
  <si>
    <t>Dimapur (Area 5)</t>
  </si>
  <si>
    <t>Dimapur (Area 6)</t>
  </si>
  <si>
    <t>Kiphire</t>
  </si>
  <si>
    <t>Kiphire (Area 1)</t>
  </si>
  <si>
    <t>Kiphire (Area 2)</t>
  </si>
  <si>
    <t>Kiphire (Area 3)</t>
  </si>
  <si>
    <t>Kiphire (Area 4)</t>
  </si>
  <si>
    <t>Kiphire (Area 5)</t>
  </si>
  <si>
    <t>Kiphire (Area 6)</t>
  </si>
  <si>
    <t>Kohima</t>
  </si>
  <si>
    <t>Kohima (Area 1)</t>
  </si>
  <si>
    <t>Kohima (Area 2)</t>
  </si>
  <si>
    <t>Kohima (Area 3)</t>
  </si>
  <si>
    <t>Kohima (Area 4)</t>
  </si>
  <si>
    <t>Kohima (Area 5)</t>
  </si>
  <si>
    <t>Kohima (Area 6)</t>
  </si>
  <si>
    <t>Longleng</t>
  </si>
  <si>
    <t>Longleng (Area 1)</t>
  </si>
  <si>
    <t>Longleng (Area 2)</t>
  </si>
  <si>
    <t>Longleng (Area 3)</t>
  </si>
  <si>
    <t>Longleng (Area 4)</t>
  </si>
  <si>
    <t>Longleng (Area 5)</t>
  </si>
  <si>
    <t>Longleng (Area 6)</t>
  </si>
  <si>
    <t>Mokokchung</t>
  </si>
  <si>
    <t>Mokokchung (Area 1)</t>
  </si>
  <si>
    <t>Mokokchung (Area 2)</t>
  </si>
  <si>
    <t>Mokokchung (Area 3)</t>
  </si>
  <si>
    <t>Mokokchung (Area 4)</t>
  </si>
  <si>
    <t>Mokokchung (Area 5)</t>
  </si>
  <si>
    <t>Mokokchung (Area 6)</t>
  </si>
  <si>
    <t>Mon</t>
  </si>
  <si>
    <t>Mon (Area 1)</t>
  </si>
  <si>
    <t>Mon (Area 2)</t>
  </si>
  <si>
    <t>Mon (Area 3)</t>
  </si>
  <si>
    <t>Mon (Area 4)</t>
  </si>
  <si>
    <t>Mon (Area 5)</t>
  </si>
  <si>
    <t>Mon (Area 6)</t>
  </si>
  <si>
    <t>Peren</t>
  </si>
  <si>
    <t>Peren (Area 1)</t>
  </si>
  <si>
    <t>Peren (Area 2)</t>
  </si>
  <si>
    <t>Peren (Area 3)</t>
  </si>
  <si>
    <t>Peren (Area 4)</t>
  </si>
  <si>
    <t>Peren (Area 5)</t>
  </si>
  <si>
    <t>Peren (Area 6)</t>
  </si>
  <si>
    <t>Phek</t>
  </si>
  <si>
    <t>Phek (Area 1)</t>
  </si>
  <si>
    <t>Phek (Area 2)</t>
  </si>
  <si>
    <t>Phek (Area 3)</t>
  </si>
  <si>
    <t>Phek (Area 4)</t>
  </si>
  <si>
    <t>Phek (Area 5)</t>
  </si>
  <si>
    <t>Phek (Area 6)</t>
  </si>
  <si>
    <t>Tuensang</t>
  </si>
  <si>
    <t>Tuensang (Area 1)</t>
  </si>
  <si>
    <t>Tuensang (Area 2)</t>
  </si>
  <si>
    <t>Tuensang (Area 3)</t>
  </si>
  <si>
    <t>Tuensang (Area 4)</t>
  </si>
  <si>
    <t>Tuensang (Area 5)</t>
  </si>
  <si>
    <t>Tuensang (Area 6)</t>
  </si>
  <si>
    <t>Wokha</t>
  </si>
  <si>
    <t>Wokha (Area 1)</t>
  </si>
  <si>
    <t>Wokha (Area 2)</t>
  </si>
  <si>
    <t>Wokha (Area 3)</t>
  </si>
  <si>
    <t>Wokha (Area 4)</t>
  </si>
  <si>
    <t>Wokha (Area 5)</t>
  </si>
  <si>
    <t>Wokha (Area 6)</t>
  </si>
  <si>
    <t>Zunheboto</t>
  </si>
  <si>
    <t>Zunheboto (Area 1)</t>
  </si>
  <si>
    <t>Zunheboto (Area 2)</t>
  </si>
  <si>
    <t>Zunheboto (Area 3)</t>
  </si>
  <si>
    <t>Zunheboto (Area 4)</t>
  </si>
  <si>
    <t>Zunheboto (Area 5)</t>
  </si>
  <si>
    <t>Zunheboto (Area 6)</t>
  </si>
  <si>
    <t>Odisha</t>
  </si>
  <si>
    <t>Angul</t>
  </si>
  <si>
    <t>Angul (Area 1)</t>
  </si>
  <si>
    <t>Angul (Area 2)</t>
  </si>
  <si>
    <t>Angul (Area 3)</t>
  </si>
  <si>
    <t>Angul (Area 4)</t>
  </si>
  <si>
    <t>Angul (Area 5)</t>
  </si>
  <si>
    <t>Angul (Area 6)</t>
  </si>
  <si>
    <t>Balangir</t>
  </si>
  <si>
    <t>Balangir (Area 1)</t>
  </si>
  <si>
    <t>Balangir (Area 2)</t>
  </si>
  <si>
    <t>Balangir (Area 3)</t>
  </si>
  <si>
    <t>Balangir (Area 4)</t>
  </si>
  <si>
    <t>Balangir (Area 5)</t>
  </si>
  <si>
    <t>Balangir (Area 6)</t>
  </si>
  <si>
    <t>Balasore</t>
  </si>
  <si>
    <t>Balasore (Area 1)</t>
  </si>
  <si>
    <t>Balasore (Area 2)</t>
  </si>
  <si>
    <t>Balasore (Area 3)</t>
  </si>
  <si>
    <t>Balasore (Area 4)</t>
  </si>
  <si>
    <t>Balasore (Area 5)</t>
  </si>
  <si>
    <t>Balasore (Area 6)</t>
  </si>
  <si>
    <t>Bargarh</t>
  </si>
  <si>
    <t>Bargarh (Area 1)</t>
  </si>
  <si>
    <t>Bargarh (Area 2)</t>
  </si>
  <si>
    <t>Bargarh (Area 3)</t>
  </si>
  <si>
    <t>Bargarh (Area 4)</t>
  </si>
  <si>
    <t>Bargarh (Area 5)</t>
  </si>
  <si>
    <t>Bargarh (Area 6)</t>
  </si>
  <si>
    <t>Bhadrak</t>
  </si>
  <si>
    <t>Bhadrak (Area 1)</t>
  </si>
  <si>
    <t>Bhadrak (Area 2)</t>
  </si>
  <si>
    <t>Bhadrak (Area 3)</t>
  </si>
  <si>
    <t>Bhadrak (Area 4)</t>
  </si>
  <si>
    <t>Bhadrak (Area 5)</t>
  </si>
  <si>
    <t>Bhadrak (Area 6)</t>
  </si>
  <si>
    <t>Boudh</t>
  </si>
  <si>
    <t>Boudh (Area 1)</t>
  </si>
  <si>
    <t>Boudh (Area 2)</t>
  </si>
  <si>
    <t>Boudh (Area 3)</t>
  </si>
  <si>
    <t>Boudh (Area 4)</t>
  </si>
  <si>
    <t>Boudh (Area 5)</t>
  </si>
  <si>
    <t>Boudh (Area 6)</t>
  </si>
  <si>
    <t>Cuttack</t>
  </si>
  <si>
    <t>Cuttack (Area 1)</t>
  </si>
  <si>
    <t>Cuttack (Area 2)</t>
  </si>
  <si>
    <t>Cuttack (Area 3)</t>
  </si>
  <si>
    <t>Cuttack (Area 4)</t>
  </si>
  <si>
    <t>Cuttack (Area 5)</t>
  </si>
  <si>
    <t>Cuttack (Area 6)</t>
  </si>
  <si>
    <t>Deogarh</t>
  </si>
  <si>
    <t>Deogarh (Area 1)</t>
  </si>
  <si>
    <t>Deogarh (Area 2)</t>
  </si>
  <si>
    <t>Deogarh (Area 3)</t>
  </si>
  <si>
    <t>Deogarh (Area 4)</t>
  </si>
  <si>
    <t>Deogarh (Area 5)</t>
  </si>
  <si>
    <t>Deogarh (Area 6)</t>
  </si>
  <si>
    <t>Dhenkanal</t>
  </si>
  <si>
    <t>Dhenkanal (Area 1)</t>
  </si>
  <si>
    <t>Dhenkanal (Area 2)</t>
  </si>
  <si>
    <t>Dhenkanal (Area 3)</t>
  </si>
  <si>
    <t>Dhenkanal (Area 4)</t>
  </si>
  <si>
    <t>Dhenkanal (Area 5)</t>
  </si>
  <si>
    <t>Dhenkanal (Area 6)</t>
  </si>
  <si>
    <t>Gajapati</t>
  </si>
  <si>
    <t>Gajapati (Area 1)</t>
  </si>
  <si>
    <t>Gajapati (Area 2)</t>
  </si>
  <si>
    <t>Gajapati (Area 3)</t>
  </si>
  <si>
    <t>Gajapati (Area 4)</t>
  </si>
  <si>
    <t>Gajapati (Area 5)</t>
  </si>
  <si>
    <t>Gajapati (Area 6)</t>
  </si>
  <si>
    <t>Ganjam</t>
  </si>
  <si>
    <t>Ganjam (Area 1)</t>
  </si>
  <si>
    <t>Ganjam (Area 2)</t>
  </si>
  <si>
    <t>Ganjam (Area 3)</t>
  </si>
  <si>
    <t>Ganjam (Area 4)</t>
  </si>
  <si>
    <t>Ganjam (Area 5)</t>
  </si>
  <si>
    <t>Ganjam (Area 6)</t>
  </si>
  <si>
    <t>Jagatsinghapur</t>
  </si>
  <si>
    <t>Jagatsinghapur (Area 1)</t>
  </si>
  <si>
    <t>Jagatsinghapur (Area 2)</t>
  </si>
  <si>
    <t>Jagatsinghapur (Area 3)</t>
  </si>
  <si>
    <t>Jagatsinghapur (Area 4)</t>
  </si>
  <si>
    <t>Jagatsinghapur (Area 5)</t>
  </si>
  <si>
    <t>Jagatsinghapur (Area 6)</t>
  </si>
  <si>
    <t>Jajpur</t>
  </si>
  <si>
    <t>Jajpur (Area 1)</t>
  </si>
  <si>
    <t>Jajpur (Area 2)</t>
  </si>
  <si>
    <t>Jajpur (Area 3)</t>
  </si>
  <si>
    <t>Jajpur (Area 4)</t>
  </si>
  <si>
    <t>Jajpur (Area 5)</t>
  </si>
  <si>
    <t>Jajpur (Area 6)</t>
  </si>
  <si>
    <t>Jharsuguda</t>
  </si>
  <si>
    <t>Jharsuguda (Area 1)</t>
  </si>
  <si>
    <t>Jharsuguda (Area 2)</t>
  </si>
  <si>
    <t>Jharsuguda (Area 3)</t>
  </si>
  <si>
    <t>Jharsuguda (Area 4)</t>
  </si>
  <si>
    <t>Jharsuguda (Area 5)</t>
  </si>
  <si>
    <t>Jharsuguda (Area 6)</t>
  </si>
  <si>
    <t>Kalahandi</t>
  </si>
  <si>
    <t>Kalahandi (Area 1)</t>
  </si>
  <si>
    <t>Kalahandi (Area 2)</t>
  </si>
  <si>
    <t>Kalahandi (Area 3)</t>
  </si>
  <si>
    <t>Kalahandi (Area 4)</t>
  </si>
  <si>
    <t>Kalahandi (Area 5)</t>
  </si>
  <si>
    <t>Kalahandi (Area 6)</t>
  </si>
  <si>
    <t>Kandhamal</t>
  </si>
  <si>
    <t>Kandhamal (Area 1)</t>
  </si>
  <si>
    <t>Kandhamal (Area 2)</t>
  </si>
  <si>
    <t>Kandhamal (Area 3)</t>
  </si>
  <si>
    <t>Kandhamal (Area 4)</t>
  </si>
  <si>
    <t>Kandhamal (Area 5)</t>
  </si>
  <si>
    <t>Kandhamal (Area 6)</t>
  </si>
  <si>
    <t>Kendrapara</t>
  </si>
  <si>
    <t>Kendrapara (Area 1)</t>
  </si>
  <si>
    <t>Kendrapara (Area 2)</t>
  </si>
  <si>
    <t>Kendrapara (Area 3)</t>
  </si>
  <si>
    <t>Kendrapara (Area 4)</t>
  </si>
  <si>
    <t>Kendrapara (Area 5)</t>
  </si>
  <si>
    <t>Kendrapara (Area 6)</t>
  </si>
  <si>
    <t>Kendujhar (Keonjhar)</t>
  </si>
  <si>
    <t>Kendujhar (Keonjhar) (Area 1)</t>
  </si>
  <si>
    <t>Kendujhar (Keonjhar) (Area 2)</t>
  </si>
  <si>
    <t>Kendujhar (Keonjhar) (Area 3)</t>
  </si>
  <si>
    <t>Kendujhar (Keonjhar) (Area 4)</t>
  </si>
  <si>
    <t>Kendujhar (Keonjhar) (Area 5)</t>
  </si>
  <si>
    <t>Kendujhar (Keonjhar) (Area 6)</t>
  </si>
  <si>
    <t>Khordha</t>
  </si>
  <si>
    <t>Khordha (Area 1)</t>
  </si>
  <si>
    <t>Khordha (Area 2)</t>
  </si>
  <si>
    <t>Khordha (Area 3)</t>
  </si>
  <si>
    <t>Khordha (Area 4)</t>
  </si>
  <si>
    <t>Khordha (Area 5)</t>
  </si>
  <si>
    <t>Khordha (Area 6)</t>
  </si>
  <si>
    <t>Koraput</t>
  </si>
  <si>
    <t>Koraput (Area 1)</t>
  </si>
  <si>
    <t>Koraput (Area 2)</t>
  </si>
  <si>
    <t>Koraput (Area 3)</t>
  </si>
  <si>
    <t>Koraput (Area 4)</t>
  </si>
  <si>
    <t>Koraput (Area 5)</t>
  </si>
  <si>
    <t>Koraput (Area 6)</t>
  </si>
  <si>
    <t>Malkangiri</t>
  </si>
  <si>
    <t>Malkangiri (Area 1)</t>
  </si>
  <si>
    <t>Malkangiri (Area 2)</t>
  </si>
  <si>
    <t>Malkangiri (Area 3)</t>
  </si>
  <si>
    <t>Malkangiri (Area 4)</t>
  </si>
  <si>
    <t>Malkangiri (Area 5)</t>
  </si>
  <si>
    <t>Malkangiri (Area 6)</t>
  </si>
  <si>
    <t>Mayurbhanj</t>
  </si>
  <si>
    <t>Mayurbhanj (Area 1)</t>
  </si>
  <si>
    <t>Mayurbhanj (Area 2)</t>
  </si>
  <si>
    <t>Mayurbhanj (Area 3)</t>
  </si>
  <si>
    <t>Mayurbhanj (Area 4)</t>
  </si>
  <si>
    <t>Mayurbhanj (Area 5)</t>
  </si>
  <si>
    <t>Mayurbhanj (Area 6)</t>
  </si>
  <si>
    <t>Nabarangpur</t>
  </si>
  <si>
    <t>Nabarangpur (Area 1)</t>
  </si>
  <si>
    <t>Nabarangpur (Area 2)</t>
  </si>
  <si>
    <t>Nabarangpur (Area 3)</t>
  </si>
  <si>
    <t>Nabarangpur (Area 4)</t>
  </si>
  <si>
    <t>Nabarangpur (Area 5)</t>
  </si>
  <si>
    <t>Nabarangpur (Area 6)</t>
  </si>
  <si>
    <t>Nayagarh</t>
  </si>
  <si>
    <t>Nayagarh (Area 1)</t>
  </si>
  <si>
    <t>Nayagarh (Area 2)</t>
  </si>
  <si>
    <t>Nayagarh (Area 3)</t>
  </si>
  <si>
    <t>Nayagarh (Area 4)</t>
  </si>
  <si>
    <t>Nayagarh (Area 5)</t>
  </si>
  <si>
    <t>Nayagarh (Area 6)</t>
  </si>
  <si>
    <t>Nuapada</t>
  </si>
  <si>
    <t>Nuapada (Area 1)</t>
  </si>
  <si>
    <t>Nuapada (Area 2)</t>
  </si>
  <si>
    <t>Nuapada (Area 3)</t>
  </si>
  <si>
    <t>Nuapada (Area 4)</t>
  </si>
  <si>
    <t>Nuapada (Area 5)</t>
  </si>
  <si>
    <t>Nuapada (Area 6)</t>
  </si>
  <si>
    <t>Puri</t>
  </si>
  <si>
    <t>Puri (Area 1)</t>
  </si>
  <si>
    <t>Puri (Area 2)</t>
  </si>
  <si>
    <t>Puri (Area 3)</t>
  </si>
  <si>
    <t>Puri (Area 4)</t>
  </si>
  <si>
    <t>Puri (Area 5)</t>
  </si>
  <si>
    <t>Puri (Area 6)</t>
  </si>
  <si>
    <t>Rayagada</t>
  </si>
  <si>
    <t>Rayagada (Area 1)</t>
  </si>
  <si>
    <t>Rayagada (Area 2)</t>
  </si>
  <si>
    <t>Rayagada (Area 3)</t>
  </si>
  <si>
    <t>Rayagada (Area 4)</t>
  </si>
  <si>
    <t>Rayagada (Area 5)</t>
  </si>
  <si>
    <t>Rayagada (Area 6)</t>
  </si>
  <si>
    <t>Sambalpur</t>
  </si>
  <si>
    <t>Sambalpur (Area 1)</t>
  </si>
  <si>
    <t>Sambalpur (Area 2)</t>
  </si>
  <si>
    <t>Sambalpur (Area 3)</t>
  </si>
  <si>
    <t>Sambalpur (Area 4)</t>
  </si>
  <si>
    <t>Sambalpur (Area 5)</t>
  </si>
  <si>
    <t>Sambalpur (Area 6)</t>
  </si>
  <si>
    <t>Sonepur</t>
  </si>
  <si>
    <t>Sonepur (Area 1)</t>
  </si>
  <si>
    <t>Sonepur (Area 2)</t>
  </si>
  <si>
    <t>Sonepur (Area 3)</t>
  </si>
  <si>
    <t>Sonepur (Area 4)</t>
  </si>
  <si>
    <t>Sonepur (Area 5)</t>
  </si>
  <si>
    <t>Sonepur (Area 6)</t>
  </si>
  <si>
    <t>Sundargarh</t>
  </si>
  <si>
    <t>Sundargarh (Area 1)</t>
  </si>
  <si>
    <t>Sundargarh (Area 2)</t>
  </si>
  <si>
    <t>Sundargarh (Area 3)</t>
  </si>
  <si>
    <t>Sundargarh (Area 4)</t>
  </si>
  <si>
    <t>Sundargarh (Area 5)</t>
  </si>
  <si>
    <t>Sundargarh (Area 6)</t>
  </si>
  <si>
    <t>Puducherry (UT)</t>
  </si>
  <si>
    <t>Karaikal</t>
  </si>
  <si>
    <t>Karaikal (Area 1)</t>
  </si>
  <si>
    <t>Karaikal (Area 2)</t>
  </si>
  <si>
    <t>Karaikal (Area 3)</t>
  </si>
  <si>
    <t>Karaikal (Area 4)</t>
  </si>
  <si>
    <t>Karaikal (Area 5)</t>
  </si>
  <si>
    <t>Karaikal (Area 6)</t>
  </si>
  <si>
    <t>Mahe</t>
  </si>
  <si>
    <t>Mahe (Area 1)</t>
  </si>
  <si>
    <t>Mahe (Area 2)</t>
  </si>
  <si>
    <t>Mahe (Area 3)</t>
  </si>
  <si>
    <t>Mahe (Area 4)</t>
  </si>
  <si>
    <t>Mahe (Area 5)</t>
  </si>
  <si>
    <t>Mahe (Area 6)</t>
  </si>
  <si>
    <t>Pondicherry</t>
  </si>
  <si>
    <t>Pondicherry (Area 1)</t>
  </si>
  <si>
    <t>Pondicherry (Area 2)</t>
  </si>
  <si>
    <t>Pondicherry (Area 3)</t>
  </si>
  <si>
    <t>Pondicherry (Area 4)</t>
  </si>
  <si>
    <t>Pondicherry (Area 5)</t>
  </si>
  <si>
    <t>Pondicherry (Area 6)</t>
  </si>
  <si>
    <t>Yanam</t>
  </si>
  <si>
    <t>Yanam (Area 1)</t>
  </si>
  <si>
    <t>Yanam (Area 2)</t>
  </si>
  <si>
    <t>Yanam (Area 3)</t>
  </si>
  <si>
    <t>Yanam (Area 4)</t>
  </si>
  <si>
    <t>Yanam (Area 5)</t>
  </si>
  <si>
    <t>Yanam (Area 6)</t>
  </si>
  <si>
    <t>Punjab</t>
  </si>
  <si>
    <t>Amritsar</t>
  </si>
  <si>
    <t>Amritsar (Area 1)</t>
  </si>
  <si>
    <t>Amritsar (Area 2)</t>
  </si>
  <si>
    <t>Amritsar (Area 3)</t>
  </si>
  <si>
    <t>Amritsar (Area 4)</t>
  </si>
  <si>
    <t>Amritsar (Area 5)</t>
  </si>
  <si>
    <t>Amritsar (Area 6)</t>
  </si>
  <si>
    <t>Barnala</t>
  </si>
  <si>
    <t>Barnala (Area 1)</t>
  </si>
  <si>
    <t>Barnala (Area 2)</t>
  </si>
  <si>
    <t>Barnala (Area 3)</t>
  </si>
  <si>
    <t>Barnala (Area 4)</t>
  </si>
  <si>
    <t>Barnala (Area 5)</t>
  </si>
  <si>
    <t>Barnala (Area 6)</t>
  </si>
  <si>
    <t>Bathinda</t>
  </si>
  <si>
    <t>Bathinda (Area 1)</t>
  </si>
  <si>
    <t>Bathinda (Area 2)</t>
  </si>
  <si>
    <t>Bathinda (Area 3)</t>
  </si>
  <si>
    <t>Bathinda (Area 4)</t>
  </si>
  <si>
    <t>Bathinda (Area 5)</t>
  </si>
  <si>
    <t>Bathinda (Area 6)</t>
  </si>
  <si>
    <t>Faridkot</t>
  </si>
  <si>
    <t>Faridkot (Area 1)</t>
  </si>
  <si>
    <t>Faridkot (Area 2)</t>
  </si>
  <si>
    <t>Faridkot (Area 3)</t>
  </si>
  <si>
    <t>Faridkot (Area 4)</t>
  </si>
  <si>
    <t>Faridkot (Area 5)</t>
  </si>
  <si>
    <t>Faridkot (Area 6)</t>
  </si>
  <si>
    <t>Fatehgarh Sahib</t>
  </si>
  <si>
    <t>Fatehgarh Sahib (Area 1)</t>
  </si>
  <si>
    <t>Fatehgarh Sahib (Area 2)</t>
  </si>
  <si>
    <t>Fatehgarh Sahib (Area 3)</t>
  </si>
  <si>
    <t>Fatehgarh Sahib (Area 4)</t>
  </si>
  <si>
    <t>Fatehgarh Sahib (Area 5)</t>
  </si>
  <si>
    <t>Fatehgarh Sahib (Area 6)</t>
  </si>
  <si>
    <t>Fazilka</t>
  </si>
  <si>
    <t>Fazilka (Area 1)</t>
  </si>
  <si>
    <t>Fazilka (Area 2)</t>
  </si>
  <si>
    <t>Fazilka (Area 3)</t>
  </si>
  <si>
    <t>Fazilka (Area 4)</t>
  </si>
  <si>
    <t>Fazilka (Area 5)</t>
  </si>
  <si>
    <t>Fazilka (Area 6)</t>
  </si>
  <si>
    <t>Ferozepur</t>
  </si>
  <si>
    <t>Ferozepur (Area 1)</t>
  </si>
  <si>
    <t>Ferozepur (Area 2)</t>
  </si>
  <si>
    <t>Ferozepur (Area 3)</t>
  </si>
  <si>
    <t>Ferozepur (Area 4)</t>
  </si>
  <si>
    <t>Ferozepur (Area 5)</t>
  </si>
  <si>
    <t>Ferozepur (Area 6)</t>
  </si>
  <si>
    <t>Gurdaspur</t>
  </si>
  <si>
    <t>Gurdaspur (Area 1)</t>
  </si>
  <si>
    <t>Gurdaspur (Area 2)</t>
  </si>
  <si>
    <t>Gurdaspur (Area 3)</t>
  </si>
  <si>
    <t>Gurdaspur (Area 4)</t>
  </si>
  <si>
    <t>Gurdaspur (Area 5)</t>
  </si>
  <si>
    <t>Gurdaspur (Area 6)</t>
  </si>
  <si>
    <t>Hoshiarpur</t>
  </si>
  <si>
    <t>Hoshiarpur (Area 1)</t>
  </si>
  <si>
    <t>Hoshiarpur (Area 2)</t>
  </si>
  <si>
    <t>Hoshiarpur (Area 3)</t>
  </si>
  <si>
    <t>Hoshiarpur (Area 4)</t>
  </si>
  <si>
    <t>Hoshiarpur (Area 5)</t>
  </si>
  <si>
    <t>Hoshiarpur (Area 6)</t>
  </si>
  <si>
    <t>Jalandhar</t>
  </si>
  <si>
    <t>Jalandhar (Area 1)</t>
  </si>
  <si>
    <t>Jalandhar (Area 2)</t>
  </si>
  <si>
    <t>Jalandhar (Area 3)</t>
  </si>
  <si>
    <t>Jalandhar (Area 4)</t>
  </si>
  <si>
    <t>Jalandhar (Area 5)</t>
  </si>
  <si>
    <t>Jalandhar (Area 6)</t>
  </si>
  <si>
    <t>Kapurthala</t>
  </si>
  <si>
    <t>Kapurthala (Area 1)</t>
  </si>
  <si>
    <t>Kapurthala (Area 2)</t>
  </si>
  <si>
    <t>Kapurthala (Area 3)</t>
  </si>
  <si>
    <t>Kapurthala (Area 4)</t>
  </si>
  <si>
    <t>Kapurthala (Area 5)</t>
  </si>
  <si>
    <t>Kapurthala (Area 6)</t>
  </si>
  <si>
    <t>Ludhiana</t>
  </si>
  <si>
    <t>Ludhiana (Area 1)</t>
  </si>
  <si>
    <t>Ludhiana (Area 2)</t>
  </si>
  <si>
    <t>Ludhiana (Area 3)</t>
  </si>
  <si>
    <t>Ludhiana (Area 4)</t>
  </si>
  <si>
    <t>Ludhiana (Area 5)</t>
  </si>
  <si>
    <t>Ludhiana (Area 6)</t>
  </si>
  <si>
    <t>Mansa</t>
  </si>
  <si>
    <t>Mansa (Area 1)</t>
  </si>
  <si>
    <t>Mansa (Area 2)</t>
  </si>
  <si>
    <t>Mansa (Area 3)</t>
  </si>
  <si>
    <t>Mansa (Area 4)</t>
  </si>
  <si>
    <t>Mansa (Area 5)</t>
  </si>
  <si>
    <t>Mansa (Area 6)</t>
  </si>
  <si>
    <t>Moga</t>
  </si>
  <si>
    <t>Moga (Area 1)</t>
  </si>
  <si>
    <t>Moga (Area 2)</t>
  </si>
  <si>
    <t>Moga (Area 3)</t>
  </si>
  <si>
    <t>Moga (Area 4)</t>
  </si>
  <si>
    <t>Moga (Area 5)</t>
  </si>
  <si>
    <t>Moga (Area 6)</t>
  </si>
  <si>
    <t>Muktsar</t>
  </si>
  <si>
    <t>Muktsar (Area 1)</t>
  </si>
  <si>
    <t>Muktsar (Area 2)</t>
  </si>
  <si>
    <t>Muktsar (Area 3)</t>
  </si>
  <si>
    <t>Muktsar (Area 4)</t>
  </si>
  <si>
    <t>Muktsar (Area 5)</t>
  </si>
  <si>
    <t>Muktsar (Area 6)</t>
  </si>
  <si>
    <t>Nawanshahr (Shahid Bhagat Singh Nagar)</t>
  </si>
  <si>
    <t>Nawanshahr (Shahid Bhagat Singh Nagar) (Area 1)</t>
  </si>
  <si>
    <t>Nawanshahr (Shahid Bhagat Singh Nagar) (Area 2)</t>
  </si>
  <si>
    <t>Nawanshahr (Shahid Bhagat Singh Nagar) (Area 3)</t>
  </si>
  <si>
    <t>Nawanshahr (Shahid Bhagat Singh Nagar) (Area 4)</t>
  </si>
  <si>
    <t>Nawanshahr (Shahid Bhagat Singh Nagar) (Area 5)</t>
  </si>
  <si>
    <t>Nawanshahr (Shahid Bhagat Singh Nagar) (Area 6)</t>
  </si>
  <si>
    <t>Pathankot</t>
  </si>
  <si>
    <t>Pathankot (Area 1)</t>
  </si>
  <si>
    <t>Pathankot (Area 2)</t>
  </si>
  <si>
    <t>Pathankot (Area 3)</t>
  </si>
  <si>
    <t>Pathankot (Area 4)</t>
  </si>
  <si>
    <t>Pathankot (Area 5)</t>
  </si>
  <si>
    <t>Pathankot (Area 6)</t>
  </si>
  <si>
    <t>Patiala</t>
  </si>
  <si>
    <t>Patiala (Area 1)</t>
  </si>
  <si>
    <t>Patiala (Area 2)</t>
  </si>
  <si>
    <t>Patiala (Area 3)</t>
  </si>
  <si>
    <t>Patiala (Area 4)</t>
  </si>
  <si>
    <t>Patiala (Area 5)</t>
  </si>
  <si>
    <t>Patiala (Area 6)</t>
  </si>
  <si>
    <t>Rupnagar</t>
  </si>
  <si>
    <t>Rupnagar (Area 1)</t>
  </si>
  <si>
    <t>Rupnagar (Area 2)</t>
  </si>
  <si>
    <t>Rupnagar (Area 3)</t>
  </si>
  <si>
    <t>Rupnagar (Area 4)</t>
  </si>
  <si>
    <t>Rupnagar (Area 5)</t>
  </si>
  <si>
    <t>Rupnagar (Area 6)</t>
  </si>
  <si>
    <t>Sahibzada Ajit Singh Nagar (Mohali)</t>
  </si>
  <si>
    <t>Sahibzada Ajit Singh Nagar (Mohali) (Area 1)</t>
  </si>
  <si>
    <t>Sahibzada Ajit Singh Nagar (Mohali) (Area 2)</t>
  </si>
  <si>
    <t>Sahibzada Ajit Singh Nagar (Mohali) (Area 3)</t>
  </si>
  <si>
    <t>Sahibzada Ajit Singh Nagar (Mohali) (Area 4)</t>
  </si>
  <si>
    <t>Sahibzada Ajit Singh Nagar (Mohali) (Area 5)</t>
  </si>
  <si>
    <t>Sahibzada Ajit Singh Nagar (Mohali) (Area 6)</t>
  </si>
  <si>
    <t>Sangrur</t>
  </si>
  <si>
    <t>Sangrur (Area 1)</t>
  </si>
  <si>
    <t>Sangrur (Area 2)</t>
  </si>
  <si>
    <t>Sangrur (Area 3)</t>
  </si>
  <si>
    <t>Sangrur (Area 4)</t>
  </si>
  <si>
    <t>Sangrur (Area 5)</t>
  </si>
  <si>
    <t>Sangrur (Area 6)</t>
  </si>
  <si>
    <t>Tarn Taran</t>
  </si>
  <si>
    <t>Tarn Taran (Area 1)</t>
  </si>
  <si>
    <t>Tarn Taran (Area 2)</t>
  </si>
  <si>
    <t>Tarn Taran (Area 3)</t>
  </si>
  <si>
    <t>Tarn Taran (Area 4)</t>
  </si>
  <si>
    <t>Tarn Taran (Area 5)</t>
  </si>
  <si>
    <t>Tarn Taran (Area 6)</t>
  </si>
  <si>
    <t>Rajasthan</t>
  </si>
  <si>
    <t>Ajmer</t>
  </si>
  <si>
    <t>Ajmer (Area 1)</t>
  </si>
  <si>
    <t>Ajmer (Area 2)</t>
  </si>
  <si>
    <t>Ajmer (Area 3)</t>
  </si>
  <si>
    <t>Ajmer (Area 4)</t>
  </si>
  <si>
    <t>Ajmer (Area 5)</t>
  </si>
  <si>
    <t>Ajmer (Area 6)</t>
  </si>
  <si>
    <t>Alwar</t>
  </si>
  <si>
    <t>Alwar (Area 1)</t>
  </si>
  <si>
    <t>Alwar (Area 2)</t>
  </si>
  <si>
    <t>Alwar (Area 3)</t>
  </si>
  <si>
    <t>Alwar (Area 4)</t>
  </si>
  <si>
    <t>Alwar (Area 5)</t>
  </si>
  <si>
    <t>Alwar (Area 6)</t>
  </si>
  <si>
    <t>Banswara</t>
  </si>
  <si>
    <t>Banswara (Area 1)</t>
  </si>
  <si>
    <t>Banswara (Area 2)</t>
  </si>
  <si>
    <t>Banswara (Area 3)</t>
  </si>
  <si>
    <t>Banswara (Area 4)</t>
  </si>
  <si>
    <t>Banswara (Area 5)</t>
  </si>
  <si>
    <t>Banswara (Area 6)</t>
  </si>
  <si>
    <t>Baran</t>
  </si>
  <si>
    <t>Baran (Area 1)</t>
  </si>
  <si>
    <t>Baran (Area 2)</t>
  </si>
  <si>
    <t>Baran (Area 3)</t>
  </si>
  <si>
    <t>Baran (Area 4)</t>
  </si>
  <si>
    <t>Baran (Area 5)</t>
  </si>
  <si>
    <t>Baran (Area 6)</t>
  </si>
  <si>
    <t>Barmer</t>
  </si>
  <si>
    <t>Barmer (Area 1)</t>
  </si>
  <si>
    <t>Barmer (Area 2)</t>
  </si>
  <si>
    <t>Barmer (Area 3)</t>
  </si>
  <si>
    <t>Barmer (Area 4)</t>
  </si>
  <si>
    <t>Barmer (Area 5)</t>
  </si>
  <si>
    <t>Barmer (Area 6)</t>
  </si>
  <si>
    <t>Bharatpur</t>
  </si>
  <si>
    <t>Bharatpur (Area 1)</t>
  </si>
  <si>
    <t>Bharatpur (Area 2)</t>
  </si>
  <si>
    <t>Bharatpur (Area 3)</t>
  </si>
  <si>
    <t>Bharatpur (Area 4)</t>
  </si>
  <si>
    <t>Bharatpur (Area 5)</t>
  </si>
  <si>
    <t>Bharatpur (Area 6)</t>
  </si>
  <si>
    <t>Bhilwara</t>
  </si>
  <si>
    <t>Bhilwara (Area 1)</t>
  </si>
  <si>
    <t>Bhilwara (Area 2)</t>
  </si>
  <si>
    <t>Bhilwara (Area 3)</t>
  </si>
  <si>
    <t>Bhilwara (Area 4)</t>
  </si>
  <si>
    <t>Bhilwara (Area 5)</t>
  </si>
  <si>
    <t>Bhilwara (Area 6)</t>
  </si>
  <si>
    <t>Bikaner</t>
  </si>
  <si>
    <t>Bikaner (Area 1)</t>
  </si>
  <si>
    <t>Bikaner (Area 2)</t>
  </si>
  <si>
    <t>Bikaner (Area 3)</t>
  </si>
  <si>
    <t>Bikaner (Area 4)</t>
  </si>
  <si>
    <t>Bikaner (Area 5)</t>
  </si>
  <si>
    <t>Bikaner (Area 6)</t>
  </si>
  <si>
    <t>Bundi</t>
  </si>
  <si>
    <t>Bundi (Area 1)</t>
  </si>
  <si>
    <t>Bundi (Area 2)</t>
  </si>
  <si>
    <t>Bundi (Area 3)</t>
  </si>
  <si>
    <t>Bundi (Area 4)</t>
  </si>
  <si>
    <t>Bundi (Area 5)</t>
  </si>
  <si>
    <t>Bundi (Area 6)</t>
  </si>
  <si>
    <t>Chittorgarh</t>
  </si>
  <si>
    <t>Chittorgarh (Area 1)</t>
  </si>
  <si>
    <t>Chittorgarh (Area 2)</t>
  </si>
  <si>
    <t>Chittorgarh (Area 3)</t>
  </si>
  <si>
    <t>Chittorgarh (Area 4)</t>
  </si>
  <si>
    <t>Chittorgarh (Area 5)</t>
  </si>
  <si>
    <t>Chittorgarh (Area 6)</t>
  </si>
  <si>
    <t>Churu</t>
  </si>
  <si>
    <t>Churu (Area 1)</t>
  </si>
  <si>
    <t>Churu (Area 2)</t>
  </si>
  <si>
    <t>Churu (Area 3)</t>
  </si>
  <si>
    <t>Churu (Area 4)</t>
  </si>
  <si>
    <t>Churu (Area 5)</t>
  </si>
  <si>
    <t>Churu (Area 6)</t>
  </si>
  <si>
    <t>Dausa</t>
  </si>
  <si>
    <t>Dausa (Area 1)</t>
  </si>
  <si>
    <t>Dausa (Area 2)</t>
  </si>
  <si>
    <t>Dausa (Area 3)</t>
  </si>
  <si>
    <t>Dausa (Area 4)</t>
  </si>
  <si>
    <t>Dausa (Area 5)</t>
  </si>
  <si>
    <t>Dausa (Area 6)</t>
  </si>
  <si>
    <t>Dholpur</t>
  </si>
  <si>
    <t>Dholpur (Area 1)</t>
  </si>
  <si>
    <t>Dholpur (Area 2)</t>
  </si>
  <si>
    <t>Dholpur (Area 3)</t>
  </si>
  <si>
    <t>Dholpur (Area 4)</t>
  </si>
  <si>
    <t>Dholpur (Area 5)</t>
  </si>
  <si>
    <t>Dholpur (Area 6)</t>
  </si>
  <si>
    <t>Dungarpur</t>
  </si>
  <si>
    <t>Dungarpur (Area 1)</t>
  </si>
  <si>
    <t>Dungarpur (Area 2)</t>
  </si>
  <si>
    <t>Dungarpur (Area 3)</t>
  </si>
  <si>
    <t>Dungarpur (Area 4)</t>
  </si>
  <si>
    <t>Dungarpur (Area 5)</t>
  </si>
  <si>
    <t>Dungarpur (Area 6)</t>
  </si>
  <si>
    <t>Hanumangarh</t>
  </si>
  <si>
    <t>Hanumangarh (Area 1)</t>
  </si>
  <si>
    <t>Hanumangarh (Area 2)</t>
  </si>
  <si>
    <t>Hanumangarh (Area 3)</t>
  </si>
  <si>
    <t>Hanumangarh (Area 4)</t>
  </si>
  <si>
    <t>Hanumangarh (Area 5)</t>
  </si>
  <si>
    <t>Hanumangarh (Area 6)</t>
  </si>
  <si>
    <t>Jaipur</t>
  </si>
  <si>
    <t>Jaipur (Area 1)</t>
  </si>
  <si>
    <t>Jaipur (Area 2)</t>
  </si>
  <si>
    <t>Jaipur (Area 3)</t>
  </si>
  <si>
    <t>Jaipur (Area 4)</t>
  </si>
  <si>
    <t>Jaipur (Area 5)</t>
  </si>
  <si>
    <t>Jaipur (Area 6)</t>
  </si>
  <si>
    <t>Jaisalmer</t>
  </si>
  <si>
    <t>Jaisalmer (Area 1)</t>
  </si>
  <si>
    <t>Jaisalmer (Area 2)</t>
  </si>
  <si>
    <t>Jaisalmer (Area 3)</t>
  </si>
  <si>
    <t>Jaisalmer (Area 4)</t>
  </si>
  <si>
    <t>Jaisalmer (Area 5)</t>
  </si>
  <si>
    <t>Jaisalmer (Area 6)</t>
  </si>
  <si>
    <t>Jalore</t>
  </si>
  <si>
    <t>Jalore (Area 1)</t>
  </si>
  <si>
    <t>Jalore (Area 2)</t>
  </si>
  <si>
    <t>Jalore (Area 3)</t>
  </si>
  <si>
    <t>Jalore (Area 4)</t>
  </si>
  <si>
    <t>Jalore (Area 5)</t>
  </si>
  <si>
    <t>Jalore (Area 6)</t>
  </si>
  <si>
    <t>Jhalawar</t>
  </si>
  <si>
    <t>Jhalawar (Area 1)</t>
  </si>
  <si>
    <t>Jhalawar (Area 2)</t>
  </si>
  <si>
    <t>Jhalawar (Area 3)</t>
  </si>
  <si>
    <t>Jhalawar (Area 4)</t>
  </si>
  <si>
    <t>Jhalawar (Area 5)</t>
  </si>
  <si>
    <t>Jhalawar (Area 6)</t>
  </si>
  <si>
    <t>Jhunjhunu</t>
  </si>
  <si>
    <t>Jhunjhunu (Area 1)</t>
  </si>
  <si>
    <t>Jhunjhunu (Area 2)</t>
  </si>
  <si>
    <t>Jhunjhunu (Area 3)</t>
  </si>
  <si>
    <t>Jhunjhunu (Area 4)</t>
  </si>
  <si>
    <t>Jhunjhunu (Area 5)</t>
  </si>
  <si>
    <t>Jhunjhunu (Area 6)</t>
  </si>
  <si>
    <t>Jodhpur</t>
  </si>
  <si>
    <t>Jodhpur (Area 1)</t>
  </si>
  <si>
    <t>Jodhpur (Area 2)</t>
  </si>
  <si>
    <t>Jodhpur (Area 3)</t>
  </si>
  <si>
    <t>Jodhpur (Area 4)</t>
  </si>
  <si>
    <t>Jodhpur (Area 5)</t>
  </si>
  <si>
    <t>Jodhpur (Area 6)</t>
  </si>
  <si>
    <t>Karauli</t>
  </si>
  <si>
    <t>Karauli (Area 1)</t>
  </si>
  <si>
    <t>Karauli (Area 2)</t>
  </si>
  <si>
    <t>Karauli (Area 3)</t>
  </si>
  <si>
    <t>Karauli (Area 4)</t>
  </si>
  <si>
    <t>Karauli (Area 5)</t>
  </si>
  <si>
    <t>Karauli (Area 6)</t>
  </si>
  <si>
    <t>Kota</t>
  </si>
  <si>
    <t>Kota (Area 1)</t>
  </si>
  <si>
    <t>Kota (Area 2)</t>
  </si>
  <si>
    <t>Kota (Area 3)</t>
  </si>
  <si>
    <t>Kota (Area 4)</t>
  </si>
  <si>
    <t>Kota (Area 5)</t>
  </si>
  <si>
    <t>Kota (Area 6)</t>
  </si>
  <si>
    <t>Nagaur</t>
  </si>
  <si>
    <t>Nagaur (Area 1)</t>
  </si>
  <si>
    <t>Nagaur (Area 2)</t>
  </si>
  <si>
    <t>Nagaur (Area 3)</t>
  </si>
  <si>
    <t>Nagaur (Area 4)</t>
  </si>
  <si>
    <t>Nagaur (Area 5)</t>
  </si>
  <si>
    <t>Nagaur (Area 6)</t>
  </si>
  <si>
    <t>Pali</t>
  </si>
  <si>
    <t>Pali (Area 1)</t>
  </si>
  <si>
    <t>Pali (Area 2)</t>
  </si>
  <si>
    <t>Pali (Area 3)</t>
  </si>
  <si>
    <t>Pali (Area 4)</t>
  </si>
  <si>
    <t>Pali (Area 5)</t>
  </si>
  <si>
    <t>Pali (Area 6)</t>
  </si>
  <si>
    <t>Pratapgarh</t>
  </si>
  <si>
    <t>Pratapgarh (Area 1)</t>
  </si>
  <si>
    <t>Pratapgarh (Area 2)</t>
  </si>
  <si>
    <t>Pratapgarh (Area 3)</t>
  </si>
  <si>
    <t>Pratapgarh (Area 4)</t>
  </si>
  <si>
    <t>Pratapgarh (Area 5)</t>
  </si>
  <si>
    <t>Pratapgarh (Area 6)</t>
  </si>
  <si>
    <t>Rajsamand</t>
  </si>
  <si>
    <t>Rajsamand (Area 1)</t>
  </si>
  <si>
    <t>Rajsamand (Area 2)</t>
  </si>
  <si>
    <t>Rajsamand (Area 3)</t>
  </si>
  <si>
    <t>Rajsamand (Area 4)</t>
  </si>
  <si>
    <t>Rajsamand (Area 5)</t>
  </si>
  <si>
    <t>Rajsamand (Area 6)</t>
  </si>
  <si>
    <t>Sawai Madhopur</t>
  </si>
  <si>
    <t>Sawai Madhopur (Area 1)</t>
  </si>
  <si>
    <t>Sawai Madhopur (Area 2)</t>
  </si>
  <si>
    <t>Sawai Madhopur (Area 3)</t>
  </si>
  <si>
    <t>Sawai Madhopur (Area 4)</t>
  </si>
  <si>
    <t>Sawai Madhopur (Area 5)</t>
  </si>
  <si>
    <t>Sawai Madhopur (Area 6)</t>
  </si>
  <si>
    <t>Sikar</t>
  </si>
  <si>
    <t>Sikar (Area 1)</t>
  </si>
  <si>
    <t>Sikar (Area 2)</t>
  </si>
  <si>
    <t>Sikar (Area 3)</t>
  </si>
  <si>
    <t>Sikar (Area 4)</t>
  </si>
  <si>
    <t>Sikar (Area 5)</t>
  </si>
  <si>
    <t>Sikar (Area 6)</t>
  </si>
  <si>
    <t>Sirohi</t>
  </si>
  <si>
    <t>Sirohi (Area 1)</t>
  </si>
  <si>
    <t>Sirohi (Area 2)</t>
  </si>
  <si>
    <t>Sirohi (Area 3)</t>
  </si>
  <si>
    <t>Sirohi (Area 4)</t>
  </si>
  <si>
    <t>Sirohi (Area 5)</t>
  </si>
  <si>
    <t>Sirohi (Area 6)</t>
  </si>
  <si>
    <t>Sri Ganganagar</t>
  </si>
  <si>
    <t>Sri Ganganagar (Area 1)</t>
  </si>
  <si>
    <t>Sri Ganganagar (Area 2)</t>
  </si>
  <si>
    <t>Sri Ganganagar (Area 3)</t>
  </si>
  <si>
    <t>Sri Ganganagar (Area 4)</t>
  </si>
  <si>
    <t>Sri Ganganagar (Area 5)</t>
  </si>
  <si>
    <t>Sri Ganganagar (Area 6)</t>
  </si>
  <si>
    <t>Tonk</t>
  </si>
  <si>
    <t>Tonk (Area 1)</t>
  </si>
  <si>
    <t>Tonk (Area 2)</t>
  </si>
  <si>
    <t>Tonk (Area 3)</t>
  </si>
  <si>
    <t>Tonk (Area 4)</t>
  </si>
  <si>
    <t>Tonk (Area 5)</t>
  </si>
  <si>
    <t>Tonk (Area 6)</t>
  </si>
  <si>
    <t>Udaipur</t>
  </si>
  <si>
    <t>Udaipur (Area 1)</t>
  </si>
  <si>
    <t>Udaipur (Area 2)</t>
  </si>
  <si>
    <t>Udaipur (Area 3)</t>
  </si>
  <si>
    <t>Udaipur (Area 4)</t>
  </si>
  <si>
    <t>Udaipur (Area 5)</t>
  </si>
  <si>
    <t>Udaipur (Area 6)</t>
  </si>
  <si>
    <t>Sikkim</t>
  </si>
  <si>
    <t>East Sikkim</t>
  </si>
  <si>
    <t>East Sikkim (Area 1)</t>
  </si>
  <si>
    <t>East Sikkim (Area 2)</t>
  </si>
  <si>
    <t>East Sikkim (Area 3)</t>
  </si>
  <si>
    <t>East Sikkim (Area 4)</t>
  </si>
  <si>
    <t>East Sikkim (Area 5)</t>
  </si>
  <si>
    <t>East Sikkim (Area 6)</t>
  </si>
  <si>
    <t>North Sikkim</t>
  </si>
  <si>
    <t>North Sikkim (Area 1)</t>
  </si>
  <si>
    <t>North Sikkim (Area 2)</t>
  </si>
  <si>
    <t>North Sikkim (Area 3)</t>
  </si>
  <si>
    <t>North Sikkim (Area 4)</t>
  </si>
  <si>
    <t>North Sikkim (Area 5)</t>
  </si>
  <si>
    <t>North Sikkim (Area 6)</t>
  </si>
  <si>
    <t>South Sikkim</t>
  </si>
  <si>
    <t>South Sikkim (Area 1)</t>
  </si>
  <si>
    <t>South Sikkim (Area 2)</t>
  </si>
  <si>
    <t>South Sikkim (Area 3)</t>
  </si>
  <si>
    <t>South Sikkim (Area 4)</t>
  </si>
  <si>
    <t>South Sikkim (Area 5)</t>
  </si>
  <si>
    <t>South Sikkim (Area 6)</t>
  </si>
  <si>
    <t>West Sikkim</t>
  </si>
  <si>
    <t>West Sikkim (Area 1)</t>
  </si>
  <si>
    <t>West Sikkim (Area 2)</t>
  </si>
  <si>
    <t>West Sikkim (Area 3)</t>
  </si>
  <si>
    <t>West Sikkim (Area 4)</t>
  </si>
  <si>
    <t>West Sikkim (Area 5)</t>
  </si>
  <si>
    <t>West Sikkim (Area 6)</t>
  </si>
  <si>
    <t>Tamil Nadu</t>
  </si>
  <si>
    <t>Ariyalur</t>
  </si>
  <si>
    <t>Ariyalur (Area 1)</t>
  </si>
  <si>
    <t>Ariyalur (Area 2)</t>
  </si>
  <si>
    <t>Ariyalur (Area 3)</t>
  </si>
  <si>
    <t>Ariyalur (Area 4)</t>
  </si>
  <si>
    <t>Ariyalur (Area 5)</t>
  </si>
  <si>
    <t>Ariyalur (Area 6)</t>
  </si>
  <si>
    <t>Chennai</t>
  </si>
  <si>
    <t>Chennai (Area 1)</t>
  </si>
  <si>
    <t>Chennai (Area 2)</t>
  </si>
  <si>
    <t>Chennai (Area 3)</t>
  </si>
  <si>
    <t>Chennai (Area 4)</t>
  </si>
  <si>
    <t>Chennai (Area 5)</t>
  </si>
  <si>
    <t>Chennai (Area 6)</t>
  </si>
  <si>
    <t>Coimbatore</t>
  </si>
  <si>
    <t>Coimbatore (Area 1)</t>
  </si>
  <si>
    <t>Coimbatore (Area 2)</t>
  </si>
  <si>
    <t>Coimbatore (Area 3)</t>
  </si>
  <si>
    <t>Coimbatore (Area 4)</t>
  </si>
  <si>
    <t>Coimbatore (Area 5)</t>
  </si>
  <si>
    <t>Coimbatore (Area 6)</t>
  </si>
  <si>
    <t>Cuddalore</t>
  </si>
  <si>
    <t>Cuddalore (Area 1)</t>
  </si>
  <si>
    <t>Cuddalore (Area 2)</t>
  </si>
  <si>
    <t>Cuddalore (Area 3)</t>
  </si>
  <si>
    <t>Cuddalore (Area 4)</t>
  </si>
  <si>
    <t>Cuddalore (Area 5)</t>
  </si>
  <si>
    <t>Cuddalore (Area 6)</t>
  </si>
  <si>
    <t>Dharmapuri</t>
  </si>
  <si>
    <t>Dharmapuri (Area 1)</t>
  </si>
  <si>
    <t>Dharmapuri (Area 2)</t>
  </si>
  <si>
    <t>Dharmapuri (Area 3)</t>
  </si>
  <si>
    <t>Dharmapuri (Area 4)</t>
  </si>
  <si>
    <t>Dharmapuri (Area 5)</t>
  </si>
  <si>
    <t>Dharmapuri (Area 6)</t>
  </si>
  <si>
    <t>Dindigul</t>
  </si>
  <si>
    <t>Dindigul (Area 1)</t>
  </si>
  <si>
    <t>Dindigul (Area 2)</t>
  </si>
  <si>
    <t>Dindigul (Area 3)</t>
  </si>
  <si>
    <t>Dindigul (Area 4)</t>
  </si>
  <si>
    <t>Dindigul (Area 5)</t>
  </si>
  <si>
    <t>Dindigul (Area 6)</t>
  </si>
  <si>
    <t>Erode</t>
  </si>
  <si>
    <t>Erode (Area 1)</t>
  </si>
  <si>
    <t>Erode (Area 2)</t>
  </si>
  <si>
    <t>Erode (Area 3)</t>
  </si>
  <si>
    <t>Erode (Area 4)</t>
  </si>
  <si>
    <t>Erode (Area 5)</t>
  </si>
  <si>
    <t>Erode (Area 6)</t>
  </si>
  <si>
    <t>Kanchipuram</t>
  </si>
  <si>
    <t>Kanchipuram (Area 1)</t>
  </si>
  <si>
    <t>Kanchipuram (Area 2)</t>
  </si>
  <si>
    <t>Kanchipuram (Area 3)</t>
  </si>
  <si>
    <t>Kanchipuram (Area 4)</t>
  </si>
  <si>
    <t>Kanchipuram (Area 5)</t>
  </si>
  <si>
    <t>Kanchipuram (Area 6)</t>
  </si>
  <si>
    <t>Kanyakumari</t>
  </si>
  <si>
    <t>Kanyakumari (Area 1)</t>
  </si>
  <si>
    <t>Kanyakumari (Area 2)</t>
  </si>
  <si>
    <t>Kanyakumari (Area 3)</t>
  </si>
  <si>
    <t>Kanyakumari (Area 4)</t>
  </si>
  <si>
    <t>Kanyakumari (Area 5)</t>
  </si>
  <si>
    <t>Kanyakumari (Area 6)</t>
  </si>
  <si>
    <t>Karur</t>
  </si>
  <si>
    <t>Karur (Area 1)</t>
  </si>
  <si>
    <t>Karur (Area 2)</t>
  </si>
  <si>
    <t>Karur (Area 3)</t>
  </si>
  <si>
    <t>Karur (Area 4)</t>
  </si>
  <si>
    <t>Karur (Area 5)</t>
  </si>
  <si>
    <t>Karur (Area 6)</t>
  </si>
  <si>
    <t>Krishnagiri</t>
  </si>
  <si>
    <t>Krishnagiri (Area 1)</t>
  </si>
  <si>
    <t>Krishnagiri (Area 2)</t>
  </si>
  <si>
    <t>Krishnagiri (Area 3)</t>
  </si>
  <si>
    <t>Krishnagiri (Area 4)</t>
  </si>
  <si>
    <t>Krishnagiri (Area 5)</t>
  </si>
  <si>
    <t>Krishnagiri (Area 6)</t>
  </si>
  <si>
    <t>Madurai</t>
  </si>
  <si>
    <t>Madurai (Area 1)</t>
  </si>
  <si>
    <t>Madurai (Area 2)</t>
  </si>
  <si>
    <t>Madurai (Area 3)</t>
  </si>
  <si>
    <t>Madurai (Area 4)</t>
  </si>
  <si>
    <t>Madurai (Area 5)</t>
  </si>
  <si>
    <t>Madurai (Area 6)</t>
  </si>
  <si>
    <t>Nagapattinam</t>
  </si>
  <si>
    <t>Nagapattinam (Area 1)</t>
  </si>
  <si>
    <t>Nagapattinam (Area 2)</t>
  </si>
  <si>
    <t>Nagapattinam (Area 3)</t>
  </si>
  <si>
    <t>Nagapattinam (Area 4)</t>
  </si>
  <si>
    <t>Nagapattinam (Area 5)</t>
  </si>
  <si>
    <t>Nagapattinam (Area 6)</t>
  </si>
  <si>
    <t>Namakkal</t>
  </si>
  <si>
    <t>Namakkal (Area 1)</t>
  </si>
  <si>
    <t>Namakkal (Area 2)</t>
  </si>
  <si>
    <t>Namakkal (Area 3)</t>
  </si>
  <si>
    <t>Namakkal (Area 4)</t>
  </si>
  <si>
    <t>Namakkal (Area 5)</t>
  </si>
  <si>
    <t>Namakkal (Area 6)</t>
  </si>
  <si>
    <t>Nilgiris</t>
  </si>
  <si>
    <t>Nilgiris (Area 1)</t>
  </si>
  <si>
    <t>Nilgiris (Area 2)</t>
  </si>
  <si>
    <t>Nilgiris (Area 3)</t>
  </si>
  <si>
    <t>Nilgiris (Area 4)</t>
  </si>
  <si>
    <t>Nilgiris (Area 5)</t>
  </si>
  <si>
    <t>Nilgiris (Area 6)</t>
  </si>
  <si>
    <t>Perambalur</t>
  </si>
  <si>
    <t>Perambalur (Area 1)</t>
  </si>
  <si>
    <t>Perambalur (Area 2)</t>
  </si>
  <si>
    <t>Perambalur (Area 3)</t>
  </si>
  <si>
    <t>Perambalur (Area 4)</t>
  </si>
  <si>
    <t>Perambalur (Area 5)</t>
  </si>
  <si>
    <t>Perambalur (Area 6)</t>
  </si>
  <si>
    <t>Pudukkottai</t>
  </si>
  <si>
    <t>Pudukkottai (Area 1)</t>
  </si>
  <si>
    <t>Pudukkottai (Area 2)</t>
  </si>
  <si>
    <t>Pudukkottai (Area 3)</t>
  </si>
  <si>
    <t>Pudukkottai (Area 4)</t>
  </si>
  <si>
    <t>Pudukkottai (Area 5)</t>
  </si>
  <si>
    <t>Pudukkottai (Area 6)</t>
  </si>
  <si>
    <t>Ramanathapuram</t>
  </si>
  <si>
    <t>Ramanathapuram (Area 1)</t>
  </si>
  <si>
    <t>Ramanathapuram (Area 2)</t>
  </si>
  <si>
    <t>Ramanathapuram (Area 3)</t>
  </si>
  <si>
    <t>Ramanathapuram (Area 4)</t>
  </si>
  <si>
    <t>Ramanathapuram (Area 5)</t>
  </si>
  <si>
    <t>Ramanathapuram (Area 6)</t>
  </si>
  <si>
    <t>Salem</t>
  </si>
  <si>
    <t>Salem (Area 1)</t>
  </si>
  <si>
    <t>Salem (Area 2)</t>
  </si>
  <si>
    <t>Salem (Area 3)</t>
  </si>
  <si>
    <t>Salem (Area 4)</t>
  </si>
  <si>
    <t>Salem (Area 5)</t>
  </si>
  <si>
    <t>Salem (Area 6)</t>
  </si>
  <si>
    <t>Sivaganga</t>
  </si>
  <si>
    <t>Sivaganga (Area 1)</t>
  </si>
  <si>
    <t>Sivaganga (Area 2)</t>
  </si>
  <si>
    <t>Sivaganga (Area 3)</t>
  </si>
  <si>
    <t>Sivaganga (Area 4)</t>
  </si>
  <si>
    <t>Sivaganga (Area 5)</t>
  </si>
  <si>
    <t>Sivaganga (Area 6)</t>
  </si>
  <si>
    <t>Thanjavur</t>
  </si>
  <si>
    <t>Thanjavur (Area 1)</t>
  </si>
  <si>
    <t>Thanjavur (Area 2)</t>
  </si>
  <si>
    <t>Thanjavur (Area 3)</t>
  </si>
  <si>
    <t>Thanjavur (Area 4)</t>
  </si>
  <si>
    <t>Thanjavur (Area 5)</t>
  </si>
  <si>
    <t>Thanjavur (Area 6)</t>
  </si>
  <si>
    <t>Theni</t>
  </si>
  <si>
    <t>Theni (Area 1)</t>
  </si>
  <si>
    <t>Theni (Area 2)</t>
  </si>
  <si>
    <t>Theni (Area 3)</t>
  </si>
  <si>
    <t>Theni (Area 4)</t>
  </si>
  <si>
    <t>Theni (Area 5)</t>
  </si>
  <si>
    <t>Theni (Area 6)</t>
  </si>
  <si>
    <t>Thoothukudi (Tuticorin)</t>
  </si>
  <si>
    <t>Thoothukudi (Tuticorin) (Area 1)</t>
  </si>
  <si>
    <t>Thoothukudi (Tuticorin) (Area 2)</t>
  </si>
  <si>
    <t>Thoothukudi (Tuticorin) (Area 3)</t>
  </si>
  <si>
    <t>Thoothukudi (Tuticorin) (Area 4)</t>
  </si>
  <si>
    <t>Thoothukudi (Tuticorin) (Area 5)</t>
  </si>
  <si>
    <t>Thoothukudi (Tuticorin) (Area 6)</t>
  </si>
  <si>
    <t>Tiruchirappalli</t>
  </si>
  <si>
    <t>Tiruchirappalli (Area 1)</t>
  </si>
  <si>
    <t>Tiruchirappalli (Area 2)</t>
  </si>
  <si>
    <t>Tiruchirappalli (Area 3)</t>
  </si>
  <si>
    <t>Tiruchirappalli (Area 4)</t>
  </si>
  <si>
    <t>Tiruchirappalli (Area 5)</t>
  </si>
  <si>
    <t>Tiruchirappalli (Area 6)</t>
  </si>
  <si>
    <t>Tirunelveli</t>
  </si>
  <si>
    <t>Tirunelveli (Area 1)</t>
  </si>
  <si>
    <t>Tirunelveli (Area 2)</t>
  </si>
  <si>
    <t>Tirunelveli (Area 3)</t>
  </si>
  <si>
    <t>Tirunelveli (Area 4)</t>
  </si>
  <si>
    <t>Tirunelveli (Area 5)</t>
  </si>
  <si>
    <t>Tirunelveli (Area 6)</t>
  </si>
  <si>
    <t>Tiruppur</t>
  </si>
  <si>
    <t>Tiruppur (Area 1)</t>
  </si>
  <si>
    <t>Tiruppur (Area 2)</t>
  </si>
  <si>
    <t>Tiruppur (Area 3)</t>
  </si>
  <si>
    <t>Tiruppur (Area 4)</t>
  </si>
  <si>
    <t>Tiruppur (Area 5)</t>
  </si>
  <si>
    <t>Tiruppur (Area 6)</t>
  </si>
  <si>
    <t>Tiruvallur</t>
  </si>
  <si>
    <t>Tiruvallur (Area 1)</t>
  </si>
  <si>
    <t>Tiruvallur (Area 2)</t>
  </si>
  <si>
    <t>Tiruvallur (Area 3)</t>
  </si>
  <si>
    <t>Tiruvallur (Area 4)</t>
  </si>
  <si>
    <t>Tiruvallur (Area 5)</t>
  </si>
  <si>
    <t>Tiruvallur (Area 6)</t>
  </si>
  <si>
    <t>Tiruvannamalai</t>
  </si>
  <si>
    <t>Tiruvannamalai (Area 1)</t>
  </si>
  <si>
    <t>Tiruvannamalai (Area 2)</t>
  </si>
  <si>
    <t>Tiruvannamalai (Area 3)</t>
  </si>
  <si>
    <t>Tiruvannamalai (Area 4)</t>
  </si>
  <si>
    <t>Tiruvannamalai (Area 5)</t>
  </si>
  <si>
    <t>Tiruvannamalai (Area 6)</t>
  </si>
  <si>
    <t>Tiruvarur</t>
  </si>
  <si>
    <t>Tiruvarur (Area 1)</t>
  </si>
  <si>
    <t>Tiruvarur (Area 2)</t>
  </si>
  <si>
    <t>Tiruvarur (Area 3)</t>
  </si>
  <si>
    <t>Tiruvarur (Area 4)</t>
  </si>
  <si>
    <t>Tiruvarur (Area 5)</t>
  </si>
  <si>
    <t>Tiruvarur (Area 6)</t>
  </si>
  <si>
    <t>Vellore</t>
  </si>
  <si>
    <t>Vellore (Area 1)</t>
  </si>
  <si>
    <t>Vellore (Area 2)</t>
  </si>
  <si>
    <t>Vellore (Area 3)</t>
  </si>
  <si>
    <t>Vellore (Area 4)</t>
  </si>
  <si>
    <t>Vellore (Area 5)</t>
  </si>
  <si>
    <t>Vellore (Area 6)</t>
  </si>
  <si>
    <t>Viluppuram</t>
  </si>
  <si>
    <t>Viluppuram (Area 1)</t>
  </si>
  <si>
    <t>Viluppuram (Area 2)</t>
  </si>
  <si>
    <t>Viluppuram (Area 3)</t>
  </si>
  <si>
    <t>Viluppuram (Area 4)</t>
  </si>
  <si>
    <t>Viluppuram (Area 5)</t>
  </si>
  <si>
    <t>Viluppuram (Area 6)</t>
  </si>
  <si>
    <t>Virudhunagar</t>
  </si>
  <si>
    <t>Virudhunagar (Area 1)</t>
  </si>
  <si>
    <t>Virudhunagar (Area 2)</t>
  </si>
  <si>
    <t>Virudhunagar (Area 3)</t>
  </si>
  <si>
    <t>Virudhunagar (Area 4)</t>
  </si>
  <si>
    <t>Virudhunagar (Area 5)</t>
  </si>
  <si>
    <t>Virudhunagar (Area 6)</t>
  </si>
  <si>
    <t>Telangana</t>
  </si>
  <si>
    <t>Adilabad</t>
  </si>
  <si>
    <t>Adilabad (Area 1)</t>
  </si>
  <si>
    <t>Adilabad (Area 2)</t>
  </si>
  <si>
    <t>Adilabad (Area 3)</t>
  </si>
  <si>
    <t>Adilabad (Area 4)</t>
  </si>
  <si>
    <t>Adilabad (Area 5)</t>
  </si>
  <si>
    <t>Adilabad (Area 6)</t>
  </si>
  <si>
    <t>Bhadradri Kothagudem</t>
  </si>
  <si>
    <t>Bhadradri Kothagudem (Area 1)</t>
  </si>
  <si>
    <t>Bhadradri Kothagudem (Area 2)</t>
  </si>
  <si>
    <t>Bhadradri Kothagudem (Area 3)</t>
  </si>
  <si>
    <t>Bhadradri Kothagudem (Area 4)</t>
  </si>
  <si>
    <t>Bhadradri Kothagudem (Area 5)</t>
  </si>
  <si>
    <t>Bhadradri Kothagudem (Area 6)</t>
  </si>
  <si>
    <t>Hyderabad</t>
  </si>
  <si>
    <t>Hyderabad (Area 1)</t>
  </si>
  <si>
    <t>Hyderabad (Area 2)</t>
  </si>
  <si>
    <t>Hyderabad (Area 3)</t>
  </si>
  <si>
    <t>Hyderabad (Area 4)</t>
  </si>
  <si>
    <t>Hyderabad (Area 5)</t>
  </si>
  <si>
    <t>Hyderabad (Area 6)</t>
  </si>
  <si>
    <t>Jagtial</t>
  </si>
  <si>
    <t>Jagtial (Area 1)</t>
  </si>
  <si>
    <t>Jagtial (Area 2)</t>
  </si>
  <si>
    <t>Jagtial (Area 3)</t>
  </si>
  <si>
    <t>Jagtial (Area 4)</t>
  </si>
  <si>
    <t>Jagtial (Area 5)</t>
  </si>
  <si>
    <t>Jagtial (Area 6)</t>
  </si>
  <si>
    <t>Jangaon</t>
  </si>
  <si>
    <t>Jangaon (Area 1)</t>
  </si>
  <si>
    <t>Jangaon (Area 2)</t>
  </si>
  <si>
    <t>Jangaon (Area 3)</t>
  </si>
  <si>
    <t>Jangaon (Area 4)</t>
  </si>
  <si>
    <t>Jangaon (Area 5)</t>
  </si>
  <si>
    <t>Jangaon (Area 6)</t>
  </si>
  <si>
    <t>Jayashankar Bhoopalpally</t>
  </si>
  <si>
    <t>Jayashankar Bhoopalpally (Area 1)</t>
  </si>
  <si>
    <t>Jayashankar Bhoopalpally (Area 2)</t>
  </si>
  <si>
    <t>Jayashankar Bhoopalpally (Area 3)</t>
  </si>
  <si>
    <t>Jayashankar Bhoopalpally (Area 4)</t>
  </si>
  <si>
    <t>Jayashankar Bhoopalpally (Area 5)</t>
  </si>
  <si>
    <t>Jayashankar Bhoopalpally (Area 6)</t>
  </si>
  <si>
    <t>Jogulamba Gadwal</t>
  </si>
  <si>
    <t>Jogulamba Gadwal (Area 1)</t>
  </si>
  <si>
    <t>Jogulamba Gadwal (Area 2)</t>
  </si>
  <si>
    <t>Jogulamba Gadwal (Area 3)</t>
  </si>
  <si>
    <t>Jogulamba Gadwal (Area 4)</t>
  </si>
  <si>
    <t>Jogulamba Gadwal (Area 5)</t>
  </si>
  <si>
    <t>Jogulamba Gadwal (Area 6)</t>
  </si>
  <si>
    <t>Kamareddy</t>
  </si>
  <si>
    <t>Kamareddy (Area 1)</t>
  </si>
  <si>
    <t>Kamareddy (Area 2)</t>
  </si>
  <si>
    <t>Kamareddy (Area 3)</t>
  </si>
  <si>
    <t>Kamareddy (Area 4)</t>
  </si>
  <si>
    <t>Kamareddy (Area 5)</t>
  </si>
  <si>
    <t>Kamareddy (Area 6)</t>
  </si>
  <si>
    <t>Karimnagar</t>
  </si>
  <si>
    <t>Karimnagar (Area 1)</t>
  </si>
  <si>
    <t>Karimnagar (Area 2)</t>
  </si>
  <si>
    <t>Karimnagar (Area 3)</t>
  </si>
  <si>
    <t>Karimnagar (Area 4)</t>
  </si>
  <si>
    <t>Karimnagar (Area 5)</t>
  </si>
  <si>
    <t>Karimnagar (Area 6)</t>
  </si>
  <si>
    <t>Khammam</t>
  </si>
  <si>
    <t>Khammam (Area 1)</t>
  </si>
  <si>
    <t>Khammam (Area 2)</t>
  </si>
  <si>
    <t>Khammam (Area 3)</t>
  </si>
  <si>
    <t>Khammam (Area 4)</t>
  </si>
  <si>
    <t>Khammam (Area 5)</t>
  </si>
  <si>
    <t>Khammam (Area 6)</t>
  </si>
  <si>
    <t>Komaram Bheem Asifabad</t>
  </si>
  <si>
    <t>Komaram Bheem Asifabad (Area 1)</t>
  </si>
  <si>
    <t>Komaram Bheem Asifabad (Area 2)</t>
  </si>
  <si>
    <t>Komaram Bheem Asifabad (Area 3)</t>
  </si>
  <si>
    <t>Komaram Bheem Asifabad (Area 4)</t>
  </si>
  <si>
    <t>Komaram Bheem Asifabad (Area 5)</t>
  </si>
  <si>
    <t>Komaram Bheem Asifabad (Area 6)</t>
  </si>
  <si>
    <t>Mahabubabad</t>
  </si>
  <si>
    <t>Mahabubabad (Area 1)</t>
  </si>
  <si>
    <t>Mahabubabad (Area 2)</t>
  </si>
  <si>
    <t>Mahabubabad (Area 3)</t>
  </si>
  <si>
    <t>Mahabubabad (Area 4)</t>
  </si>
  <si>
    <t>Mahabubabad (Area 5)</t>
  </si>
  <si>
    <t>Mahabubabad (Area 6)</t>
  </si>
  <si>
    <t>Mahabubnagar</t>
  </si>
  <si>
    <t>Mahabubnagar (Area 1)</t>
  </si>
  <si>
    <t>Mahabubnagar (Area 2)</t>
  </si>
  <si>
    <t>Mahabubnagar (Area 3)</t>
  </si>
  <si>
    <t>Mahabubnagar (Area 4)</t>
  </si>
  <si>
    <t>Mahabubnagar (Area 5)</t>
  </si>
  <si>
    <t>Mahabubnagar (Area 6)</t>
  </si>
  <si>
    <t>Mancherial</t>
  </si>
  <si>
    <t>Mancherial (Area 1)</t>
  </si>
  <si>
    <t>Mancherial (Area 2)</t>
  </si>
  <si>
    <t>Mancherial (Area 3)</t>
  </si>
  <si>
    <t>Mancherial (Area 4)</t>
  </si>
  <si>
    <t>Mancherial (Area 5)</t>
  </si>
  <si>
    <t>Mancherial (Area 6)</t>
  </si>
  <si>
    <t>Medak</t>
  </si>
  <si>
    <t>Medak (Area 1)</t>
  </si>
  <si>
    <t>Medak (Area 2)</t>
  </si>
  <si>
    <t>Medak (Area 3)</t>
  </si>
  <si>
    <t>Medak (Area 4)</t>
  </si>
  <si>
    <t>Medak (Area 5)</t>
  </si>
  <si>
    <t>Medak (Area 6)</t>
  </si>
  <si>
    <t>Medchal</t>
  </si>
  <si>
    <t>Medchal (Area 1)</t>
  </si>
  <si>
    <t>Medchal (Area 2)</t>
  </si>
  <si>
    <t>Medchal (Area 3)</t>
  </si>
  <si>
    <t>Medchal (Area 4)</t>
  </si>
  <si>
    <t>Medchal (Area 5)</t>
  </si>
  <si>
    <t>Medchal (Area 6)</t>
  </si>
  <si>
    <t>Nagarkurnool</t>
  </si>
  <si>
    <t>Nagarkurnool (Area 1)</t>
  </si>
  <si>
    <t>Nagarkurnool (Area 2)</t>
  </si>
  <si>
    <t>Nagarkurnool (Area 3)</t>
  </si>
  <si>
    <t>Nagarkurnool (Area 4)</t>
  </si>
  <si>
    <t>Nagarkurnool (Area 5)</t>
  </si>
  <si>
    <t>Nagarkurnool (Area 6)</t>
  </si>
  <si>
    <t>Nalgonda</t>
  </si>
  <si>
    <t>Nalgonda (Area 1)</t>
  </si>
  <si>
    <t>Nalgonda (Area 2)</t>
  </si>
  <si>
    <t>Nalgonda (Area 3)</t>
  </si>
  <si>
    <t>Nalgonda (Area 4)</t>
  </si>
  <si>
    <t>Nalgonda (Area 5)</t>
  </si>
  <si>
    <t>Nalgonda (Area 6)</t>
  </si>
  <si>
    <t>Nirmal</t>
  </si>
  <si>
    <t>Nirmal (Area 1)</t>
  </si>
  <si>
    <t>Nirmal (Area 2)</t>
  </si>
  <si>
    <t>Nirmal (Area 3)</t>
  </si>
  <si>
    <t>Nirmal (Area 4)</t>
  </si>
  <si>
    <t>Nirmal (Area 5)</t>
  </si>
  <si>
    <t>Nirmal (Area 6)</t>
  </si>
  <si>
    <t>Nizamabad</t>
  </si>
  <si>
    <t>Nizamabad (Area 1)</t>
  </si>
  <si>
    <t>Nizamabad (Area 2)</t>
  </si>
  <si>
    <t>Nizamabad (Area 3)</t>
  </si>
  <si>
    <t>Nizamabad (Area 4)</t>
  </si>
  <si>
    <t>Nizamabad (Area 5)</t>
  </si>
  <si>
    <t>Nizamabad (Area 6)</t>
  </si>
  <si>
    <t>Peddapalli</t>
  </si>
  <si>
    <t>Peddapalli (Area 1)</t>
  </si>
  <si>
    <t>Peddapalli (Area 2)</t>
  </si>
  <si>
    <t>Peddapalli (Area 3)</t>
  </si>
  <si>
    <t>Peddapalli (Area 4)</t>
  </si>
  <si>
    <t>Peddapalli (Area 5)</t>
  </si>
  <si>
    <t>Peddapalli (Area 6)</t>
  </si>
  <si>
    <t>Rajanna Sircilla</t>
  </si>
  <si>
    <t>Rajanna Sircilla (Area 1)</t>
  </si>
  <si>
    <t>Rajanna Sircilla (Area 2)</t>
  </si>
  <si>
    <t>Rajanna Sircilla (Area 3)</t>
  </si>
  <si>
    <t>Rajanna Sircilla (Area 4)</t>
  </si>
  <si>
    <t>Rajanna Sircilla (Area 5)</t>
  </si>
  <si>
    <t>Rajanna Sircilla (Area 6)</t>
  </si>
  <si>
    <t>Rangareddy</t>
  </si>
  <si>
    <t>Rangareddy (Area 1)</t>
  </si>
  <si>
    <t>Rangareddy (Area 2)</t>
  </si>
  <si>
    <t>Rangareddy (Area 3)</t>
  </si>
  <si>
    <t>Rangareddy (Area 4)</t>
  </si>
  <si>
    <t>Rangareddy (Area 5)</t>
  </si>
  <si>
    <t>Rangareddy (Area 6)</t>
  </si>
  <si>
    <t>Sangareddy</t>
  </si>
  <si>
    <t>Sangareddy (Area 1)</t>
  </si>
  <si>
    <t>Sangareddy (Area 2)</t>
  </si>
  <si>
    <t>Sangareddy (Area 3)</t>
  </si>
  <si>
    <t>Sangareddy (Area 4)</t>
  </si>
  <si>
    <t>Sangareddy (Area 5)</t>
  </si>
  <si>
    <t>Sangareddy (Area 6)</t>
  </si>
  <si>
    <t>Siddipet</t>
  </si>
  <si>
    <t>Siddipet (Area 1)</t>
  </si>
  <si>
    <t>Siddipet (Area 2)</t>
  </si>
  <si>
    <t>Siddipet (Area 3)</t>
  </si>
  <si>
    <t>Siddipet (Area 4)</t>
  </si>
  <si>
    <t>Siddipet (Area 5)</t>
  </si>
  <si>
    <t>Siddipet (Area 6)</t>
  </si>
  <si>
    <t>Suryapet</t>
  </si>
  <si>
    <t>Suryapet (Area 1)</t>
  </si>
  <si>
    <t>Suryapet (Area 2)</t>
  </si>
  <si>
    <t>Suryapet (Area 3)</t>
  </si>
  <si>
    <t>Suryapet (Area 4)</t>
  </si>
  <si>
    <t>Suryapet (Area 5)</t>
  </si>
  <si>
    <t>Suryapet (Area 6)</t>
  </si>
  <si>
    <t>Vikarabad</t>
  </si>
  <si>
    <t>Vikarabad (Area 1)</t>
  </si>
  <si>
    <t>Vikarabad (Area 2)</t>
  </si>
  <si>
    <t>Vikarabad (Area 3)</t>
  </si>
  <si>
    <t>Vikarabad (Area 4)</t>
  </si>
  <si>
    <t>Vikarabad (Area 5)</t>
  </si>
  <si>
    <t>Vikarabad (Area 6)</t>
  </si>
  <si>
    <t>Wanaparthy</t>
  </si>
  <si>
    <t>Wanaparthy (Area 1)</t>
  </si>
  <si>
    <t>Wanaparthy (Area 2)</t>
  </si>
  <si>
    <t>Wanaparthy (Area 3)</t>
  </si>
  <si>
    <t>Wanaparthy (Area 4)</t>
  </si>
  <si>
    <t>Wanaparthy (Area 5)</t>
  </si>
  <si>
    <t>Wanaparthy (Area 6)</t>
  </si>
  <si>
    <t>Warangal (Rural)</t>
  </si>
  <si>
    <t>Warangal (Rural) (Area 1)</t>
  </si>
  <si>
    <t>Warangal (Rural) (Area 2)</t>
  </si>
  <si>
    <t>Warangal (Rural) (Area 3)</t>
  </si>
  <si>
    <t>Warangal (Rural) (Area 4)</t>
  </si>
  <si>
    <t>Warangal (Rural) (Area 5)</t>
  </si>
  <si>
    <t>Warangal (Rural) (Area 6)</t>
  </si>
  <si>
    <t>Warangal (Urban)</t>
  </si>
  <si>
    <t>Warangal (Urban) (Area 1)</t>
  </si>
  <si>
    <t>Warangal (Urban) (Area 2)</t>
  </si>
  <si>
    <t>Warangal (Urban) (Area 3)</t>
  </si>
  <si>
    <t>Warangal (Urban) (Area 4)</t>
  </si>
  <si>
    <t>Warangal (Urban) (Area 5)</t>
  </si>
  <si>
    <t>Warangal (Urban) (Area 6)</t>
  </si>
  <si>
    <t>Yadadri Bhuvanagiri</t>
  </si>
  <si>
    <t>Yadadri Bhuvanagiri (Area 1)</t>
  </si>
  <si>
    <t>Yadadri Bhuvanagiri (Area 2)</t>
  </si>
  <si>
    <t>Yadadri Bhuvanagiri (Area 3)</t>
  </si>
  <si>
    <t>Yadadri Bhuvanagiri (Area 4)</t>
  </si>
  <si>
    <t>Yadadri Bhuvanagiri (Area 5)</t>
  </si>
  <si>
    <t>Yadadri Bhuvanagiri (Area 6)</t>
  </si>
  <si>
    <t>Tripura</t>
  </si>
  <si>
    <t>Dhalai</t>
  </si>
  <si>
    <t>Dhalai (Area 1)</t>
  </si>
  <si>
    <t>Dhalai (Area 2)</t>
  </si>
  <si>
    <t>Dhalai (Area 3)</t>
  </si>
  <si>
    <t>Dhalai (Area 4)</t>
  </si>
  <si>
    <t>Dhalai (Area 5)</t>
  </si>
  <si>
    <t>Dhalai (Area 6)</t>
  </si>
  <si>
    <t>Gomati</t>
  </si>
  <si>
    <t>Gomati (Area 1)</t>
  </si>
  <si>
    <t>Gomati (Area 2)</t>
  </si>
  <si>
    <t>Gomati (Area 3)</t>
  </si>
  <si>
    <t>Gomati (Area 4)</t>
  </si>
  <si>
    <t>Gomati (Area 5)</t>
  </si>
  <si>
    <t>Gomati (Area 6)</t>
  </si>
  <si>
    <t>Khowai</t>
  </si>
  <si>
    <t>Khowai (Area 1)</t>
  </si>
  <si>
    <t>Khowai (Area 2)</t>
  </si>
  <si>
    <t>Khowai (Area 3)</t>
  </si>
  <si>
    <t>Khowai (Area 4)</t>
  </si>
  <si>
    <t>Khowai (Area 5)</t>
  </si>
  <si>
    <t>Khowai (Area 6)</t>
  </si>
  <si>
    <t>North Tripura</t>
  </si>
  <si>
    <t>North Tripura (Area 1)</t>
  </si>
  <si>
    <t>North Tripura (Area 2)</t>
  </si>
  <si>
    <t>North Tripura (Area 3)</t>
  </si>
  <si>
    <t>North Tripura (Area 4)</t>
  </si>
  <si>
    <t>North Tripura (Area 5)</t>
  </si>
  <si>
    <t>North Tripura (Area 6)</t>
  </si>
  <si>
    <t>Sepahijala</t>
  </si>
  <si>
    <t>Sepahijala (Area 1)</t>
  </si>
  <si>
    <t>Sepahijala (Area 2)</t>
  </si>
  <si>
    <t>Sepahijala (Area 3)</t>
  </si>
  <si>
    <t>Sepahijala (Area 4)</t>
  </si>
  <si>
    <t>Sepahijala (Area 5)</t>
  </si>
  <si>
    <t>Sepahijala (Area 6)</t>
  </si>
  <si>
    <t>South Tripura</t>
  </si>
  <si>
    <t>South Tripura (Area 1)</t>
  </si>
  <si>
    <t>South Tripura (Area 2)</t>
  </si>
  <si>
    <t>South Tripura (Area 3)</t>
  </si>
  <si>
    <t>South Tripura (Area 4)</t>
  </si>
  <si>
    <t>South Tripura (Area 5)</t>
  </si>
  <si>
    <t>South Tripura (Area 6)</t>
  </si>
  <si>
    <t>Unakoti</t>
  </si>
  <si>
    <t>Unakoti (Area 1)</t>
  </si>
  <si>
    <t>Unakoti (Area 2)</t>
  </si>
  <si>
    <t>Unakoti (Area 3)</t>
  </si>
  <si>
    <t>Unakoti (Area 4)</t>
  </si>
  <si>
    <t>Unakoti (Area 5)</t>
  </si>
  <si>
    <t>Unakoti (Area 6)</t>
  </si>
  <si>
    <t>West Tripura</t>
  </si>
  <si>
    <t>West Tripura (Area 1)</t>
  </si>
  <si>
    <t>West Tripura (Area 2)</t>
  </si>
  <si>
    <t>West Tripura (Area 3)</t>
  </si>
  <si>
    <t>West Tripura (Area 4)</t>
  </si>
  <si>
    <t>West Tripura (Area 5)</t>
  </si>
  <si>
    <t>West Tripura (Area 6)</t>
  </si>
  <si>
    <t>Uttarakhand</t>
  </si>
  <si>
    <t>Almora</t>
  </si>
  <si>
    <t>Almora (Area 1)</t>
  </si>
  <si>
    <t>Almora (Area 2)</t>
  </si>
  <si>
    <t>Almora (Area 3)</t>
  </si>
  <si>
    <t>Almora (Area 4)</t>
  </si>
  <si>
    <t>Almora (Area 5)</t>
  </si>
  <si>
    <t>Almora (Area 6)</t>
  </si>
  <si>
    <t>Bageshwar</t>
  </si>
  <si>
    <t>Bageshwar (Area 1)</t>
  </si>
  <si>
    <t>Bageshwar (Area 2)</t>
  </si>
  <si>
    <t>Bageshwar (Area 3)</t>
  </si>
  <si>
    <t>Bageshwar (Area 4)</t>
  </si>
  <si>
    <t>Bageshwar (Area 5)</t>
  </si>
  <si>
    <t>Bageshwar (Area 6)</t>
  </si>
  <si>
    <t>Chamoli</t>
  </si>
  <si>
    <t>Chamoli (Area 1)</t>
  </si>
  <si>
    <t>Chamoli (Area 2)</t>
  </si>
  <si>
    <t>Chamoli (Area 3)</t>
  </si>
  <si>
    <t>Chamoli (Area 4)</t>
  </si>
  <si>
    <t>Chamoli (Area 5)</t>
  </si>
  <si>
    <t>Chamoli (Area 6)</t>
  </si>
  <si>
    <t>Champawat</t>
  </si>
  <si>
    <t>Champawat (Area 1)</t>
  </si>
  <si>
    <t>Champawat (Area 2)</t>
  </si>
  <si>
    <t>Champawat (Area 3)</t>
  </si>
  <si>
    <t>Champawat (Area 4)</t>
  </si>
  <si>
    <t>Champawat (Area 5)</t>
  </si>
  <si>
    <t>Champawat (Area 6)</t>
  </si>
  <si>
    <t>Dehradun</t>
  </si>
  <si>
    <t>Dehradun (Area 1)</t>
  </si>
  <si>
    <t>Dehradun (Area 2)</t>
  </si>
  <si>
    <t>Dehradun (Area 3)</t>
  </si>
  <si>
    <t>Dehradun (Area 4)</t>
  </si>
  <si>
    <t>Dehradun (Area 5)</t>
  </si>
  <si>
    <t>Dehradun (Area 6)</t>
  </si>
  <si>
    <t>Haridwar</t>
  </si>
  <si>
    <t>Haridwar (Area 1)</t>
  </si>
  <si>
    <t>Haridwar (Area 2)</t>
  </si>
  <si>
    <t>Haridwar (Area 3)</t>
  </si>
  <si>
    <t>Haridwar (Area 4)</t>
  </si>
  <si>
    <t>Haridwar (Area 5)</t>
  </si>
  <si>
    <t>Haridwar (Area 6)</t>
  </si>
  <si>
    <t>Nainital</t>
  </si>
  <si>
    <t>Nainital (Area 1)</t>
  </si>
  <si>
    <t>Nainital (Area 2)</t>
  </si>
  <si>
    <t>Nainital (Area 3)</t>
  </si>
  <si>
    <t>Nainital (Area 4)</t>
  </si>
  <si>
    <t>Nainital (Area 5)</t>
  </si>
  <si>
    <t>Nainital (Area 6)</t>
  </si>
  <si>
    <t>Pauri Garhwal</t>
  </si>
  <si>
    <t>Pauri Garhwal (Area 1)</t>
  </si>
  <si>
    <t>Pauri Garhwal (Area 2)</t>
  </si>
  <si>
    <t>Pauri Garhwal (Area 3)</t>
  </si>
  <si>
    <t>Pauri Garhwal (Area 4)</t>
  </si>
  <si>
    <t>Pauri Garhwal (Area 5)</t>
  </si>
  <si>
    <t>Pauri Garhwal (Area 6)</t>
  </si>
  <si>
    <t>Pithoragarh</t>
  </si>
  <si>
    <t>Pithoragarh (Area 1)</t>
  </si>
  <si>
    <t>Pithoragarh (Area 2)</t>
  </si>
  <si>
    <t>Pithoragarh (Area 3)</t>
  </si>
  <si>
    <t>Pithoragarh (Area 4)</t>
  </si>
  <si>
    <t>Pithoragarh (Area 5)</t>
  </si>
  <si>
    <t>Pithoragarh (Area 6)</t>
  </si>
  <si>
    <t>Rudraprayag</t>
  </si>
  <si>
    <t>Rudraprayag (Area 1)</t>
  </si>
  <si>
    <t>Rudraprayag (Area 2)</t>
  </si>
  <si>
    <t>Rudraprayag (Area 3)</t>
  </si>
  <si>
    <t>Rudraprayag (Area 4)</t>
  </si>
  <si>
    <t>Rudraprayag (Area 5)</t>
  </si>
  <si>
    <t>Rudraprayag (Area 6)</t>
  </si>
  <si>
    <t>Tehri Garhwal</t>
  </si>
  <si>
    <t>Tehri Garhwal (Area 1)</t>
  </si>
  <si>
    <t>Tehri Garhwal (Area 2)</t>
  </si>
  <si>
    <t>Tehri Garhwal (Area 3)</t>
  </si>
  <si>
    <t>Tehri Garhwal (Area 4)</t>
  </si>
  <si>
    <t>Tehri Garhwal (Area 5)</t>
  </si>
  <si>
    <t>Tehri Garhwal (Area 6)</t>
  </si>
  <si>
    <t>Udham Singh Nagar</t>
  </si>
  <si>
    <t>Udham Singh Nagar (Area 1)</t>
  </si>
  <si>
    <t>Udham Singh Nagar (Area 2)</t>
  </si>
  <si>
    <t>Udham Singh Nagar (Area 3)</t>
  </si>
  <si>
    <t>Udham Singh Nagar (Area 4)</t>
  </si>
  <si>
    <t>Udham Singh Nagar (Area 5)</t>
  </si>
  <si>
    <t>Udham Singh Nagar (Area 6)</t>
  </si>
  <si>
    <t>Uttarkashi</t>
  </si>
  <si>
    <t>Uttarkashi (Area 1)</t>
  </si>
  <si>
    <t>Uttarkashi (Area 2)</t>
  </si>
  <si>
    <t>Uttarkashi (Area 3)</t>
  </si>
  <si>
    <t>Uttarkashi (Area 4)</t>
  </si>
  <si>
    <t>Uttarkashi (Area 5)</t>
  </si>
  <si>
    <t>Uttarkashi (Area 6)</t>
  </si>
  <si>
    <t>Uttar Pradesh</t>
  </si>
  <si>
    <t>Agra</t>
  </si>
  <si>
    <t>Agra (Area 1)</t>
  </si>
  <si>
    <t>Agra (Area 2)</t>
  </si>
  <si>
    <t>Agra (Area 3)</t>
  </si>
  <si>
    <t>Agra (Area 4)</t>
  </si>
  <si>
    <t>Agra (Area 5)</t>
  </si>
  <si>
    <t>Agra (Area 6)</t>
  </si>
  <si>
    <t>Aligarh</t>
  </si>
  <si>
    <t>Aligarh (Area 1)</t>
  </si>
  <si>
    <t>Aligarh (Area 2)</t>
  </si>
  <si>
    <t>Aligarh (Area 3)</t>
  </si>
  <si>
    <t>Aligarh (Area 4)</t>
  </si>
  <si>
    <t>Aligarh (Area 5)</t>
  </si>
  <si>
    <t>Aligarh (Area 6)</t>
  </si>
  <si>
    <t>Allahabad</t>
  </si>
  <si>
    <t>Allahabad (Area 1)</t>
  </si>
  <si>
    <t>Allahabad (Area 2)</t>
  </si>
  <si>
    <t>Allahabad (Area 3)</t>
  </si>
  <si>
    <t>Allahabad (Area 4)</t>
  </si>
  <si>
    <t>Allahabad (Area 5)</t>
  </si>
  <si>
    <t>Allahabad (Area 6)</t>
  </si>
  <si>
    <t>Ambedkar Nagar</t>
  </si>
  <si>
    <t>Ambedkar Nagar (Area 1)</t>
  </si>
  <si>
    <t>Ambedkar Nagar (Area 2)</t>
  </si>
  <si>
    <t>Ambedkar Nagar (Area 3)</t>
  </si>
  <si>
    <t>Ambedkar Nagar (Area 4)</t>
  </si>
  <si>
    <t>Ambedkar Nagar (Area 5)</t>
  </si>
  <si>
    <t>Ambedkar Nagar (Area 6)</t>
  </si>
  <si>
    <t>Amethi (Chatrapati Sahuji Mahraj Nagar)</t>
  </si>
  <si>
    <t>Amethi (Chatrapati Sahuji Mahraj Nagar) (Area 1)</t>
  </si>
  <si>
    <t>Amethi (Chatrapati Sahuji Mahraj Nagar) (Area 2)</t>
  </si>
  <si>
    <t>Amethi (Chatrapati Sahuji Mahraj Nagar) (Area 3)</t>
  </si>
  <si>
    <t>Amethi (Chatrapati Sahuji Mahraj Nagar) (Area 4)</t>
  </si>
  <si>
    <t>Amethi (Chatrapati Sahuji Mahraj Nagar) (Area 5)</t>
  </si>
  <si>
    <t>Amethi (Chatrapati Sahuji Mahraj Nagar) (Area 6)</t>
  </si>
  <si>
    <t>Amroha (J.P. Nagar)</t>
  </si>
  <si>
    <t>Amroha (J.P. Nagar) (Area 1)</t>
  </si>
  <si>
    <t>Amroha (J.P. Nagar) (Area 2)</t>
  </si>
  <si>
    <t>Amroha (J.P. Nagar) (Area 3)</t>
  </si>
  <si>
    <t>Amroha (J.P. Nagar) (Area 4)</t>
  </si>
  <si>
    <t>Amroha (J.P. Nagar) (Area 5)</t>
  </si>
  <si>
    <t>Amroha (J.P. Nagar) (Area 6)</t>
  </si>
  <si>
    <t>Auraiya</t>
  </si>
  <si>
    <t>Auraiya (Area 1)</t>
  </si>
  <si>
    <t>Auraiya (Area 2)</t>
  </si>
  <si>
    <t>Auraiya (Area 3)</t>
  </si>
  <si>
    <t>Auraiya (Area 4)</t>
  </si>
  <si>
    <t>Auraiya (Area 5)</t>
  </si>
  <si>
    <t>Auraiya (Area 6)</t>
  </si>
  <si>
    <t>Azamgarh</t>
  </si>
  <si>
    <t>Azamgarh (Area 1)</t>
  </si>
  <si>
    <t>Azamgarh (Area 2)</t>
  </si>
  <si>
    <t>Azamgarh (Area 3)</t>
  </si>
  <si>
    <t>Azamgarh (Area 4)</t>
  </si>
  <si>
    <t>Azamgarh (Area 5)</t>
  </si>
  <si>
    <t>Azamgarh (Area 6)</t>
  </si>
  <si>
    <t>Baghpat</t>
  </si>
  <si>
    <t>Baghpat (Area 1)</t>
  </si>
  <si>
    <t>Baghpat (Area 2)</t>
  </si>
  <si>
    <t>Baghpat (Area 3)</t>
  </si>
  <si>
    <t>Baghpat (Area 4)</t>
  </si>
  <si>
    <t>Baghpat (Area 5)</t>
  </si>
  <si>
    <t>Baghpat (Area 6)</t>
  </si>
  <si>
    <t>Bahraich</t>
  </si>
  <si>
    <t>Bahraich (Area 1)</t>
  </si>
  <si>
    <t>Bahraich (Area 2)</t>
  </si>
  <si>
    <t>Bahraich (Area 3)</t>
  </si>
  <si>
    <t>Bahraich (Area 4)</t>
  </si>
  <si>
    <t>Bahraich (Area 5)</t>
  </si>
  <si>
    <t>Bahraich (Area 6)</t>
  </si>
  <si>
    <t>Ballia</t>
  </si>
  <si>
    <t>Ballia (Area 1)</t>
  </si>
  <si>
    <t>Ballia (Area 2)</t>
  </si>
  <si>
    <t>Ballia (Area 3)</t>
  </si>
  <si>
    <t>Ballia (Area 4)</t>
  </si>
  <si>
    <t>Ballia (Area 5)</t>
  </si>
  <si>
    <t>Ballia (Area 6)</t>
  </si>
  <si>
    <t>Banda</t>
  </si>
  <si>
    <t>Banda (Area 1)</t>
  </si>
  <si>
    <t>Banda (Area 2)</t>
  </si>
  <si>
    <t>Banda (Area 3)</t>
  </si>
  <si>
    <t>Banda (Area 4)</t>
  </si>
  <si>
    <t>Banda (Area 5)</t>
  </si>
  <si>
    <t>Banda (Area 6)</t>
  </si>
  <si>
    <t>Barabanki</t>
  </si>
  <si>
    <t>Barabanki (Area 1)</t>
  </si>
  <si>
    <t>Barabanki (Area 2)</t>
  </si>
  <si>
    <t>Barabanki (Area 3)</t>
  </si>
  <si>
    <t>Barabanki (Area 4)</t>
  </si>
  <si>
    <t>Barabanki (Area 5)</t>
  </si>
  <si>
    <t>Barabanki (Area 6)</t>
  </si>
  <si>
    <t>Bareilly</t>
  </si>
  <si>
    <t>Bareilly (Area 1)</t>
  </si>
  <si>
    <t>Bareilly (Area 2)</t>
  </si>
  <si>
    <t>Bareilly (Area 3)</t>
  </si>
  <si>
    <t>Bareilly (Area 4)</t>
  </si>
  <si>
    <t>Bareilly (Area 5)</t>
  </si>
  <si>
    <t>Bareilly (Area 6)</t>
  </si>
  <si>
    <t>Basti</t>
  </si>
  <si>
    <t>Basti (Area 1)</t>
  </si>
  <si>
    <t>Basti (Area 2)</t>
  </si>
  <si>
    <t>Basti (Area 3)</t>
  </si>
  <si>
    <t>Basti (Area 4)</t>
  </si>
  <si>
    <t>Basti (Area 5)</t>
  </si>
  <si>
    <t>Basti (Area 6)</t>
  </si>
  <si>
    <t>Bhadohi</t>
  </si>
  <si>
    <t>Bhadohi (Area 1)</t>
  </si>
  <si>
    <t>Bhadohi (Area 2)</t>
  </si>
  <si>
    <t>Bhadohi (Area 3)</t>
  </si>
  <si>
    <t>Bhadohi (Area 4)</t>
  </si>
  <si>
    <t>Bhadohi (Area 5)</t>
  </si>
  <si>
    <t>Bhadohi (Area 6)</t>
  </si>
  <si>
    <t>Bijnor</t>
  </si>
  <si>
    <t>Bijnor (Area 1)</t>
  </si>
  <si>
    <t>Bijnor (Area 2)</t>
  </si>
  <si>
    <t>Bijnor (Area 3)</t>
  </si>
  <si>
    <t>Bijnor (Area 4)</t>
  </si>
  <si>
    <t>Bijnor (Area 5)</t>
  </si>
  <si>
    <t>Bijnor (Area 6)</t>
  </si>
  <si>
    <t>Budaun</t>
  </si>
  <si>
    <t>Budaun (Area 1)</t>
  </si>
  <si>
    <t>Budaun (Area 2)</t>
  </si>
  <si>
    <t>Budaun (Area 3)</t>
  </si>
  <si>
    <t>Budaun (Area 4)</t>
  </si>
  <si>
    <t>Budaun (Area 5)</t>
  </si>
  <si>
    <t>Budaun (Area 6)</t>
  </si>
  <si>
    <t>Bulandshahr</t>
  </si>
  <si>
    <t>Bulandshahr (Area 1)</t>
  </si>
  <si>
    <t>Bulandshahr (Area 2)</t>
  </si>
  <si>
    <t>Bulandshahr (Area 3)</t>
  </si>
  <si>
    <t>Bulandshahr (Area 4)</t>
  </si>
  <si>
    <t>Bulandshahr (Area 5)</t>
  </si>
  <si>
    <t>Bulandshahr (Area 6)</t>
  </si>
  <si>
    <t>Chandauli</t>
  </si>
  <si>
    <t>Chandauli (Area 1)</t>
  </si>
  <si>
    <t>Chandauli (Area 2)</t>
  </si>
  <si>
    <t>Chandauli (Area 3)</t>
  </si>
  <si>
    <t>Chandauli (Area 4)</t>
  </si>
  <si>
    <t>Chandauli (Area 5)</t>
  </si>
  <si>
    <t>Chandauli (Area 6)</t>
  </si>
  <si>
    <t>Chitrakoot</t>
  </si>
  <si>
    <t>Chitrakoot (Area 1)</t>
  </si>
  <si>
    <t>Chitrakoot (Area 2)</t>
  </si>
  <si>
    <t>Chitrakoot (Area 3)</t>
  </si>
  <si>
    <t>Chitrakoot (Area 4)</t>
  </si>
  <si>
    <t>Chitrakoot (Area 5)</t>
  </si>
  <si>
    <t>Chitrakoot (Area 6)</t>
  </si>
  <si>
    <t>Deoria</t>
  </si>
  <si>
    <t>Deoria (Area 1)</t>
  </si>
  <si>
    <t>Deoria (Area 2)</t>
  </si>
  <si>
    <t>Deoria (Area 3)</t>
  </si>
  <si>
    <t>Deoria (Area 4)</t>
  </si>
  <si>
    <t>Deoria (Area 5)</t>
  </si>
  <si>
    <t>Deoria (Area 6)</t>
  </si>
  <si>
    <t>Etah</t>
  </si>
  <si>
    <t>Etah (Area 1)</t>
  </si>
  <si>
    <t>Etah (Area 2)</t>
  </si>
  <si>
    <t>Etah (Area 3)</t>
  </si>
  <si>
    <t>Etah (Area 4)</t>
  </si>
  <si>
    <t>Etah (Area 5)</t>
  </si>
  <si>
    <t>Etah (Area 6)</t>
  </si>
  <si>
    <t>Etawah</t>
  </si>
  <si>
    <t>Etawah (Area 1)</t>
  </si>
  <si>
    <t>Etawah (Area 2)</t>
  </si>
  <si>
    <t>Etawah (Area 3)</t>
  </si>
  <si>
    <t>Etawah (Area 4)</t>
  </si>
  <si>
    <t>Etawah (Area 5)</t>
  </si>
  <si>
    <t>Etawah (Area 6)</t>
  </si>
  <si>
    <t>Faizabad</t>
  </si>
  <si>
    <t>Faizabad (Area 1)</t>
  </si>
  <si>
    <t>Faizabad (Area 2)</t>
  </si>
  <si>
    <t>Faizabad (Area 3)</t>
  </si>
  <si>
    <t>Faizabad (Area 4)</t>
  </si>
  <si>
    <t>Faizabad (Area 5)</t>
  </si>
  <si>
    <t>Faizabad (Area 6)</t>
  </si>
  <si>
    <t>Farrukhabad</t>
  </si>
  <si>
    <t>Farrukhabad (Area 1)</t>
  </si>
  <si>
    <t>Farrukhabad (Area 2)</t>
  </si>
  <si>
    <t>Farrukhabad (Area 3)</t>
  </si>
  <si>
    <t>Farrukhabad (Area 4)</t>
  </si>
  <si>
    <t>Farrukhabad (Area 5)</t>
  </si>
  <si>
    <t>Farrukhabad (Area 6)</t>
  </si>
  <si>
    <t>Fatehpur</t>
  </si>
  <si>
    <t>Fatehpur (Area 1)</t>
  </si>
  <si>
    <t>Fatehpur (Area 2)</t>
  </si>
  <si>
    <t>Fatehpur (Area 3)</t>
  </si>
  <si>
    <t>Fatehpur (Area 4)</t>
  </si>
  <si>
    <t>Fatehpur (Area 5)</t>
  </si>
  <si>
    <t>Fatehpur (Area 6)</t>
  </si>
  <si>
    <t>Firozabad</t>
  </si>
  <si>
    <t>Firozabad (Area 1)</t>
  </si>
  <si>
    <t>Firozabad (Area 2)</t>
  </si>
  <si>
    <t>Firozabad (Area 3)</t>
  </si>
  <si>
    <t>Firozabad (Area 4)</t>
  </si>
  <si>
    <t>Firozabad (Area 5)</t>
  </si>
  <si>
    <t>Firozabad (Area 6)</t>
  </si>
  <si>
    <t>Gautam Buddha Nagar</t>
  </si>
  <si>
    <t>Gautam Buddha Nagar (Area 1)</t>
  </si>
  <si>
    <t>Gautam Buddha Nagar (Area 2)</t>
  </si>
  <si>
    <t>Gautam Buddha Nagar (Area 3)</t>
  </si>
  <si>
    <t>Gautam Buddha Nagar (Area 4)</t>
  </si>
  <si>
    <t>Gautam Buddha Nagar (Area 5)</t>
  </si>
  <si>
    <t>Gautam Buddha Nagar (Area 6)</t>
  </si>
  <si>
    <t>Ghaziabad</t>
  </si>
  <si>
    <t>Ghaziabad (Area 1)</t>
  </si>
  <si>
    <t>Ghaziabad (Area 2)</t>
  </si>
  <si>
    <t>Ghaziabad (Area 3)</t>
  </si>
  <si>
    <t>Ghaziabad (Area 4)</t>
  </si>
  <si>
    <t>Ghaziabad (Area 5)</t>
  </si>
  <si>
    <t>Ghaziabad (Area 6)</t>
  </si>
  <si>
    <t>Ghazipur</t>
  </si>
  <si>
    <t>Ghazipur (Area 1)</t>
  </si>
  <si>
    <t>Ghazipur (Area 2)</t>
  </si>
  <si>
    <t>Ghazipur (Area 3)</t>
  </si>
  <si>
    <t>Ghazipur (Area 4)</t>
  </si>
  <si>
    <t>Ghazipur (Area 5)</t>
  </si>
  <si>
    <t>Ghazipur (Area 6)</t>
  </si>
  <si>
    <t>Gonda</t>
  </si>
  <si>
    <t>Gonda (Area 1)</t>
  </si>
  <si>
    <t>Gonda (Area 2)</t>
  </si>
  <si>
    <t>Gonda (Area 3)</t>
  </si>
  <si>
    <t>Gonda (Area 4)</t>
  </si>
  <si>
    <t>Gonda (Area 5)</t>
  </si>
  <si>
    <t>Gonda (Area 6)</t>
  </si>
  <si>
    <t>Gorakhpur</t>
  </si>
  <si>
    <t>Gorakhpur (Area 1)</t>
  </si>
  <si>
    <t>Gorakhpur (Area 2)</t>
  </si>
  <si>
    <t>Gorakhpur (Area 3)</t>
  </si>
  <si>
    <t>Gorakhpur (Area 4)</t>
  </si>
  <si>
    <t>Gorakhpur (Area 5)</t>
  </si>
  <si>
    <t>Gorakhpur (Area 6)</t>
  </si>
  <si>
    <t>Hapur (Panchsheel Nagar)</t>
  </si>
  <si>
    <t>Hapur (Panchsheel Nagar) (Area 1)</t>
  </si>
  <si>
    <t>Hapur (Panchsheel Nagar) (Area 2)</t>
  </si>
  <si>
    <t>Hapur (Panchsheel Nagar) (Area 3)</t>
  </si>
  <si>
    <t>Hapur (Panchsheel Nagar) (Area 4)</t>
  </si>
  <si>
    <t>Hapur (Panchsheel Nagar) (Area 5)</t>
  </si>
  <si>
    <t>Hapur (Panchsheel Nagar) (Area 6)</t>
  </si>
  <si>
    <t>Hardoi</t>
  </si>
  <si>
    <t>Hardoi (Area 1)</t>
  </si>
  <si>
    <t>Hardoi (Area 2)</t>
  </si>
  <si>
    <t>Hardoi (Area 3)</t>
  </si>
  <si>
    <t>Hardoi (Area 4)</t>
  </si>
  <si>
    <t>Hardoi (Area 5)</t>
  </si>
  <si>
    <t>Hardoi (Area 6)</t>
  </si>
  <si>
    <t>Hathras</t>
  </si>
  <si>
    <t>Hathras (Area 1)</t>
  </si>
  <si>
    <t>Hathras (Area 2)</t>
  </si>
  <si>
    <t>Hathras (Area 3)</t>
  </si>
  <si>
    <t>Hathras (Area 4)</t>
  </si>
  <si>
    <t>Hathras (Area 5)</t>
  </si>
  <si>
    <t>Hathras (Area 6)</t>
  </si>
  <si>
    <t>Jalaun</t>
  </si>
  <si>
    <t>Jalaun (Area 1)</t>
  </si>
  <si>
    <t>Jalaun (Area 2)</t>
  </si>
  <si>
    <t>Jalaun (Area 3)</t>
  </si>
  <si>
    <t>Jalaun (Area 4)</t>
  </si>
  <si>
    <t>Jalaun (Area 5)</t>
  </si>
  <si>
    <t>Jalaun (Area 6)</t>
  </si>
  <si>
    <t>Jaunpur</t>
  </si>
  <si>
    <t>Jaunpur (Area 1)</t>
  </si>
  <si>
    <t>Jaunpur (Area 2)</t>
  </si>
  <si>
    <t>Jaunpur (Area 3)</t>
  </si>
  <si>
    <t>Jaunpur (Area 4)</t>
  </si>
  <si>
    <t>Jaunpur (Area 5)</t>
  </si>
  <si>
    <t>Jaunpur (Area 6)</t>
  </si>
  <si>
    <t>Jhansi</t>
  </si>
  <si>
    <t>Jhansi (Area 1)</t>
  </si>
  <si>
    <t>Jhansi (Area 2)</t>
  </si>
  <si>
    <t>Jhansi (Area 3)</t>
  </si>
  <si>
    <t>Jhansi (Area 4)</t>
  </si>
  <si>
    <t>Jhansi (Area 5)</t>
  </si>
  <si>
    <t>Jhansi (Area 6)</t>
  </si>
  <si>
    <t>Kannauj</t>
  </si>
  <si>
    <t>Kannauj (Area 1)</t>
  </si>
  <si>
    <t>Kannauj (Area 2)</t>
  </si>
  <si>
    <t>Kannauj (Area 3)</t>
  </si>
  <si>
    <t>Kannauj (Area 4)</t>
  </si>
  <si>
    <t>Kannauj (Area 5)</t>
  </si>
  <si>
    <t>Kannauj (Area 6)</t>
  </si>
  <si>
    <t>Kanpur Dehat</t>
  </si>
  <si>
    <t>Kanpur Dehat (Area 1)</t>
  </si>
  <si>
    <t>Kanpur Dehat (Area 2)</t>
  </si>
  <si>
    <t>Kanpur Dehat (Area 3)</t>
  </si>
  <si>
    <t>Kanpur Dehat (Area 4)</t>
  </si>
  <si>
    <t>Kanpur Dehat (Area 5)</t>
  </si>
  <si>
    <t>Kanpur Dehat (Area 6)</t>
  </si>
  <si>
    <t>Kanpur Nagar</t>
  </si>
  <si>
    <t>Kanpur Nagar (Area 1)</t>
  </si>
  <si>
    <t>Kanpur Nagar (Area 2)</t>
  </si>
  <si>
    <t>Kanpur Nagar (Area 3)</t>
  </si>
  <si>
    <t>Kanpur Nagar (Area 4)</t>
  </si>
  <si>
    <t>Kanpur Nagar (Area 5)</t>
  </si>
  <si>
    <t>Kanpur Nagar (Area 6)</t>
  </si>
  <si>
    <t>Kanshiram Nagar (Kasganj)</t>
  </si>
  <si>
    <t>Kanshiram Nagar (Kasganj) (Area 1)</t>
  </si>
  <si>
    <t>Kanshiram Nagar (Kasganj) (Area 2)</t>
  </si>
  <si>
    <t>Kanshiram Nagar (Kasganj) (Area 3)</t>
  </si>
  <si>
    <t>Kanshiram Nagar (Kasganj) (Area 4)</t>
  </si>
  <si>
    <t>Kanshiram Nagar (Kasganj) (Area 5)</t>
  </si>
  <si>
    <t>Kanshiram Nagar (Kasganj) (Area 6)</t>
  </si>
  <si>
    <t>Kaushambi</t>
  </si>
  <si>
    <t>Kaushambi (Area 1)</t>
  </si>
  <si>
    <t>Kaushambi (Area 2)</t>
  </si>
  <si>
    <t>Kaushambi (Area 3)</t>
  </si>
  <si>
    <t>Kaushambi (Area 4)</t>
  </si>
  <si>
    <t>Kaushambi (Area 5)</t>
  </si>
  <si>
    <t>Kaushambi (Area 6)</t>
  </si>
  <si>
    <t>Kushinagar (Padrauna)</t>
  </si>
  <si>
    <t>Kushinagar (Padrauna) (Area 1)</t>
  </si>
  <si>
    <t>Kushinagar (Padrauna) (Area 2)</t>
  </si>
  <si>
    <t>Kushinagar (Padrauna) (Area 3)</t>
  </si>
  <si>
    <t>Kushinagar (Padrauna) (Area 4)</t>
  </si>
  <si>
    <t>Kushinagar (Padrauna) (Area 5)</t>
  </si>
  <si>
    <t>Kushinagar (Padrauna) (Area 6)</t>
  </si>
  <si>
    <t>Lakhimpur - Kheri</t>
  </si>
  <si>
    <t>Lakhimpur - Kheri (Area 1)</t>
  </si>
  <si>
    <t>Lakhimpur - Kheri (Area 2)</t>
  </si>
  <si>
    <t>Lakhimpur - Kheri (Area 3)</t>
  </si>
  <si>
    <t>Lakhimpur - Kheri (Area 4)</t>
  </si>
  <si>
    <t>Lakhimpur - Kheri (Area 5)</t>
  </si>
  <si>
    <t>Lakhimpur - Kheri (Area 6)</t>
  </si>
  <si>
    <t>Lalitpur</t>
  </si>
  <si>
    <t>Lalitpur (Area 1)</t>
  </si>
  <si>
    <t>Lalitpur (Area 2)</t>
  </si>
  <si>
    <t>Lalitpur (Area 3)</t>
  </si>
  <si>
    <t>Lalitpur (Area 4)</t>
  </si>
  <si>
    <t>Lalitpur (Area 5)</t>
  </si>
  <si>
    <t>Lalitpur (Area 6)</t>
  </si>
  <si>
    <t>Lucknow</t>
  </si>
  <si>
    <t>Lucknow (Area 1)</t>
  </si>
  <si>
    <t>Lucknow (Area 2)</t>
  </si>
  <si>
    <t>Lucknow (Area 3)</t>
  </si>
  <si>
    <t>Lucknow (Area 4)</t>
  </si>
  <si>
    <t>Lucknow (Area 5)</t>
  </si>
  <si>
    <t>Lucknow (Area 6)</t>
  </si>
  <si>
    <t>Maharajganj</t>
  </si>
  <si>
    <t>Maharajganj (Area 1)</t>
  </si>
  <si>
    <t>Maharajganj (Area 2)</t>
  </si>
  <si>
    <t>Maharajganj (Area 3)</t>
  </si>
  <si>
    <t>Maharajganj (Area 4)</t>
  </si>
  <si>
    <t>Maharajganj (Area 5)</t>
  </si>
  <si>
    <t>Maharajganj (Area 6)</t>
  </si>
  <si>
    <t>Mahoba</t>
  </si>
  <si>
    <t>Mahoba (Area 1)</t>
  </si>
  <si>
    <t>Mahoba (Area 2)</t>
  </si>
  <si>
    <t>Mahoba (Area 3)</t>
  </si>
  <si>
    <t>Mahoba (Area 4)</t>
  </si>
  <si>
    <t>Mahoba (Area 5)</t>
  </si>
  <si>
    <t>Mahoba (Area 6)</t>
  </si>
  <si>
    <t>Mainpuri</t>
  </si>
  <si>
    <t>Mainpuri (Area 1)</t>
  </si>
  <si>
    <t>Mainpuri (Area 2)</t>
  </si>
  <si>
    <t>Mainpuri (Area 3)</t>
  </si>
  <si>
    <t>Mainpuri (Area 4)</t>
  </si>
  <si>
    <t>Mainpuri (Area 5)</t>
  </si>
  <si>
    <t>Mainpuri (Area 6)</t>
  </si>
  <si>
    <t>Mathura</t>
  </si>
  <si>
    <t>Mathura (Area 1)</t>
  </si>
  <si>
    <t>Mathura (Area 2)</t>
  </si>
  <si>
    <t>Mathura (Area 3)</t>
  </si>
  <si>
    <t>Mathura (Area 4)</t>
  </si>
  <si>
    <t>Mathura (Area 5)</t>
  </si>
  <si>
    <t>Mathura (Area 6)</t>
  </si>
  <si>
    <t>Mau</t>
  </si>
  <si>
    <t>Mau (Area 1)</t>
  </si>
  <si>
    <t>Mau (Area 2)</t>
  </si>
  <si>
    <t>Mau (Area 3)</t>
  </si>
  <si>
    <t>Mau (Area 4)</t>
  </si>
  <si>
    <t>Mau (Area 5)</t>
  </si>
  <si>
    <t>Mau (Area 6)</t>
  </si>
  <si>
    <t>Meerut</t>
  </si>
  <si>
    <t>Meerut (Area 1)</t>
  </si>
  <si>
    <t>Meerut (Area 2)</t>
  </si>
  <si>
    <t>Meerut (Area 3)</t>
  </si>
  <si>
    <t>Meerut (Area 4)</t>
  </si>
  <si>
    <t>Meerut (Area 5)</t>
  </si>
  <si>
    <t>Meerut (Area 6)</t>
  </si>
  <si>
    <t>Mirzapur</t>
  </si>
  <si>
    <t>Mirzapur (Area 1)</t>
  </si>
  <si>
    <t>Mirzapur (Area 2)</t>
  </si>
  <si>
    <t>Mirzapur (Area 3)</t>
  </si>
  <si>
    <t>Mirzapur (Area 4)</t>
  </si>
  <si>
    <t>Mirzapur (Area 5)</t>
  </si>
  <si>
    <t>Mirzapur (Area 6)</t>
  </si>
  <si>
    <t>Moradabad</t>
  </si>
  <si>
    <t>Moradabad (Area 1)</t>
  </si>
  <si>
    <t>Moradabad (Area 2)</t>
  </si>
  <si>
    <t>Moradabad (Area 3)</t>
  </si>
  <si>
    <t>Moradabad (Area 4)</t>
  </si>
  <si>
    <t>Moradabad (Area 5)</t>
  </si>
  <si>
    <t>Moradabad (Area 6)</t>
  </si>
  <si>
    <t>Muzaffarnagar</t>
  </si>
  <si>
    <t>Muzaffarnagar (Area 1)</t>
  </si>
  <si>
    <t>Muzaffarnagar (Area 2)</t>
  </si>
  <si>
    <t>Muzaffarnagar (Area 3)</t>
  </si>
  <si>
    <t>Muzaffarnagar (Area 4)</t>
  </si>
  <si>
    <t>Muzaffarnagar (Area 5)</t>
  </si>
  <si>
    <t>Muzaffarnagar (Area 6)</t>
  </si>
  <si>
    <t>Pilibhit</t>
  </si>
  <si>
    <t>Pilibhit (Area 1)</t>
  </si>
  <si>
    <t>Pilibhit (Area 2)</t>
  </si>
  <si>
    <t>Pilibhit (Area 3)</t>
  </si>
  <si>
    <t>Pilibhit (Area 4)</t>
  </si>
  <si>
    <t>Pilibhit (Area 5)</t>
  </si>
  <si>
    <t>Pilibhit (Area 6)</t>
  </si>
  <si>
    <t>RaeBareli</t>
  </si>
  <si>
    <t>RaeBareli (Area 1)</t>
  </si>
  <si>
    <t>RaeBareli (Area 2)</t>
  </si>
  <si>
    <t>RaeBareli (Area 3)</t>
  </si>
  <si>
    <t>RaeBareli (Area 4)</t>
  </si>
  <si>
    <t>RaeBareli (Area 5)</t>
  </si>
  <si>
    <t>RaeBareli (Area 6)</t>
  </si>
  <si>
    <t>Rampur</t>
  </si>
  <si>
    <t>Rampur (Area 1)</t>
  </si>
  <si>
    <t>Rampur (Area 2)</t>
  </si>
  <si>
    <t>Rampur (Area 3)</t>
  </si>
  <si>
    <t>Rampur (Area 4)</t>
  </si>
  <si>
    <t>Rampur (Area 5)</t>
  </si>
  <si>
    <t>Rampur (Area 6)</t>
  </si>
  <si>
    <t>Saharanpur</t>
  </si>
  <si>
    <t>Saharanpur (Area 1)</t>
  </si>
  <si>
    <t>Saharanpur (Area 2)</t>
  </si>
  <si>
    <t>Saharanpur (Area 3)</t>
  </si>
  <si>
    <t>Saharanpur (Area 4)</t>
  </si>
  <si>
    <t>Saharanpur (Area 5)</t>
  </si>
  <si>
    <t>Saharanpur (Area 6)</t>
  </si>
  <si>
    <t>Sambhal (Bhim Nagar)</t>
  </si>
  <si>
    <t>Sambhal (Bhim Nagar) (Area 1)</t>
  </si>
  <si>
    <t>Sambhal (Bhim Nagar) (Area 2)</t>
  </si>
  <si>
    <t>Sambhal (Bhim Nagar) (Area 3)</t>
  </si>
  <si>
    <t>Sambhal (Bhim Nagar) (Area 4)</t>
  </si>
  <si>
    <t>Sambhal (Bhim Nagar) (Area 5)</t>
  </si>
  <si>
    <t>Sambhal (Bhim Nagar) (Area 6)</t>
  </si>
  <si>
    <t>Sant Kabir Nagar</t>
  </si>
  <si>
    <t>Sant Kabir Nagar (Area 1)</t>
  </si>
  <si>
    <t>Sant Kabir Nagar (Area 2)</t>
  </si>
  <si>
    <t>Sant Kabir Nagar (Area 3)</t>
  </si>
  <si>
    <t>Sant Kabir Nagar (Area 4)</t>
  </si>
  <si>
    <t>Sant Kabir Nagar (Area 5)</t>
  </si>
  <si>
    <t>Sant Kabir Nagar (Area 6)</t>
  </si>
  <si>
    <t>Shahjahanpur</t>
  </si>
  <si>
    <t>Shahjahanpur (Area 1)</t>
  </si>
  <si>
    <t>Shahjahanpur (Area 2)</t>
  </si>
  <si>
    <t>Shahjahanpur (Area 3)</t>
  </si>
  <si>
    <t>Shahjahanpur (Area 4)</t>
  </si>
  <si>
    <t>Shahjahanpur (Area 5)</t>
  </si>
  <si>
    <t>Shahjahanpur (Area 6)</t>
  </si>
  <si>
    <t>Shamali (Prabuddh Nagar)</t>
  </si>
  <si>
    <t>Shamali (Prabuddh Nagar) (Area 1)</t>
  </si>
  <si>
    <t>Shamali (Prabuddh Nagar) (Area 2)</t>
  </si>
  <si>
    <t>Shamali (Prabuddh Nagar) (Area 3)</t>
  </si>
  <si>
    <t>Shamali (Prabuddh Nagar) (Area 4)</t>
  </si>
  <si>
    <t>Shamali (Prabuddh Nagar) (Area 5)</t>
  </si>
  <si>
    <t>Shamali (Prabuddh Nagar) (Area 6)</t>
  </si>
  <si>
    <t>Shravasti</t>
  </si>
  <si>
    <t>Shravasti (Area 1)</t>
  </si>
  <si>
    <t>Shravasti (Area 2)</t>
  </si>
  <si>
    <t>Shravasti (Area 3)</t>
  </si>
  <si>
    <t>Shravasti (Area 4)</t>
  </si>
  <si>
    <t>Shravasti (Area 5)</t>
  </si>
  <si>
    <t>Shravasti (Area 6)</t>
  </si>
  <si>
    <t>Siddharth Nagar</t>
  </si>
  <si>
    <t>Siddharth Nagar (Area 1)</t>
  </si>
  <si>
    <t>Siddharth Nagar (Area 2)</t>
  </si>
  <si>
    <t>Siddharth Nagar (Area 3)</t>
  </si>
  <si>
    <t>Siddharth Nagar (Area 4)</t>
  </si>
  <si>
    <t>Siddharth Nagar (Area 5)</t>
  </si>
  <si>
    <t>Siddharth Nagar (Area 6)</t>
  </si>
  <si>
    <t>Sitapur</t>
  </si>
  <si>
    <t>Sitapur (Area 1)</t>
  </si>
  <si>
    <t>Sitapur (Area 2)</t>
  </si>
  <si>
    <t>Sitapur (Area 3)</t>
  </si>
  <si>
    <t>Sitapur (Area 4)</t>
  </si>
  <si>
    <t>Sitapur (Area 5)</t>
  </si>
  <si>
    <t>Sitapur (Area 6)</t>
  </si>
  <si>
    <t>Sonbhadra</t>
  </si>
  <si>
    <t>Sonbhadra (Area 1)</t>
  </si>
  <si>
    <t>Sonbhadra (Area 2)</t>
  </si>
  <si>
    <t>Sonbhadra (Area 3)</t>
  </si>
  <si>
    <t>Sonbhadra (Area 4)</t>
  </si>
  <si>
    <t>Sonbhadra (Area 5)</t>
  </si>
  <si>
    <t>Sonbhadra (Area 6)</t>
  </si>
  <si>
    <t>Sultanpur</t>
  </si>
  <si>
    <t>Sultanpur (Area 1)</t>
  </si>
  <si>
    <t>Sultanpur (Area 2)</t>
  </si>
  <si>
    <t>Sultanpur (Area 3)</t>
  </si>
  <si>
    <t>Sultanpur (Area 4)</t>
  </si>
  <si>
    <t>Sultanpur (Area 5)</t>
  </si>
  <si>
    <t>Sultanpur (Area 6)</t>
  </si>
  <si>
    <t>Unnao</t>
  </si>
  <si>
    <t>Unnao (Area 1)</t>
  </si>
  <si>
    <t>Unnao (Area 2)</t>
  </si>
  <si>
    <t>Unnao (Area 3)</t>
  </si>
  <si>
    <t>Unnao (Area 4)</t>
  </si>
  <si>
    <t>Unnao (Area 5)</t>
  </si>
  <si>
    <t>Unnao (Area 6)</t>
  </si>
  <si>
    <t>Varanasi</t>
  </si>
  <si>
    <t>Varanasi (Area 1)</t>
  </si>
  <si>
    <t>Varanasi (Area 2)</t>
  </si>
  <si>
    <t>Varanasi (Area 3)</t>
  </si>
  <si>
    <t>Varanasi (Area 4)</t>
  </si>
  <si>
    <t>Varanasi (Area 5)</t>
  </si>
  <si>
    <t>Varanasi (Area 6)</t>
  </si>
  <si>
    <t>West Bengal</t>
  </si>
  <si>
    <t>Alipurduar</t>
  </si>
  <si>
    <t>Alipurduar (Area 1)</t>
  </si>
  <si>
    <t>Alipurduar (Area 2)</t>
  </si>
  <si>
    <t>Alipurduar (Area 3)</t>
  </si>
  <si>
    <t>Alipurduar (Area 4)</t>
  </si>
  <si>
    <t>Alipurduar (Area 5)</t>
  </si>
  <si>
    <t>Alipurduar (Area 6)</t>
  </si>
  <si>
    <t>Bankura</t>
  </si>
  <si>
    <t>Bankura (Area 1)</t>
  </si>
  <si>
    <t>Bankura (Area 2)</t>
  </si>
  <si>
    <t>Bankura (Area 3)</t>
  </si>
  <si>
    <t>Bankura (Area 4)</t>
  </si>
  <si>
    <t>Bankura (Area 5)</t>
  </si>
  <si>
    <t>Bankura (Area 6)</t>
  </si>
  <si>
    <t>Birbhum</t>
  </si>
  <si>
    <t>Birbhum (Area 1)</t>
  </si>
  <si>
    <t>Birbhum (Area 2)</t>
  </si>
  <si>
    <t>Birbhum (Area 3)</t>
  </si>
  <si>
    <t>Birbhum (Area 4)</t>
  </si>
  <si>
    <t>Birbhum (Area 5)</t>
  </si>
  <si>
    <t>Birbhum (Area 6)</t>
  </si>
  <si>
    <t>Burdwan (Bardhaman)</t>
  </si>
  <si>
    <t>Burdwan (Bardhaman) (Area 1)</t>
  </si>
  <si>
    <t>Burdwan (Bardhaman) (Area 2)</t>
  </si>
  <si>
    <t>Burdwan (Bardhaman) (Area 3)</t>
  </si>
  <si>
    <t>Burdwan (Bardhaman) (Area 4)</t>
  </si>
  <si>
    <t>Burdwan (Bardhaman) (Area 5)</t>
  </si>
  <si>
    <t>Burdwan (Bardhaman) (Area 6)</t>
  </si>
  <si>
    <t>Cooch Behar</t>
  </si>
  <si>
    <t>Cooch Behar (Area 1)</t>
  </si>
  <si>
    <t>Cooch Behar (Area 2)</t>
  </si>
  <si>
    <t>Cooch Behar (Area 3)</t>
  </si>
  <si>
    <t>Cooch Behar (Area 4)</t>
  </si>
  <si>
    <t>Cooch Behar (Area 5)</t>
  </si>
  <si>
    <t>Cooch Behar (Area 6)</t>
  </si>
  <si>
    <t>Dakshin Dinajpur (South Dinajpur)</t>
  </si>
  <si>
    <t>Dakshin Dinajpur (South Dinajpur) (Area 1)</t>
  </si>
  <si>
    <t>Dakshin Dinajpur (South Dinajpur) (Area 2)</t>
  </si>
  <si>
    <t>Dakshin Dinajpur (South Dinajpur) (Area 3)</t>
  </si>
  <si>
    <t>Dakshin Dinajpur (South Dinajpur) (Area 4)</t>
  </si>
  <si>
    <t>Dakshin Dinajpur (South Dinajpur) (Area 5)</t>
  </si>
  <si>
    <t>Dakshin Dinajpur (South Dinajpur) (Area 6)</t>
  </si>
  <si>
    <t>Darjeeling</t>
  </si>
  <si>
    <t>Darjeeling (Area 1)</t>
  </si>
  <si>
    <t>Darjeeling (Area 2)</t>
  </si>
  <si>
    <t>Darjeeling (Area 3)</t>
  </si>
  <si>
    <t>Darjeeling (Area 4)</t>
  </si>
  <si>
    <t>Darjeeling (Area 5)</t>
  </si>
  <si>
    <t>Darjeeling (Area 6)</t>
  </si>
  <si>
    <t>Hooghly</t>
  </si>
  <si>
    <t>Hooghly (Area 1)</t>
  </si>
  <si>
    <t>Hooghly (Area 2)</t>
  </si>
  <si>
    <t>Hooghly (Area 3)</t>
  </si>
  <si>
    <t>Hooghly (Area 4)</t>
  </si>
  <si>
    <t>Hooghly (Area 5)</t>
  </si>
  <si>
    <t>Hooghly (Area 6)</t>
  </si>
  <si>
    <t>Howrah</t>
  </si>
  <si>
    <t>Howrah (Area 1)</t>
  </si>
  <si>
    <t>Howrah (Area 2)</t>
  </si>
  <si>
    <t>Howrah (Area 3)</t>
  </si>
  <si>
    <t>Howrah (Area 4)</t>
  </si>
  <si>
    <t>Howrah (Area 5)</t>
  </si>
  <si>
    <t>Howrah (Area 6)</t>
  </si>
  <si>
    <t>Jalpaiguri</t>
  </si>
  <si>
    <t>Jalpaiguri (Area 1)</t>
  </si>
  <si>
    <t>Jalpaiguri (Area 2)</t>
  </si>
  <si>
    <t>Jalpaiguri (Area 3)</t>
  </si>
  <si>
    <t>Jalpaiguri (Area 4)</t>
  </si>
  <si>
    <t>Jalpaiguri (Area 5)</t>
  </si>
  <si>
    <t>Jalpaiguri (Area 6)</t>
  </si>
  <si>
    <t>Kalimpong</t>
  </si>
  <si>
    <t>Kalimpong (Area 1)</t>
  </si>
  <si>
    <t>Kalimpong (Area 2)</t>
  </si>
  <si>
    <t>Kalimpong (Area 3)</t>
  </si>
  <si>
    <t>Kalimpong (Area 4)</t>
  </si>
  <si>
    <t>Kalimpong (Area 5)</t>
  </si>
  <si>
    <t>Kalimpong (Area 6)</t>
  </si>
  <si>
    <t>Kolkata</t>
  </si>
  <si>
    <t>Kolkata (Area 1)</t>
  </si>
  <si>
    <t>Kolkata (Area 2)</t>
  </si>
  <si>
    <t>Kolkata (Area 3)</t>
  </si>
  <si>
    <t>Kolkata (Area 4)</t>
  </si>
  <si>
    <t>Kolkata (Area 5)</t>
  </si>
  <si>
    <t>Kolkata (Area 6)</t>
  </si>
  <si>
    <t>Malda</t>
  </si>
  <si>
    <t>Malda (Area 1)</t>
  </si>
  <si>
    <t>Malda (Area 2)</t>
  </si>
  <si>
    <t>Malda (Area 3)</t>
  </si>
  <si>
    <t>Malda (Area 4)</t>
  </si>
  <si>
    <t>Malda (Area 5)</t>
  </si>
  <si>
    <t>Malda (Area 6)</t>
  </si>
  <si>
    <t>Murshidabad</t>
  </si>
  <si>
    <t>Murshidabad (Area 1)</t>
  </si>
  <si>
    <t>Murshidabad (Area 2)</t>
  </si>
  <si>
    <t>Murshidabad (Area 3)</t>
  </si>
  <si>
    <t>Murshidabad (Area 4)</t>
  </si>
  <si>
    <t>Murshidabad (Area 5)</t>
  </si>
  <si>
    <t>Murshidabad (Area 6)</t>
  </si>
  <si>
    <t>Nadia</t>
  </si>
  <si>
    <t>Nadia (Area 1)</t>
  </si>
  <si>
    <t>Nadia (Area 2)</t>
  </si>
  <si>
    <t>Nadia (Area 3)</t>
  </si>
  <si>
    <t>Nadia (Area 4)</t>
  </si>
  <si>
    <t>Nadia (Area 5)</t>
  </si>
  <si>
    <t>Nadia (Area 6)</t>
  </si>
  <si>
    <t>North 24 Parganas</t>
  </si>
  <si>
    <t>North 24 Parganas (Area 1)</t>
  </si>
  <si>
    <t>North 24 Parganas (Area 2)</t>
  </si>
  <si>
    <t>North 24 Parganas (Area 3)</t>
  </si>
  <si>
    <t>North 24 Parganas (Area 4)</t>
  </si>
  <si>
    <t>North 24 Parganas (Area 5)</t>
  </si>
  <si>
    <t>North 24 Parganas (Area 6)</t>
  </si>
  <si>
    <t>Paschim Medinipur (West Medinipur)</t>
  </si>
  <si>
    <t>Paschim Medinipur (West Medinipur) (Area 1)</t>
  </si>
  <si>
    <t>Paschim Medinipur (West Medinipur) (Area 2)</t>
  </si>
  <si>
    <t>Paschim Medinipur (West Medinipur) (Area 3)</t>
  </si>
  <si>
    <t>Paschim Medinipur (West Medinipur) (Area 4)</t>
  </si>
  <si>
    <t>Paschim Medinipur (West Medinipur) (Area 5)</t>
  </si>
  <si>
    <t>Paschim Medinipur (West Medinipur) (Area 6)</t>
  </si>
  <si>
    <t>Purba Medinipur (East Medinipur)</t>
  </si>
  <si>
    <t>Purba Medinipur (East Medinipur) (Area 1)</t>
  </si>
  <si>
    <t>Purba Medinipur (East Medinipur) (Area 2)</t>
  </si>
  <si>
    <t>Purba Medinipur (East Medinipur) (Area 3)</t>
  </si>
  <si>
    <t>Purba Medinipur (East Medinipur) (Area 4)</t>
  </si>
  <si>
    <t>Purba Medinipur (East Medinipur) (Area 5)</t>
  </si>
  <si>
    <t>Purba Medinipur (East Medinipur) (Area 6)</t>
  </si>
  <si>
    <t>Purulia</t>
  </si>
  <si>
    <t>Purulia (Area 1)</t>
  </si>
  <si>
    <t>Purulia (Area 2)</t>
  </si>
  <si>
    <t>Purulia (Area 3)</t>
  </si>
  <si>
    <t>Purulia (Area 4)</t>
  </si>
  <si>
    <t>Purulia (Area 5)</t>
  </si>
  <si>
    <t>Purulia (Area 6)</t>
  </si>
  <si>
    <t>South 24 Parganas</t>
  </si>
  <si>
    <t>South 24 Parganas (Area 1)</t>
  </si>
  <si>
    <t>South 24 Parganas (Area 2)</t>
  </si>
  <si>
    <t>South 24 Parganas (Area 3)</t>
  </si>
  <si>
    <t>South 24 Parganas (Area 4)</t>
  </si>
  <si>
    <t>South 24 Parganas (Area 5)</t>
  </si>
  <si>
    <t>South 24 Parganas (Area 6)</t>
  </si>
  <si>
    <t>Uttar Dinajpur (North Dinajpur)</t>
  </si>
  <si>
    <t>Uttar Dinajpur (North Dinajpur) (Area 1)</t>
  </si>
  <si>
    <t>Uttar Dinajpur (North Dinajpur) (Area 2)</t>
  </si>
  <si>
    <t>Uttar Dinajpur (North Dinajpur) (Area 3)</t>
  </si>
  <si>
    <t>Uttar Dinajpur (North Dinajpur) (Area 4)</t>
  </si>
  <si>
    <t>Uttar Dinajpur (North Dinajpur) (Area 5)</t>
  </si>
  <si>
    <t>Uttar Dinajpur (North Dinajpur) (Area 6)</t>
  </si>
  <si>
    <t>AQI_Difference</t>
  </si>
  <si>
    <t>Category</t>
  </si>
  <si>
    <t>Average Current AQI</t>
  </si>
  <si>
    <t>Maximum AQI</t>
  </si>
  <si>
    <t>Most Common Pollution Source</t>
  </si>
  <si>
    <t>Pollution Source Analysis</t>
  </si>
  <si>
    <t>Pollution Source</t>
  </si>
  <si>
    <t>Avg AQI</t>
  </si>
  <si>
    <t>State-wise Analysis</t>
  </si>
  <si>
    <t>Max AQI</t>
  </si>
  <si>
    <t>Severity Category Distribution</t>
  </si>
  <si>
    <t>District count</t>
  </si>
  <si>
    <t>Avg_AQI</t>
  </si>
  <si>
    <t>Severe</t>
  </si>
  <si>
    <t>Very Poor</t>
  </si>
  <si>
    <t>Poor</t>
  </si>
  <si>
    <t>Moderate</t>
  </si>
  <si>
    <t>Satisfactory</t>
  </si>
  <si>
    <t>Good</t>
  </si>
  <si>
    <t>Range</t>
  </si>
  <si>
    <t>&gt;400</t>
  </si>
  <si>
    <t>301-400</t>
  </si>
  <si>
    <t>201-300</t>
  </si>
  <si>
    <t>101-200</t>
  </si>
  <si>
    <t>51-100</t>
  </si>
  <si>
    <t>0-50</t>
  </si>
  <si>
    <t>Area Count</t>
  </si>
  <si>
    <t>% Severe Areas</t>
  </si>
  <si>
    <t>Rank</t>
  </si>
  <si>
    <t>% Areas</t>
  </si>
  <si>
    <t>% Good Areas</t>
  </si>
  <si>
    <t>% Areas Effected</t>
  </si>
  <si>
    <t>Impact Score</t>
  </si>
  <si>
    <t>Cumulative</t>
  </si>
  <si>
    <t>AQI DASHBOARD</t>
  </si>
  <si>
    <t>Total Areas</t>
  </si>
  <si>
    <t>Row Labels</t>
  </si>
  <si>
    <t>Grand Total</t>
  </si>
  <si>
    <t>Count of District</t>
  </si>
  <si>
    <t>Selected State/UT</t>
  </si>
  <si>
    <t>State/UT</t>
  </si>
  <si>
    <t>Cleanest Zone</t>
  </si>
  <si>
    <t>Most Polluted Zone</t>
  </si>
  <si>
    <t>Total Zones</t>
  </si>
  <si>
    <t>Current AVG AQI</t>
  </si>
  <si>
    <t>Selection</t>
  </si>
  <si>
    <t>Highly Polluted Area</t>
  </si>
  <si>
    <t>Cleanest Area</t>
  </si>
  <si>
    <t>Intensity Ratio</t>
  </si>
  <si>
    <t>AQI</t>
  </si>
  <si>
    <t>Top 10 Highly Polluted Areas</t>
  </si>
  <si>
    <t>Top 10 Cleanest Areas</t>
  </si>
  <si>
    <t>Top 10 Most Polluted Areas</t>
  </si>
  <si>
    <t>DISTRICT</t>
  </si>
  <si>
    <t>(All)</t>
  </si>
  <si>
    <t>State-level KPI Calculations</t>
  </si>
  <si>
    <t>Country KPI Calculations</t>
  </si>
  <si>
    <t>AVG AQI</t>
  </si>
  <si>
    <t>MAX AQI</t>
  </si>
  <si>
    <t>Cleanest State</t>
  </si>
  <si>
    <t>Highly Polluted State/UT</t>
  </si>
  <si>
    <t>Country's AVG AQI</t>
  </si>
  <si>
    <t>Common Pollution Source</t>
  </si>
  <si>
    <t>Cleanest State/UT</t>
  </si>
  <si>
    <t>Pollution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</si>
</sst>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 style="medium">
        <color theme="4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" fontId="0" fillId="0" borderId="0" xfId="0" applyNumberFormat="1"/>
    <xf numFmtId="164" fontId="0" fillId="0" borderId="0" xfId="0" applyNumberFormat="1" applyAlignment="1">
      <alignment horizontal="right"/>
    </xf>
    <xf numFmtId="0" fontId="18" fillId="0" borderId="0" xfId="0" applyFont="1"/>
    <xf numFmtId="0" fontId="20" fillId="3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3" fillId="36" borderId="0" xfId="0" applyFont="1" applyFill="1" applyAlignment="1">
      <alignment horizontal="center" vertical="center"/>
    </xf>
    <xf numFmtId="0" fontId="26" fillId="36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42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/>
    </xf>
    <xf numFmtId="2" fontId="0" fillId="0" borderId="0" xfId="42" applyNumberFormat="1" applyFont="1" applyAlignment="1">
      <alignment horizontal="center" vertical="center"/>
    </xf>
    <xf numFmtId="0" fontId="0" fillId="0" borderId="16" xfId="0" applyBorder="1"/>
    <xf numFmtId="1" fontId="0" fillId="0" borderId="15" xfId="0" applyNumberFormat="1" applyBorder="1"/>
    <xf numFmtId="1" fontId="0" fillId="0" borderId="17" xfId="0" applyNumberFormat="1" applyBorder="1"/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37" borderId="14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34" borderId="0" xfId="0" applyFill="1"/>
    <xf numFmtId="0" fontId="20" fillId="34" borderId="0" xfId="0" applyFont="1" applyFill="1" applyAlignment="1">
      <alignment vertical="center" wrapText="1"/>
    </xf>
    <xf numFmtId="0" fontId="0" fillId="34" borderId="0" xfId="0" applyFill="1" applyAlignment="1">
      <alignment vertical="center"/>
    </xf>
    <xf numFmtId="10" fontId="0" fillId="0" borderId="0" xfId="42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22" fillId="34" borderId="0" xfId="0" applyFont="1" applyFill="1" applyAlignment="1">
      <alignment horizontal="center" vertical="center"/>
    </xf>
    <xf numFmtId="0" fontId="0" fillId="35" borderId="0" xfId="0" applyFill="1" applyAlignment="1">
      <alignment horizontal="center"/>
    </xf>
    <xf numFmtId="0" fontId="21" fillId="35" borderId="0" xfId="0" applyFont="1" applyFill="1" applyAlignment="1">
      <alignment horizontal="center" vertical="center" wrapText="1"/>
    </xf>
    <xf numFmtId="0" fontId="24" fillId="35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top"/>
    </xf>
    <xf numFmtId="0" fontId="0" fillId="0" borderId="12" xfId="0" applyBorder="1" applyAlignment="1">
      <alignment horizontal="center"/>
    </xf>
    <xf numFmtId="0" fontId="26" fillId="34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18" fillId="0" borderId="0" xfId="0" applyFont="1" applyAlignment="1">
      <alignment horizontal="center" vertical="center"/>
    </xf>
    <xf numFmtId="0" fontId="26" fillId="34" borderId="11" xfId="0" applyFont="1" applyFill="1" applyBorder="1" applyAlignment="1">
      <alignment horizontal="center" vertical="center"/>
    </xf>
    <xf numFmtId="0" fontId="26" fillId="34" borderId="10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/>
    </xf>
    <xf numFmtId="1" fontId="27" fillId="34" borderId="0" xfId="0" applyNumberFormat="1" applyFont="1" applyFill="1" applyAlignment="1">
      <alignment horizontal="center" vertical="center"/>
    </xf>
    <xf numFmtId="0" fontId="27" fillId="34" borderId="0" xfId="0" applyFont="1" applyFill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5" fillId="35" borderId="0" xfId="0" applyFont="1" applyFill="1" applyAlignment="1">
      <alignment horizontal="center" vertical="center" wrapText="1"/>
    </xf>
    <xf numFmtId="0" fontId="24" fillId="35" borderId="0" xfId="0" applyFont="1" applyFill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  <xf numFmtId="1" fontId="0" fillId="0" borderId="15" xfId="0" applyNumberForma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color theme="2" tint="-0.24994659260841701"/>
      </font>
    </dxf>
  </dxfs>
  <tableStyles count="1" defaultTableStyle="TableStyleMedium2" defaultPivotStyle="PivotStyleLight16">
    <tableStyle name="Table Style 1" pivot="0" count="1" xr9:uid="{5A1A06AA-8E75-42D9-A9BB-2276F02394C7}">
      <tableStyleElement type="firstRowStripe" dxfId="36"/>
    </tableStyle>
  </tableStyles>
  <colors>
    <mruColors>
      <color rgb="FFFF9966"/>
      <color rgb="FFFF0000"/>
      <color rgb="FFFF6600"/>
      <color rgb="FF0080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[all_india_districts_aqi(Project).xlsx]Chart-Source_Contribution!PivotTable9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Pollution</a:t>
            </a:r>
            <a:r>
              <a:rPr lang="en-US" b="1" baseline="0"/>
              <a:t> Source Contribution</a:t>
            </a:r>
            <a:endParaRPr lang="en-US" b="1"/>
          </a:p>
        </c:rich>
      </c:tx>
      <c:layout>
        <c:manualLayout>
          <c:xMode val="edge"/>
          <c:yMode val="edge"/>
          <c:x val="0.2869444444444445"/>
          <c:y val="0.10444006999125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714304461942257"/>
          <c:y val="0.26873140857392824"/>
          <c:w val="0.40432524059492564"/>
          <c:h val="0.67387540099154275"/>
        </c:manualLayout>
      </c:layout>
      <c:doughnutChart>
        <c:varyColors val="1"/>
        <c:ser>
          <c:idx val="0"/>
          <c:order val="0"/>
          <c:tx>
            <c:strRef>
              <c:f>'Chart-Source_Contribution'!$B$3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2-4EBA-A8A7-AEB814CDE1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2-4EBA-A8A7-AEB814CDE14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12-4EBA-A8A7-AEB814CDE14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12-4EBA-A8A7-AEB814CDE1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12-4EBA-A8A7-AEB814CDE14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12-4EBA-A8A7-AEB814CDE14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12-4EBA-A8A7-AEB814CDE1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'Chart-Source_Contribution'!$A$4:$A$11</c:f>
              <c:strCache>
                <c:ptCount val="7"/>
                <c:pt idx="0">
                  <c:v>Construction Dust</c:v>
                </c:pt>
                <c:pt idx="1">
                  <c:v>Crop Burning</c:v>
                </c:pt>
                <c:pt idx="2">
                  <c:v>Domestic Fuel</c:v>
                </c:pt>
                <c:pt idx="3">
                  <c:v>Industrial Emissions</c:v>
                </c:pt>
                <c:pt idx="4">
                  <c:v>Road Dust</c:v>
                </c:pt>
                <c:pt idx="5">
                  <c:v>Vehicle</c:v>
                </c:pt>
                <c:pt idx="6">
                  <c:v>Waste Burning</c:v>
                </c:pt>
              </c:strCache>
            </c:strRef>
          </c:cat>
          <c:val>
            <c:numRef>
              <c:f>'Chart-Source_Contribution'!$B$4:$B$11</c:f>
              <c:numCache>
                <c:formatCode>General</c:formatCode>
                <c:ptCount val="7"/>
                <c:pt idx="0">
                  <c:v>809</c:v>
                </c:pt>
                <c:pt idx="1">
                  <c:v>757</c:v>
                </c:pt>
                <c:pt idx="2">
                  <c:v>660</c:v>
                </c:pt>
                <c:pt idx="3">
                  <c:v>842</c:v>
                </c:pt>
                <c:pt idx="4">
                  <c:v>586</c:v>
                </c:pt>
                <c:pt idx="5">
                  <c:v>769</c:v>
                </c:pt>
                <c:pt idx="6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6-4EC8-9DBD-EB7321DE47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72222222222223"/>
          <c:y val="0.34691856226305051"/>
          <c:w val="0.29583333333333334"/>
          <c:h val="0.53601961213181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%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'Chart-Category_%Areas'!$J$2:$J$7</c:f>
              <c:strCache>
                <c:ptCount val="6"/>
                <c:pt idx="0">
                  <c:v>Severe</c:v>
                </c:pt>
                <c:pt idx="1">
                  <c:v>Very Poor</c:v>
                </c:pt>
                <c:pt idx="2">
                  <c:v>Poor</c:v>
                </c:pt>
                <c:pt idx="3">
                  <c:v>Moderate</c:v>
                </c:pt>
                <c:pt idx="4">
                  <c:v>Satisfactory</c:v>
                </c:pt>
                <c:pt idx="5">
                  <c:v>Good</c:v>
                </c:pt>
              </c:strCache>
            </c:strRef>
          </c:cat>
          <c:val>
            <c:numRef>
              <c:f>'Chart-Category_%Areas'!$K$2:$K$7</c:f>
              <c:numCache>
                <c:formatCode>General</c:formatCode>
                <c:ptCount val="6"/>
                <c:pt idx="0">
                  <c:v>391</c:v>
                </c:pt>
                <c:pt idx="1">
                  <c:v>459</c:v>
                </c:pt>
                <c:pt idx="2">
                  <c:v>460</c:v>
                </c:pt>
                <c:pt idx="3">
                  <c:v>2224</c:v>
                </c:pt>
                <c:pt idx="4">
                  <c:v>1061</c:v>
                </c:pt>
                <c:pt idx="5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2-43B0-8226-6D4D76E86D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29323199"/>
        <c:axId val="129315999"/>
      </c:barChart>
      <c:catAx>
        <c:axId val="129323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15999"/>
        <c:crosses val="autoZero"/>
        <c:auto val="1"/>
        <c:lblAlgn val="ctr"/>
        <c:lblOffset val="100"/>
        <c:noMultiLvlLbl val="0"/>
      </c:catAx>
      <c:valAx>
        <c:axId val="129315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Areas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Pollution Source Conribution(Area Count)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Calculations!$L$18</c:f>
              <c:strCache>
                <c:ptCount val="1"/>
                <c:pt idx="0">
                  <c:v>Area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65-4478-8083-CB453156C8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65-4478-8083-CB453156C8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65-4478-8083-CB453156C8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65-4478-8083-CB453156C8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165-4478-8083-CB453156C8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165-4478-8083-CB453156C8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165-4478-8083-CB453156C8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Calculations!$K$19:$K$25</c:f>
              <c:strCache>
                <c:ptCount val="7"/>
                <c:pt idx="0">
                  <c:v>Construction Dust</c:v>
                </c:pt>
                <c:pt idx="1">
                  <c:v>Crop Burning</c:v>
                </c:pt>
                <c:pt idx="2">
                  <c:v>Domestic Fuel</c:v>
                </c:pt>
                <c:pt idx="3">
                  <c:v>Industrial Emissions</c:v>
                </c:pt>
                <c:pt idx="4">
                  <c:v>Road Dust</c:v>
                </c:pt>
                <c:pt idx="5">
                  <c:v>Vehicle</c:v>
                </c:pt>
                <c:pt idx="6">
                  <c:v>Waste Burning</c:v>
                </c:pt>
              </c:strCache>
            </c:strRef>
          </c:cat>
          <c:val>
            <c:numRef>
              <c:f>Calculations!$L$19:$L$25</c:f>
              <c:numCache>
                <c:formatCode>General</c:formatCode>
                <c:ptCount val="7"/>
                <c:pt idx="0">
                  <c:v>15</c:v>
                </c:pt>
                <c:pt idx="1">
                  <c:v>19</c:v>
                </c:pt>
                <c:pt idx="2">
                  <c:v>17</c:v>
                </c:pt>
                <c:pt idx="3">
                  <c:v>11</c:v>
                </c:pt>
                <c:pt idx="4">
                  <c:v>9</c:v>
                </c:pt>
                <c:pt idx="5">
                  <c:v>15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165-4478-8083-CB453156C8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Calculations!$M$18</c15:sqref>
                        </c15:formulaRef>
                      </c:ext>
                    </c:extLst>
                    <c:strCache>
                      <c:ptCount val="1"/>
                      <c:pt idx="0">
                        <c:v>Avg AQI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0-4165-4478-8083-CB453156C83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2-4165-4478-8083-CB453156C83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4-4165-4478-8083-CB453156C83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4165-4478-8083-CB453156C83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4165-4478-8083-CB453156C83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4165-4478-8083-CB453156C83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4165-4478-8083-CB453156C83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Calculations!$K$19:$K$25</c15:sqref>
                        </c15:formulaRef>
                      </c:ext>
                    </c:extLst>
                    <c:strCache>
                      <c:ptCount val="7"/>
                      <c:pt idx="0">
                        <c:v>Construction Dust</c:v>
                      </c:pt>
                      <c:pt idx="1">
                        <c:v>Crop Burning</c:v>
                      </c:pt>
                      <c:pt idx="2">
                        <c:v>Domestic Fuel</c:v>
                      </c:pt>
                      <c:pt idx="3">
                        <c:v>Industrial Emissions</c:v>
                      </c:pt>
                      <c:pt idx="4">
                        <c:v>Road Dust</c:v>
                      </c:pt>
                      <c:pt idx="5">
                        <c:v>Vehicle</c:v>
                      </c:pt>
                      <c:pt idx="6">
                        <c:v>Waste Burning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Calculations!$M$19:$M$25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119.6</c:v>
                      </c:pt>
                      <c:pt idx="1">
                        <c:v>102.47368421052632</c:v>
                      </c:pt>
                      <c:pt idx="2">
                        <c:v>91.411764705882348</c:v>
                      </c:pt>
                      <c:pt idx="3">
                        <c:v>103.27272727272727</c:v>
                      </c:pt>
                      <c:pt idx="4">
                        <c:v>94</c:v>
                      </c:pt>
                      <c:pt idx="5">
                        <c:v>133.93333333333334</c:v>
                      </c:pt>
                      <c:pt idx="6">
                        <c:v>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D-4165-4478-8083-CB453156C833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Calculations!$N$18</c15:sqref>
                        </c15:formulaRef>
                      </c:ext>
                    </c:extLst>
                    <c:strCache>
                      <c:ptCount val="1"/>
                      <c:pt idx="0">
                        <c:v>% Areas Effected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4165-4478-8083-CB453156C83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4165-4478-8083-CB453156C83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4165-4478-8083-CB453156C83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4165-4478-8083-CB453156C83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4165-4478-8083-CB453156C83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4165-4478-8083-CB453156C83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4165-4478-8083-CB453156C83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Calculations!$K$19:$K$25</c15:sqref>
                        </c15:formulaRef>
                      </c:ext>
                    </c:extLst>
                    <c:strCache>
                      <c:ptCount val="7"/>
                      <c:pt idx="0">
                        <c:v>Construction Dust</c:v>
                      </c:pt>
                      <c:pt idx="1">
                        <c:v>Crop Burning</c:v>
                      </c:pt>
                      <c:pt idx="2">
                        <c:v>Domestic Fuel</c:v>
                      </c:pt>
                      <c:pt idx="3">
                        <c:v>Industrial Emissions</c:v>
                      </c:pt>
                      <c:pt idx="4">
                        <c:v>Road Dust</c:v>
                      </c:pt>
                      <c:pt idx="5">
                        <c:v>Vehicle</c:v>
                      </c:pt>
                      <c:pt idx="6">
                        <c:v>Waste Burning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Calculations!$N$19:$N$25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0.16483516483516483</c:v>
                      </c:pt>
                      <c:pt idx="1">
                        <c:v>0.2087912087912088</c:v>
                      </c:pt>
                      <c:pt idx="2">
                        <c:v>0.18681318681318682</c:v>
                      </c:pt>
                      <c:pt idx="3">
                        <c:v>0.12087912087912088</c:v>
                      </c:pt>
                      <c:pt idx="4">
                        <c:v>9.8901098901098897E-2</c:v>
                      </c:pt>
                      <c:pt idx="5">
                        <c:v>0.16483516483516483</c:v>
                      </c:pt>
                      <c:pt idx="6">
                        <c:v>5.4945054945054944E-2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4165-4478-8083-CB453156C833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Calculations!$O$18</c15:sqref>
                        </c15:formulaRef>
                      </c:ext>
                    </c:extLst>
                    <c:strCache>
                      <c:ptCount val="1"/>
                      <c:pt idx="0">
                        <c:v>Impact Score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4165-4478-8083-CB453156C83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4165-4478-8083-CB453156C83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4165-4478-8083-CB453156C83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4165-4478-8083-CB453156C83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4165-4478-8083-CB453156C83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4165-4478-8083-CB453156C83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4165-4478-8083-CB453156C83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Calculations!$K$19:$K$25</c15:sqref>
                        </c15:formulaRef>
                      </c:ext>
                    </c:extLst>
                    <c:strCache>
                      <c:ptCount val="7"/>
                      <c:pt idx="0">
                        <c:v>Construction Dust</c:v>
                      </c:pt>
                      <c:pt idx="1">
                        <c:v>Crop Burning</c:v>
                      </c:pt>
                      <c:pt idx="2">
                        <c:v>Domestic Fuel</c:v>
                      </c:pt>
                      <c:pt idx="3">
                        <c:v>Industrial Emissions</c:v>
                      </c:pt>
                      <c:pt idx="4">
                        <c:v>Road Dust</c:v>
                      </c:pt>
                      <c:pt idx="5">
                        <c:v>Vehicle</c:v>
                      </c:pt>
                      <c:pt idx="6">
                        <c:v>Waste Burning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Calculations!$O$19:$O$25</c15:sqref>
                        </c15:formulaRef>
                      </c:ext>
                    </c:extLst>
                    <c:numCache>
                      <c:formatCode>0.00</c:formatCode>
                      <c:ptCount val="7"/>
                      <c:pt idx="0">
                        <c:v>19.714285714285712</c:v>
                      </c:pt>
                      <c:pt idx="1">
                        <c:v>21.395604395604398</c:v>
                      </c:pt>
                      <c:pt idx="2">
                        <c:v>17.076923076923077</c:v>
                      </c:pt>
                      <c:pt idx="3">
                        <c:v>12.483516483516484</c:v>
                      </c:pt>
                      <c:pt idx="4">
                        <c:v>9.2967032967032956</c:v>
                      </c:pt>
                      <c:pt idx="5">
                        <c:v>22.076923076923077</c:v>
                      </c:pt>
                      <c:pt idx="6">
                        <c:v>5.0549450549450547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4165-4478-8083-CB453156C833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Calculations!$P$18</c15:sqref>
                        </c15:formulaRef>
                      </c:ext>
                    </c:extLst>
                    <c:strCache>
                      <c:ptCount val="1"/>
                      <c:pt idx="0">
                        <c:v>Rank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4165-4478-8083-CB453156C83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4165-4478-8083-CB453156C83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4165-4478-8083-CB453156C83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4165-4478-8083-CB453156C83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4165-4478-8083-CB453156C83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4165-4478-8083-CB453156C833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4165-4478-8083-CB453156C83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Calculations!$K$19:$K$25</c15:sqref>
                        </c15:formulaRef>
                      </c:ext>
                    </c:extLst>
                    <c:strCache>
                      <c:ptCount val="7"/>
                      <c:pt idx="0">
                        <c:v>Construction Dust</c:v>
                      </c:pt>
                      <c:pt idx="1">
                        <c:v>Crop Burning</c:v>
                      </c:pt>
                      <c:pt idx="2">
                        <c:v>Domestic Fuel</c:v>
                      </c:pt>
                      <c:pt idx="3">
                        <c:v>Industrial Emissions</c:v>
                      </c:pt>
                      <c:pt idx="4">
                        <c:v>Road Dust</c:v>
                      </c:pt>
                      <c:pt idx="5">
                        <c:v>Vehicle</c:v>
                      </c:pt>
                      <c:pt idx="6">
                        <c:v>Waste Burning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Calculations!$P$19:$P$25</c15:sqref>
                        </c15:formulaRef>
                      </c:ext>
                    </c:extLst>
                    <c:numCache>
                      <c:formatCode>0</c:formatCode>
                      <c:ptCount val="7"/>
                      <c:pt idx="0">
                        <c:v>3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1</c:v>
                      </c:pt>
                      <c:pt idx="6">
                        <c:v>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4165-4478-8083-CB453156C833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Category-wise % 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Calculations!$O$30</c:f>
              <c:strCache>
                <c:ptCount val="1"/>
                <c:pt idx="0">
                  <c:v>% Areas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Calculations!$K$31:$N$36</c:f>
              <c:multiLvlStrCache>
                <c:ptCount val="6"/>
                <c:lvl>
                  <c:pt idx="0">
                    <c:v>N/A</c:v>
                  </c:pt>
                  <c:pt idx="1">
                    <c:v>N/A</c:v>
                  </c:pt>
                  <c:pt idx="2">
                    <c:v>N/A</c:v>
                  </c:pt>
                  <c:pt idx="3">
                    <c:v>147</c:v>
                  </c:pt>
                  <c:pt idx="4">
                    <c:v>72</c:v>
                  </c:pt>
                  <c:pt idx="5">
                    <c:v>42</c:v>
                  </c:pt>
                </c:lvl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48</c:v>
                  </c:pt>
                  <c:pt idx="4">
                    <c:v>29</c:v>
                  </c:pt>
                  <c:pt idx="5">
                    <c:v>14</c:v>
                  </c:pt>
                </c:lvl>
                <c:lvl>
                  <c:pt idx="0">
                    <c:v>&gt;400</c:v>
                  </c:pt>
                  <c:pt idx="1">
                    <c:v>301-400</c:v>
                  </c:pt>
                  <c:pt idx="2">
                    <c:v>201-300</c:v>
                  </c:pt>
                  <c:pt idx="3">
                    <c:v>101-200</c:v>
                  </c:pt>
                  <c:pt idx="4">
                    <c:v>51-100</c:v>
                  </c:pt>
                  <c:pt idx="5">
                    <c:v>0-50</c:v>
                  </c:pt>
                </c:lvl>
                <c:lvl>
                  <c:pt idx="0">
                    <c:v>Severe</c:v>
                  </c:pt>
                  <c:pt idx="1">
                    <c:v>Very Poor</c:v>
                  </c:pt>
                  <c:pt idx="2">
                    <c:v>Poor</c:v>
                  </c:pt>
                  <c:pt idx="3">
                    <c:v>Moderate</c:v>
                  </c:pt>
                  <c:pt idx="4">
                    <c:v>Satisfactory</c:v>
                  </c:pt>
                  <c:pt idx="5">
                    <c:v>Good</c:v>
                  </c:pt>
                </c:lvl>
              </c:multiLvlStrCache>
            </c:multiLvlStrRef>
          </c:cat>
          <c:val>
            <c:numRef>
              <c:f>Calculations!$O$31:$O$36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0.52747252747252749</c:v>
                </c:pt>
                <c:pt idx="4">
                  <c:v>0.31868131868131866</c:v>
                </c:pt>
                <c:pt idx="5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D-443D-8649-DD90D6841A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155856"/>
        <c:axId val="1221433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Calculations!$P$30</c15:sqref>
                        </c15:formulaRef>
                      </c:ext>
                    </c:extLst>
                    <c:strCache>
                      <c:ptCount val="1"/>
                      <c:pt idx="0">
                        <c:v>Cumulative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Calculations!$K$31:$N$36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N/A</c:v>
                        </c:pt>
                        <c:pt idx="1">
                          <c:v>N/A</c:v>
                        </c:pt>
                        <c:pt idx="2">
                          <c:v>N/A</c:v>
                        </c:pt>
                        <c:pt idx="3">
                          <c:v>147</c:v>
                        </c:pt>
                        <c:pt idx="4">
                          <c:v>72</c:v>
                        </c:pt>
                        <c:pt idx="5">
                          <c:v>42</c:v>
                        </c:pt>
                      </c:lvl>
                      <c:lvl>
                        <c:pt idx="0">
                          <c:v>0</c:v>
                        </c:pt>
                        <c:pt idx="1">
                          <c:v>0</c:v>
                        </c:pt>
                        <c:pt idx="2">
                          <c:v>0</c:v>
                        </c:pt>
                        <c:pt idx="3">
                          <c:v>48</c:v>
                        </c:pt>
                        <c:pt idx="4">
                          <c:v>29</c:v>
                        </c:pt>
                        <c:pt idx="5">
                          <c:v>14</c:v>
                        </c:pt>
                      </c:lvl>
                      <c:lvl>
                        <c:pt idx="0">
                          <c:v>&gt;400</c:v>
                        </c:pt>
                        <c:pt idx="1">
                          <c:v>301-400</c:v>
                        </c:pt>
                        <c:pt idx="2">
                          <c:v>201-300</c:v>
                        </c:pt>
                        <c:pt idx="3">
                          <c:v>101-200</c:v>
                        </c:pt>
                        <c:pt idx="4">
                          <c:v>51-100</c:v>
                        </c:pt>
                        <c:pt idx="5">
                          <c:v>0-50</c:v>
                        </c:pt>
                      </c:lvl>
                      <c:lvl>
                        <c:pt idx="0">
                          <c:v>Severe</c:v>
                        </c:pt>
                        <c:pt idx="1">
                          <c:v>Very Poor</c:v>
                        </c:pt>
                        <c:pt idx="2">
                          <c:v>Poor</c:v>
                        </c:pt>
                        <c:pt idx="3">
                          <c:v>Moderate</c:v>
                        </c:pt>
                        <c:pt idx="4">
                          <c:v>Satisfactory</c:v>
                        </c:pt>
                        <c:pt idx="5">
                          <c:v>Good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Calculations!$P$31:$P$36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0.52747252747252749</c:v>
                      </c:pt>
                      <c:pt idx="4">
                        <c:v>0.84615384615384615</c:v>
                      </c:pt>
                      <c:pt idx="5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A3D-443D-8649-DD90D6841AEA}"/>
                  </c:ext>
                </c:extLst>
              </c15:ser>
            </c15:filteredBarSeries>
          </c:ext>
        </c:extLst>
      </c:barChart>
      <c:catAx>
        <c:axId val="12215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3376"/>
        <c:crosses val="autoZero"/>
        <c:auto val="1"/>
        <c:lblAlgn val="ctr"/>
        <c:lblOffset val="100"/>
        <c:noMultiLvlLbl val="0"/>
      </c:catAx>
      <c:valAx>
        <c:axId val="1221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Pollution Intensity across INDIAN States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r>
            <a: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Pollution Intensity across INDIAN States </a:t>
          </a:r>
        </a:p>
      </cx:txPr>
    </cx:title>
    <cx:plotArea>
      <cx:plotAreaRegion>
        <cx:series layoutId="regionMap" uniqueId="{01D491F6-4372-4078-A48C-602DDD295EFA}" formatIdx="5">
          <cx:tx>
            <cx:txData>
              <cx:f>_xlchart.v5.2</cx:f>
              <cx:v>Intensity Ratio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1Hxpc9zGsuVfUejDxEzEgK59uXP9IoylF3Zzpxb7C6ItUQCqgMK+/vqX1OIr9m3Z8ozexCO/2CJQ
QBZOZebJU1n857vpH+/yh0PzYipy1/7j3fTzy7Trqn/89FP7Ln0oDu1Zkb1ryrb80J29K4ufyg8f
sncPP71vDmPmkp8Iwuynd+mh6R6ml//xT3ha8lDuy3eHLivdTf/QzLcPbZ937Z9cO3npxeF9kbkw
a7sme9fhn19e984cfn/54sF1WTffz9XDzy+f3PPyxU/HT/q3t77IwbCufw9jKTpTjGCuiXz5Ii9d
8vn3kp8xLBTSSOqPP/TLOy8PBYz7azs+WnF4/755aFuYxsf//mvcE5vh1/7LF+/K3nWPXyqBj/bz
y617nx1evsjaMvh0ISgfDd5efpzhT0+/8X/88+gXMOej33wFw/EH+qtL/4bCL+592hxeXDeH9w9t
+uXL/L+jgfmZ5JxjpdGnr66fgqLPtOAM0GInQfl+s06Dczz+CKRfrp8VSLuH5pDDCvpRroLRGWNa
SSnZU1TEGUOKCPAX9PGHfHnnJ1f5aztOo/Fl3BEKu/2zQuGXpncHCI35j/cWIs+4plRpjv/48F+F
MC3OMJJUii++JJ7i8rcsOw3RiUccofXL7bNCK0gPEHaTQ5O++J+v7v/Xlw/2rcj2Xxli2/ZQ/NX7
nyaBP8tzRJxRzmCtQGz99PPEhzU5U0RyCLv0dGT9K2u+sT4+DTteE3fPak34GRCbH4gEPxNSK445
/eS1+AkSCi4jLQTTR2H0L804DcHnYUcQ+M/LLS8eEoigh/kHZjPCzzh4BKby84p/SjU0PiNSCiWR
+MNfPiXST0ntuyw6jchXQ49QuXheqS1I00PXZe1juPyB/gFfXgjFNCcn/YOcIYYhVqEj//hea06D
8nT0ES7B/bMKWOEB6rIXkMheXB4Amxebw/CQZ9+V0P5GQkFnmGjCsD5igxRYB2KEy8/wweWvHee0
cV/uOZVoTwP2reccQfet255RsRUeioP7CGeY9T8eRfYJJ3XK2STQgscshdVR+fvEpv8b8L6a0sun
5eXPL48e/t8YqtOmfV1wPbnjb2oThABnI0xjqp5QBKnPqKASKf4JMwQM4msX+6wcfNuM0x71edgT
i/97yxDhQ55CXLsM/pqp/43Aps4Eo1Qj8bmcfcrPpDzDmDMJBO4TMTiqqj7a9AWPvxHOHqfy757w
vAjBfZNVffMjSRo9k4wjTei/sTPJiKRCfU4y/MsX/8TOvsOQ0z7wx8CjNHL/vPjy1fusTX8kDuiM
Y4oYo/wPNvyV0qDYGSMKykuQSz/+HMHx1+acRuPLuCMwrp4XGOvyByIBCinEfvAHcrKOl+wMcSK0
IOQTUEdI/IUtp2H4OOgIg/Uvz4oSr3tzaA7dlyhxKi7/vX0DyM1CE4EhDH1a8vhpisYgzUHtCKni
ZJb4Dnu+gcWXiRzjcf6s8NgcmvngfqBfEH2GtYJiBBb8V5FJguzFEGGIfea3R9n6O+w4jcMfA49w
2Dyv2LTJiv8icZriM0jbHCr50w4izwgVBEMK/+Q/x8D8DcO+gdC/PeEYque1nXN+KIr+Yxm4O7Rp
kTU/LphResZBk+Qcfea0T9kW7IXCRoIAPnya8n6y7H8ciur/vPgO207DdfIhR4id755VkDsH3dg+
bij8OKQIPRNcgPCiPquWTytDEI857MNRIj6zgyPx5bss+gY+/5rMMSqbZ4XK7tC4Q3ewPzD5YHYm
MWhe7BtkADbiwL1A8D+9ufJdFp1G5auhR6jsnhdB2x8sVCzvx4eH6gdLXPhRyRfQMaCe+sojVWZE
g8R/xJG/MuXPHPc0IE8GH0GyD5+Vo1wc3qfzf0GTB8QwThWGRo/TmqM6I0ppQennbHMkPX6/WacR
Oh5/BNLF82IFd5m12Y/cJ4aeAokQReRL18ATPq3UGZOSgDd9ZnVHtO2vzTkNypdxR2DcPa+Ef3GA
JAnkrPuRGhjWZwy2whRILycrzccuD6Up6MQnK/7vtOk0LE8GH2Fz8bzS/sXBPYqTfxbR/6YCAEmf
MgFqzElP0fRMwTa/5PhzAyFw6q9F+u+w51uYfJ7IMR7QGPiMtPuLbCmbH9rhQs8ogs+NjnZLHltb
qEBEo9NNg99hyDeA+DKDYyB+e1ZAPO4R5z+2SBFnoHwpKPxPlpMa1GIB+V9+Tv8IOm+/9ozvMeg0
Iv8aeQTJ5fPaR7nu3/fQdt0084/nwkoTLAg9LcroM2h5IRL0sj9SzdfI/MuuL4idElJPY/P12CN0
rn99Vg5zezCHtoO6/s8+wt/MJeKMK0aZ+qKGkSesS0IuedRmxJeq/6hi+S6LTsPy1dAjVG6fl6J8
fyiyHBpe3vc/DhYoHREW0M5yXDoCC0YSKDI/Cl3fZ8RpJL4eewTF/fNK7fcPkE+SHyrvY3kG2UJw
aF996hn6DCH92Cz2ObnD5a8j1neZ8g08/jWLYzjWzypeveo6aAL74Wc1oKP4o8CPPzefP3ahfLXz
omDLWAjoX/kSs47K+O+26jQ6R8OPEHr1vIr4j5M5/GCpGE42gRCMoJfycwfrv3kOxC8KSvLpuvE7
bfoTdL5M6Bib51XTv3louxf+A8Sz/EtoOUV6/ma+f0zocI4JyaenzpQ80xK279mXnuSjRP+dxpwG
5cngI1De+P9/Q9q3D078cYghBJE++njK76vjaX9+9eO84eTh0dDPGeEkbJ+Sxfb9zy8xF1Ci/3F4
8PEZT1LJLyfPvP1r5AOQwp9fQiuMhDQFRyk4wQw4HXjdCEvo55ewFQ1HcTgVWFPF4CaQzlzZdCm8
GjavYaNUIowl/qhHt2X/8QJ0GUCvh9bwOAGbC/qPw5XXZT4npfvje3z+9wvXF9dl5roWnopevqg+
3fZopWSPr8BCQ1GmBFdcwOKq3h1u4QDn493/W7S5N+DedKumT8b2Lu2Vul+k56qQl1pcMZmqNvRw
Wa8cmsoVQ52J8i7hIGv/8dlO2EGgUevIEjBDQtyRlD8qKOqjpV9ZgvggMm/WJCpx2762au7DWOh4
OyQFue9tpveTEP4inF/E5RRUZb9RufYibCa+gV9lKw/bcl3atPiNpxXyXZrNtZ+LLAuLJObXqJvj
7UJaEs5a95epydLCNzW3Eas9cpO2jednNXFblRZN4NXe0gVTkseR19gxpFzOkUu0C1LUj28xYZKs
OsFdZNSsd6K3fPY1GWxg4P7ZH/sJb5tYTIfScyToDbssMuptlDA895e2owfEUX7BaR43flfn/eJP
qN5NogsyMU+/U9ot77Ft+D3ornpdznQ47+zYXme5LY1vUpuVfjKWv3dStdteDM1Vyjp8jkpMQpGq
fgUxpbtOBI1D5sgcIUPP87LaTJln/KIXyauZ6bz2DZvbgBks3uI+1kEJusmrdNTeqq8s3RpHY38Z
KNnXaeKt4Ba0nmQswnJMm03LkN4nHh23AzRHhs2cr9yczGHN6n43d1522WcsiaqxriLZ18QGfe3o
apYjj+KOzVHCRXfPa1SFOitpKJM6vcvdyN/KRcVRM7dNRBuENlVLF5hafb3YefYL4Y0XSWHNfT9O
3ptxrIeV4U28ge045DclyaK6rExAl2Z4XxdGRaKw7oYVimZ+LLz+YqyK5jxLKAuhMl6103jB0nqj
nLdTdSpWyeSJ1YDklaQmnX1kExwsKFuTwhHf4w2PpHV6benc+W0rqpClc74RqRe6eLFBa4qoFe11
3mfCz9O49mXfunAsmmxDB5aGVdfUl5W13dvMJN3atV0ZLEnSBbPzvN/lUk+RGtx8WXA9hHqE9ZTB
slqxvrVRRdvi8f/E+6Tp9HqcquTNQjzifA8P80XCRgfvLPENmii+7othukKVtwR1NUzhuFSZX2h3
leV546dFv6yrpOtu8pyLdZ6z5YZ1sYnqxcuCgooyGMSSXds5c1cUkySiJOOR643YpjVhAU/rJGwc
IsEgu2pTjlX1OneUApqy9l1u08jp4gMd0yTCoy7uYyZHX86NDOEZZdCntdgMk172Uzqxbck7tXYu
IRF1sy79spBJUHhaR02CVDBNcRU2Cc02TeepyCYzmtaSl6j1rWr4qqd8kBAiBPhaa0XoVZOkvivm
YmP6nJ7PqYz9nk7iKms9ejtMY4BcezlVy7LWQ8kvVMnmtcndELJB4ItEpVcagkxEFLtCfRHk6TgF
CXL9bsA0ezeXTfqhSKY+0HnnAqyXeD/jEV0tktZvE4j6G9rn4rwZhurCjazbLm7gKw8OGV21YHZQ
9zy+TRyjB1Kp7FyYjm+6se/fNSyvbyEyq20uy+Y3UvcmwNLEgU5EkQZV1vfO5ywRdqsYDyZY/LUf
y76f13ypizFME1PMflvV/SpO7bjirVbVpRvQ6MK+ScxFP1ZJmDaeWZlkoEFaqtb5cZykAXaN7EJS
I5oHqh9o52M6inDI4teUefEVK7JyCQjXJfGrNAecdUY6/muBVX/jkVLkPkFt87qtqyWwOE6uRNcU
55D8houYpvMKYtq8bufenY9zkf5aYTcMgUoa8Ot08Dp/otqulmp0SUCwnug+rSw/l4zFLKKVfpit
sMm2cq6Oxr5z5ypv+VuW6W6zmLJg/tDR0XdKirVjclp8oLvVh6y0cxXFS9N9kK1q/XhYurcF1v2m
EuWVS7039TS2G+ch7GssuK9cVix+lWNd+LPQHfj/wn7NpRXaF2lSvmVFk2+1meEFaJTbeMxUMBeF
26YkHvPQI/HUBl0d59c4HQe8LuKRTVth5kHvqyLG9kF4vO1vsSnYXVKVdFp1lVcdWnCFQxwT97rM
U++iToRL/biEBB3hBt5W6GV8VRnWeJCkYvY6GYa3ttDeblZ8ineIzU0gxLiIgHcZClBGRxqIx/Wf
VA29dZMqVGica4Mpm8UHPBN+C6mwVdtRmtzcdG1bbjuJs7u+qYES4H4SIcU14ZdDoesPSdFSFKWZ
FG9cPdF386jmbVdVfD1ng9iJeVAPupCY+TFBZuMpzPexYVPqe/VY35GUiws3wVe1NpfrAdfMZ61X
i1sbi/rXgon6lkG0vpuLut4Y5w2rpE0IX1U2VcLXTE0XdInphvEsiWQL3GVksfS7YZSv2xTl6qrF
sTTng7319KB2hpjWZ8wmEbJlXAVGoxq9KXWT/Tpy0xO/qbKl9Ys86WiUlT3/TaC0dldmqU0ZdZlb
jN/mCkU59prWX4jGN9jREsKtl9ykIx/f5k2FX1FvpHdlh4tzjVu+InQqr+LcS145odMtsBpb+WKA
RwDXGk1IXTOE+ZSN67ok3Q66SlUALM274TMp17ju28CNS/kgs4ms1OB5c0CSeHjVTNiZ0JraDb5w
drqcbUG6aFlmQv0lHQoeJEU5bQwe+3BMkm3cltPvqfTGsGzm9E1CivZC0qQIvDTFgSsYDQb4wMEy
QP4sTB14elLbtJiWq77LRdjUuq0CigoPuJhaT5PJUwiqtmjbwMZlN+2q2Hms8POxJxvZTst43pYm
PQc6U4YzwSa9B9og7lnbp1OgKsjva20kvrZ1vvjjLGApLKVoA9PQ5hZGrbiZs3XTT+McFNyFIkdy
NybtHKXlnBSha5v2bRWLxY8Nn7fYkG4V2yaBdET1ytXc80ss83VcLsnVsMx81TFYoyxt1F54depn
SZP5GfMr9pCi7dS4twL1h5hL31B7TuTbZhgpCfIh7n02ee3vwC/LVYd5NYVumoc3XjrX13mTmYja
OLdhDrsbl6UHyXI9o16YsLV6rTxrwsTqfG1izjYmScSao0yF2ImhviwzCLaK99jHfVFFU4zwfN1O
iJTnZbnwC6GL4Trlqdf4A83NLrPa3g99nPokR2jNhzbfmpab6yFNaRuZqpwfBlLkMkjK0bxRnY5D
53GThdq0kgYGUVEFI6ZlEZWFIlM0uRaZ2OdDA6l24DLdqnbKApNVYxvEcZFs+DSyLWzaVStRN27v
ZI8uzShrAvzWvp7KlJLzIRm80IxYxhsdx3W+Mcq4vSKqr3y88A1MeQzEgL3NQAf8e98m9JqNpAVe
3c7oDqJNymHh9n0VplMWh00XR8UQD+c20fvGqhWVNo+A9FTrJHbJfuS89Umfe4dljLt2PYjOO1fG
HGrq6auaytTz54XkD72TyZWFqAjZvysSv5kYVA/9HM+hZchdyDwD9uYN6HWFMn0NCa7elWhkO629
bgWNQv2KTQTWxFTGH3gu8sjC0eGriWcECLTss6AcJYYoWnmvPbFADJmnOJ4CXTm0tlXRRjLn9e0y
Chb7U0foZRMjHWR6mQ7c5PHNDFF8TRIP+UXHgZZhlwd93j40rCoCkaA6hL3NCjJnEgPpXHDI8XgZ
N0AKspHuKCAUmdnKaBCofFURySIBicbPq9pERRbLiznN09e4by5rIrpVa8t2nZeknWDWS7dveGJ3
wjYSAgnJ+00JNUaok5RsEePzDZt4HrDc7fIyfyVI8eDF6qobVOlbnNqgnixaZakbt16mIDOZNiil
bH2Bu+Uqr+vi3TA3/VUJ7MvvgAXs08WmG6GS8Vzi3+1o/a7r2MpSG6BkmjfUYynUUssYzulcrDAk
pMQfkjk1QZYkG5H1cxCT0S/T7ZTx83QW+8YlO7tk4iKRCd45lTW+NXS0wVLxKszx4AFlLN6rsU6w
3w7jfQXOtGIuKQOh5ipAtc3CVA32JpmB0cZNwnaq69kNw4U6H1A1RB02OpSeytYxePuun+XkfFo2
GCioQ4/LkAdyhqXhTU0elnzaxLkQa9tk58p2a5SOIVbpGskB1vQcjI7nIbCO7DwusAkaYqZdQzgK
ZwG5yV/Kst9iWeCV8Qz1E8abJihsw8JlmTYsqzc1Ag6xsEEFcOSj9RNh8m28FBD/hgGgjqvSC9Ji
9qKyTb1dmtT6LeIVW7fxjN80Cii7rpP8vJqWPsQeTi5yj7OIj3rYLIMhvymq6Bshl+oWGLDZdnE2
vLYuLrfUVd4tHnp+a5faQqzkKvWZa9J905n0Ii3qJUJA2t5hjKGExhU1PuvK9zStue+xbj/VZtcW
MQ9nFP+OJsh9dA4Wz/Kgz7z72vTejsyD8KtRtxtvzuV2Ir2+GMWo71RsutAltQlKDAR2kI5GLcUq
5LLao9ThAGdlKFDsp5RBFYmKWzNMFniCaw5YOBYWHo0DBiX+tqVkM9nFO0c0KyKHx+6y0117LrW9
5WUacOWET1hzWZI3NZoueouihaoV6cSvNh2v3IjwxqbTndJmlXjF7Vw0m9jix7QkEj/G5RAANXzT
JPptUeiQDNmhAWEjyBtbh4ly6a2Z+mKjOwGBfaRuz+xIYB035VYru1M8Lc6TiS070aReJLnKN4VV
azbbMrAmzTcxctl27PJkTYf+DlGX+Wp2Q0ByKPCWwastLI5SbBGH4mpJC/uOElPubS/NEmSjE6Hp
IUYS5G3S0tCQdzlaJ7qIV6WV8W7KeRF5Omk3GkOl77vayH2WkNhXkwyXVg3bJrf5OpNb3Kc7XJDN
Qos6qnDGX1WV7PaISfoqM6yCmDt0OuJkhsRoi6IQvo1n1QfK9Hy1tFn12ht1HioKJcoiPGBhi652
aYmGu0oW15Yj38wc7h9ElBJz3hX1g5t4c1HY2Sv8RCEXQYA/R5UK6wYXK5CYqq1RNg5qOtmQ2Ga+
WAgeQgFn099RmJ+flL3tAukm9rb3VL0djFLXU+/4KkYDDp3UfpvkVTTUE1qJoQt6GiOIeeVbKjx0
O8SmhQpn0vNNAZuBxFeeaFYdV2QNfxet9McRwae30gZyGHU0el6S+FXD94VjLBSVGPdyjtV+oOVF
kiF/WvADbAOnfrvIc63vJmTDLKXXc5Zviy77fUz6hzlpBPVRVQIRJ/WU+1wk9abFTbmCtOkFI8+n
0BAPRaVXjJe9HTBU2V62gcy1sZhvsGzDkQ3hiJT1oQ7fKFWCQ8kigmz7IEZy6Tmu161cNtzDO66G
xQeutaqH4deejEkTTJTabQ3p4K7BaL6kcfprT8kSNKX3mmaaXxVm6g4ep9UGrvvOAm2RUEBsaQ3V
GFAU727S9KKkdViZCQWyrMS+Jk3sG07eQgBPfIFq/prSAodeKuZQzfh1AV28oRGqCZYmXQGHDprK
BnPZPfSoJf4AqdnXskl826vGnwvxwUqyFWm2LewUpGNxX4sM6CUfg6weEr+GBL4q4oqCuLHO3fzW
qxQD7/FslI0xyvyc5d0dFNntKmfZhYmHbK1xdz02OVA9mqXXaUtfmVLPgZzoEOIcAV/EoBhJTHqf
ttlqqrMsYBnJQcrD7HKaRBuqfHChbUwccici0qJINGXZBBwP58zuPY121Zhl4I7urjeF3w/uPNat
3mRtfykWPTVh2/c67Etc3Cd1Ob3Vrjs3S2v9HAoOv6imjajzad1VGXFRPs3lNuvafuVZgbceTsnG
tni4rpch+S2xuAnAQw9Q8t/TJg/Ga1L5Pa7fS9C57kf463NbDNR3m4IyFLlp2Hsih4JaiGWFJqk2
jOQGapP+KilAbun7snpNsVk21sx94meeohGuKuO7bmjCupqrPZGgmEHZEK8GuYi7JR2zIEbLdFEu
bAItk4h6K4Tpw8abstDpae/Jwvl6NBMAhZJ1ReIskkTO2q8rmr0a+MQuYZ1FpJ/3s4jbvYnZ4pcG
geq1XQxREYxt37Yt87YEKsWopGgO4Z3yXbXE7WbQ452OzV1BynQtS1OtG13Z154D5bvmzXVPHdiV
oSyytYhDL/b6KIE8Dzx58EB8ZQxYeHUr0DD4C/CEeZEs8ZFXu+1S2Sqox/FXXg4TSAdNuhVZwi5y
RGyYDKkHEnFuq9oH+QbY8jhRtZdJxUsfdKFKhtzAfTEFESp1KShUNX8vQeryWzuTayfMdGPapMah
fdTD4W8VjqCkTitLSPLGLtzuW1W6c0fFVEVtZuLM9+LWWT+eJ7MebWp/a8zYrTtL+aoEpgmEyvZh
wSAjZwtqjN/IingQF+YcX2guh2Q/iHnnuPFex6RafFNB6RG1Hsb3cHwIzz5R1rZ+XhZmP7VAyWRc
4c0wYrSbZOJgdbpiSf1pFvISjm9nuzhp6w0MoREiWbeHWp68znTOt7gT9Yc2rYA6xqzdjw0UTM6j
6IY4nlx5oqTrOm3Mum4dECAsahwlWQ+Zd6gKvkdDFzZA/qCHnDS+AZVirxtO7vqCJOf5TMg9BH53
1Quaroek7pyPmrpeE1PQejWhgnA/r6spgOK/gtQnl2Bm9QAyW92DElbOJD0oAfHCz/hoXxGsLnrN
HYiZo7s2dSkCPLGHWCP6O6K4TEPYBY/fx3lW3AMN+dVobv3aNjekb++JtkM4PApe/TJuumWuVha4
826aECxXDsKXEm7YTN7iDhXP5EZVzARVEqNoKDtYRSAPhslsl2vUD1MA+whd7s9SgWxmSQeuxUCg
Ez2UFKVclZmpLpWlfVDVk1x3afdqmNMCPn7zJsN1HTRZ4daWcHG5dEl2O3tt/RtLlJf6KJbjmvKe
1UHPaOpXHAqbJL5PU6230K8PdKcvfaH63ZQZAwFvMuczkR8yoP8+NUUXWpCgIBJMvAqGXul7nBeQ
TNrFTmHfYbcXS3zdy+VaJELfpFJNAR7yalV25J1LFSxGntGLqQBu3JiF7loze4dBJEkUl/o33WG1
EVU6+MCSWDAPOZAwTSsPtohys50GgjeQdaE0JucZsKZXJsf8kmBYfk56yXk/KW8Dhd0YAXm/6TLh
+RNsTK1k3e0xEPVWdcOaLqBKRgNZ2q1tnXc5zJMGEYPdp5WA19kCtlcaa/zUE0PYEwMSfgOTz6ug
w/TKW2q0xxItvoq5OccqgaLYWg3KkLC7zk23mDTgnI2TvhxHfE5ifTdPHdulzt0hcCIf8XHVDFJH
U5ffl7m5nLsFBamomD8Rk2F/sdBYGfB+QRvhmm5FgOFALARplEWdHiAmj9KWO13SLgUVoGGwmMcE
9GoBARnrpno1a0+8L7kE1bJMdQDEYgF4ebstYRmGs6rKFEpqW60qCIsXXdrG182yLOdzJ9SF0l0e
2Mq84om4Ea3Rq57pgzB4l0/JXoHavWa8BSo40xsNvGiXpX3Q1FmYFc3ruTdv+VCC0NpWaVCX0vfs
TdwOabjABstdw2kREK/Mbykqm13dll04JCJ9zYkRG9uMQGmmtgy7RoXJgmVYpxWLpKq89X9y9mXb
cuLKtj90uYNGonm5D5CZrL53s/zCKLtskBACBEISX39nVtWpvcx2Mw5j14urvIVSUoQiYs6Y6uYs
r/WjBdZ0W5uGX3HY2h+drVhViGRA2D0r1F40hQXUkt4EOgQuNpLOP6bDfFUvJD3YQF1CEbaXOaEr
K1MHSFAzRAs5Txyuk05UsvAp8VFyjGUZjV2GbUy78L0/NuQcAA30MrVCfg5Qa4D96LC/waD8Sqbu
3ZyiRCW88NTDv91mTvCk8BbrfVlbBGa4D80jM+tyWQ+ybfJMzf5HypT3grw/ullxlN9bKZbCosbe
HFrdTPfwC9OIX03Ep9hmy5cmmZHXoWiQLQCF2pau15OkrEX1luj3dJ7Y/eJZmLFrsQnAmExzV62G
u3ydGcJMMUTZiwji6bKx/Qp3pfzl1YBx/U43QSNLkaBOJWvaS1QyCekRDYbivqapJ4tI2Ezla92Z
FUvCyFBAvYO908KoS8BRCOOkDtkJGTW5SHTH1jzuhxB/N+yWImvN8pEn8kvTRV4xu/kL0nJvyUfW
84M/hl8EAj4AbisKVrnHURKZtJ9eL+HM4Cl6/O+gBzndurhvEFL69KPkLWwJ/9mfbr0onj5HImRJ
MYVVfxr0Qv/kCMhP60Liy7Sq41ugrPZOq75DeQyYsIrNfBqYoI86JvBoTVLjoIwJdk83cXTheZUC
/tS4gqMj/VzpkjlCxQUkEqpPcrZhkQScXfhWPcWWAIYUVSALTqhX8IqL29mL7TMqa81p7LtiXZfM
L1Jv7Oa8auOYwfz4Uh+S2DaHJKjo574f5+VIhD9eTZ7o3oVzFhxCVGUvEiuie2G8diqSKjWAosOo
iMYYUSUJCj+qE1x8lp2AKJajwQGu1/QP2fj1KR0r/oCDPx5XL9OXfdiH9/7S/JFNqOjlDDFtrs3y
SoZZFxOpx2NL1gfdLOIQDl2Wa3/VedWErojnbj2M7uPADu3kj3kU9ndABHv8/8fgXT2Mh8W1qsxY
ur6XS+MfbN2ro+baHKwNkrwS6iqSFFlHsqoLZIHNaYq86kkPPny9jj/Zam7ckct0PPrZom55iuKX
RQnsibRVK3IuKXkB2LSemoZXj0YadpqtZ1+rOfgqVhQd2qwi91Kp7r1kuDv6NvVzdG2wR22yqFxo
LLpCZWPDcqAo8VrwtcquGcqSyDpazl8a7c9PSQjA5xh2rF6KLvTZNc0cQoI6JcGhjnAn0zYpqjWy
z9a1wQWjeimJzZCg9WdUjV060gM6jZbkeL6pEyQexyTrZDGAEJAPwei/t3pQudWTQzVlEWdgNjhw
ZpZjT4cXZGaIUmaiyrQfoltu+HLqnGAH14afgL9V1whE+I1ANFl0IxIax7r4mg5wtQvn4uiA/d0K
3tAPibceu9o3J84idzHNc3LRDoO6HtaAnVo9+U+NCZcSIAPKnPNgBtRu3DCWszTVc7PY+A7lSvwU
DlAwGSW5BjQdPGBVCeID4obboNK0ALombd6vSQgaxZCuN3K1yTfnZCdKoC/IAYG62SujMlakZMXp
QS31pV6Jvo/08ODV60Gimnc72jm+JCLhWQ6CaH9dyxrFuNGnK/6CWvSJD0FbZGv/bTRxIHMTA1JJ
+kj/KUAdOM2eqC6iWuB7/TSEZYBA4Zr49kJ0Dl3CC2g8x2zxTJLXVLL32N9PLhx5aVFEwNUFXD2v
uwBpm60OMZ8++oQ3ZUNYy3ITNFTlBGU6FHeA3/kHCOh4Ol8jHR9NGwNSVMFy7VYbF+ko9evsIvfA
He7HYUx4PjdIDFTUXyeSTlM+xBSXDTBzxP+ja9jTPKYjysV8iu6jGh567v0HYA0nZnB+O+reBYK2
f65ex16mTCV/AoHLbqgOrpjm0ZAj3w5RLQqNkvCFgSiU9fqPHgDZ+z4YVU6lDHAqAu/gt9HwyWR8
drmtljbMLYtRCkbM8AU1UGQe4Rjd16EfHUEM4j02rrsH8G8v+0ZmQz5Z4l/XHYNp8xkAk0dHELu8
10pZ9SlrEG8Ucb/416g+47ZZOOVfKhQrkSYQE5eRCfgFODsZNkiPH1AYemXN+tnYTOAaj9W7KGzE
JRvp2ua4TtnHAPnnh9n5gHW077sLoxCnI9eYkE35AuwA5CyHOmPLsW2tfExdtxaVTOP7ueuSYzgI
c7HKdlkLVPrmUzDVPTnJwYCTYXJeGWSis1c4ERV/JTgtyhKnNVGPQLyCXLE+QBWjnuxF6oUZoAwv
Lb3Rho898ZebxAPyOsMfPYHk4RUrKv0HBO32QdCaXITzXH9sZhm9G9u5BdcBrBWgPT7IHB5Zykmf
6+Neq4I7HhrUnXzVpQC85qkwqj30jIJMlNS4CZh0KLQvrO3ywNSH2QvCG18LWcwyBMlHrnE4HPo0
4Yd4jOUxTaZvPGDzYe6rUecTB51BtWI9hlHwkqC2XzA0H5QxvOkR+G5344nwgS5yPU1xT/OQrsmd
U2OPfN/az4uIxiWfUpM+EoDfCinSmt35LOieANJmz6FH7AMA7PhzmDby2nMxcDXpL1dcJW4t6lro
Iuqb9Jk4oIwumj9OqEO3udJqvY2YbU9g0qgSVyn4Lszpex12TyDvtTcWMdcFz6boQEz6fuxUc5j4
yBBKppa/G8HXeTCLpTb3NeHv7bgCI/DSFeQmtgzFEK23CgeikG21RHnnksupacumM80V7RjKkVWa
XnFK74aq7Q466tIL2Tt5iVrGUqxs6GAR1lwFA4gzK1eob6ok6Yoqdf7HSiqwPqIo+uDF0VOqqneZ
HcxDo2p5SCpkca2a6kNnaHPoLH9sgBMysKEuSJrAfrLMXTs+oPIqrLxr+0UVUrWXEcLZR5kw1A2Q
RN1krnNtjuQpuh2SrL9A3e9LOg0vxHfXdQ3AKPXolRw7gDZ+WusLXln/Y6PG5DSJLispId27QCdw
XDMw6UvJ5VXQx/oaNQFwQgi1BxaE43vRYqHSqZpzpMljmisA1T7Ah+ns0r2xGGMjTvVY84vQY6B1
9Bq0HX8cTqadUQCw2oV+PtTAZRvii0e46UWcIXl7xM3Rn4BJ+tc6XL4OKkCtZ6rpRcUMSnsCUOQd
/BYtwP9yV+ATEKDTtX1Z5trepbIyF5lO1ydQLMVxZRVKUlkgn0YEF09mduGxbrrh1YmFN3mj7XJt
O38qGnQUfIttVL1fptbmzYqkFBXpamxh+et4D3gp+yCZcIeB9agaNL13aGXYHqmkzSU3tL/smiR8
DFjM7iI5oVC+NkIVmYnmB9QGmi/CAE/O2SBJEaEQCbpDEF+7eCIfg9ZY+LN1QtXQ0mu9ukwVrrUC
vC0GPAE9DV/GKiNXCFTqLygSIobg51JUNPJHhiS8QyKg6VU6fzyXgj74FVhZedb78+taxeF7VDfY
K/hp6z1qG9GxzirvuKqMf208Ejw5GwM5qHrxUvGqOQIWQHovPZdH2ZA8o93ILxs90iJM4+ZpqQGf
FwPR4mpuePutD6LlWeJ6BTDjqvsxGykFd0J0F93MydHjVXWluyg6jRPuGiTP0n8QwplXlFniW0BW
4pj2qW5x5Ml0D8SAPHcaCbjXu/a57b3PfFLpKVa4P7WorpraToBzqLqvRxv8QeWCsmILm8llP/u4
E5kHYpDqQLFZw8up5V6O8szytK6Ai/PQaHUQMhlOq0IhY+CZKYYsDL6FPK2uwdAZZD54WiGvrXTz
ECM4OAGMq666HnZo1Njh2CLVR+qMagHQqPDJ9FP1xLOsP9YgArzIij3jdkXMQ5FL4/qNLlSXJMDS
mvZ6aoV9F5tmvXDzAODJwzsoeYiw9oAYuf2Q8cGhGO1VzceFJKi5ZYIblB1Q317Bq4GLYl57SvyI
XE9hvP4hBxaXaQP0bpq7qMiQchYZH3FdAet7RjVsvqA0ObP7zrX3wdfTN5BrXJH2NX1ex2C9XJwW
BfZtypF0ZVdDa2LUNIDEwFTHfCadQflkSlBXcLEX5KDlMRxLINidvVvY/NitwQxm3LycdFalJ7DJ
EHPWzCsloJvnabEDMuaJXvhkDJFVpYGhSCpd+m31YoqbYpXv2gZrEJMpOjER95f9Yqo7xbW6J9XU
XjUB5l+vIArmbUJSLHnwFQ7Hu10qN83HWHipl1Mh4IP+D7hinPNQuFOzGBoUIu2/0rGvjpZW4lXM
rgaEAsrwu1gA/6BgXz0ssuKf2mxa7mgE0AV1WpBh28UT8EhcPr59X+UfOvPfNOsv/eAUiBr/PGPz
7x//30vf4Z+/Hlz5z788v4Lznz+VX/uzNOW0/UtnIvy/fwuf+YcYf2aff/eH/2LC/4Tr/vTXOzs/
+Y/fEeG/vH1u5n9aG/6iswega/9L6P4vHvx36rL//v2/2e9ZgldzAtC6z7xuSN6cGfV/s9/jFPps
FBJtPmQM0BkcoVvoH/Z7lPxfH9VumsXQWo8gcwDRoulv/vtflHk0Q6Qo9+N5kQya+P/z077bGXD+
f0A8xzjDf/jvHvj4CYHqSLbhvU+VrXpwyuOLJjgAvJoWdD7++/v/F+Oev/eGxZ6FoMBNwibHmYJ7
kYOV5T40YWz/fsHnb0Xa/8XwZxL9m+F54rXOWJkccYcr3HHx6tcvtUWi8+vpo+/gh8uCntO342fd
2sJDV/ExC+m0Pg5Bl/lwwpwGuU9w9+ckGufq9OuP/WwPsP1vPzZh7znqkPHRnqO9HB60Vnnv4hTN
9L/aC/TP/PDHnHsf3ixWkoFWzjMXHzXis9sgMKR7Nj734xuXovJaesCiFIK+cXj69Qd/8oNSnPS3
HxxSMEaS8wcXkSX2qm90pUE60A07/voD54F+cGrPLahvP5Cy1fgzWM7IJKfEXMUuqsJiaKewuaFt
w8PbQLca1JxplA5VHkGC8eTLZlEXv/7+pm3kX7NJz0v9ZkmByU8tnRw96rpexgIkrzKJgm9oFBhB
6BlrswC8dIl305s6aI8od/YpUpk6DTu04/9qU3+2xueT+2YGonbdIijaB0wa0iJS/beEGvab3/ez
wTdeoYelItmZ6dG5Kfno964HT1jz+31TP3/17dRTzuIpAhLaRox99fGy2o30WKuLfcNvfEPvGTqM
DaXoz0mW94EBr9ZWSNP2jb7xDEoYPgzhSI9IYldQfawHcDce+j7ZOf2NNwhtHaQogcMb9ARsdxej
TJqPI0zpsO8XbNxBCOhIotyDkKV3SfwwQS55ft/Ns/cb3/mTw5NsrH9Kfe0bS9NyBUp/dDUBA8Ky
dlK/WaDzIfyB8Scb48/6lgiNyLvskcB2J6MC4M7CuIAdkPCSbOdnNiYekR5F48EDUDjrcL6QcS9B
gJKBsMeBzcbuM7VkY8djv4xVZLsU0H67voCm09xLkD1efr3XP1urjSGbFjieQdhRhiAUHMWkkuim
Jq4fP7Q0BTPk11/52Y6f//0bg24A5rVI1tNSCeIuvW7177M6UAKNlTtc3V8dc2+G7yvmQBlY41KD
cIsKBrfkNV774bhv+I1F6yXpIccCsuIisAOgk3VHoj3UHvYNv7FnzdDCIxwHcW1aWuyBS62XT74D
0LPvAxt7bjPUFFFRSUHQ6UC7GAIqzVHxZDUPuz5wDlzfbi+K+9EUAB4rs6lh75N0mh4sq0f3m/mf
T/oP7Dne2HMHTA7tB3VSdgDtqqek60b9PhrXzL+avSZLHtHsGcWX+37LxqrRcYXXDUBXK4eIzAyU
g8hmedN2xt9nz/HGntFKMsZzqJKyneqBXE5duKQ51wQdb7/+Bedl+dFybUza1bz2O4PzNFZuUAde
R0ny0HnrEl/Vc9W1R1uHTn4U6PH7pGVt5G9W7mcxT7yxcoDYVdKDal72IhXDVeNNVYLIvs0Q1qWz
4WQG04mvS8GAyXen1q51coiJifrnxZ9j/Zvf/xNnE0ffn0aHtkUQPLyq7BJPHyJmkjJNRPSbwxic
zfJHyxt+PzxdZovm1zErIx9M1OMaVMt8pNW6ioshixJ3X09d/23wiOkuyJpKegdGYChvwyRN+ccU
9BH6m6n87IduHEcqOR16w0g5JNWEzqU1+zpYa8Z9TjveuA2h0I0NKlRSKm8wQJ0CIvI6Sus/f31M
fzJ7unEaOlAxehFqUtaDTV8prtK7yfe6fT6bno3jzZUwRrXknpegciuQyRQ6SAEooTTupt+csp9Y
2VnM5u0HJjY6GlqVlrMzVYjmQqX8z3YIYHFN2Ph9Lpkeujxc46H+MnTrFO7blnMn/NsPR0YKHCIV
l3FadRpgWDih7w6g/87rgm78x0rWdgR0lBxR4AyO6FKrD2uMyu6+bT8fhzcbE4P3JfloVyA26Odd
JaC8WA38Nz7oZ4dqY/uQI2o8IB1ryUMGPgyaEg6V68Odh2pj+sh6+hT8+bUMkTfmfhN8kDX5XdT6
s6lvrDmIUQS3ol7LOnHzrXYSlEoxNmh+2LfwG3Nu0NozRGiLLL2qyy5DsP7BnUxJuWt0srHmaFjo
MLcYfa5QfDUR+lumLmD75k421pzKcE2XBNvqzWFTgKGHRhwUP/f5UbIxZe57yjfVtJZjwAQqtmAV
LpSsp1+vzNlsfnBfkI29yoo26xp4pjQe/Yq0s11OZG4HWc4miXf+go3JghaxgLZTAaOA4T5lc8+P
Aenbfek42ZjsLBEKoUvWlD2hIP1kVB+4kzvdDdmYbDCDG5auXJf1JMg1E11yO1ixc+obi8VFXbXo
RZvROsqroADLFVyfxrbN4deb+xOjJRujpWDoth76Jo/DmY7RzvV8o6tK7DSqjcluNUciNCWIe6qA
Oe07N+eHot464zZgy1gv5wbHWqMFfaCvLnPyNwf/J2tzFnN5Ozho0C1J02o5jqIJwPhHA/EIPZGd
U98YbYSOwLDi6YKV915ViPgObPhq37ZGG5ttB2Bh3hT/M3USoo0Tqit7p761VppWOm2C5ZgZFI3D
8+hAsfeOft6ONxds6y9DJdDDcLQ8awqdtjqPY/Rh7jrw0cZagXSnPbT9MDoJv46MAM1m9c7KVrSx
1tZ2ImU1Bs9W3YEzCVpk08Z2X2xwBlHeLoydo6QSrl2OdAZRxYLLlAdDNe+7oqKNrXbNEEq0Tuij
XFbwqBr2VfM12Lfq4cZOJ4gxgFls9LFrGwJokL56C7p6dm1puLFTv6Iqco03H5PRlwf0Nf8xaXDX
9g2+MdNxyixHJKyPHL39ecwZmI0KrcL7Rt/YKTRnPECrGaae6eB2AjzyUCXo2tw3+sZOrSYhdDEy
Xa7oH4OeAWhQ9OBBUGXad2bCjamiQS3r9FAvpSOdBJYN/kY5mHD+sm/+G1sNWBWq3na4WatJXKG3
PUC3PXfHfaOH35uTVmgOq9FyWM5Z9AnKAo8TiR73Db211MlBk8V5c8ka7w7u8RWtEjtrheHGTjPG
oLghE2D0pkkPuqEvPbQZ9m1osLFT2U6eylKtS4/NrABN/SaBPMy+w34W83zrvwALm2FCI8ZRCvsn
c8GHkHaQC9xRQA02VpoyU0P/wHMlhp1mKHdMTZy7Kar3ud5gY6cL+GhNS9RcQq3N/0hm+IF8Ymuw
L9IINoaqRxH6oup12fVqPfQ2+dywodq57BsjrVI2JgtTuqROQWWjgyzU1P4OeT0P8oPk4EweeLun
mYwJRBG6uYTWXQbiWB2gz7waPuzb1o2JhnM4q1kxHMcGYhhRZz6iv2Dnlm5sdCV9BmZUq0tFQQgM
UvsqxvRh37w3Nkog/2NYhLE9Pr0Q7W4pmW53DQ1RwO8WvDdQbgJ/ej76lQdZIF7doJdvZ33A31ho
gGbOZPXQExj72T04kq8pdN72uZaz7vvbk+I1iNNVjzURjXzs6/5Udc0+T+5vrJMMxkUWBfxjvy4X
Ci32hO67Qf2NYQ6OzuhVQW4Xd2hw6m0pVbUPZvU3ZsnEbKGEgkkP3bt10QVP3u87IRuTFBlXA5oD
vSNp2s/KZo/pGu/zU/7GHvW4tNaZeC7dxIOX1c1hyXU0HfZNfGORkays5BD3KicPVIJQtlCZyT7u
G3tjka1gE00C3ztShujW8+M/SBbtu9igRf390cbBHkcIF81lw2KbU3QiHyB/uewyHLxk9f3o6QTB
PUIX7zjGz6o/pKhi71kTkm0ssqkbiDc2bi51CjKHiSY0LI7xy77BNzZpgHeh26OajkEzXBgBbH+M
IO2xb/CNWSqt/RadHdMxFfQh0sMXBim0nauysUu8Mer8Mc2mo+qiB4qxrV72jr0xzcCwBI0T4Feu
YeTf6LTmVyOB5tq+VdlYZzORRSCexUGhK/RTff5OxM2uAAuv0n9/CG2miWkzWL6FECYvfFLF/SFE
BMR2uRaSbQx0MB2pgNXMZU2GPzyzfAD48G7XumzJWgu6AiGqgXXRGnK2I+iieZSGya44AgWh71dG
NUuCerTFxNHpoXv/yi7o6No3842F8i6BwAokv0o0dd8KEA7RzQEx2n2DbyxU1wqcS71AumgQj+At
Q5St2RWkkHRrn9SDNmzUTWUY0rAwHWQoAsK/7Zv3xkAdEIUp7c5yYCJ+RS/OFUvo876hN/ZpIZHS
pqGnShdAB0P0CcSQO76PhkHSjX321MhsAVeoBISE7rW1h0gCuv32TX1joHoIp7YJjCqhLtmJfNLK
u4bgmXvaN/zGPI0XwStCirYMF/fnhAjOTunnXUNv2VQzLh402EOwrI3rJzsMl37X7TuHWyLVUqUt
ZLPQNLkuY3NcTB0ePCG/7Jv3xjjZCja7su1UZs1QtAQSvpAn+vXQZzv576wKcuHf+xTjoR68DIlC
f9JCNTqNYn47xgN6FDhkUIpff+RsLz/6yMZIaSutbHuqSsGiT6IhH7yhfdk39MZELRiPIk4qBftf
oMAyKSgfLmQfVAf9mu9Xp4auKFNRiImT4EO3eOjZ94b3+2a+sdHGjkOr/GYqaciIOaKZ0xEozIqm
Pez7wMZOSVPXKRracSSt98ggeM7Gfbk4STY2KhgdkTBj6Mplj7PP7qso3gVDkS1BSqSu6kao/JVR
1YWll4bzY1AbtovpCwHN7zc0TBafLgwnEao9LkezYRmRnew0Em/MFDIQ3mynRpVygVS8vySnEQKj
+7zulgs1K6IhgYElh3u8Xlx4LajdZ0Pxxjwzg1ZJPtaqTKoa2jOru4aO7T7cjGyZTtDxQG8zJNNK
aNg9RMF4o/x557w31qkY0InYeGM5xSlUZ9A62467kjgSb4yzslALrgeuyhgrk0Pe0KBVukv3+cN4
Y5lzxEcPel8jcJsGUjlh+6i97N0uq99SkXyIhDhJ/bGsWdTx3KBQcdS+F+9bmC0VifMMrDTuYDdo
E4WUdxw/Ceav+3Z0S0VCy3ZcgWs3lmumwiKYyB1u0n3oOdnSkLQnU2hp9jgufUb8Fr4WzWhNnmZL
+5vLlPz4ntvyjcAF9tFIKrH2dWOSQqJ4VlYVGffhCGRLN3KthiIdlOagAjy1Y7GYofumswS90bvO
Dj3/rjd4KFQXfYJHGqBb1rgJD1zEPMcK0dO+0TfmmiTWpj4EUEst4rDwY5DYI2S/O+e+sViISgeo
wsuhnAh61yESHLZ/tM7Keuf4G5u1TMXKWKwNxC+gajN376wI9t15dHudhr3pPOj6lEqmw4Wb/Olk
RN9c7Fr3Ld8ISiCRgxjBcFaMXj/4fVVfEKgZtfsWZks4iuAnocWJbc1kNU6nRKcRyWnVx+POD2yu
VYBxbS+HBSsfTeZSqfRdM4p9tXmypRwl0DkHx1gNZULmZ1ZPj+guf9637ptrta6ciYSoxzKR2SfZ
G3TAQrdj56JsTHVEyTz1IPFdRoqnn/Daj73QbbfsPDIbU519z7o1on0JS8XLBKC+5J7zkuO+hQm/
dzPKecDoBUan6CDOz2rUrfwdi+mvEPQHucaWZjQyC3pdCmmWBQ86VDnQYrRT+xC8byFhn9XtRTc4
A/0+CJ1H0P+JoV0HNeEXtLgl4wPe/5vUc5Z00AEDLtlf8FaSOIeoN4rxtR1T3+Qr4aN6Z8bQ04Xv
Rtn+0UOIdCxiBJbhIaCotR+TQVt9FotGvzSEUGd7qUcv5WWY2IZcVj2HCH3go5rw0QOz152CCGrq
hyixGNNA1WuF8EHWTOi2C1d96sLQrodp6SL5yZ6frHiYSezxz1MAnbEyxeMBS6ksfi+egFmhiekv
NC1kEkKuJnYJFBrqoIfseZxK9IX56Gx/DtMM+qlhDNUsNqm19PssdSfTiYVAQpDU9LgkhqCEDUkK
UkC4toPWwwL5iCJVLEogAchUcG3Q/5xdiiiYSblitU1Bo3a5XKEUc6fwLAg5QKsEoq+8UtX6LALe
J/uiELJxmJ0lOm511JcxbXpUfSA8XEfZPtPaMr0iUjkEkmIom7j7WpH2uUrYvnlveV4LkBgrQsyb
6qqcIDxT0WBfcTDaeEno7UcuQAWpDLPM5pWXtRAACPqda7IpEyi/juIWoF1Zh5znth2/xVztC/qi
jZ/kaG9dZOL3pXZ6uEM3GLvoo7nb58qijaNsYuZrCVnzslYtuSGIX8H81/PrLle25XipDg+lLMPS
ly2UUN6rFILlqpPpvHPZN55ylGxGm0jWlxmKyjn0CSF4X+/rNCNbkpcPE6YEMoyl64eqO+CVAqhR
jXhLYl+Ws6V5BZIFqxfhRMZ1Ry0UiiUUJBOPQrF81+JvqV7Q7TaV18x9CaDqmxnIFYXK6L7Jb5le
gzZqGV3Sl42fgUc2T1DAK6KMh9/2zX1jrgsdVwith0MpxmxN86THQxMFqh1QRN/3gY3FmkGKwLc1
AgQ/ILlODD8yxnYGCOHGZofEVHyFRiOqETNEanQQF4Nn/HLf3Dc2a3y0SlPonqOrVoirOFronOOt
kHgfv5+Em/Bm4rIGkamHG5Y6uWpk5H9CTuv2lYLDjdEmFs8WdBPiVZSy7GVFKl0m/pzsPPSbPCSM
hM7Y+XbirKuLyYx1riE4tvPUbC7WQAVWW+TJpedk9LUB2/zr2uluH/OTbElfNITUK2R/hpLGyeJd
thleWfArY+hvsMOf9NWRLfELva1VFYtUlpAyjdTL0LKlL6pEQqfMTL33goazO8+DMs4BUVybFXWG
ZPTUeJT2+3Z/yw9DUzBkmjjiT+PGJi28jkOAomvkIPal0VuCWOxDPDgcz54Jck7VNXQi0XfmRjf7
+1zfliK2+lqhvTaE9GwUMGjhGW5Izluy7Aywgo15x9PaKRniA05DVLtZ9Qe8GPpll+vYssTEDLXF
TK+yHNT5MbI6+gZxvL0T31h2Pa54RhQ6uiVi25MIodIfTvtKAH+1UL4pvXSe59cGCiLlTBY8geUR
QA1mfdq3KBurniEkVgdmkWWlVXrUDdS9Osp2XpVbnphJWC8ldrRkEH783HETfVEerptdc98SxSZO
ZE9k0JWIte6SZb0WY/1p39CbO7jGq2AEbybIcrJhcxUIleY1682+S2xLFYMuJ8MrQFFXRi0ks3I8
CDJeNYmWzT4z3RLGSGb7KJZ+VyZU8mLM0ouWQDh/39JsTFQNsq6rjMkyI425mVRHimTmy+OvRz9H
CT/I0f3N/Xt+exRS/rjfxUpGhPz+VGdH4Qd9f4yR1cl9MdaWQ5biDYc0juq+9HU0D3lDZ7wn1Xp+
1u+7i/3NXdx5bBqXjOFsnp8EmP2nOqh2HvuNyULJYk59hbmjukYPTKGUv2qozv56A87b+N8bgIef
v6/ASBxGrwUr8BgkqnpanDc8y4bu62aCqtb3owsmA+2Hkzj74PRx6CJazoymuxY92nLJBlQX/KqT
AmA4qhL9mD56pGY7F2YTNWs3S6fxSg4YApBwKtB8OL6uIuuXneNv4mYI0lQV3ukV5aqSz6gd3XZJ
8/85O5MmSXEtSv8izABNaAu4e3jMOUTksMFyKgZJIEAgxK/v42/V5f3qVZtvy7JwApB0h3PP9+W2
d3q1ZOkao1uNCUEMrQ4VTOfnZf3jyXib9QaRV2u2RfrWN9XlsdusQsERaE/D2XLT507gv/a3zsOQ
dsu2T7h5wGJRdkoAj4Glym0nFLmWlEm+i8DgN34CmCsJZd9Cj1CAVtqtNxVf4Hrx99vPYDtoEdnq
E6g9gAzVcfw6YJ7v401v9lpVFniLCpcfo7JO6m2472Cp+Zymli3/cvf/qbT8l+3gWljGKUnhvrzg
0+ELMy8jaGvLXavWcToiEVvSI7z0QBwaQYQaHiOApvZHK7rRfEsTQo8LT/ezoFFgOWDFC9wVADNQ
L6ZnMKgHbzW0sDxuqv3nUIUWvvUWZ26xsG77RQylD6vt3H1om/VIqgWuyDs8MEAJMS3dPzcJ5ls+
qItPxWdYqtu5RMIGJk9sJg9mOpSfzx34e3uJfz23TwTG++tNgSS5diWDrhHYdgwkH+oq6Z5XqeRj
2qawzL7tnV5tNAMYdRcnZ3VKt/gPT8cPMqlfb7v01R6DXBOGx9wrUEags9UpPafD/G9GGpf7+2+f
ytUusyyRqfd5UydQbQg5T/OufSkDVA8lWGCyPnPJdXNTdQ1+fX9fVskoGacrU6fIRvwApJ0GwlnX
b7c9p6s9p4FJK3JEok7rAHp6VMHsuwOv539f/PKw/9tzugoNkhgQITUt6sThMv0Jqmr6ksF99scG
H/R/qWz+009cbTpxJUWd2lEd5o0ATN64EQCUfJ1QbD+3HhNt/5JU/8Mrv1bNQZ5QLyvXNbhITqnj
wrYE6rBIH8CyzlJg9G5sO5FrEV3doHZSgQN44n0aQejGv2AjuvEAE1fRfgTDERQCenVK0I4Dzfvo
SPIvG/Q/vIlrEZ0g0HLumMEtVT0Kd5Zghx+HTKLvz+tVxzepC4i4/Pr/lSIyXJu3rYhg0wEjwaWD
ybscwQr83x/sP4SE4mphz0GCMRcAwhKCgfzJhwzYjeS2ZIVcC+nWFqVIsiTNqaUZPdo1mDKT7U15
HBFXCznmNtFa6KpM1vY+rkhOB37jM79axoHEGnggXHrf6aGS49G06U35IbnW0AW4rrWzVFWp2vRB
sOhhBLP6pnd5raGDrPBihAvsse38eN/NszsBovjptotfRfcAWjdrABW5VEk9H8DzoHmQmh5vu/rV
Ko2lmioWR+1JtLN9gOr1y1iH28xhybWGruaijtZ0aU8gt2mYTrv+Lh71bVJUci2ji8KGfoqZ2hOw
ZQBSNhmAg9N8uO25XC3PrYsBbyeDLJ2h7XZMU/9mJ/hx3/jYr07aZpCAw9Belj0g4koPp24abjvE
r6V0odm22tQIpLQDPK5f+rjYNfuXnfcfdq1rJd0Kdf6OCT8sohmsKajGCgDUbtwSr6V0O0x65hX0
S0wtmVD0tR3GC1RN3iZIgyH13zd0aQJmLhSTGLQadjBfdTU9DJtqb5uDJNdquoX3VS9GImGOv6Nn
+wEqgH/ZYP5Tqv0v4c21lo7yPYE5Vd2ckhCR9SFuDUB0UEmGBIQktA9AO9gJoD2rYQeO6povRgcc
GOw4LQcBdpExeFA2qdMfRjAwgKqMtOKmCjy5VuFt0ZjAd8Nd0qXJ1eeWxNlyaGaA9sqb1uK1DK9v
WyDqkkaU29RwbFChW4AeYjwht+Ue1zq8yallXyu7HJahsQeTUV9aSW+qNBN2tdQRsoGnS8xySC6+
X56NmNSm4iZ9NWFXR7EVK4XBPi6+LvBu1jMd80Gnt2n8CLs6jWmzYBp+6ZdD2iW2ICrpclQkft72
Vq/CaWClsjgmlQPCoDEAMEcY4AJw6LYN9lqEV0NrGtOIuMMAZU0+qKl+1oK495vu/VqDR721BOhS
B8Q2uh5U7fWhDey2B3Pt+dVOPhnQiHUHeFQCFms29ZODeXtbGHQtwNtBUhjdAvhr33NdwLkajjC0
us31hNCrmFlLR0BfYvOhFdt0ZJWDv3ikbuuxk2u3LwII3q6Vmw/EmwaKK/cZ49Xbv+yx/3C0XZt9
LX6EZZYI8yGIZM9VrKZCqBtjFXq1TplaeAS80nzYDexagLX5K56a22YJybUEDxxGM1aaAG6M6ZlS
+qYpsB/f1rwn19qvHWMQVbsisBI2/Tkb8sk0AAHdtI6upV+NQUl5AJ3m0MYTKOogRB+qCjK6/331
f0gTr9VfOlFjqgYCHk2l2fraAFBpjoGnejrSyeIU/N8/8w8fzrUSDNCpiiYd/giWZlG5pqwu+g1I
3duuzv8etNimEs5xXL2u+7bMIAMr5BB+33bxq+WqOmwH0DNOB7sBBtiasStnU9128F0rwaSlsTOM
TYdVLUAaNlkKKJ7cbzv5rpVgwSDd2Cc/HVyzazCf1NuedOzGV3q1XEHkofuAWs/BZo0ojN66ApLU
22T/6Or//ZX2IggnssoeIhNNgFICY0RsuM25CRPQf796Rameko7bQ+vGptiZ0UUGm/zbYrFrDdiS
BJScpzo7dl2/f95ju713cf9vvvX/sJSuVWAV8T5ZIFY+sCnBPMol4LBp8m81wn+6+lWuC8INytVB
yiONUDpfo1+D7j/ftJDSq1WqkjSpwM8QR/h8VTpfd6gTXQN4/W2Xv1qniR7IAK67PDJreghwu403
jzzRfXbbWr22+7JzBqjrYOVRzkneyfRexzdGYtfiLxhxjaC44dKG4vi76CH62wSJ5Fr5BRhEWzVi
lMf9Yn2kfEIL2mT+tp03vVqmYE42oLoPtIQL1x04gK8xv81NkFw7fcUMoiJiDC055A9dHz3Svv1w
06fy/0i+YCPUTKSnJdjxJjlRqzF33XizvN12/atyVG+TsdMLQLd0SDZYqNOZ3l9G9f7NT/CyGP9L
pnut5wIzzdLMV/xobDTfuWpdzTOYZhdavBlFda4N+GJPbq/+P5Lr/6Sq/+1Hr5avCGnVr92okbZu
vge/Xrc6teCMYtXpY1NtoNEB6QxcTd6TEWf71gXQ3s+DtrwxRyTWHZidYBKv4dxUIap+EOIhu+tj
SFpVTrqwe58jyLHjo+JJZp/WufIJP28RFSMYmbuuozaPiWwJIOtOWARCA8ery5kEoPOHnRoDTClV
ojVnsivYPZcBCb2oyzCufipUIN32CRZyfgXtWAHxA5vv0AJ1midyiTjNZYA1vLpLrOKwvgcFHKdz
jrkCveAGZzH0bzY1SGQ60WV/GWvwn6dlpGvJIfcl+YInpIp19WkLgvCy8QkxMpn7HwOKtmLJtymJ
E5+zjNfNt76lSv4y9QLQDwY592EyOdy+uvD1ItK7s7sBla+HaRQQqL6dE1UKDE5Whx0tm/QQpdU2
g7+JL00WK/eBmTJddxY/JNnKwclly24wFzYO4Q6UgL4Q3K78qYuXNivjlnhgLwUfEYVlJiszAwPc
fBtrPvbQb3ZDA7KqRL4vClRIAK3GnY39JEDU5QJzI2t7qqhA2Ii9hJvlHm9rAEF6yhDZ5TIBp7tc
TJ9+H53hpQcEWPxa2j2Qo50Gpp73CeDF9wYEPfFMXEVAea+abKlLvWNGhR4lcLNwRNi5WPQTJjQy
vC/bthY3V8e7rJdjDFdjRGMmHnZ1FzjZ/M8xM+1QF8OKYvAZrMFMfk42sc2h0D0FSazOoosNpAYr
1keYYtkh2oKDjljW5RDwLofhnDIU0tIzV33W5IoDN8xV0xcD37yZUE0J0Qxk+wCA4EO8zADGTtij
nvlQL93nbUvrHsTQZUiBZSZs3oqhbmgKl9gm6BJ5TZN9yxzphwe57Uj8GhYv25R761DMz2XGRIoI
yjmAVAvJCOk+JCqb+BEGK2p76FOfoKodO3ir7Wgzu7XG7FYcZu6g5OQwWYv18jMFPTAcp1VQ+0kw
k2RlU82s+4ncJ9NYNIYOK7ixbJif1RLX/DPkWaM5dkFgTAhwzYHd7yxK1WPSeLX/bns9LJiYmaKB
Po9YtM2ht01Iz9Yk3filiUwWp9jeVM1ZLgyV9jl2TiU/KRiZWcirWpr65P26snsgi+nwtfM8sAKe
9zGm0WtPgN4dB8b1r8r5WgGJOKrsJyN8tF8wXb43BbpLOLsw5zGEJ6j65gz/8xDRX0M3rfvZpDaE
z2qPk6SwDVbSr47iM7+rVbo/OwnUewyMa/eSTYvghzhrbfNxVM22v3oMeKQROtHwDcjKixMxP8/e
9f1fCp2b5qHjIwmnYeh0dRpTmUwPyyhFCpA9oem3jKdU/k68qp4xQh7do420/8Joi8lBTa3LGgZB
Ubm1e+bvwZBY9zuYB5GvWrZUllZj0vGDCI3un5O6apOzH9olHKKx6bY7GaaYnwTfVPwl5pWqPjaj
rEHwDS6CJ2IXyxlDNIYD5LfuM5ue5nh38ZlYbvUbwB3V8LIwKZpj3KhBlG7rVuydnmVTc4R+Opme
RrnyXxqeAH1RoWToX5otnrCVNMPmD4CMu6kuY3Sr1gfVweD4WNWLxXhNJNb6c5PNkp6NtZbnroom
/rNpwPgs6n5WrgMbO6ligI4o8Njg7s6gLvs0jko392mS93r39htxEndQsrhOYGe44S7aqJ6nvNui
uT/0F0ueHIZ2u3oePQbTDsxO/nsaB8+BV6t7+HICBcGfEC7VfyosYVGAUZyaggMwPHwJI/iMMDgy
BpZnOVH7Dg6sw5Ts5wA+3VQB+OnEhv1+t34Y8s7hmPZgrKp1/uWXlbB3IDgmHAgKbjXyo8ZVLi/S
umU6AOKITueh96lhOWY/e3bSMpHqsK410SGvE5ftD36ba1QtNmCs5F1cBcSImGRrmvMMylqU71Pb
Rp84U1NaNpQvUTnHayJL4KH37n2Kd9LdrW738rSYIarK0adVeCSA5bzGydy1n1A5SoPKW62dPMI1
vnb3UiGDeQ4oiWVHqlqcd66q2AidN222R9DuO1UM+5S4gtpJRJhbmGZwhzE9t8/JRxcrg2GMnjr3
2m6xSO8GtIy75wFOd+2Yr4ECoANf8XwErj45J0TO7oXNY9T/SNst049ckxnfWN8Y3fwmOtvxJRhY
ts2Hoc7a9Yi/bOsOzCg6v3G1NtX9XLcdOWOIluunZUoB+DpgO9K8BJeJVH92WCXD03xuOnY3D21d
Q9uMCSx8Ixl8lO4bsNrtne0MgWY4hYY4PswW1MN8daFPP+E3s/c1adz2XcM0HjPpMm0GWoywX6yL
CPtTVWyV3T51KXfkLpMWsy7gwUOsatYpA/7cLg5IuWnwGwZIVpEUaChkzStul7GXzYe6vYv6lKJz
1FYqWj4bsw/9PaS7zY6oqN+3Xzg15l7BIzWOkw+XTg2JC9KMYn/aY0nNjJ14D9U56/DqYTTLQTd7
9NiQwWQm4zydY9dId7c5Ltnl5N4aeALUeIzznDuJVR7Dr67eAZ8eWx/CByI3LXNQ0zJ+FNRgf8sV
8d30ErskG3/s02xplwNqu7FzoCTenim+/uZrN29A0OCPJEP1olAO8x8zhYd4v6fdtJU9WRiAuysm
zGs83NSsB78L4WsET27Y8TKnej2uXkXmTSTBmdcVz2y9HzvIQl+6tW3agnbNMH/drEjZN5OKkF1w
wzCqtnhSRNe/e3imxq9wrafyxwDnFfV91KNKkV/BEJEUpks7cWeEmwPitybO+JCP0RJwFOoNxwei
PVjG8oitAiBmgmgHGj0R/YSrfKBFjEO9O+/LqD6LBd/3QcVe86LddtRcjejpF5ZCF1GQkFVdgVyU
ChARB7GcUi0YX3OyxWZ8ts3YYOQ4gX3n0cpOD0/EWA+kLscE1o9uGN12ZElL15ekjyf476LPKj/T
rPfNcdUg5byOaUO+ZjMoL+VMK5QCsjZy/Dn0thLHeOp8+oL+E+k/aiXm/SHp+nHAhkmxNiCLh1At
OymYqE5PldHSbkVGaf0aoHyJCpCuzfpx3v2IgWjMvaa+gI1hpQohk9a+qBk1prwxtR4PJGCuVh8x
opYcsor0fTnFVYo30TY6eaKLvZBc+XwJfjJIK5u6kNnK0tIsY5wsudq38KXLNFyT8t1gavGzxXAb
ea9nPjxO/YKIq2jqLiqSDq5wocDuvubCc+K+pAtsD+5q7i3Oe7HFCNMJBnitywOhkTu3uIX4wzL0
ThQp42OpQrP0J7VhqX9j8eTXYwradQIyyQTLs4S2JCuJhjw4n0myHyUOI+/yiVXd/LxAOiX7wnAj
9KOaq/CShQsAdZ928jBnmYoPGQg2G45RhBzltFNs+16vUX1WvGfuM6jcyfqxn5akQI9kTL8HXfm1
qHxD7xCugZqpMEUzoNKeT1vX3DXOwliDYq4ahy0p9t1Jmw+AIfHSTXF6VyMe+OKNIA81rJRMzoG0
Bp09SXkNz1ab5sNAO36f+Tr8ppj+6Z5SLB1z2rt5l09jlE6vsYfFK1Ig4h5rnqU7YqeETq9rZCHb
dZsoOMbIn9DPwbA24KUEbuQYQ34KU5a+DT6qDyrtuMqN2dzDqrR8qT0c9EuFz7hg2+KLtKnaO0qp
fFx4He7rZNPfQ712nyQB8b2N+QfNJvPGOtnLvI7tDNnJopUa8y1upZ/zGtFuOAag6sIdX9P6nSdg
ZbsuZLLE58wLsy/7duynjt0HyBfpm48y8anWHqqFMnW9iO4qI1av8wpfboYx+dDEv1tXBffGGOch
X1uzZZByJqsPZXvxAzjrsO2wTcmmJFiQdcdxTpHHtGToypqvSXS/JhTT2Bgr9fH91CSVfJ6jbXbH
FXP+8fvOdcoLGejqHhZqWf0dkasZD8ylUXpnW9vSx25bNWCvdb/q3Cd2yt7Jom38MpKF2ANsGkIP
S4KZN+chWqX+FjVgCXcFCy1ry3juGpcvrEUoKt0i2mLSiFF8XpGIEJ0HFpb215YxMj6u27DuPwGl
8giHGpcxfN0aa4vZvMPAUHeAi06VnqZMt92HLUHufxh6SszRCew7JTKaWpzHi/zuMAqTkhcM1XTs
AfpZkpSJ3Jg8Jxib2v5qIcY2L8vsMhsXQdZrcz+PM4l5DkORDO3R/cIc/4DUWKTIgiHZ3B/mWc/Y
F5pe+OTJGizJTwrJqv+mmJJnCt42EmTjxbdkJir6btBgRZq8DQzERRShmwJfB4KlvFpW7O7ztGzl
auop+8Ix0+/eM4+9/es8jzLtSibGCOdV1bNo/cT93m11HqWpILlz1WQKWRGdPs97toW/KMb99e+p
xTTbIeuALfwYdLNJGA6wYXoF45mp7dCvcHc9yTZKh1eOVYYdMSbTmGF7ajaBYmHTY6z5riNx4++I
alRsSrpPCAFyzTmvYQM/IP9AxNeNwMfbSywCjIvzHzo3TbU/SVWr6V3P0bAehy5y8jzPcmF4Y7v0
UzmmeltBZWeYReIN6OzfnVfjerR1bKJCqiV5aMe64sWIRrh7DF1Ha7wS0WIYcEaVvZjsOiIoHTns
ZN6XHS65GJAeq8ehTseTr7bs40jS4BAdsH23L0FrnU9gg+YYCqsXAr5Y1g3H4DMWiho41eW8kxkJ
WiMXkc/OD5HN3eL8/EEkXjR/rUCbZIddxXFTcn85V/N6BmPirkKY/djCmgtfHUkMua868FkfbB2G
LzLDQyiJczTRedxC8vA+672LEKWGODptO77rE+KARNw7HAHdD+9Je0IKkMhvAyzORVMwWcftR7uy
poEldGJ4u+T4yBgpMuyqAdlchMG5XTRJ+5x1Pt6LCQv+TSXMHHTV8h5LrVruhxgVjCfUKwh7zfqN
q3u/TvInKjFfEXq4lAOpwiEBH8CIST/2aV19h59F15a1wabYdpN6ci5GZLbDYMSftciawu4BwBGM
dcR3rZiIfhodmfXTVC3zw2Lt0P0AINr9iUY1z+W2RHiNdBPvaqGX5o7KcLZv1L9zxBKurPcRsTp0
TW7LtRfmiGFlyfPO+hqxAVqVK2B32YZ6LXbCGfUd1z17TJmAwJhdKj0Y/J7eFYKxPGVQoJ9RSpfz
IxmzMXolAiI+iIJEX6/nlde103gpS4hnTHRXXXvYYpJ14tBlvP1Qj2DDHxJMr4x/bWuq1iJqULn6
Dq8G0HAnls300DdpSPFptumnqUU+cgp9N+dphw3U5usygWJXp0vzK2NmTt+JX5q1CGZOkO0Iqtct
79ZMR9/aNql+ZpfQ5C7bMGX+Frj945R2FOGuHBMEs4aq5U6CCZIVkk/mz8CwZPMMyI4CWJCYHrSk
2X+Kf4rseAghO8DfsqJIZQBVP26p8OKrrSOJ+eNWVqgMRtLAGWm2sCgoEZQYf8/4MPzSeiMJ9jna
dP07nNpkV6RT48ld52j4jdS53h8mnVZ/TKN3ycD/Dmv6aBpPx7eoijn7kwCZwX4jtWxQGelq9iiH
SWHviJtQpHUy+tdJVsJirgO9JVrzOn5tI85RzUboET8wD0PRo1wnnpab22NyWPk6r7k2y/YJnsgJ
/WInuX6IIjp/ySqRvEH74fbTUGEI6C4akBhv2mzrgdMMhr57t9oveObqoU8UZG28A4AbHid0OA+N
lGPBbG98bqNKfcWk7paPDMNb1lLPH6bNRq+C++2Jy73JjkMF64WDZmE7jcBKnBKr4zMFkxl7Xk/m
90bWLLzYesD08LrC7ydn41K5T36Bxet3GIggOZuDp81XlIaJyPka8BxS33XYFiRJyICIQ2D+OIvd
W7NxBIkEpYS6RpTRsQj2sGKPygkyeHZgWY26iQdeHZwSMe3tKbWxfYf9eqc+ptmAIfANBIaPLW4k
J+2a2KXAth2czyfUxsiLVY2gBbG4nbdhqPxw7Maqa4qUCut/XrSu56HXxjxsQuwav6Gi+aNKqNcv
pBYeAVtoyTHLbDTcQUIp/AeUovsDtom+P06MdXOZNqtOIJcDGPYw+BibCPwx7vEuUI6oLBss0m0P
0fIagvs4R023Fj1bEn0fRavZT7Af239HDNikXAMN+VDvw4blU2V4HMrHByXpUoyj8/dkSBBwNm3/
EGzDPkK9PGJCAP6OqHPAqIFQUX2NdsjJjxkmZMIb6kzbioNojpPfLpvqVICBo3aUB2a92P7co0PR
fm/2cTYF3hQG3jPVIDLHjqlXUzRjZeFfDvMi+QSLtEwU0nO7nLeBjtlJgAEONGq18qzNIwbbw6OX
5LIIo26ta9AVR2RM2HxU2e2z9GeHoQyZp8PmNJYx+l1/Fpyd1dlOLq7LFY7aMZSYJqXJ+0ARoZWr
l1NTCLpyzPo4HtR7y2FTU8bwm2+/ahQ0aG76pWne4m3H7lFHEU/uuUgMK4xMdVoOqIatxdCvKG3l
GILa6rLDcGH8Qu04ZR8ABGnXPMAF2h6WULEhD+lOEcFIm7hf0QSqQs4w6iE/gGWzilMTrBe/OP4o
/2VGgMof2ZxoUVAtVPqqax/DNNkiKWja2ZiPAQP86ph2c2xCzjBsv6KA2fR7jUTdoeSAj3pDUAhG
ezUCrC3n6qkZ4nY/JzTe+idpUafNuSUefum2mf7EjLTNc7pXPXRJVaz6uyVbo/QVc5OCY01NZPfo
//TBHsFv9NMRSjdrCnRV2PKz92aOAEjcXXaONMopX2NtLm+II/Epk0naDsOoSMDM84L6oSowX+Hm
JYcXS5I+xDxlSC6Zi/q7FjqL9adPg5zLivPKnTz2a19OzFp10IRkY5mCSONUPk4mNEdkg1o+VBT2
axBf6gseDLS0oeyaVm73lYtFVmBOpJashBNDjAXVVgb9bLRCh/qerxvZEbM4S+9QJBjQrR8R2+Wo
wyYqx8Do3pUjPgN9pNuSjH9Ey5SOkDsk1BHwbmFi8pdVRmOeS6FD5nCYGsSJtIj0JE88tWnYzirJ
SPYOz2jjHj1S+83iD29pRxGDbGR4YaLV25cIf42M8iZxZFiOFzdrJKRrtq/0eblk0A9VNKgNwRf0
sjCYClVdvwSTzEhWpoVwLHCqULMSBXotDNlqPBvZ/2oDsmto+4Iw8Z/JrdGIYEAwJEyDw2zjClrN
MN3PcliyF4bNo0aomHX7b9WgG/G96/ygjrSmfeTxdC3pwWLmU/uBItzHWk6loOxoERqNfxpLmc9y
l0i4NXtBl+xzgvpcC/wL6v/up5zoot5ttAzR61Cj4fNhvSSqcCwImU4LsY7wNcbYnJ30uTHoe+Ej
oZYcJ4HEhx/AUVzGB0wA1swXO3pIAzLddhKtKGPGXfbgLTpJj4iuM/6IsIjOn3rdqele1MQP52gB
mP07ieMqLvglZjsug4mWXIvUR49DDHeqD9EyLy32ONjQFxKRcX8Ii8mm53Z2GHQxLBbr511D0lhk
8YwmT0t0D4uZqY7cr4zPtvpM/IzNvwffoFv3+2gHvhshK3wN9dnbmgTEU0BcF4nY3HIXhl6SuwlV
dn/Siu/xO6qKjN23Cp3AwsYGAoAD5onjKSvxbe6obV0qatFxnNJ0KQg3XZRjzT1xOweKXiODPcYx
TiCtHo9tlKDfw3u0eEKugVjL8jBulpVTIxi9c9si9ztLtyjuYemW+kWipleDlTYsMukeWTLN8zub
4ar+R9R0MY8IbFtx1KxZ5Cfv0ZopdZ11NaYTIUh7bfte84eq1r365DM8mIeQZmq+jxcgdZ5W3GsK
onnY2Wu3CFPfb90k1RsSvbZai3hBtDyW3ZAZlK0pPNrauFiwmG1UwPuDB1uiDygyeVSQA14sjMU3
OBjGc1JICQNMczBoBc3LGQHYhAfrRGenV5zTPQrPEOOglYbYTYZPBI8dw1WSNWp/Q/ek2o4rVvJR
7rt4RBLNo4c0qiQCOx7DvS69tPGy9BR3nNuT6sTIHnc9YPI6ScPgvvl2kTCtUAusQ46utlto8sRz
JtDjTCG6isc5WwuOwsb83aywrH8dYLswp8eL1WuCmsbGAHfPpl2uXSGN96oMZroQ5dzMn9lU0f5M
Mcnr78beLqSs12D7x3SGTw1KpDH6rUOYxHJsUcRP8mhOkuiIHqVrS53VEmmnHWeLCImYlvzYBCjy
D9Ved9tHWDJQh9p7U037b9IzUv+0aoj1OSYYdTzHqPqOT3ANmNxnDUtqxDY9o9tjQqM5/BVG1tnH
EOpoRoFvS7NilwhHctSXF/RW2nmG2G909GmJzewLFwAOPU+4ha5c9jRVBbTxHD1zSi/y2jU7Siib
n/UKMvBb7FU9P01uT/p7AezdfnnbosKsg3QBZPhZ0O4nynwRKTuWRXaGWSvymWLu8bWbAyLr/0Pd
mTXHbaRd+q84fDFXHzQAEolEznzuiEHtXIoUSYmkbhDchH3f8evnKcrdbelr29OOuZgJO+SQSZZK
VShk5jnPOW/KAsmN9HTMH5tqvNJGM4jVbBhWw4fFqxviEpU8vYK6Qq5iJ9FIfdWqITOoG4hV/Nqf
1sdX1VOfQJZchoe61LPlm9zvslvRNHbHZy+Ued35ldeSqkZiYlCUiszYXAtbGuA1IqyDox2pbtxy
G6ULcciKeHjrkqmaLspF5fK+mXrX4fBSJ/3ZPKtluvdUXg1Xpw5HsW/zPvBzym5qn91oeBLLq2lg
zcXAvPbmWauzNiJpcMQoyQm8szdekLbqFNVKMrjSkd0TwdXa8wkW2eNmcqsU1a6poxswCYsd0cBQ
5psEspF1kRkbdDfqwQv0Z1WZGtK8MPGzhl0RNHXZ+TF5P8cvPTgCscL7bvo3hKQQ8RbBxuyeUCuW
2PDdju1r4kvush0aYlaS9vApqefcuZ2IhzIcqJgcN3okYT33jd+PDLGpd/nQyThZjTX94exDTXeS
1roRESjH+j/apqOe15DeDqdKdCsTIqj1Da+rgxVFyeKT4KeN82GMwuqgo5P2G3L8nqrTPdMJrkq7
bTaoBUsPZG0ExuE/gn4yp7l1sj1F3dO0Nt2k7P1ljuQVhlXRr92A8PdfI5h+bBZyZ6fIy6LNNqZ+
SJw7d9j+NQboBNj9NhmZiQG7hscV8Y2HaBHLvxih+bFOqKStUQexUluWSRMRSQ/mZcvduv2TDO/v
FFZhGXz/1JHC7A4iDWfC4PNXR2XcneejUdKB2DYVgpM9JIwFULq2r6cW6ZYDVmKYq9KYeJ/++OU7
UUX/ijb6ASwLsWim2GjUtmSaabaOCbVcAg/WK/Zr2I94cd6fNA38Hkz1Awva1C2XmhDulkKAWt12
cxn06ypkn7seWZloJ6X+IWNXOs3Fn7zCvwNZ/thOlMCHsZrYcut6zOToqJ3Z1GjNf/IX+r1H/4E+
q5jo16pIS8iR/DltrM+jVwV/gov/3mP/gIeyTa/zKgzkdmbshx818yHuM/EXH/wHwqyzrK4oe1du
0aA3GKmxH1goj398Qf3eM/8BDw2mIe6kjt1taBota/oQ+FbE6v/XHv30p/7m026nlYAO4nWxl5xu
3k4zZXIpb//4wX/nCv2xmshtrHyspoTLJVLafm3RlMaV6c42c4U8O6/8qofG3hNyktVfGs8nfqwp
irxwVHS2yC3jUOW9UzftMbGQV//4L/R+c/0Xn+4fS4pUMgtkodDZ5p6OUKB1MY+YK/zzNlud+9lh
583/KRyrcHdxldwlS3xncaXJfdDGfcRZJYw2TGd8nQbB6Ga/U2zJvj27//4y/Y/wrbz+9jzav/0n
v38pKw77YdT98Nu/3ZU5//7n6Wf+8T3f/8Tfdm/l8Sl/a3/8pu9+hsf99c9dP3VP3/1mw768mz/2
b81889b2Wff++DzD03f+n37xp7f3R7mbq7dffn56zeNizaGniV+6n3/90uH1l58t+d6R84+Rsqc/
4dcvn/4Kv/x89pTn/U//7Smv/udP509tlMfNv/j5t6e2++Vn5X5QqKoMzhOW48j3ZWJ8e/+K+EDd
DD2tynT5j3vqbimYgBr98rOQHwBEpOUpobhW9SkG3pb9+5fsD7ZybU4/FggCUqj1899fie/eq3++
dz8VfX5dxkXX/vKz8x5t/i/XlslZ6fuPYmH3odX37bKjtsH0DQOGFFCOgpaoj4dj5aRuudFBQC2F
ZYzR4vetk25Mo67P52kIDmUY1tuZM9iR5TVam/Ok1lnUT/tMlPnG6IIwB5igvZrSCcyCoMV+HAPR
wr52M0AaLlXWRvP9ROPCTnURcEptRvsyb+orq7fT+7AJGgDSMtrlVP+sRlzUcx1qfSiWUSBink5L
RdSc5fHA3gw+5MnTjXsOoadiQDWW+3VbCrn2QN12aZ7mHJGwJstqdElNhSK5LesC7UN5lncBI2Ik
K/Sv7i1UbIZXWGr2XVcY5U031/F8XsNynp9s4ovKnoxt4JXBbo6cVydZlpXruVPvGwVAT5na6biC
FnCASt3gJZPpcCogsM9rtOc1DO3yaKRDsmHhFntAf4neEs13faqVed6GLTCHzqK23Jh9jt5hubnE
oXF6P7Kz3i+NMTiXiaqeCQoOVNtWBpVFhrVKulqsdWs2b2VSpPdKztV9GOt+bzqV/aCiFO/bRF07
i3N4PWqx+m5VdXHz0os+OHF5rr2LFJ6/T3e5PIwMBSvxLmLjzjByNV0i+AX8XJ/pr7O1LPtsWqCK
4sxozl0zZBZfFafSt6mRAaeCIInNzFwHS8KjABNW4aoXDcekZjL2xSLsTbS41nrJaFyKTt8p3BOs
Re+KfePaff61HnkX1nYjqs9p7Ew417quwk+tGFmKcpTNxV/cFuQoYwxYg2DkhVe5q4Cl8jq6lnZO
4qNqmAZcVvAHvGxNOa/qPpqvgzCY8FWTbOPwkPZ1w1N86hNEsY00OnNdcCxsfOgv7FADHTxYVAap
zZ9yiOhJIntkBV/nCvDQR5eS2QaESsNycKlEm2Cs7RvltsGTNvsUXCow+GWybLJ6sUzWkZ61uxW1
VVwEcdeuTVU2H0ubFBn594opif1SYbHYS3wTO1n4VdZVBIRVVpvZjudqJUurwOxuEAf8alzwLrSX
9f0+8QzzNZDG/LREi/UJn8CT69KwxFdTjx4faep+6/VAtS3ql/DMkwmAzAOdB+x0mQ+FJ9ZZ6lQc
4jMs3PU0IK1omQ/B1jaU51xH8VLFa2doQrSkU2KE7S6S8ibzGnlL/DsdiR0ZVNl2EoZxk1i1l/n2
1JtvnMARrbrYMv0OJByTNyzUabZqIM/Q05ixZGUngnCaXmxzcA6zVcoXp1iyvWlm3c0Uyupi6sN0
vVi1c82Loh1Wc6JCCOjhkyOY9Jy7TXqoZiTWxu4F7Lzb6SuVavs2q1r65cUS2SBS48D7NAVZBze0
jOX6t7r22Cw4apER3mq76iHEK/3W2CUw+dRhu2sVR8/xkozPYZAMW7cO5uNShSNyUWucdViN14mW
svNDEGA4SWt2vnwTxjsl8sLPF7O8yHiT1mNehl94kHyfRDSNcSZ2VqOjv6RFWm0y+rUuFo7YDOfB
1YnxAy+6WcgvnhOqhP4FFBvVJuDdXdDHG6YwL6s4qnAjiTfF82qwpTwwgwdbRcRVtvbU6V3rlB1c
4MlMAOCxt4ma3Kw2E01wv+ryjUGRBiK0aqsNr475JCtHf3JFjw6BPX9TLtnHuSjGFaMrMTLhtbZo
A3PhT8w9vXPloM/zKptWoePEL6UdOWe9XOaNOfTmTjhTdhgSEW8kVsBKLGW6t2Pi2ehv40bW9Qi5
qRrwHu7pxZyqNYKLceaGk/OYhS20aBwxmE+OQhNLyOKjwX3vMjdd60ozhH4dyWBYm2XT3kju89d1
OATroim9aTX0ab1zQZGu3d5J7ywcpTeLaR6RP9OOtuk9W58v+ZTsTW3GoP9y3BVOaJxVOpJ7Z7Sh
HYB/J8pAxjy5RCYZ040lxuUZ27RltkQe3+SYVIdx6j7qpdScfBI+s74m8fTIuq3PMTrbzJdydj+S
bWv9oQ3HmrJPMz/z4PSKKyfoSLxNZfQ1gU+96RMR3NnVKR9imKN+Dsc2WRlt44A/283TmOfufY/p
vp7MBV03nnNApA5vmyZm4AFXOZYfD6P6mE9CXWTN4q4zvI6LoTGco1tH1A05iRWchSFW70Jl7UHb
cbwNo0UcOuNkRkmr67bKSLIbqdqcznFahE6U3j9MFTpcnwxPIPl1wOTIijBuq0RM00UUJ1hLc2D4
s+k5F2i8wyNoS7I1HbNfLaxiu0Hn5FcwQTgRxQHknWU5xVmdiuq4eC6T3BYOym9iKItj5HH7RWYt
9cqEaPDr3mtfgsUrAZILG5SyNs4Wb+nfco9bcmm1w20TsgxhpNM4JlTonYV1mALeaqfxC22HVyFU
JC5P1sTbWgJKhAx7PfTI66wGlerP4XWs8yE3aUQzzH5XiSTeIUZzp8MBiSHvwvQClGTCR4oYPMLc
3DPO1jWvZld/CsaioS6vsiG852CfTmV7M8pm2Rp40ndtokkMD9jmZFVYr9minnuGe4xMqzi0g4FH
vSDY+ypx1QXBivD5/fjwf3uDfhm/EOwov3b/P+zQTRJA7mkE4O9v0v9X0xdPL9FT9tN18/T61kbf
bdH/8QDfdulafXAsaWvTQ9m0yI0gpHzbpWvrg3Q047qlZTGL51Td9esm3dYfHGB2vtu2wZGVzUH0
10267X5wpYlexcMpV7j0Wv0bm/RvUtI/N+mn8wOjwKXrOMK2SbhYP8g8dcjkmxgH/QAWHyb7fmnT
K4X42K0pXuxmf5r6LNnnLCC9rwh4oXR6RV+vSxXZB8Nzko1r2c1hiQrpXlpmynZ1mGJ+bUUbPy5x
pWs/hBNrNkbehGdLSTSqkI0N2zKaIjyWUubQ3M5cPbqZGRXr0ooLNi2FFbp+Guatt2F2ifrcjhxW
rQ4t1feqYUMcwW54Ks4zWFCabgJKm9E84VezNTiRt6wg+Ef6E/sk3k8lUZWVPeHi7Gt8lR3w9yB8
YygG71rYNUqEU6F1r2ZphZcFR66PDBxhFwMiphwfZq8iMmPU7Wlwc25+jWJST5s69HS3dhzDuaED
1aEDNcjDh9rJ7H5Hzef8Ilyju67Ir6zbCYN05UEX9b5onOEpwqY6yBOv4+eVGz86htvucTM8uldK
0/w4jS7VibntHk6SjE9SkoFDXsLIEl9YYwDRZ88P1hgyU6RY7KDzbRNx0PZUn7AUNqmL/5rQslO1
SlzaHHMux2kxzkWeqV29OPFyFDFRvVvCbSDcjTPX4dbRldD3Q1fUB/JvrQUkQL3UailOiBs1VkaZ
+RmuZHzAkpTmlXd6XdINIytavU0YWujdcewyM5JqDeygW1UPNijipp2H04sVHTiEsr8oqnHDwzjn
Qjv13kth86+siZFs8ODRYF1xSgoH38AYWCUjlVlWUNS+05vTTRebXxkyOG8KPIzV2NqcFY0eYKoK
CO3Xlr0FBWOvMgfLUatTfFDE0p8Xp9vGqcW2IpQT0RQgaGct4O5uBz1hOhpo+Ugt+szI2JiAn962
iRceRTbc29ysVyDJFw3Xx8rT8tXK80MxNCzOYbEzOCPsZKvt1VSAdYmlKy5DphngmSvnJmffegCu
SVnHWL6zGmgjd3LL12V11rv1RRQaDic8J/WXwLt0LLO9xJiEOh/y+iJjViDvqhO9Uv2eMcykyO/R
z4rjIFK57wesSwysGb4qYloWO4Cr1KvURhCnuVGNUzJriXiik8pls3AAJD8UmcGnMJtu066qfdD1
8DD3VEDVSjVnBESFH2sqs9QkMO/L5Lm0EnELBJ9uQzg28C87OFVUOBunoMTHcrTlD4FexVbXX9aZ
uwC8RfQ3JbPs77Kouh6qZjewoRghAinLaMBwr4Ioa1ds4ZgOImOxPiFQpbR3Q92wwg83jnniFpVx
WxTVW9/H14SlO446FlhD13UrqDd11XV8yogS9qctmuXXU1o8OBAj3IzEnYNNKCg69WUevGY0C1p9
oa+NZcHZT2Ku9LI6rwg1nkxI/H9tlCdK86sqoI/zyFzVkNrHUxESZ810MZA/Q3/JMO1QXBkPKwAb
BNN3tiSu24skMpRftOBlOSTJalQq9rNZLg8Gz5vqgWDZRJnDUEyRjJdelNomNTNQu7K8dbsgOctk
DtJjZqD1Y6M2njM5m1RMxcemjeF+FHlBesuWI5VjZADnfJJ7jojCTwdjwIJJbDItjlNgFGa1Mfgk
CebPcdJB0YhgPGrNvt/FDt6w75Qv9IB+rWoh1mbP3mJyA7GNrFFvOlD+FaGg/Frq2fXhM+yzKRPp
c1nBMZkSlhbUXRbXzokSAlzx9lwJ3Ak7w2w3cq69+5Fd0CtnhfHP+rbd99qp71YnjDCKhuEGTIAw
/WM7R1lix3GciQ6eTenaOrDGE9Ifl/NVW+Ti01h2Dve4Mk7XGJFL7hfNUNwVtTFvKK6xXnsGpiUX
M1P2rE0Kmbs3bDcwfVh0t1uVHmNNfJghVZHEDbx6QwlgbgJ4WtFBgjWMVxPMXYPysowwiiK9mZVZ
wIyTJRzkeUW68HJZ+vQ68iJuUXUVMJstEThwjEFunw1hGy7ckXt/2m+uhoL0s68YdSR9s+bRAUTd
8VIHaXsYRzXTJ5cU50toTNssQhhgEtC0h9PTZ5pefPIgzEmCk2AvrAPOjYlRAQbjyDZMfuE5DoQE
OvYhaGoy2aqJdavzqOssnaVauaNe5r3ncobM/YHAVrZTlu0C6gO/7QH1ZH6hHI5w6Fz4vf1gvHlK
zWdtS09wFpY1mK9jGjdpSmPHVHbyKoftu25FFN7W48yY6ibdEg/GVy2WPvGHxCqvcg0H5vUG1Ezn
yvvCqMR6AE5adVldbaOuwN43525T4VduRejdRtIj+yy/QCufD7p7Kjtr10dEHwmrOscqeR6G5kYb
iGqlFVkIaUuDBpe0N5HJ0BYktm3GfmNV9GbNfQUrc18Qtn6yamlv8ozteK+GMwiqG1iO+BgFeeRr
2IlrYlJ75QTywLKSrszOzT43qioDvyUUcFhU7xITqNphg+9ikFlpiodkntBY7Op5GiO5ahoSenLR
xd7i2ryqVW0xNVK+KDi6GxLgzVeY3P7YImGEbNyj1oCmlhTyer0FZ14MoS5es9mpHjLHxcAjQKUd
hiwM8lgt1WBzU5ZyutfLZOFBc8h+mm03fewCCmBuUYLsguenqGwjg1I/WiKMjl7ViWMcFe7ziIPt
pxDnguYlYTwPUdrGZHOGcVVYndxxKInXKlLDys4T91YIUB3ofmAXW+e3NiVB0UaF6bKTGQpZVvfy
knmFzWUPBkMkJy7CLzL3whvTAWjIEu43nL1Z5/sxXGPfxxvXNby7mpyzT2jIfWJXmyqWkym09iP6
wFnMmcvm3bQi02fkS3ozFvU4rkA+OdybTQrpkmY5TVH0F40UX3H11NsUxWAdcseq/AmFpV6RMgqP
eRdqXk5CFz68wLJBO6tv5jLJ71lanLe+dPs9W6/O5hZJIFFUNQfWNLGJxHl9sa9mzkhnE/HFaTMy
V+GzK5P0Mp1TcSwdMl5hovUDhZvWXZw7J8goCG8WI2XLI8ymuH2PuSFh8u7WMUvT4tDy63rjcB7V
jgQQ9Fp1EaXZUKwaXVOBGJTtxm7sR5iVmCkg1pj45pwmjxkc0cMcjF+HqsfVtaxh2FtmsbXJg3DH
kjQIpcS5vjRibiI/mPo68gmN5U+tGQ234MLOQzBRN8A7SmEgwQFwQAAFUtBUY4ovS1qji4rEeCRf
mtxAhesn4kTTneVMxUXiCsF8n8IGWGEXjmSRmAOaJlMnw28JvFgs7gtoRrIHVetItaHYThvZpz3r
KmnRceVM3fzF9BrjOJpMevAZCckgRprT03NyJTVJNzWuzcUeXulsX2I+c613/y26h8hhiHPEbsb1
xrYZPtggEAFY50QvYWU0DblnFotHr2nyWzl66QF8SgB41+Hqt/k+ggxwLihz7Rk3vbbHRximbF0G
DElFOB3tL52q5nRPJCB6npPSDlZ5kA2XFUkfv7YDtN9vUUCPPbZJH0WIO8HtZQsOql4xsiyEVrcn
C2s36U4Je/ncNRF1HFZntXsZTsanopXRdQdg9lxOVnd7YqP96XRJcnhKGRzXEPwZV3lJeyHBKa6R
FSLoSaarLPopLeII6ZST9ey6MM9875Q4xEAlzkO04wqtlJu9MiOHu/iSGV+73ikSlGNbZz7EsTwu
eK0cF8AgLuul6B+XSAg0Jsz2LZd8/TZ3YXr4llQkrhA+FGR34MciFR6An5yvNkz3+ltuMe/iwlrX
1OVtAmNIB79J0vozgyWXcWUUE9EPw0RCYREdNzr1gLw6gzr4dRotHXW9ib5KAGdueH2K49hZ7DqZ
8/z4X2KQU1xXjzltDLWfewS+V4ERy41FUu7QOMa4E5QejGBN0kpW+Ddcj0k1lVeOU8VXfWyH+9og
VAPEAh7UgHi2KwqgiT+IJO3sVRRTmIGG1+nPONs0BchSfbIMa37mHCOIok+x4/h1MbvUWgRxc2zm
abZWcaen67kZH2zTvB2Mrr7Lh7qON0xEI+kPgFheD+kU7YfFlk/uYii+NGfdMQ7t6VBLxL1qstuH
vhbt1yk0vXyN+O/dluaU3zI1Nvw8jxkrUTpQmpE3eTSsFtIu52FhFemWjbBxGZYaUqGvjOLwLd0Z
i+hTA5V9BqTVNWd0w5rJjv4U8qdh441HtMjm6j38mUX1ckM+FY5aOe1BuYP3qJgAeNuw3ZrW1mQE
B45KbrgFs80OqMR5s+1oylkvPVcnhgFhXEY/ZDMfIISPFV0K886sR/E0zEVzgJwtj6aVTv6o1Zz7
TsOocM6TFTuwqG3a0Ne1MV0bzZhj6cjxRTH9/DWsMmP2iavmzTruh9OOlfvEE8dZUjf/jKAOhWEj
QMhRsS1K5s/hmGSWz0uMt6/hpTlLV9HISPIhZftb88EmWzUsYo2xUB+IQHd3jswSa+0EyGaQiqII
d6Exzj76YH3pGc7EoEWX1hivnx6qksL2q5zMKNcwcAKmfmzOAouN+1HdTYSrq7RhF0CosYyZienM
7C8YxOlnml0RiQC7BDWqALHNjDbgqu7Cl99JvOaN15y3SVabvhiDeT77Fn71FMD9hszI/KXSbNuI
aDFQvNb1m0xH72ASCboHaY8+62LoSWPa5rgbTcM6lLDWO4iu/jAXBGMXo+i/ptY4cyIWTpLQmVcg
o59Yy/VsBe22g5HdsSTVa50C7g3U0awxTjnmh4gp5J0VTgkOSu+7upJ3i7ayTWFziAy1e6awRbcE
3MSmaPVyO0yzecxQZ9a2QZ2PDtqJkr4pKW9aVwcv7/HaWDb1bQZSxprdtj1gcWdwXuwgsxZEqW07
Rdm9o43hiFc03ZWVKg4cHduE3WxpXsVq9NaaqPZlm5nybOADfzd3bP0bI5v3oZriFSVCxdfSU8WV
tBt5x2XPTjhxzqy4FYfJCrqHsBuc89y1lnO1WNM+kqI/9GGEhUIlzM5OwQiVZKqv23wc1VSfJ2Ho
XEQMntozs8t9NMkqPwcCLZozEGRP7DS4kFZ6UfVFfN2StkamIudN8CD0IYvATwI7/OoRewkmI9s7
ks7eJhM79nYj0WUSwfgvzUVXdY96YDQdsTVijJFuNlFZp3QoYigwBPRec8O6LKJqPGB0vFhKBSe1
It2IhsBAJyT7Abs/e08PuyTNzgMvgWgqSP6/R4gTMRZ4rPgw7zliVoeWegmn23cYN2uj85Itfx8m
tMeOWJd6p8s/7cn7AWNDY4REgBt3IAqor7Nc8T0QYHD7LUZuJAebYdhsO0+7NLyk8FiNhcN8aC4h
wuoER+BoRLVN514dxlwEfzbT1hLfw2ynZ6JIbsmTtsp/8CO/fyZNH9RTDlt+mBt3lwxt9xxprJeP
1eDo9sqjPsW9plRViU225OPNMJec/xjG3Vkb8mflJnKGz+NkS3Qy4J9wm9OSQJI+gnV9cuWiqOpp
DXlfd3Z2rXXAK++K7MGrjQVZ4iTI4RVaz4pJQ8XK5tR4j/xhbCc6h27tYTRemihg49174SdlCpKh
UR3GD10sHJ9bnHOJoYQo4A3mPWkiLpQ4mj7WpZt4a5RYvZlJYp87UQdQP5dUOg0ivBpL5uoQPupu
lMrnc2OaxCWgP8thIbOtmLIHIj3mx84OzzAqvJV9Ei3pfZxfqnclc6ADA6nUSO1og+Qqb6p32TN8
l0CVtM2v1bswaju1elWe611PVKvcLOFi3bvCrGuI25MLiA0LpNDJ3l6HFITsodamTzoSXKfZ++7e
et/p6/dd//R+AoiHdH6RRUNbgDl4V8n7OcHqSrEPJla07pRVxpI5HSdQk9yneIlxxVJNwCawP4UE
uw8VCC4RLV74dIH6NRJdKt84nVmG9+ML2dfmMj+daZgPOqzIzy67IJq6aOMtrM9JOWs/ARJhKBFn
I2o2h1UUjfG6qbCd7Jp5Q8lJEaWZipNV9n7Imk7nreR08tKnM5h9Oo3NBvI2EApHNLQcjmt4gfZy
68o2faQAo3qSajF7CIFOTPeZW/MiyTKTx27hfLkbHRctHCG9emiCyi1eDeqm4k1E0ONrJ/qyvv6N
mfEryfNbcsd+F/2/k12UqXAlbEmJkgPB9gPA2BduAtXFchKz17qsgFAvypH8QctgnEORm96h9hoQ
uKAvgw0h7SsvK4OLaCrjktqDcTpzu7BGTVuMcI0CUFRgDul4w6mnLNYOOulDkw/VgGUn6ltnJGxb
2WR9wjmmAElNV3kWXI3ZCIWQj9ZwYXmAHxgKU/BSGJ3YunHlHtyoTj/aJLqR9N3kTLjWbSWiq8IO
rnU2WRchtUkowMGWqTu3fMbF0cyXSw5meuUaDtiuik2JqSiXniW79tx9FNcS8sVlg8raYe6HSmXX
rpuY1wT/BmdTOjK8s5Rb7Khl0Jtw6o3Qp/NyRHubU2ovgrq+9pp22rbsZDrweqYf+9xX9bCRU5ae
LeSM6hV1JHRa5251Qujb+rRh7tlIyu7a1kP7eQnHYF0KQoqOhLvV9TQA62QqeIxwFR4nOefFCrO/
2QZdyuiUvDboo6IMDs8i6baJmsN94Uk+co47uvz9Gnfy5zwZXvNAa5av3gx2nITp6Z1aPYOO2Awn
91U/6L1rNsHHYNDRc245wa5TYUzVcWHcTCgjKAWxR7WDHM6yxKOwwoytI9LiwlXJpjNL9HSeQjp8
0UVGng8FZ2UZpK7TOKGRkBKF+pM5B3wCQkEsfuzQzHByoq3b9yxpi6SnSNXd42Bb8Z0REWSuk7zY
B+ZiRnTK1dyapjH5uLQdjSG5I84ld6mVoxSBHLyGzcigoGty6cknwPyUu2iECQ3dEzhnsTCdbJN3
bnAx4y7vqBY0+VzrRFxUeXmr9VhRE4NAQdaNlWiJWuejSyD2clzI+CLvmEQNElF03nWRMsvMhwVt
dta7n2SRE1pWwbvPhLc+fmxQdcnLVScnKmjppfAx1JN0w/SiZ+vdtdL4V/a7k9VSxL/t7VF9JnqF
08WAI0NSd0jZHYa7CIs1d7fqMUTdi/fCca0QOKSyzM1pHXt1+nFqOH3bXs1GALctKYcRfKeZ+JWT
gXAv47FvDg0dABvGKVuH2q47aJ3a4XBNugmpqdNJmkD5uO2MU9LXpJ9iqzwXvaCNpH7XdKeTvJtK
66H2Kkl6LbxLdfwQN6cPiJ3gDKn4rA6W5TANWtEyWfanZ91SyGNa5xMQyYZWBrmvmJvx9Mc3qhMx
/P1tymJjwU3KMV1iy479/WpuosynSKLqQCD6GOqrOm0uquHjv+9x/66B/R2V+q9R1f8HKVTbcjCU
/8Dfbtun/Lee9rcf+NXPdj+YlrA1zrHjuuodIP3mZ3v6g5Kax8ZNNp1vaOnfDW31QbsK+1u5/DBh
TjZmfze0nQ8Wt2ntuYQqpTg50P+GoY25/N1FwTbHNDG0LQu2FS5F/BgnKSMs4sho2SREC8SUORmR
tenxTZKdWfbM5PDAjq49CJSIbJxAch7CuVOcRhJiUlGnBmp+MCSa9YIAvS08c5G+yGVf7iejD+Jd
OaMsQ4TyIWaTecKlaZMxCj4FnDb7zA97j8IBPcQHt6CBRRbttRMX9kdKi91jaM8U8dhGcTHZOj60
MIOXve3cek7VrngFOVxXVrMuS7u7xO3akt1aJw5zk6UrzhQWtar6fk2lOGzoPBS+3ZEsWBqv3Cpu
bWvqG+yNkP28Kmt9GcBvHgejDXcUOX4prBjQ1M68dUJadLWY2LalFK8V6sJqpH6PNZqWq4qbfNdK
sNwpmA9JVXYfF+6QqAxm9KprFw14ttoztOMnNRneHuum2SZ9RViDXsFLL3bfgkFZx//N3nntOI6k
3fZV5gVYoGfwVqS80il93hBpquhNkEH79P9S98yZ6uo50+ibAxzgvxmgp1CVkpKK+MzeaytOqAUr
84a2j7so01AKeas6Wz58mey12ApVGT1P0joSMnSyvSxUc38obWObJnqVrDypfdq1GDfRZH0VRbPt
2EquLvCFvmCdYo7WQ+wnA6dltqydnFyrMgYoKI3sGSzVtFae98LdfcpaA/GhR9I7ANq0n7hwYwlw
lXHJ0Ri7dmVK41CW9bydU3s7aWxFkIjf5m0D+QvgGyvhuDTBTtkfM8ixsGxd/W5BVnoz944ZFCho
38BuMFWE2Bh/mpEL4zCb+Bd6S9tWxmh/tm2vbYteihuaQ+9oTe78o/UVww4m4nKF5XE55g1clzbJ
b5g1pj/sdqyRpUFUMmKKjLID5eGkhWLN1ueBJrQzBpZD3qsyMGIDXdeitdaNGY3Rbi7ELeBJPxzd
5SyS+g7X9VbDTXCLUpQmkqsEA7MC46bnkXnrD0wBUmdGT5xNG6EVb6XVD1ed5+41s1h0pgxdTu8A
S8djXH6cdIY00hUbCzXDurp4w0nino8q926AszhnRYdvnGhTweKi5zAkZa2WopLEe91viKLtU6zf
Y6ytPZ9SFzYJbzYsGtbcq8ztaY4pbksGzktU6luKB5c3rGXmuRWC0WZmld0Q4pmu8pCts44NFpod
KA2dUn/deWKOGdkkqRt4Rh15YQQ5jFiCzECuRSWaQPSN2yE+aXZaql3P4lgFiZl3OIdzQBbPWp6h
hOH7LNQS5qVwCoasNcXHIKrhGv+3YpFW5e18jGRSjBsxOQyl4qptxX1pSqfe506h1Vje04UaMUO9
udE7DPhBbGoZ9Rj11MVzC6tnDfmpLhlZQUraJhZ2EqokObprRWmVbKJSE91XbQ5JGdSGQHUOgrVO
VhUBmG86oaPPNNX9wVdZdEs3KOYQ2CLcGTALSb2LzLHQcRZqVIsuIuTLuLOInRCIGx8WlI1VS0nb
8zIe80znG0KPuDLThUlkVpVIIGL1fYwkYPE0GVEX5qzP81uXXUq2WRg1C+opVAfXSV7x20e+k1AV
T6Zam1HeFoHuCgZxOGCbbFv27Db2rmxV8SlbrU83vgdmlu2EYGNqD8byXqGDDSSrprNfLfragRGY
c6bkoTLKgTfaJB6zrWhqnZVkoAt74uACpHpjNANmyLfV+4hxCSRhMkk2Ux0wLCIjsn05ucu7cECs
UdOtdLd7yJT3kKjpRVTZFHaVnF+FM8oNsOrizsrIVOnTGItSVal7assawEonXlHAsGixlL28Gfry
Nbp9xJSvr54ilKKNX4Valw2rsh3U0eXfZWSgdMNhsDiNQ3lSLYnvVM8Rn+gwg89yY7x8K1S78mZu
C2OtJVPUb+OxUSAzvLwd1yZm8fHIqf00KCBG+I6kus/A6VlnkKuIpwvPE0COOvfYmRWorhmIx3R2
ihTPOpoD3Kt6kSf3hWckX5pbQHMY05J8BdHa6QPp9mp4i+uF4TGzMG/ZJEPauStEOisjzeddPk4f
U5JFYuXyLAMkiV0fqE6zbJgeZgBeuuFWqTm9sTV0OwMyzSth9XczOoV9lLjZncAdvoE9VT1qi+6d
NDqy1wvq8q4haJ04UvINHgiJne9mcGLF7eDX9UcFOHbXs2vfR0PpaasRbOe7C573Tut8hPMm2mum
sAy5lZGJj9gU/XOR5kiE2spJ3VWL3yAPGCqKH6JY5KlB3vIjQh3ZByhbvOKh0yS+c08DZGlaLhpz
D0xV8SNlLx4HmZbo1/kwuOe6Ntxn3JbZNmVc5W2ANbjFyajkxKkAgFmr/PahjnENBB2Q2u+mJ+of
g6eNL6M0+yaUduKHrlPCLjMyBRsI2qW8YWZsXcUAysqrAnj8g5ZZsjxVzSTyXW4A3iRIVcO94euJ
ePFqeqQg6/xpmzVRbR5cI7e/8BoMd25uigcdZM6pStG+H1sVeY9kaThvS38hg82cqismPfGLO2j6
nTkZMbr+uZhwwltDKFi/7iJAMaxVHOOYxKbaDzbYqVVs0244PfNkzggUxpvLhk0yS55tE5XR0j3C
CdOuowrx3GqKO8lwOC4WxidaSiOxxCVCbnOQKKtbHfpjry8zqPpC1Qfs3cRFL5bVOXdtNhQvZRfz
0GH0sYZ1OQyRFZpAh7KDX8FQ2QuEh9EeU7bWYjLRuf+Q2rnVHSRMbb5x3Cgx7zTgQuwG6kwNGw2S
pmA84DFebhLeejiORcwYGx0OqiZh5OM2bn0nPqWVxnJnqMbhzjCjND7YzeLoJ8hIC5J0TNQiQE1y
9mtwqSCdtLk/Y1NymicmSMFUgoLNCqaupm/piND4yoMV9oPRcIerHIXndlTSf2A45d5BahhRtEWc
++4kLwLHxdr5jpjChsDoHfdZeUNMVLkTXie2g50w7J2Hugg1kJOnDiUgyr7O0o6p1fFbaFh6M2vq
hhZUIYj41TSTPt9b+jWgpzRM2+iMqQGVVZdGa+Wyke6YRr0IAyBImaXxY9ZJFTBh1vSV3rgxi5E4
iSH8cjssWj3tl1nI5tTWtUDlbIMW3bkTzkM02gpJM8Amm/GEWaD66zzrqtAS69Ee1SS3RYpxCEB7
zrFMh+3mxItmJWKsyHqciV7l14x3P177c9/fTyihmr0xi/zA/Cv+4prjsIza0ZmYCCRWvCtSPVob
9B/vjVH6x5m18+1i17fSM6Ztl2JdB78KWq9anFPdNgK4hnOUi8MywlQPsYvQb5VW0XHUnOWdCyO7
jz2z+Gr6ZmDCLg25GS2NtadqIxjUtie/QFpTgtUOoQ2FPu4AL3FBNVOClcRO28zAqkCcubQ8HRIe
YtF2OwKYjq6cRPnbDg+QvxqnabnJ7a4NJOblT1gjyK203EKQk5Z+QO6gA1PGKnzCaIsyy1Y/NWf/
YV73R0PtnzueX1y71tRXel2DULDrAuSC5XTtoQLW8PD3f4xgWOWCF/E80/lldo7Hp6qBXY17QtPG
asV+JAvkLO2/SmW7DBf/3dVf3s7l94sF0dLpCPnPP3b1hq+ZSvjk2C+E+r1nlxveVQsdQQwFB9OS
lqffiwG/7cpWpSn+4sM0/7gi+P3He5blgXD06G5/fZspFHytaS21t1u2/cmlEDBF6W5wOCw8pF1x
J6SFAKW259d8ridoY9PLoPsP2MYe7N/KDOARxaXwqKCLb5fpdvKINnAt4DIHHQLSbzRRXAnamBY3
HfjKfFV7C54pSM0tURp/kT315zdEJ6yjQOCDFab7a+DnYtmJR4pAs18Aj2SM41PsDANDJsZI7uBz
x8eFsP7C+v7nH2phPWXbg8eRzl//5Zlsoyi2Bzib/NB4OVmeRS2tXnUU4Kk3y781B7r8yvhhhu7z
BvmX7F/nQLFvmYDbSrUfQWysEZd/Tbm2KfVJ/cW7+vM3zeKxdBBmsxNHlviLs9UsO4O417TCc1+a
6sY2moiLE5FMv/vv3zXjP3x+EDToIikTTbZWv0zgY7yJmbM4xV7ZhnvEEeeHQDmS+MT0w+pDGC5m
t/WhsRBnwA78Jh97y74VhhNwESVfsNyp/hpjgETP0mvZTb/Vh+1vteJ/f6l/+kwMw+TR8hns8LGw
U/vj1xUNMxuQGrNcniS6t29Er26neqJZ+ts/x+Jrz+7uMklCHP7Hn4PNqJNx3Cf7ijSlPmw9kwl2
HBXF76He/888LX8YCf7/ZE1HvuHx9fnpt/Ind3r4/tW+/+O9+vrH9Xv83v5j9z58L9KfJ4XMdP/5
r/zTo259o5YWHOm2Z7s8mzwev08LPfMbs8KLeZ1DXrBjwnnyr2mh/o1vmU/iCmmujmsy9/3XsFD/
plumyy5ZNzHA6Jhp/s6w8A83DY4tnzAsz+Xc4JVwRv5y02SZMieC0KL1iMg0y6ata0PL68wwn+zt
T5/Tf7ijf0uE+vetdnnvjutzHPID8d/zn398fONSa+rG6aK1U9FUesN5LuWuy71NBeMBf9prqTuB
Gp99a6N5yw0BUnoAsp5NLV35dJyKBtqM+VfHzC8T9N9flWVepui8vN9sTz9TM6ImrX2XbJo1oTJr
lct94V4c8XQ9BvvlBQmhp9GvEoIj8mqFIiicI7skVqbZOoRZmM3vw3a+E/8ZGoBm6pffCZ+TMC0O
KhZ2to/T6Y+fU5l4jUZsTLTulj7ZshXcx5C1ztgNopuJE2bVOFpx0xRgb1fcsYcUYmKgFqdnfoPJ
Fx8S/tjKuYuUUbDGENER8+geQQk1Xc9ivBrfvOmzmKtwYKfo1tUVKQMpLuOJudZc4TTvES252trq
dJjs/qoTTCbqJZQIfSvTudKlFiI+2jR2FcK+vfLJJOiTlHnEeTTrM1Or0EQMY8sBwSehMux1L+i4
SjcPscvmTdanzjV3SHJWsn3Bq7DXEtqs4UOrjpe4pZU9WocGIp1pE1rzNPTD89DnzaqdAec1k7e3
1RMjrb2A9lUM9Rb3e1h2Bfvw+G5h1+Vl14VwGO8ugXDmdelFB0rVMLcjtoTFaXbGe2zZByqgSwzg
DpZWGfSl2siM4CINnRac79Ck39cSrBt2ezUk7qazfkxINoXNzyzGdQNl+4Kk7pxn0L0HhA2BV1FV
Fw6zU0SgZI4gRQmIOdq1AM5oe/l4+DG+HTZyPNetgzOLlZpm7XrllqtlHEKPHoDQi9CQH4l3Y1by
VKHETPH2jlgQuPYOjc03cxBrPcOekd7nY73T2muUzxu0Mu9DFq1t+0NO9VvHLLvlYmYvlrMW6gAa
+vNt2lY7YWDyF94GRVwQR11/rftOcw/i/i32Su0KG5Qden1+w9hqPJsLUvcg5tEyVeTforauP2NL
RkRhNXxobLCzBKFs8R3LbXJHP1O/+zjW0Vw6ly9NBM3diJK9N9r3HuAJ0jpMaLBj3L+OQ1XTvfmX
aKZLv47zLX4qmxxSGt6NFZYn7DRmjjVjFeFEuBdIYjYGWAJuc+Roq2rEUMercKd3BwbLrnJKhl+T
HOKrZGjSE+u7G6ft3Lt2GbyzMku5+e04+99L8uEv+C2+K/7r6uzq/SuZ3/+jL/T3v/r7tSjMb8IR
NpImnepOhwTyf65F+7Je07nhfrsTL3ffv25F9xu3h+ELn/Wab3j+T6ZQ45sOuYXKCBKFIyxf/J1r
kfUb/9RPPRi3lQH/BTIHUR+erVvOL+V7amj+tORLt5mKPrFD6nasVF2b3DCJ158SRxnPgqEMGmYg
FqfUmkfjIKpG7cWYZveVbaY3LU8j4p9xtr+cNKc9qpTfbAlENN1TVPV98hTHdYSBTatJC4oy7rnG
hMWtWdgA9OIsbWt69Bxs4Crph5umIiwig/KxaqrxgZlM+RAvVfXVO5510+pltjOhTBxcZv/7Ni77
2xKJNQFUHCt10BWqbAKZIMNSUPq3iTNzuleqWo6ULqMetL2Y7/w+GuZVlrpFfTBbeYaBWi5nFOS1
hdpkKe8bLONDmKXtcF8adekfFns0Zkwk2DbQZ19ctGZcMKC0kI9+aZpApDnLiqhVq6TvOyEZ9v0D
GEfPW8PnNtu7GfTjF6JZBKWxP+XDk2bE/ldN0NDHYoy1sTPRzJTssqw8iLNRczep77dMiThLyhsH
veN4WMje+cEUUNXXU1LKN/ynxkPtYmqwEGbcmfbsbJlw7ROE/VAItKTRtyQYuR8Amexhb7mQmVYS
imHM+JwM91Uyscxzh7aGHBzjDosMO7+Mp/QHgMDpa1/Y8RfsT0ZReuddlx4zx3UnyJmPEmSggQO/
94i9SG2rOAJ3mzttueVTsY1AOeTbQGgc/BW4tYVkI5A2saHiE866Mn9beDjOjI+0dqX0Sj9oraA3
1mDfqiXmnGwIwFsZ2IbToOkvCv3YTcLeqrBZ2blpElI6egfO7pio0vyzL3lakJIRMZOWNU5WDM73
Av3ICsxqjh6Y902B4DL7XcCDx/ZUv+v1hO8n7a0fcVGKZ7stecgNBCXWW9JwtAO/wAvZTx+WUUO0
iQdthxA/Rp1qpFBQF5Ww1vTTo6vK88Xpz7qpTU6gGpw7j+X5a9sW6VUMAtRdF/OSbKXyxGeL0Ref
qa4VLwPQS4A/pjNRnKSYZOBvmyUrSVaieVBkxSTYqjGEPHQV60VPLIylZ4AWpzEaUnJeqvMllmGd
IgmWW5sKd4Wr96Gw7eG1tT1Its3A8w67xQGIPnS52AAcEhZBaeXy7pR0ms+9TpQkEl7GBmSKsUPF
taCN414HpjQwll+YTddwaau9gbEEk6I/JC/dmE7I9o1Y1Rug88N0kmx//DDJRwkrjZovIRrNNWWQ
aKPB2CM1POyNrftqLV6rTewYkLVuIy6yZxL+pHbt2F3SEqOZJv0G0I3hhKwIzRk/7mg5mxFxvh7C
kSbly9QrJ+e7bsbVdI0OMe6voKaOGTlMmV7eQ7m2qzORu0y5YX0b4zPZEkyMda/IJ9L1NEE+zZjo
WMcwAPGUwXDZqSRVD6wHnD1e/Fje511N2EFKskh22eI0p6EAxsxVjyAP5YyBZ4wXagYsqfPvxajQ
8VpR1KIizyV0ltjxsL6yPKpwxpODWWBTMyCMlEvBKphQk9K1RtJjswY7IE8mzsSG5cPK8Fv7rh3S
6rqqHOfL1TDm7Ohl/PTQ2077YfkF1NYyyWUYsfWmlOWPOCQm87FCjvsoIcQy8qWU2CCtjneO3mCU
SQR5SZ6TSgI2LhCCMMKKOyCZWhKs5KghuqDPqFTJ5yBI1EgbfG95An4LGWeOOz+r2vF1AO5zNeRO
9VyDkyvRIY/zdT+a+YEpvj+t2qaZkGaZMfl98Od3rqHGqwGNwC0QoYIUwSzBN6650x35RzM5ppV5
pjJNwNaQtRMHeRXX+0iafrcCAkPunZzTo8KYj1eslQ9GZVrPTJzHjYEPCquS7+57pnekcXJFlmu4
zfrHFA9FYGkm8XesV+KFDNKl3+pz758QNmhBhVAkX+U1CRqJXTU3mqr7d5191ltKvNNTlxj53u0H
YCM4As7clqnYSsPrHnBHTx9SpfYX0ZTjw4gacjM41b3PsYQZQnoArpOhvocoPOHKWZLmIGXOySsM
L94ZJUwt9tigSyqc44FjKxC8RDux9hXMNlvG9+5rTE0tw76ruiOyB/GDVT26rhTjmh75OkkZqnxD
1IvGsnZ0c9zpMIrWxYDAg1DNeleWQ73Gij9eO53E3wIezcg2s8EbxsprfG/qVDv1OLMuPG4yaU6k
1S8NGs+lfpTFWCCJmVhgYEdv7H1j98RR5kms2FAKG3+drtI3h3SMO6wI1lUmc/+mapEJAhYTn1zN
7Ymc2O41GxzASUzImwMAmvhY4hritYD9OTvW1J7L1OS/FXivG16LeitJvHzKjc6l+SBt94wrIUGG
Oje4f130MF72nfit4tH1LqK2qEzVNb+96hWZ4BJOAPK3WYursTbtLEzr5mvAB3ibIKS/pnKZUMFX
5ctsYJaVyBkZJhFVtqoMwiVzvx74vuF/Dw09de/Q4eggBHp/vjN6bWnuQdRqB9Ou2zfTwGy3hvm9
UJ/XeHnDsUV6t0JFpz5cOdhvyHaGOyIBXWsPGi1/qcf4wqK3FTt5PbOrj3rs1Cd+ciQ8HXgKDatt
NLPG1VElboZ48O5ZOxI4ZDmFd2iE0vD5OWT0rGDwaiLgX+Mw0zXPG8IWQF/gmJI/zAFQ3tmZiddw
7DiZ+eUa4Ky6Sq0V0Zh1wN8uw4bCTNJHT3BollH9cGq/plMC27HVraT/4Yxq2BcjeKzRbb2Do6XN
XV4TjYVDAjJE6BRD9lgQ2LRNZNkd04TIUZ125+ADopcro02LZ6JGmNX7bsdlM/PhdIGHbT1ZDQl/
iMdA+bs2KzvaaJJG36VfZfZaTtb8ngLx/FTd5NnrrhsQUMWwSBOIX3OS3+JtbrFvQIRemfz1isCa
BtNb6XUV4j+xnClMkxAfm0kbnYq4Ceu+QL7FvxlvTT+r3+jWS75vjAE2k7ZABIjyARsFOLTXqlYu
EShEZr/ns+Mc7SgiIbvvu/UQtUwbBGzkI15odumN4eSsQVgGA/9ZSJ0Tev2sRCw/wXHJeWXV0AvT
xCEThaAF95zU83Rqu6Z6qP2e19a2tXPNzHRIg7FJu30ll9ham3Zc33Lqk1bQeuzxKXbqhs43ih8j
o7icOyPHZIdKOHBLHwNbG1E0hfhbGYFY0yzfRJpx1Qi2tTfsbh267X7q35WqEe/ge62DUub5jZWa
JHd4YwmWIWHDpl/kxdOVao3eDjr0bo/xovwH9Oa5QMLrL9fpnOi76jLUDQl0tl/omofkHtaLf8u2
2yrWHDDiS1FbKoAxqHw3HTfzbRXPziFBGq6vENuInVVjLmZAneD+ivnMdgTXDQySlN2tHKP17gCh
gVQgttG8d7l1QjaV/RMewvTeApZ/O84xdVviyO6uMBWCYd1fHDJ72GrOVPYDHH+kPe794Pop6ZcL
eXs6rfONY8mcnO/JOsuGg3rn4j1JVsDC3LUzONoXJx6WeZLeNuYssu/ejFWBUsh59AmRNTadrrln
vR/dt3rJ0KngWkgDV+L7JCdX+YfErb3XHHvtbam32geM/uxen5M2PZqdKo/VMHs/kFOmzWmJO2zl
S+eUXxYe2aeFPn5HDvZw9BokbKGNMDkLCFHIKiQf7UzIXsUptMPb5u5mmWmPbjwXw7romm6rKwcq
dNL6gTen6KCk07DVn/u2Z07FWFzPyzEhGwX9zCIiVNJJRmC3h8jaw9aZThtkB81J1SAiQhKf2vVY
xemRzb6+N8r+ZdJJXo/iOg0XEjJ4IaZ8iwiopplym8OUWGKftg0nD9kXd+mIDNuZTVBf6TwiLePw
Wlla8sQQQ+AKJPCIp3DAye//qD17B02h3U9I9NdSKJJDUMBsSaCrt1E6R98jsPU3tllz/s3+BXEw
0R1qCvBlqbBDUCJgNpsG1JToRm4nUh32Mmu6DSmxWPC7MT+SStx/jpBO7pB7kOQTDZRGBXu4hwvG
Aurz2O3Gwo/fKGe6gHTgM0nb9J09L3RevIgbHEq7N9QReRpkrTd+exE99N2pN2Nuam1YwjEdP+ke
1N5gaY7mwisJIq5G9ZXLSh/X2ViIfZEl4i2TJhtBEhjVYeQBQc02t8dWmgxQ6xzRQ5cP74uQXwsO
T3oaO7pcp3RjTVJFe3du28OsmQtksDjeDAkIFT5jS7/yU6daJ6xKAlnhfyQJ1tyk0eTeqVKfSeme
JgiaMlcnHUzmftZQ74XCIXyHvRI2AMRoJ1JnH3js71w7Pg5T/wTUzb61PfiS6N4I4ciZO3ZQQlb8
OsldzzHAr+SSJVck0VVwbea+eKqtKXkmydwP6D7dngtWPrq6mt7TJp9uXfIMUoRXKruaF9fbueZo
72vo8dZWn4jH4TacllfX1G/ypmtvCEJmRtBdhHkWcbNVD5QS32YPxbCNgip3nBdYGgPQp+6KZDB5
7IqsDKVBCgVHDCENph/p8O0mElr7icC9fhZXFHrLcah9CMqMje/LhJ8Nh8IJY1rljSziAnpHqwE4
JJnruna98UF51OYzkdpouApNvZLe7hyUYQ7rCjXbCnRi9yGqNN4UvjcdHT8a76MYvrwulL4ZbcHt
Bl93Y2lIiQSCPcKZm5jp+QCISl9TjdwSgOZJxC9EeKzq3ijXUpO4T0i4rRS2W09xhRuS+HW6Nrph
zWreVEnxFCYgj354RYSODYgCPEIDsRidiTIT9gdN+tWa2mhdkAnTDmhz9TbFLeOJ3jKLCPpo1sS3
ZdboT1E6kMWl5QB+M8t8MxPNvTEx2H512UXyRdwYdJ6G38O+p7vZuN5FDOotU/qUy2nESyVQstw3
TVdVO4KwBHQMVzVrUcjlZUgItPCYAO2RqMHpyiarukWmarq7y4DkPYb2sB5IwsqR/01Iii1bXcb4
ldLujW4G6DkOdsD90twnhafeyYjnAOiMcoex8q0lW/BodZ2q1sWF36mPzFno6wgBA6ngPEhvVjtw
uJZ5FePg7gKLzNN2bXbm4m2VXloavjctUysxlpV4yiScgW3DrWnh2SwuJWN8GrGEpCPyj1WufMgr
UIbJVMgGH7+bPvXXYrGjZyzcHh49RrZk8xKp8pJWaXtggsOKR2TSShlpTcSMeYhWH0YCH+4rZQzu
qZwS1R3rZMqncElmeIijNgYImviSW96rX8rSX0vaN6Q4OgFu85LqY4DUfbmi6Wwx2HBjbcYRuhVh
ICOxzJb2AHZTnDR36YKLseUSJTW88ZXDx86R79pH2ZfZDTJ4+7PIevHMZAY2M/cRlXTjbKu8aK4d
v5GfNkFwfJn82DpNsjc2hp8UX9BmtGhH7BGBmHrS5i24RIt0yxwaCtCXloEBZmyzVYHbjJdoCnzQ
V1mOdom2sI+ZRxQSnoSYGmWHnOv9eJmhj05gdTV0YvDODgZx8BOUw1mCUy/SseXusHxN2ab0EH5s
2ZnpYZs7BBTbbdO/WBFsn83Q1ci0064oHnLGgU4QMbG8QTyJTzKF1ELKL7h8ZLfKz92DdEr7HQSC
vWr7JJ6CfJyBRUKUYS7gaGROJeV0GP3G/SDquHl2S0O8LG5VTfjqE+22FoU1B51tkwg5Wt1MzJui
hCWNs91TiZPGtzR5EURz39HeVVJHuJWpBlAvOPc3W87NFkmIe11ElbBpumBMbpTXe6GTCufTZf6h
hQS/5kfXLli3pdQ8L1kHqHNruAi5Mrzqt2QsWTsMkxjtMmUV50or5A78NQitpKX3CEyf1Qu/Eqhl
Rgbfc9VJUpbD0oLCux7wjcltZJZQOVcjAJlmn/kkaK570ApbGARQcliITq+DS4PFOxHdUz97oBjc
fvJ51567xIFJ6BdETH9mgDbkVMl9kRgPAmzBsLaVcKkTSGg5ut2A7Dh2huzdJEOCuUU6acZmjg1d
Y3tioz71vX55zqqepovH0xVhHk+eAymGbL2XNFXdtoR5d2Ag4qVYMTBqM60tvipZmsh+Z59MdWT2
+Pw6r3Vv0j5WT6ijs2c56gN5O3MEzmiE7omcWPMQDKY2WJdg5FGBrRsRtqJacYn6HGL/ARQ73fxk
cvzMrpF9RPNIWFlvmpLgyUqkODvQ5vOA5k5p7MUkW4yAyLKt41gO/UJq6eR9tk7fPhauiZ4vT0se
anY+DARShUE8TrBFrugFtHyd9y1uBqSmVkzuUOodJ7NlVpr6mbgGRAHUFSyb5MDOYpx8Jec/anQw
snroVJBZg6IyGNi4CQAGxPBDc52VxLEzpM2nVzfKonDxZP/KN6k1T60OdjRu4q4/Nbo5IAXWPMsP
YWXEXyjGs2QzmZAGVhennwy4ljhXJiIIy8fMGuzD4tcLQFZIL24wck3aWDz9cWvjTFtrZkdq39Do
82muUHZfukgtDrCgyXhNEFSRrU0Iz3emjPJmK6iMWlomguukznd+jYs+gkwIIT5oSf1aI+Qnwm/M
ydpZ5bqvYFhxdg4rUU4b8Md6f5pBkclAI6J+YVdGEBrJ0jrDJPwKF7tG4gtiiRXVPSChkhbMZdEb
ZRlGIGEVeL5rpMyUp2PMsGiuecHwtsj9QzDuIKoujR+wJMS5FZ7B5JFQq5WtoawLdXT/OV/jAu2h
VjRtte44NmN03lK7i2k1xBPa+Xkdu0NKAwMzncvFGLQNbb2NnQOHxBsOaNDLWWqmZ6a4pGJRuMoQ
zF96zgsx7zzBAmGTwFN/atK+OS7zED9lZUIlXYkmuy1k8dJoVrSuU8/L9xmXyDrqTfBsUgEnxq5T
vbPQ0b7qtJkfMkDsWggUCy2ox7E7Hy+2HXbmoiiv6SEnsZPjZZadD/4nxVz7ocPjeFywURDL2wBa
ollLDpC+fREodLbIri/WR8t1TQ7Vwv5uaHLcMLUgcZKBwpGRDml9eI9uOzibfaiVF7Tk4o3LzuLB
PSs5NudoIc8myWBKYzuNzfuWUGUWPItQD7kwjQlSUt9syLYS8WYZvSEJSq1jEmU0nbtsIru30p3g
8c34Gg0Wc0vMCRnBGEU+b5bFGJZTg4jI3aE1t1jPkOFts9w3jb2ak3sIOy7oZWN+1yNojZpdh42e
VbB3SMb8ZCEj6QSk+UJNNmF0zLPEvc9pTRDL5QKycItullQy8UAtGi+BTnCGFuisojTKNimfkcHV
PzBTUYtaLXMAeER6+d2EJpkHwsoAk7oTw37Zp+z7UZ6s7JKDnoqydcvf5Sb/u5/9i/2s5Zv4Af/v
zkag3u/tz3ql3//CP5ey4pvFrpN1rKmjPwWo9K+lrCBPw+L/5tnGkXvRJP17K+t9A3KAiOjiOHTR
RfwkVrK/8TcQQLDOvRgbSRn6G2Il8Rsm42cJkakLCNgXcMVFFas7vNOfxTpycIuu8ktr27CRe2A1
t4T9TPDC5HldOODxAaRZviacnis8weI1xS94Mm2n56vL/9jbyjdcIk7t/DlLkvS6YkJyZfiVF+0n
FldIXcw2QeRM6/JsLiOjlpHIwlOUJxfj3f+wd15LjiNpln4itEGLW4IqgmRomTewjIxMh1YOhwN4
+v3A7rWpqZ3tsbmf28oKRRLuvzjnO0NX3xQA17jzxgWZkt/8WZpgeE/Js0Uq7aCHpIKZHsxQMGVl
ZhK7HcmYmtXP7dSP9pOSuju5sm5uOYiQv0b1cCOYjYAhAvn1Tulqu6eWgurE2UWcB3Df+gVf32Le
oIY0TmbOD2LckMNPS30cjMwyk1csAMSjeYZ38hng/mCtSPWTG2Qyx/QB2RvR7OZr4s06QoEt+N4O
R2LslDkZRNgX7O9o1RByk1bNbS/Jg/WIl7tbUKK4ZEmq7MxqOYDMRfu4qZoAOTd71P4RNRcec6Ti
rI2Rau5xrNQXqrp1KluolJ3UiCbjXuBp/GOhkX9i1ks8RJklGmU7BcQmNRJKFGnM3R2NgDdvOthQ
7T4JYAFTKozFo1zm+cbXHkEnM8mzGL8wkxS6cPatCpozOm/vJrcssWwr2gTKZFT7tvIYS03On3Qo
A7xgKQDPTV26/ZFWD8tGE8H/jKfBXAdpKmJcD1A9+yE5k28IYmMvPZgtU3YrePYaM9iPjtN/z0OJ
JS6XmJQUvpVfLWyhT4t523XXesJb1Tz64Wy/arfuL4VX5B6DRTMw9h4HrLGb1FhTCQG7Ygyc+96t
Etg4Wb5FqATqdtd57HqIoHCrWzytAcvbnJhwlnSPi9fil8wNvaMC9n5UJD2/VLU3PLuQcfWxsXOT
oaFBYmWIYN3e5N4U3YHIT+9b36QnYZQxXLw+dM5eF9g3prUSpZKkAf0jFzbkoGxhBPR+UR0ZdOaP
mVBYRoqI9WWi5XNlLsmPqK+LW6Nw3c+gr4iBMRDcCLu3eZkaK7rrFS8UeK06ZE81YgCMa6b/xC6C
6EwRmEmcLlaC4mcTSnj4EtMcA2Jf2rtsHvsno+FiC+d8Z+rM2AJJ+NG2VcKuo2GuMYzGW+f2U9xH
zS1tp7EPVLLmS7j3Q4Hgh43yvooGdgO9+56k2a5Sttw3DcUwN296ds1Qf5dV98tiY3ZHmsVz17d/
okwmcQKZec1qoQ+TXMCuvq9wjQVeSwhGjiQOFea+AXBX3bMb5FOPrnHy95p0ynrL1J9S1Z3mzdAQ
88PANxhw+Crvlg4k1ibIIe62lNiYZajOIXKTHY/h+IpRr74YrK8hsDrNoXTJGn2EypAIcoLLPiQ7
YBWdUZKFP6CD0QINbD5GPq4i/VXUnIlbThNYg43JgPoWREuaHhzFi7MJMF1OdAiaX5Iv8kzAHGJI
eBK0Ms7ag80X6zAovjGOotezcmMf+rnHx2KYDgRWuwdzdE2svh2Lxp7Why25eaiEy+5dLEnyGvDS
xmoYwcsxqt2THgq8rEj1Ot0qRber80HtZ4xEl4GY1Ocw75cfIXQ9B/lmP54q225uSJEsHhI7TPZm
3mR/2oyZAAnKEGA2y2DO7LSLaZc5hp42iw2/unZG9QmGx4TE4AMCHJciO85JhpmEBou9hwzsC3Zk
FGcgGY5RJ/oPVCV0z/1MHEpCpmTFmnNXuvX4bJZW/wHiurgNKmwbhEoEwUEqDCO8/vIhz01Q2g57
vi+Bpm3n2NFxEd6JGeB8Hsyi/OhtIU9CTDDiC+NZtSM1aB0WT3PWiXuf+cg9ALDqENa189DV5zYb
bvB2zQ8sCrMtqUzjK3b7cU/UZW3H9EqgVYvWuDNlbbYnxuHzvaaeh6rMCR8XZOzeurr8hFkyfAZG
Ubx1mWouvMzFI2hm9wcsbMxGHfmqKHvIRr0XqZrP6TjjhrTFIre5GpydDocIpmxoX9JqqRnarvEm
bqSohhc3TpfR6+DAL6feGGFkRtiPnhddlJBkq+U5WQYS3qC6F+9hNDkw3kg+rFIXJ35ZLczUSiBt
0s/z747c9htrhHmK68zLnpHI8Clbf3aQZc7DQKDjXlQ4K22r9X9ZOp0PfiI4+sIKRYNTl8gCSmsa
Ji7S2jgHkj3TxhVMPTTXfdt3SHEsf49sRT+lkfSAQhqiATMP/xK0rzgkbtrGZF+U77DfltfBJU9q
ccx1HRt0NtLJBJR7nTrWjTCdb0ZsjM0sXXwxmeiKHfuP9nWyRoYmKLbNGupMH5ynNswvdihnzHWc
rV5a/XSIvuNjXFBzMye6d1rpsGVcErGSeqLiBwG9xJQSiOEYu1nUzWPghha+jC5bXhqb4g3LXqVu
Tdn7bwS1jq9Tbn33qmmWQ5ZIYxOI0rlndy5+B2oQRI+ACSYUnlqZiEjojNAFp51fOvZb3jOmDThq
foI6zTh0icSk8ypM3NVB7rWvwZyXv0sHUxwMN2z75Ihs2mqwPtPcZg7ZM5+7Hzo87BOH6IQIZBc2
Xn67MO//iBLxxfL6yKMVnrowyneVzfpzNEDrdNazufA+wwzVtzMhtpiVO8bYXc7IWS83NVsW+7no
eUiOihn9CTY8KynAMUww1apRipDJpTlFh7cU8qvNqzusmbxREMVubHJcD6sU10YdbOTbMlv7Bs/W
jyLhM61mVOJp5URwVhL9ih+83FsLhC/IZf1DyfjmtWgXY+sXEbPBsvbjVoJsDxrPeAmnYDe5c7bp
0dY/apZQdz1iVExtWf5uzbN9M/aV2kHQbr8ZmBYHXcgaB/vIfJd4mw/fgdSfWH7zjQxn2mtJxPhG
+/783LtZd1SMo/atLY8MKdJz2qh5X4xpx7BSLqfJavw/wUKcWJt49wwKs1NlcN2zVLK+5hrn42al
BCXxNAKV3syjkZ1KIqtdKkn47Eli6vMy5wJmUUW+yez3HCR6ar6qsbd32pDhCTbzcNCVzh78mTrK
Ekm0Dwbw9ezs2guGe2AMGUNmK2Ea3snpu2JW+pC13Z0KnQG+biuBIxqUA0NWbILZL84dffEGF/GZ
ohNtVVS79+Vol0cgXM6mMQ133zrFwQyy8zyQiOjO361FPpQQcl81AzMHV2TBU9O2LTua1rT2aWec
OBNRm9hshl6qjnN1w264BoGrFUIrL+rgE/qEIjvzYDyFACjNT90uYYBsUE4HoL4R731Tun8oshp1
QFxhvXFJdYcJsOrvwNOiu10qENQbtHPR96hCy9ovPbeRdEf9HJVesHUXtVxMaVwKK/eeKCbnW2bG
GNzRuZ1RZkVUc+tAiEVmBklEWJKFWO85L2VhiWMlByYSq5lRD/lpFUDdcSKw/iNL5OwL5l0AJJ3s
o+UrzkwaZxlTZy53/RCSxNaaXfBZUlk/N73dn3leMU9ZxjDv+24eHwujyzTTWJ9ABMMakPv7BFzs
0F6bIDsK0CgQdMvnBe1qt2t1Kz7rIq3OjoTrFFuV7d05DRVKUXTQYSlWK5uIMr95KNgX+7GsJKps
6elsiYuuX/VALOzRNiUtO6wixU7dtmTtpSZRUQL0eugqedOwS7kb8XeU20FWF3v0g8dQmK5DAYbe
O0aIUH2Hc2Z9iVaFFz8qgk+VWkj0w8jAJY0plc27SIs0TmpcXOxkkfDiXJ0ABzSt1e2SRYcvEpjz
QBxBP+8mrIlkmDbh3u28Q1SQAeU3bc+eNo2seM6T/sCp9ZNA1WET2arZpnAmD+Wa8z1lyFtt8WB3
3p8O/9cxqRvjBiidjAu8BuwCQVFmd6Bxos3ot9W2hPTwbDLY29Vmnx0Sj7ySwgSpXLrFwVhbDDab
R16IhWgS3CrUhvwmt75X/zExxm8zYRxtf4KbX1Bw0yIXkF4jPBJNCrtSlzGx0y8DKglUBuLVoOyA
2D3qfZ8P93TnNSzM8IKbrdtWpnF0smHa04x8Yeo+FwTbgfFd49OJzg5M8WNo7JMwac3wuEK5VIG/
XTSCi6JJh5ugqBYAi9a4wSO+MBuqHPweI4oDV/F7jiwDGFw2sS77fVXaW7OcfrKA20qVHgegNFtA
JveLCooH7VTNzk/N5cKz5x5aJ4m2XD3WRuu5ZyUY2c5tXkvxlLT4pd2EeBjRjYr5pVKstDK/3xht
7ewXUt8pSo15PEyWl0A78KwkDplWObERKfwJQTn0Z39WiMBUyesb9iS0FBMqCHyb49E1guRNWbb6
kHlNgB/bXxqWfPBZ1Ms5aLeLPY6P4H+rdOeLFrKxW00/B0ckJwZm2iNThvQrXXgf0CWU2A2GFyGL
XGhwbjFXZU9+K8A3owxeju1kThsuDvNdIHV6Zk/ewjVidwg+psDBEQQB4+sxZB2BQqF9d90BWQYf
RXMIX4ahQDEzkgxSZW14nMruJwlxDqSYlWcy5XFETsoOSdX4255ValOdmuGdUA4AoSWpBx65tvyc
w9CPmcCv/P4+GX/wZCFE9VqoJlVFXKc/+Ydp5qr2QA7c4M4RtzmTtOMQMiXYhKkV7dC2tCdLcOZz
Cpn6TXhF+dmUUXbI/EHV+GFk8BpSuLgEwTAzXzVSxT9tov87fftvpm/MkqJ/6x+8/85kirn39zUr
dw3E/deX/GsAR1SWj/PBBQ+ymhj+MoCz/kFHb7ow4/BlQ5KN/mMAZ/8D2+nVFYrf2LzO5v7lFrSC
f4QIg/EhRxZmWsf7Hw3gIMX+3RURetiZHR91AItX/++x7NnodwT0DMu+LZvOQAPtlTXiFMO8pAHg
5j6AqKUozHZRRbG8s6lgzpZfl/uknLpTkQMTSCaT7n50sqjdJC3Vl22zAdyEiQ76g00w1mWyMgKZ
I7YOO4Foz4pr9tC3LLu6j4UI+62ymxI8fJkeK1BFR1WNw25cjzAkI/U9jHMXfj2w42jrOS6Lu4oN
FGmls8vO1Xb7vr6xw9I9ZRMkzI1qXckSwTEuOu9BIJsFIc2bKpqM37ijekoAbUVfWdSjOjc5p6mQ
s1vIqasysliaMw5O/13SlE87dErodYqWIfimp+UlZNVRcGjyOn/Lh/JTL2Z2yfrsJekJl/RENd6w
YOl/+v6Snly7S5+SfvCf/cUtL2aW24cJctmO4iplEVqnN+NsEEw0miQK9uVeNPWyi3jp4JjkKQuh
PtkgkddPPRyIGAbsJWym8kSKABxkWXzbgnAS5TfZE0qO/KYmJGHnBeP8YyKR7Jx6qEfX6UPNPgmU
BRPE0HFui5UtFkvTQecpVQs7CihreDIGkbUIKkBIbcrSstBSQqasUGEH4SvjOJMKVE5P0ViW0Q0q
EXuNhRHdfYFGDxlhZcufpKfp7kYj6D35gmHSxmx0co9yDOVF1YXjChPiCDvp1iLcHRBYytYt4BoD
yCGiBzkSbhD7A93VvmZsdysnsDxJW1LumCTZYIxG5pjtfZdFtK1p10Qk7btsNPIfxgiLJZG6PtQI
PdY/acRsI6Lwldmrt/OGcDqDwxrvBxKIeCthks4bdwo9lOG6H59DCyEZp7xjvytP+28UMGBwW91b
j1D+/Hvfdsdq6/VJc8SbUx6ryNVtrBUytAFq1VfnZfmjzFKHDUzK4IQSc0ZvwZ807lVpNcjIylXr
Q9n0hNE7PA5BYa42xWnPPpWwJRSbzbFrg+aCzHnYi/GZdkIhlwHpiuKs0d0UN8U83qmB15hRc/7J
sEE9eE2PJdNNWc319f0wWXfOPFvbQk3LY9GVq+jK4CUj0Dcm7727UCo7GFc8b+Cphql10H2/1qYg
aOkkKV4X8FmMecgfm/AmkKz5O8iTT5by/Znmsr7ojnwxLlGAHznr2KOSlXum2m9u60UyLWThldzn
krRRNNZJfVKZ0ROLqy1qyt7Mgsc6K+WbVVAWoq0qg4uMGOFMNlFgW6tvWUgGbLZPXktNeaNDWyqE
pCBQdubohPMP1+RNesaYo7cS0/F3Se2DwJWZlN8ylIPBhIqDZZT1boh0mm7SfN2852IkCalx3MIk
wC5JonMNjjxn5sjqbQjWqbdWQVjdZgbfPjatcX5NMVFtPWB075Y90dWl5EkcMrMo8nhh84BCghKG
3DNSx4td4KnyPcsmfVAR2+SYw/5NdZE+W84g7wxt1uCMQDDAS/PRB4XlZH4HQc6sioTdC9G5BSI4
I9mPcM98kl0X576xpvmrlon1WfbkagT94B0nniJO2FagxBnaF53ZCIFKc/Hmicq2a74FuQMYZv3k
N6sAkFcoEb57PaHwsk2+sQV4SuyIOSUkYBLM2l8yg51R7AYyFFjSSIJ9mmUXjLtASoaOQcf/eiMQ
XANf7xO9y3KWJ2DYpgIyodJVeamroLVvKvQK1c6zM41RthDLCxaB1asFYYeNoIsFfStDl1W17a25
a6GMisuE9JvrRdBgWymT5IXcILRFSXOYWc6ziYQbQnV9XxJGdu5hg8eGO03wqlykPA4XD9MZuYbO
5YiYVORrqK1TdRGgxl5xgQhUoBF5pISJtz8UWxA/7umggAjpqQUZp4A0Cuxsy74LmD3EVdkG+bEQ
ta4IAKrmX6bb5eQRFHP0RYuLMrnNM2bAbUACLA44s45g7qLH2plkNKBhzjyXmj1tyifJ7mpNZ8qD
9JT40MC3vlIClSEHfHYPoKtHXZHqhjgHXAi6tV19Kd1GH/Es8hSA0zo1pPeigME3iSQG4V+O5psN
fzo8BZMaoJD15s9uWJ7cMQgd9N6Jejangv27MCTOnIFJEqbgegzkxl4K/2cvZrPcFu3kvzPbV1Hs
+jjKjmhexnSnOp/BnyRafOHMzoeYIMr5t7Ai89WzBv08oL4pts04D8/Qz6NTxzO8mQzbfbJk575D
MquAGtXurfRAwHk5eHJ6issSkU8VK5/pd+gVOCeWW3vggUV9WS7fVdkw1FSOO8/8itJfteUVIVKY
E9C3dF3Vz3vZa6M+uKXr/MFPil24NUhWfHQYxrx6qTOu390MT4VV+eKQocR+zaec8y5Am4k3pYmG
fodmfLg38KAzqhrt6L0tI/YiSPMJSXLNzjki2xtZHRhJMm39lHqNshxJ1lYWrDbYCGDdu5fTiDAh
HGWJarIw7/uc5h5PDqyZuB/nmhoiQl+N+Up9dnTO98pmYNUw3iI6V3jyWS6u8ZNNKHBNT8k1TgVO
GOUHg1d0B3bXxTZdzj1/dXebpKTQHf3W1Ii5UiV/y5LZIyRQskQ2CU7a4NjMA16vXjlBSvxelyFe
MFMObH+xDLRyQ6XJszJbMJb1gOkEKlr7DUfHK7C0j7DL0s5pY1d3v0IIW8e2W4Jfyh0JLQqnJDTw
kxrkzHAzLTvQMDmVQ26KTy8R/dkz8/HdyKDgwQeX+WW0mtdQd8T2lJgzrB0NlXeqepnv8mrMyTOs
6m/TZQjm6aT/WGqgQX1X8J6Pyld3U9FCziNqmIF9g3CwUjlr2dJH4L6vC9U95Bm20Q2UQQNIlpOn
yC47NECZKnqFdIkF9l4wSPyY04qFQ8HsR+yIDRBEMoXiVRG9/hvwKdGHyajLZteoZiH9ZlnpgpOo
ui20wLbjVEbRyfwMKUVgOT5YGhs7/gjD+21EEbXpnJR8VX/1HSJtJUZxJoByTg8UpEeSFXzgujnq
dph6BGqaiz8QcgQizglRjSPHdMFtBRyBWVXId51FBSuZYYq59zlPyEAAohA6yXEQZXtuRqFfUObq
uETJtnUsd/oEUFuWsezN7kvg3cTflqbOr6mi60/GXVI0y2ea+L/HLKFF901xJKVjBHA4o2tD5Rx6
V8MGOvSkQgdWZOlymOfUhuMw9OaH5XIbvaddY8AsmBzvwRn9EMSRRF7q9CVKPOhO4EA1Lo+Og7Yu
vlrhTcg9OCC22m3Qw/lhykrLb6L22HNdEAggQGdnZfvURJl+S4CqbTxd2vogc6pMI61PI8sgY9MN
KCOPhqxCvHUsWdhe2pF+QXuOatzrfFAQTEC+ACz3H3ZWuN41GOc3yUk4ZQFD8b2nsH/kBDLZZJkO
KaBF0cgHs9URm0JAs+uWJnqA/9k/m5ZP3nXiIwvF5FB3P/wsYCwq25wgKAo0sJmIOX8pEfB0BAMS
5xMPHoVhVqdgEHwlXzxrdM7KdeyHarIkPXeIYMxpFS5Ch/0v9yz2kHjMjOiA1n868unR6Z4UTvXt
DjP7rGbJopPvBASqmE2A8i5HIof+dGaos83lYGD8tNMj8RGuYLYeiA8bCQdJ3ATIbSAx8wYOjUNu
KCWb9TMiHezWYo120XZFlC2zBkqwcRDUA9XCnqc0HcI1qQkleeGzPCMeRPTf4fU0WMclZnRIa7f6
zSGR/8y1Di5lSNrjdp66esdrhjOCFRLx8FiQCjxIdQLtLWne2A+x/lPEG2TIfOOxdaxby8EYHKLI
xMyi9I5Ttd4iJrKtLfbNhMRhf3XlCRY7r7koo28RtTzafeoXX5Py8nPfehHhX+TUEecoe+vLUbhl
JjPFv2QUNqYq+kaW8e2usadTnzB37ZYCuKSTlvdOvtQPTUB+aMxCw48jyXRk0zYkzvcg7DwOyZ9R
acJqDlm5ZxicvhjnkEDWwta9zFi1vlqbHAfY+OIZ3WjxQVqa+Yz1kv6PFXl3N7Ztog+45CR64MAe
ipgHy7T3gwlBccj6/mTzWOymSg+4cI2jDikK6voZKxjBlyl/92METhGwcAuyUgVRcGKZBIlfTUOJ
KdNJj9NCcbHt/XJJY1S+6bfvtBSLWJlREwTVYQVJouWoapK0EHA/+CuJo+QNeMG6xHArIWJXOPwZ
VEZWQemSsswG34/Weh5fbG3c+ryhCe3XZ5Bz2k6RK0jDXV7/oj76L7BA/w9nIfIjJ/KQDwEwCfx1
rPFXSQ+axI6Y4GE5FL2VP7Z6Ge7c1Le2S20Ft9nCLNCqp3T773/oitD5q47Ij9iLOU4QwlwPbMv5
WxyPDeB/SUigOzCZLc9UGcMDRv1m65jsJNqlV3taMh9Sie5+//uf/J+pZuz5+cmMTXDoB25AHNLf
IEit52k2p0gGOmJeKHUCd2Qh6BunngXYGqSV1N/Xn/i/o7j/ZhRnQU8KbdfkA/f/V8MxLsb8l0lQ
Xulfh3J/+eJ/DeZcxm/M3zzKLj42po/07J8Ur9D8h/2fhm/8y//llQD2N3mvV7zWNXeJ3+U/BnOM
JgB84WGA5hZAHfsfKOOC6L8YzIFBQIAXgl7l5/0NGmUmOTL0fJz2gdukNrQAzjEtc2YkHFeIl52W
LLFdX6Ar3YxiNdoGcPTB5U/2ZGwGf8BzHvn2uV7PAgof7hq1nhBeEJTPxXpqMLdPb8TUjA/+eqb0
FduIfb+eNOQcRjtuQS7H9Ryi9eZIiqCwQ4JYTyocWSWhLuvxlZQ1e0qrdslVtH28lWS/PfpsxIkv
X54ZhpM9YiDur1SIfozQIrWelWkITZf5CwcoimXw78nEYDAOyplIxNrW3R15yBy9qBHM5wRK/Aeu
CfHcrGe0b9r5V3c9t69H+IzW4Ys8Qe/HlLoBnjzV/9SMdeIIo7uXE0kARhn4dpNbRKwTXV8/TFLC
21pvD25RfExcKMLE6GNVqR1nTm/vcV+J2F1vIGZp1ld4vZbAcSc2+p2MNep6b2mf+FrsKutt1hji
FeIFV1x+ve6y69XH5rDeotzRXFPcjOZ6R+a5sG/pJY1YAdyMh/UunZr+bb5er4E9kfy8yJor/HoB
L+tdnLpLweIH9NtFrXd1tt7a5vUCp//gMu/qUdK9rXc8yXaotjwJU6m6FgHRtSAguAFZtYFugIUW
FcMQ6uh2IoHuM5W402i81uLCnzJUGs5acxCsnH5U10IE0UV6dCQ/x7oWKvTYFC2FQD+5hvHURAYl
fYT7JyJhhW5FfSMnp/DhMkJas1ZDOEIojOy1RrKv5VJwLZ1QLkuEHdRTaCzcc7LWWOlabYlr4eVf
i7DhnwXZWpt1lTd/yihtmM1cizeGVe0PSw3EMbE/pbyjEO+frbXmc13LwDOwVoL5WhNWaYdFPKxT
y46RiveP8JenN3ktJbnsjd+qzT1vy24ZxdFadfpr/RlOM6UmOg/9giuMAlUM12L1WrjqaxGLB7w+
kbSx8a8lrrFWuwLA/BtDiRb7drPcOFa9PrdFhyJ+LZXdFhXaxlwr6O5aTCfIWr4ED9f6pQnltnst
vc1rGe6uFfkID/yhNMBwMfJeS3bRzeYHUU7OvDO5xQ/RtbwPVbNWzWvVHzqdCRfG7LW1CbpQHBeZ
IhClVUhKe/nUggF30sROpZ1fDdBUFvZM37+8YGIi6a6dx8Ske9updIqZK+iXSav2nK69SuG59m19
bWC8tZcRQVbuOgKk35drqyMkSYb22v+QGtHcBtemyFn7o3pu6z27QpqmKSTZgTaK33vZNWtnNZJD
B9uFbkutfReCseQtWnuxGg8ZAPIi8mPDWpu1+dq46bWHS6/tnIufzIorTVu04vrdCtBdl/3OGXG/
IhtMT/BCCqy5A55BZkj0jAYPirXvbIdWEqm7+qyuDaYw1maTpAMe7aXyuod2Zhy0r6+tabW0SHuN
dsDE4XGwqLWLBYJBQzuvve1QSfkhTfIMYeF9F9cWuF67YebmIE8j1vG7UBm0y+ARX83Bzi9LaNNM
R+k0vrtrh+0Q4vJpjQFtNwg05rHXZjy6NuZVAKIm7tZ+nWxkJJvV8MvsMpe2c+3ruUpo8UVedt+u
IYJ106nwlNSD1peMEdTAxpL+ZCstEsZjlDshXmoN1nvD34mRVUVlii4qFxZoWzOSv2fgSKATJ+pm
zFGjYAp+7K8zCj+r7yteKVzwrbdk20qXxXCwpSPTI45me8/CeDCP6NNwWOUCuhHDPB9hGtYmaHpL
ZLpyy0ez+zPpObw1WYIz+SJHc4MCksMpKuvn2uBxkwtz1W2puw7tt2Q600Zh+Dgwq36bg4ZNMHZg
+2ymjf0a9WMHZj4Pb8O8RL2VBgNh9WErnPt2CGum+FHw2s3BSn3Mffr+QI6ls59bq6i2MhsvSD79
JXYnV7xFljKr7dQE1h+zM63wxG+I+NMfvbWaD+fwc0CEDfCutOWF59arjokL4WgD99t/4Wzqz2MV
5Xca0v0eNGSwnRIb2uJksCnCyJMZaYxJ3tobXZOd8zkJ3ufVJ1Q2U3Vf5JEZMxVCT66b7MFGNI6s
z7IecMs1MbuK7g3/YfHaRk67xR3/2ZqB8zK0o/tQlLO9VUXuHPEFmi9E2Rq/gZEAgMKaorZkAjs3
OapzY40OTl5AeAUPQZO9NEh/HpJmRicx1whtRvQKDxDdLRBSLZwp+mWWJdx3S7rLTOIxNgMvWxrP
Qb6yM8sQsQQcKaf9mYV1sp8aJQgUDQoVS2QZR7bYwQ0haelxLPXyC2tdtjWWLu/jWjXpfYML4Fy1
Y7BrtZ/9yAaClFuBCleRFpBkBBwFfpX9TNSM0xLm0VMYsOsxOm/FbaX1vjM0S3bgcwg+NEE4bOMd
wiiltPtLwILlR5mOQJBYrE6gFlH8lHsiGN2bUqBUi6UTujfgLoeXbqUk1UafQsA0+92AHCGuApEj
UW8KfDHSdQ5IeFTc2NX44nG1PLpG6RCagEiQiJwi9NHxavlzIdT5EkonQWUnJYu+JknvhDnaz6ar
2geLJQupfACUzqYYCaj30rlbxSnWgYBA9HThFN7NC3y1EysAExEnAuOLnwflT/Lck09Fou3TEFjR
n54lD1aimVIibnAoQ0vAHq/5L73RspFUdfmQTStQyiMSk/u7Ik6nl0B+NgOZvHgivAic09w+FC1L
oI0rscptHGk5P32MwT6jZJG+sXMDW6WjsDHuJq9ntynyhQ0MMeUHJw2AlpD3PeubKAlkcxzm3H8f
DZ7IusrGpwAyy2EoKute2ymsrMGTiJiVwfHg14E4oFgYPsVcNI/9la5lCwUIqjO7k58WPKukMOTn
YHbmM0psPcaGY6hHClgNiW+ldKXWgE2u1OOqNMU2DOFq6t4dO28fIklI3cTI4y5UvgAG5bnutPW6
nneUxddSESIYfDeu21abgYnYncHO6jaCy3fol2hiuKsHMn0w4v1a8HNZa9TI/HNIB6ATxAwYO3du
xy/srXm4x96h9pqEvmOuFv04FoOl/vlXdiujrAWeSihu8OKs/DKNjuWdh9MhnDur24dQV2swavWK
suOphGSxZRAhzxHzYZ5Z7HYMq0fEfhXcrpjgzWFbOzZvfJL4jLStnhskaaG8x4DuUXcHdui85X7S
nSOrWbMf4LWMpDNeaF7KM2L98oMwAy+HuSLDX8UKbUPa6fXxBKb6jjQGlrWyHCbgK7M53zaTM7JN
iqyRjIPatrCWCDEfB3xHv5JS9IekNn2uK0LAMZS2Qdts7D6M7tjcLUeLm+u3AfzotxAwZ3ZjXiwM
/hcz7Ld+xXu98ZAO2AebUeHryEoXV2SZfyyGsTwRUJw4exJrI+62dGRvCNUiIO8Ln49aHpbMGX47
18u3T3Ks7Aoc0KhF8jTjMPyamlBeAuLGX3pNLhakbX+TVqP/c93lTTvthixswU4F5MAgV0KKbjv3
YQET1tQCu2WazYSbytKLFHt4tyiOSuVrJGAnOTS6BpZAqWzvA/AUwDpU51gRzazXuF7M9pdrdMOR
pNrs0uCLfcwq3b330ZJ+y86LjmVdWG+jtTJepnkSN9Go5LC3kH9m7G0GcWNE7mLcFBiuj3YALLkA
CGZtvDkdfqQ0ySxg+kGdWTlX7aHwSTraAJjKz7QE2dHvtb1KnzqoWERW7SwvpQ6dRzQTqarbduu0
1dLFeeIxDcfSwluHp4PAsHX7OCI9LskusZoH4FALyWSMDzezo/KDZ8r8GHo1+BJtWPaT4JN51KhB
vsifg9tFl43oSTkVig7XMZ5NuC0PFRr992Lq5v/D3pn1Rm5sW/qvNPr50mCQDA7A7X7ITOasISWV
pKoXQipJnOchSP76/lj2Oaeq7GNf91ujr2EYtkupnMiIHXuv9a1DKkwSSQAtTMCKgnldiVbyJ4NO
iaEZ5anVQdCVXghPkTT4kgSOrExe6Gs20d7o4vDGKHPeAgAPh+xgBjOX3ss/ms60TW6XnFl2ltxq
JF0hZM56Jt4zxCPGwIjnOFfqD4kMvLvRwJNrufiy8Nr2dooDfaAgwXnZHlt0eQZDFItJXtja1b7t
SHwFgRZrHE2jZNmU4xwBWtfy1VDG67k3nQaJlqVjR3qJU8RcaFsCtKUjvAskpegNrE3UdTD1DYkM
EDYV7sy0tSPoJgl8HeQpNlw3Kzq1hgkWJh2Yjbno4memmd1SRuaV7/QRapXMTuMDwsn2fQzT8ips
UlYSDU3wBYyS/imXy5mig3KywWcygUV0RXNjQbs453YX7A0d1fOQOqCZsNjV5EHl4yO5GIAisKmX
B60egi94xxcnpz0z2vWs2jiYyGzDJ+iQRDwMjkI38d/NrG9KsL9sZhFD/GeNrNN785L9oCsT9reH
/Nq+cpxfTI8cCk/goPzG0P1H+8qxfqGl5bp0JaVhWtBg/9m+EsYvDt+6w4zQdGnQStqkv7Wv3F+Q
rXHg9IRB3cD53v477Svw9T81ZGmF2lLQwKHHhtTS5r1+3wX2+kRTzOPIdAfTBMIE5TgnU1ztGOv6
c5FAqwv03mAWMpd7+CXdoWTsmq3d3KuuolTrnixlIckqsBU82xVlNePSojxki1p/5bmp66xqnBTM
/wb3Ro+65Yhs2yo+N7Iuv1qz7E9t4XjNsddtJGN9GfcQvK2gjddkkNmp38Fkh3wQV4SmJUjjmFVm
4VtBQzffuANW1g0GZ1bzLjPR10zDOBZE8KQOib8JZUUhovGMxio4zW3d9Ec30u0nCkjjKWD7fWhB
gt6QRlZhtZ5xgdiFHh4H4UITYvyA18zNenY1gYi8LRQ0jkzT4241MEcfIPUGke6rJgCiZzOqu9cL
RepkiiMq29TTXNt0nQSkCCV1h/TplLC1m8gBSOHLiIgZZHwWG3KLG17d2AP60LNhW5AfjIC+whqf
J42yKBEjmAgnbPR1nOTVR83uczZ6LUaiBjIOWU+iy30ZkRW0ttnrI6wqyXSvZiNfNAcGYMeuG7OO
Fa9LyGb0kAvRA6nSr6nGefEwiT4rF+IQT2CFtvu8dDNuUi3wINk41oPuJgPWr2C65uDh3Rr4CYGj
09EZ/bbVy0+GyQiIyKp8DHY2q90RBINOVw74xKNepQ4KJ93+qo+uyTzdXmgreT/y0bgAMWG0JHbm
97I1ntAD9U9uKK1hqzKrdZnR5nqP6sWBPwJn8R5ECpaxxK3R6FadIA4IkFk0LS6pERk6z7CRnT7k
ft+b5l0CM30vwzq+oH2CWTLgLfyKUhCBdE0N6aDUM9SCZYpOAGcyZGvCfreKqF1cRRIdC2HUIx9B
MHsHirpk2iAfM4AdOErwc8L+Ujv9wv+wdQjJavbgutswpKyt0inX9xOQvwALRxzom962oDf3Q+98
rouQ8bhOY+XYcoZON1aF+WfFVAL0hV41/Yct5hHI2CwL2hM6CN01eHaCvsla7rcBvXeQoGYRXPIB
oIFRTanapuMCjFSR1wgaHFOFcdBA3F2zFb31Ma6Yg5trUKchulPNZUkJtlhZEYRj7uicFOrY3bQI
3gCPDQj5NMgtVpM8VrN3nbGn+EXfQFmDpeVVJ92oEW8S5QYYRSV7vdWTR1rB+g7QxOw7sTWfUfxl
pykCClaPRlCv41Q5ahnfdeICorF8bBQGzYEIACEHMvI8s6uSo+XlxX0YJX6XtajWSZRs5wNdDCwz
GE6uMA/H0KhcAGc8AZol5IbgIV/NNp/PxiAGOp0cE/ujRl9pepSWi062nqaB5po5jTbaLaJpmgZO
H7DTVZ6k8Wugof1UfbFAd1SNMoRWaXRQU1bMNzEcnmktuGX6rSfx9G6UG47gA3EFAqDjjN3PN2bY
T/OVBpr8sZtQC6JB6CT2O8xOOJRkZPTOHg0KyzwYp8jVVmFKsCNjzvqFoDdOjW7COZ2Z7UQ7V+dO
Wleyt+DjSt7t6j9kBfq6r/rax1lf3bbG0O1EVaX/jdT/Veb9V5u7LijvLEY6/35QtXnJX4pvuTOb
uP9hUvXPB/+20xuEyjBzEoS7kCRiLQPV3+Jm9F9cx7RRIgok0CTRsMn+Y1Cl/8KfsNHYkGNBVi/j
pd92eoMkGnZkjyAS+WuJ8Hd2em8hNHw/eV3mZ1SJgr8t0pL0ZY719QW2YNj+r/8p/qNqQKawalm+
SOIPbt9rp5G7yvYekoD5kY4+nPt5xGcYPMAwvVSzjec8RCj5JVKI2oQWnki1fkx7e8dKtRWa5idn
qPjHji1/dDI/DIarSOmPdGp3KQbKapa7ZG72sK3LiHyMDG/EwnJyt7bisdh0s6TZW3V2SG3zYjfy
mpzpnaqtixWIa3Rfhh2+jmFE489b0G73rlbdz2Pgo9WD2ExGca6vsu51zu6nRcubzzu5iCFR6TmV
e+hxhInKui6s8bFiZ6y64taWul9N0y7LbQQd3WYyggeSIklkDqyH1g73jUpu8gB9nhN59DRls5+x
zyNMzS5MN/ZYNxI8IQPlt8e22DwnFh9ZqFs7M7APxO75JIF91TpzU1f52Uoy/7sr7w9G9mL5kn73
JTq6Q5YR1xkNxR+/REYcBvo/zfKzut6ELOJ0ms+hqm/kNN04DVyJCFQ7cDtf69G38M38+QtYstp/
fAH0kiCO6La0HcAO8udwhprekmcQ9KjR8KmI+3D7ZgvnR6wGuLV+Ghk3VpDaO3K/6ILOj0MRwz8Q
UjsAGafhsXqfzK7ZzsDX1yTTogEUQe4H5XweMwwFIGLXthviFUNhnM8EJVgSCviOtGFvhU4B1YzK
fGV65G9mNgyrQO4DzzzVY4NzzgmIlWsNcDpkOyik1b0e7+Y2FmvuvSezNk4BrFk36U9FHdXHkhjV
07fP52+N/K/ir03Zlh/dfy4P+1oSYRCHUfdtyPyv//q3P/XDg9r//e2XEGC05GH98B/+t9PLpX9v
prv3FnXcP6bYy0/+V//wNzfMf22Z5OjwJ8vkexbFf7A88qB/HYSQmwhp47D5jWPz2/JoY5Uh3BFd
DeY194c0LpczkoN5xhbEZDH754z0j+XRRRdgLBN3GzANv9H4W8sjv+iHCxufiGOQbiJs05KLz+fH
OysuSPXg5aEdbxa/YK3q7gE0m3qOhm64MUf10GuNdlcgFIdekkUVUlovXMlKALiTKsk+52kzvDSM
CQ5B6vU+CmySkGZ6UsLqOkB9sbyMNkHJ/PqI4Y2qbkOyxt8Bfb2qvrU3VJCaX8MYwG9pAWP2VPCA
k7REZSvaJxNCyUvpgh0AI0LXL0jT26mUdykeilMmaEmMJjI7M7F1QoooPMPI6zde2pX3Zek9w5wE
rqHCEqskPTVbY36vFyNMLhipm7atiKOY6nsOeJEfQQVHttB5dxWBl5u+7+p7K7c0vw0T0OOKsZ7b
IHOPg5SGse6pJ2Ma5b41guzDC6riPJhh9OqS7YW2se1ee/AkKM2NnJIuwMLJORRL42A6+JqJyRCr
2g7EF5BXE21R2dN6cr2zEkv/yZiR7NHDo8VpYgiukOlImqw1XpzPJednSkA8DpwkwEBS18kr2Q0J
zG3YK4/kybcwvQRdb3QR1cAwq8SH9Pdv+Icy5+//u7v9hxXi/6HEPofcSzpOf7Yi7MqX79eDfz7i
t+UAQBWdB0oibm6bsNN/VUvmLzb2MNobaIiWxgiKmt+qJSGXlYLQPPY+wvuojv65HIilmyLpsuim
xRdvu38rhuh3YjFeGKuNSwqcjZT452LJcDjjykxBUiYoaDWqCAAc84C1EBHwyzwZfw1+5Nv94+y5
n1ef5YMg9chwwWsRZ/mzFo8paJsSxKX82SImdbbCD3CeIPkV4STffQe3v9YK/6PoIefGRUdlZ5jL
SvZ9DcFzSZcSgtXOxL34s2Cpt+lGmVFE0LvQmULnUgIxCSNxgE1RXaVBOFwRs5LswJwXm7BuvDdC
iYZblC7pAUMVvUsKHXHEfIDOJO1bixALL2yeLIwUCnIWFgHbDgX9HKN9ndQsg3UrHDrWyehGGPxm
6MMrZZbvGuY/JMmpeMhZT0h1c+JanDqr0W9jxrVM6+I5YLDlWAhfo9JviVVZTClZ/9GPWvSO3Ygx
aEG+axlk8y34PNAIHdEvu3roIYH03XBJ7Fk71YjEhn1t9UypGPzwUnonCJ5ozWGuQ34wO6s4zBxI
QO5Ey1oLNWdXzSZLCuYQsJS9hwZjOREbrIvO0HzkidYcndY+OCHXg8DV5mtOcS4m+4E4+LTaMNgN
jnMI+znGSnM7jtl5jIzOtwJ9WOPge9byCGaHblwSa8YNx4CR2JWGrooRrQDF12vT05rzxEazxtc9
0INDiJEJBv/kL7nwWSFd+UIboUNN7XNMG2+VjxZA/jouV7ajuatxcK67Ikm2WQs3LEorIL4jpATN
I1OgmHYpRT5nccBr2t1UDxtJtMjKFnjNXAd6f5Z7BwMTP2dqk6dvqK+QaX+QGOKtsFXxL6hWHZ05
LAMobz1kTrGiBaVvbIsnN+wcNqirX1RPzdaDW1iLInwJjfQqL9gwl9JeBVzqoqX6tgptFyv9UqbN
xl0+0dRcMmet6J7UkHCtj8ab7LGzps6hLpNsnYl8p1cjHCgVVoyPzQtEKYx3uXhL7HxrpjqZNn23
Q1T6oRu0EFM8DTgiPobAvTbN5IP+3DnvwmMITWydDsEyR6/vw8beYahg0xpOUZDCQ9bOUdbEPodw
rrsRAciqDrC6nhPTUgQA0aS8qTscMVr5XAwJTkMThq2pspPuje82OqVNOpJfmeaL9WBEO+/BZ14N
iH19aJIL/6zAuuLRzuot99qYovDaDMbXKGifxtAgIcBQwLxMeHJ2oD0EZnieEkdfY88PVqUGSctw
aNylxImPdgiFJC13dmM8ownhDQTomwOeLlP0OYBMJcvcOLNNZ42VboVaAOeRzlPbytAO6EdI82BS
vOaLvUT55K2DUpGQloF8D/CNIb0x5odOa3G2tc6D0nmnBYePoeB7sPQKZk1Z/nrc+VvV9P+vm6th
coD/9+X2rk9empfu5w3226P+ucFaDpWUxWb6La2W3/drvW27vxCspCMG/G2H/a4dYf3CtgufdGlJ
LLU6D/pHva3/ItDjce60DAPgpLD+Tr29HFS/34TY5JYxI8K5b4MM56dymyPkYBMc6vgdYFvcf+AG
n9Cljn8R3PzzPq4vMt/FeYHAHf7st73wu6ZHy0E2UZyTfRs64pdB14gcI8INdHSXDrsQKcvuu2/h
D7ZX8bPAfXlGW6Iw1lHVm8wJfjxHePmcwooJbN8RIy2EKgc2vMZJkytuF7PY5Ahk7t3eSfZd4N71
SvcQhfKoL8Vkip0OV/zI0NE8inowfMpfMhowlVzl4TyfBT6sq794vT9XHsvrXSotiZJap7PwU0cB
hVE6qRH4YhqU+ZsagJJDYOSfqVd4m0RjFVGhgzktdsu3BvjdWz+66nEKE2J4+9L6CJEFfyKfpTuG
+Nk//vzlGb+/Tnh5C/+UAyJqVpfr8fuulePVepVA/vR7ejlX8SxY52NZmhunVdFpAuXGiYZg9BPu
sdHXNVxVXQgRgNfs7qPRcjibhPkNFuqTENVBj7TLGApGEMGAqg5R2pB+Ni3b3Q1MXG4zhMuvfSjS
XT7V1d2fvxdrMVT8eM27JHhyC1FfWZxqf1KKu/Gs9K43pV/BLCcMl1ExYRFGuAF2Fh0VRvJ0nZu6
9LWyVW+FrchryfLCQ/icL65i29Mu/Th2n20OT0iERHHOUYM8j4Cm2lZeOU1sbAonBqycaeFNYfbD
ATUccIgw+VxJkoziQD57sjOvOw0iWzHdQA4a9tVk54e0yexrzkr1maghRIRGBO0afqAItngDKd5Q
0vskWuD9zZR51VR69ObCvZ5Xojerk7Rr6IMJMRiriNUIkbrO7pEYmkdo1zwmz3/+Wf6uiOWyxUgi
mZoKE6sfU9AfrovKgW4j20mijDXzm1JPi22ZKP1Md2HnmOJDS9R400/xiD+SsjPf902mPuw6a16t
qu6u6lANCHRrwzkghsk2Dt1RHN2FI9bQf6rbMirb/QAvE8V5lU9vXq8E3MGgPHnZqD0LMw3PtEhD
wkyqGGh7qI9nN8Vu3mF1/YsLh5X1dxcOdyZCIQ4klOzf/vy7VaxydSR3y03QpvVwHeZGT36xoZGM
xrnpVptsb1sLYayIoZgvDQrik1mhZV8R81rtxWy5n2Qrp3eIa/rXP/8e/mB9dTmw4ODjL53S/sev
IQunfMikkj4IAAIVmvIjGqaD1eFacsbhLw5Jf/AxcCAzDPxKKDFZ0n98MtwVNm6tTvrY5JxnHQDd
chcnN3/+lv5gQfzhWX66SzNyJuzWhJZOdzJ+1+n0nae+WAIaumLa/vlz/cGKgDKAPZoddenO//Tx
cUkmVWXU0i+kaZxMLZ/fZtTsZ6sx9TtjXILoCmBZnDqYqd96RdBs/vwF/MFHisbA8hwOnnS9vrV7
v7uySk3JinBx6Wedg2yL5vtqDGbnL3Zh43ddY1dQOABOYAmHJO38NHswWHLdKUtsf5DNXdUaIZXn
tEvi4TLSWiEwa0R2T4/tben59FGm3RD7gjZnLt1NYqpp4/U9pNjIgvULw3PnYEJZyfGuNaoaQgkz
+IoD3ErvI8ICYTitTG9u0DrX72D7/qIF/vP1wRwF9SF7Jfahpa6iBfH9jjTj8Kh7u3H8mm1nDdLT
XdnQ8jezXWp/8e387mOjt7lsfADlYHxL96fLI5oDg+krBzYns8MjTkptj0J/OIUNXB8TJPKej9r7
iyelFPz5rmZ6xXpDucTK6kgaMT++RWV00sgxCKGGV2ik09I3Q7fBuDCqZ6LXGZ6Isb0jt4u0Y/XZ
wZW5ddRkvGCYEatOj0jgJcrKQfnBWOS2rSp9w+K2tFarXbZYQNog/hwY7edyELA6VLmCJdqu2hzX
Tp0xqnfUeJDpQFSK0+q3iz1jvZhAPbLgcNuC213F+qRvGxFIWDsAAdBGnCtDy7YOvRqy5g2NBmZ+
6evIA10dVtxAdzQF1yz6h9Ry7wnv6m9m+8Wq5rdCn9ubAgsBrEsZPrel1t9odWJsVdKGm2BOvmFx
SLyD5rLLYgQiYHKy5PMEUnIz9piOsam0w5uRec3OiizkHuTHWJ/H2EBtqucPVTXcNu6OSElAk6H4
GsSy8WWQc4rXQuR4UsYz6hXZbCXzD7+AzwTETOKMmJqcTFkU3mK0yfkxEoKOBR2DlWh64534UPcq
RzSyBRciYM6lKsBMNQT+rGwn3wTsUl/gaMIDoXmDhXlaV5l9D9Ks3HS1ibWZKGwrW891NJ0aBuqX
IBpQ28dAAE2SovAElVEx74zM3Ac23XCAlAgTusnwPiYFIk/1D3Ra3hOqy8d4gaOYc5H7njs84eE5
tvnYbluaMFcBjYTHOklM1LaNJPCmKnN+V8a4ypu9lWfWl9ybH8k4cwl1JaIN20CDQDFE8Zi6SPWE
Rg++GWdwyXMmb7vBzd9Ae7Y3feNiNQii8AM3tbeDltzuaR9XF9oK4rmoqwwjvwltqCtpwdOAui3L
vLrAlKPZMsKnkOvcqKdNm4CSyYgevJgk6HyqjMRb11ozPWhRUO2qUkuvyTDDmTMyA0gptK77hICs
BFnVRtS5wzPb1XUADdxP1cgUCvTsixaI5oDLR17DhcP/wre3RyXTXaI+e20GZ3pNlneodKntIM7d
6qG1m8sHWqYMrOCd1sF0FWhOu8MIoA6lSMuvQSCih5JhLTqDPqYAd9E613TjNCKyNl1Xdxv4HXA9
x5DQ51pF1ymWo41eTWJdki754eotcSaDNR1z4ghvCum+R7X8XJD0CIOfUL5g1Rjx+ISWuoSmqrTV
NBF+HZkj6ME2mglZRxfZN+FTU7VPzChoPHVSNK9ZKbrH0E1toEt1vvPMqfSrANoyJ5/2jBlFbhqv
sff4wLJto7mhLxHKrumKFo9WU2hXMa9qA8CMH06LO1ZYXPl5rQ4C3ajPTxGi6ahz0A7vpgxP+C9A
oSQeAciFbgJeiSN+AJjQ/TB6rj8A8NqmiO9ugraiUVZq7r3ZT6+tK8u7rFH2jexZFbgHMWKaMZGj
ubydK9289FHOdwLXEld8q/qjJQi58kQXbSNPKVqBJpBAsgudZJG4mjZKm4lWngzm6FOHGpb/V80n
XSeDRpZ1u54kqyNx0hMbRJ0TNRklLyS+9OchlOqaBmd2kVOpIHdrua9VDKVJ2N4x5Phcw1nZhjbO
LrwLxCjoML8HjxRM+s/XgEah22ij8dVUSb9SLgF7tRfpmzgN61tDy5lNBRzt7K2ZW4/kVUnWwBBU
RBQVG+GkpA3r/R121JPIByjFLUDs5IGhUsE7rtKLqY8C4W1svOl47e+qIaHSdxVAyqQ1HJgmc5Fs
6G3dNAjWNkUVzXsiVO9FQEJyYRkrmBwDRtd+V8xV73uN8VoM9SkiSBv3xGsRW8SZF4O1U5Vt7BpN
vy/pmraYq64KOQRn1ROtsJJwcZ+7ORebqlZF8CXkeDasoiB3oJ1PRERWc3PqiHBfo3TzxzYNr/sZ
3VhnKLGOlDkba6cc0xWEtn7dx16hrWRbWFvbI1ke6NmRsqPclagETwTODLeaAG++uGZACJfVUdpt
eWfZ9SVKxQSrzNNeYqspX+ZGT3cicAh4IHUBwqQVn2F6mM+8arrUfSqRvcfZDvPivIvsKnrxhJYc
a1fvV47NztlAmVyywbz9gN1rDfWV42A2IcEKy/xQmTJm6SefJ21S/SoDnrntYBxxjTeXRnykEX2E
lU3f98HtcCy0IqoQ5WXTnR2m7gmO+UROrZOcdAvLoQWf5KmYvem5z+gBe0Ym7ojMq+k5W+yFkZHs
rIY4ZTRoKL2ttt4Otes8V6GuH+II9H9ihmy3ESx1OyXfNjXDWzo7nQ80uDwrbGqnbmjlOTB76UfB
oD8YhB9csrgzD02r3DNTUkZ6XhJeDbnLv7XecF07yVuV18kDfixEjejT9lyift2TbAi+cFtk1Ivw
HJbVxYsIwl5lFXX/7NjTobUWeltzrPobqZM60NrFjcqgdIZ0hLs1jHPECb3rXJmYsO46uIVvYKby
Z8cg7UfTrMcpAE9SRqjCirojAlYNjbfq5i7Z6RbtUs2y82OX1jZrmNVsLUczN7GOD8/Rmvpek6D6
KUwzD+JbtYR/mk611Sf44Jmoy81s5Vz4QYerZzOSgn6AaQaX29WfXKtzbl0ev2J4oV0KL8mu5rh+
s1tD+LAPkX5Bb8NN1/TXJIPvndb6KNzmGKZzeCtxVKIRG9JNqKLkMJh8zng55bo2J7WiHXXVhiSs
hcGaQi3YNkGuKhoEhAQPGlhoJbz+puva8BNHTFtAUI7FlkAEO1rhrWuuGc4Hj07jiLs87/Qro1PV
0QzD8QqQV/vWEioA66OOogdV8GI03ZLv5qh7X92YCJg0jpekLR4ngBLBxSgQIcYUfVucK+aw+hat
TJK6c87B+aGAM8vCbzynuKsKpzhEdTIQWj8iuE1MrcII4A67tqxMUt5ELD4RVYIFIgKruCkl+/VA
+4fBjE3ws6Uqi62yr4MHq8JcvBYZSSmtysPdVJNeTZ1Z29Wi9iRUsDWyxwX/9EzCQhbS64Z+S8wp
fXI/6c0IkWGZeNdplA5bI9XUxuQwNLLYaPJzWLMFOVWQERbaOzuP6HEQYhgyV0rlHrC+uuLFo1PI
qWcS0x8qrWZaU2vzzYjVjJKpaaubaoraq2RI7oB/v1pO8tTnVr+Nosk4NqTRYlqZn0mq44aGoU1a
dooeBtG1j4WN/I5lu9ENh2QG4mDrpUU0borcrjdV5vZnzLEQvoM+2jpmEhxzplHhqsmD8TBEahsA
Iyajzduyu+LvBDCMtmkqkpNG2ttjMc6nPnibLefOVcZD4w4vhH8eMO5/kWn7HBmWtc9DLb/Ug+7u
W70gBFHPnXM2uGm3yco435Q61AO8p8hFcySsGzy38z7PtF7QiiIbNMGMcuXJprvX2jTdEFpLxo5V
Gf11SpCptQIrJl9GRdDdmpfQ39aBDC+ZN94HY27uQSMXn0comYz4lW7uaS2p9yEJuvs5d2pwcgDq
cMs4OAIn0FuSbe+t70HwoehABwFmbxUUZrXjTnaxtTUlBO1E7QfmWUvwtlgRPu36dhni5Q+9o1mk
1cVOabishBfXmwHp+cGRhXrUm5hNx3UH3N9xyNjULmfOrOjBJ5gNdvzBY8gFbXAfb+pJAzpGGQM5
bEZYfkzVIvUkhubGgXkT+RatVr8xPEYoVqTJVUyS8xYyu7PDVQpfKLZKcy1iQ9sWrefeayP2PaJG
GvcTApLyMwd2/USLotw1gCm4uXtvx+ASkFQwX3A1rgfUtG8wEObtaHb6C/ew4U8mrsK0d+dbbdB7
f3S8jDIY29PBhBR9pUcYIVf62KRXWVQHNw3FB0L1FJ26yEo0XW68iRm/n/LQ/ZQN+tHI2/J17sN4
p0d1dI9KuryfpQkxoeomrFQsp23u2RfPM/Qvkcy8uz41jCvD0ZlfAQ38uiyFX/KwjO6hFNaS/5nC
QU/wXVeJ5n1y5q57cFK8NJu+i7+ysGTX0aDGT0qf4gRgUVpuBTFuXxZMFO8hSvcRovJzhgvpWsxh
fUGDXh5JmDAPAG+761jkJZMzI3yKqz4gDCAsuIHovSjbJRaAgu0p92JzhtnmZTtqnoqEoAHpCymA
3r4enAERNBbUGzqDwyPu9ekNRXB+LBEzewTuqPait5FDO2Vupn1BvXays85+J04XKNecFPHF5FK9
kGYKV3alKcM4SIfzcZRxmtynsLWmFdDdbEsOQ7GPCpU8tW3efK5xPgjf1BkcrMp61hHQhCr51KOu
2BjuJHwr1xqCG+F3ANwKcx3yxRBda7Ze+EKW1Z4c+WGlmaLiGBg1t2yTyRZOUWZyl9QhkUnu9KiJ
oviE5Rl3R+ZKNIxzwOGw6K5TZ7w4getw8Q9pv694CxpIpqogsrCHxqaY/Td+OmGuWnlazaxjDF15
B2M13jhNQhUSGKm1rsm1+CQ6QcNUJ7QC2lJcf82qYPSHeTBuxJBjENUoeK4xVAwvMgqSz4UkmNoP
BMIeKHmWiu/QLnS7DNabjjV5Ipu0xP1OBPV0xxulhV41cFUUSiZSq7tpN2JJ3qemppuPeRC0HwNB
wxyt6RwWR2NJwVtzMJDq5E2xjd0/EM60yaa0UeSB1pp2gzi3c08C3PwS1yGf+3zM96QimHfZbHr7
WIthwOdDibOPCj8pudtl5fqcMxUZHwpReT3P/YgRI/ZAjBXwB7tyoLh1Zrfyp7aZjDPtvUBf2zGh
8LZbJjMQthpwPoFOV6nptZ/iAQ+o0gjbUTWip1Zzx4+58nBPcPZWx1kr81cpqiXgJmOLnNhh4ZYp
GGjoQ+cno7Daj4g+0BUMUu2Nt15/7gPVgp4Iqu7IVsgywHdjFf7Uo8W4lm44XbelTfKg289ky8pB
P9MNC1nPB2gSm8HMYjDqZXUT4z6+LnWZfOFoyXHRwdf9mgB0prvOwv1U441CFmuqU9JFLig8UJE1
fnm7+tzWXrnJiId5ZqTEfTVk4GPtuLyHSOueg0aG6VZzzdfMoAGlWhgIncXwhH7mjtTLY5piMsbu
61DPzFp4F09O9jBigNuaOsLOKnLFDSoJhKpJ0zfOiiCwdjsVc3eY8trwKy1uOj83yuYJ0dywT9i+
HsM0JBbJdSMbTI8S7bGZk/SlpFzylSq7PbdqSChLL25RAmtYWNIF8DgapOeuu7ELivU4TkG7kU7E
LjkO81UiBAcDTsOvhqzdA93V8GQM43srhvem1T7pHAFWWRKLgymIo3NL09paiiW0lEX/2JDcfXS9
CjQKeR7vAzw6nDZlPF3T2WJnyCmsV65mgPGuAZT7VQNjch4r7b1FPgh0wTE/WkOqluDlWJCMZStk
ffB3IunbxqAjQRhijvY248wJU8oEt0EMyKsD3hyUAY7g86NsmmERFavXmGSBFNQcUURj4NwC25RX
HWuw5G0Fm7iD17PyUrM/DV09HxoFDpy747POb7FX8DGsDQeTdGd304gxNnTHTTMRVdXThwt3Xr6k
nLnqhpQO87nlrR+RO5JFgW3kwIyr9OkumY/sTmuCMet5lQSTvNbESHw1OpcVZAuXOPb5Kiry+uQR
07IOurp6m7KRdlvea7ug4qyrjQg1zJoAYhIxcAEtpDk+QiEPLSVtCLcCW9CqG9mSu9QYEVTM2q7U
W2J8Gty3q7A3qmtEM8VWtxrnUDpGSJh1FIr7ym3sr7QyFo8VZAB9DRL2MIv2Lg+a6FYY9AU9EkU5
A/bmVRD06y7hOpzsqQxhIpTTnm+8U8RzWgxdXcUVG8HqGbxnpZnOYzTb9jGdmmqdujMJ5mSsbyR7
77FPbPPKhdO5cSlXngcAfqeFVr2mOKh8YxzUOh5qFB+ep65G5cI36nRtWoB8TOsKzlcXh/zUrTXg
vm4cL/4aNnCrqixo1qZkjJbGYfEpB9rzEIb9fKeBLHlkXl9yJIqDPFhZfW36bgiz7v9Qd2Y7kiPX
lv2V/oCmQBppHF6ddPoQ4TGP+UJETpwHM878+rtc6gtIKfUVBPRLP1QChawKD+dgZuecvdeu3AIk
idMMV/Ul8Fm7q8TzsDYYt9ec8Aln6E7W1vdk19g+pn1doO0syVTETUeaiLPU+WHmLEkqWksiTY6+
KCSjLMmiIHNSjlvr9I1lFBOYa8giiIN25mifbMR9MYX2N3LMEd7Hfe6NT4Plm8eK4z2oW9oj2BoX
geM4kLPxmFdrcadQj599VZNZ0uoqmgGC3EJgINEaVldMMCvg6amnBuorN8K33gFowGtd2/YrXvld
o8W3vHXBFRJ3JFuATEA9J0V0B8kbUYO+fVhhQYwo1DGpm09dK0niaWz/XK9zdcn78qXJIClaGNBI
SxHWs6cd5wVARHIit2vb4/N9TgCos0i78xPpQiYeb1kCY3WgcdTEAKfF+JQYWwq4vgYGNiA1EjVd
Zhq69mVuHCJ63G6Ix/6vqEHWfF+bN2ZaGYclqU9Tpb3DSGZHVGTD74Fq5Scoi9DuDHi9K1bMRSKM
m5h8lXlXn0zY/3toP+XBy3p6QwkZMTzhNlnL9pa9DOMYb8xjbUIVTxazrj3c2R8O3qybdJ7x648D
4XAalm+3I9b42NB/Ir3EHOO2NA0w9oPw90LeKwg3OzWUHVAHCamhWD2smQOj5Q5hcHXja9QinbEP
iuYOfic0oED+HH0jPYzGYp3WhkTCwa9ctP86bHv3VmzD0eio79ohdW60yu7p/bbMDuoDMPnH1pDm
96zbZpYmymEx4+KDKLHe0AB7LQOSOoC2hAweQpHnNPumsTvZREiloImpJZbqpz0keVja+tu2pbco
1S10hHmLbNsSab1jti/YDgwZd5ISaJP5yRNr3+2I+6273dAwyeLo4d1IxHxY4SmQXYw4RAjKZu9b
sAuSazkhrWD51hAvfFNPpRPZrUvRPi4xUKc+Mr20nIjrkt9bKLbPLmEM4z7NBD5DDPtu7KzFgFtv
JV+RqiI7SyPHokF6k/zUE8aeL3x0Ja+n7lzq3sB6sR0P8AYRAaA41mlf8t52IbX0fvP9NYgZUNDK
0Pn6mBhO8qw6XJD5GLTgw3xxws0cpT7Bb9CGcwaY0zyvx8nb4MJ4CbuiV/BIaUCQxYuRbwUjRwu5
31eaJyzElkSfZiog6zduTn0SpqVL4GcQFOVjkHrSPjHORgK4jsxHGNAWt5WctnArgW/POI+ITx/A
PaXsh67JCIH1NCAijWiJp2KeyucRmkoasm40B1ik9DTnpMEw6+au99k11fi1tkL+LL2y3GknGLGn
Qiva9dR1IYy0iqBnVMC+Wq3hCKagAdzKraYYnKgWCXIyHn1Df9Ao1vsCtB0jzME7e66kh0+sjuMM
5CNu1R18TxgonYKHKk593X3B9IaD5873kv0d/Pi9jd2qLwbj2bFmcG9O2qSPkgPJhScu+0xUoaiI
1W7uUxPmCjl2chmjdBXdsZpUznRpJbamCA7Ajb6RbvAk1fKBXHFBAYgHJio2W50W4nxSPx0wbur2
LsCKFrqaB73OaTamqIQR2VjjE3t3ww5Z0iUrqq7eUwZQqQ5Q3qG5bFP9awO2FGrH7kOOPaeGpD+o
Wwk1Eyp9VCYuU6ku6OfnAMr1azp2227JbZrUlVR3BQIGQD+X3jaSvbV4VmT5GU2Kvk2SD+qF2tyj
SlORV9obdB57+JZbBVgP7a7LzTb0+IwnWRYcfHPGwmpg063HlCUP4Db9grVIg+NqWmNkUuqAOizr
9s6sGvmsiFTioEX/NDeJhmtl8dmnhnVYJ1ZceqvLJW+lhq+xbB+rR9UGARaJpCddHpZ7V9cf82zZ
j+lmJWncD/b6rTNzyCOcji9OMLgfqyITnHGm5GhdbhKs4RqYlwX7uNp5HpcBPZhRHOo+Te5tWkM/
qE2pQrYiISsjJWie/PCJK2lkHtEt0qpeKeGwamh9KFcRzrVl3jiBwbygn8rXelBHPXYz2Nn5beix
XvRt+soA+dBZvnesmCXtx033obkS9RVJLelxF8a9nTJSZF3JX4fWq1CMdFQmEw8aSlFT/262/K5T
2FqdfD14QkfNFc/tljNbNo38cMOSezNk3T4T0HJ7lDbjDpB/GgdrLajxUcO4kSPz72IUskPU2M3H
mvrzAyw/vVXXUVfyo/pJfpeJDkrwgMy5TnDnggx6riQgqFBZQ3ks8ZrQXNu8Wy8jKl4sLlFQZB1j
+jUJGuD3usKwGjd9zFR5N3jov/upy89MThg5iLo6LjrASabNEaOtU8/b0wYn+YjwbCYtBlTL0S9N
chFhRzJOgBzwUbAq/tgsTQoO4ppnt8MPzrmwy28klPiOAm56GErGZpNIKORaYdxUuegomVTrnLQA
ERC6ci7vZs4x52lN4DqOfQcSJsuWK+i5annZySVxCLPjkoeGGN+A2WfUH5u/z91JH2bfKjjWiZPr
dWyDcyYPsucERcrYIC5UcO0u00wVpwjY3CPhiX2RG79AtBuh9kbjtryeeAEB5E/o9do7G3wNMumq
eCi2zT3yKtkPRIFtb04mvD2JcWAVp62h3gMiBu0fCn7ZLiEIF9atRpS36JwItfeuIP5EzTesuECn
OcvFI6v0wUWFvVtbfZ2MqcR6r2g3nBOmQFEHEIg4Ndt9GslTI/uvlT+gW3gE52ztlbRQLDYsGmns
stkowiob54gekh2ZGXSmDszEh84z+WzxfD5mncWjlNrgaJytfZJItYjsEtCkpU30KossDarJOZnK
LOmmlGse+aWsn3Ns9AecVsO7SljrWkjBxWFuULbtVrPgG9fGmE1h1VxDJFJv6MmuzH4QHCI+YVfk
96sgKI5xohEKhIq7trBl6HvBFAoTlDVEqDYsGnu9yQyfLSdtJ+7O3Cr/y5iNz8YnqmHy7IsM7Ace
KLr1dJOIsxiKh4zYijEaC32tHIAcLHfBxuia7Le5Hw8ti2cWZrqfjjzWiuOjTct0rv3shJU3ffWU
2a/XjWgyozaoyBgxuLJIBjbyUyYrOUqv1j9EOuNdaJ4Szx7uFWj8U2MuMBBKY9LhMONw3WVDnjym
NIueebry97LprI9ZQEZwvT7dp4ZM46RNtnu3aasQ9gH1ZbJOjJ0ry/xAdTm8lpugMeXXhH0Xm+Wf
Mg1HDNlY+itINz/qEjJYAndbn1WgutsGZk7MblHtXU/352YBFkEQ0iQYv1h/rZLHcLEbdWMUVF8i
raqzXFPrZAwBKZDsIXa4VT7xE0Qi3NFoGU4bQJKvEn7Um91z0G4oko69kfX0Yb3ssORFHluDu6/E
Mv408Iuc8hmAEhiu2a1CWHe3hCEuDzyR1TULSn8SOFj8sAOiaTVk8GfPExOUbuqdLloZH6NgIDwC
I+xS8GdJl+RlBfMDz4BE7iU0p6F/tpa6v3PKVsk7E/jjeVgt6BnSmMe9pNY6qhxw/bCV5sNqg7Cg
hqitY2Bl1b5zBzQqVkdXLyi8l2SyxV3WtRxELI+mDZR+3mdevS7tGWL6W/Wa6RoJiYGEauvbi9Ea
r15jAN7SBJd3hnpqRyeB2rXk11Mt8n8nz99MQ0/3Kyz9F3sppyfiAtuoKB5nWq2xcIrxo2zd/kFa
9vJhJIRrQCsbb+w290M8NOMHy8oHoH77shrX88Fcl3cAdMVNU/XmoUqz+oEULLDBcip/TsSIxmoW
ZqjrKadUMVkdEFgdqQ3zNFSdGLIQ+Yc8VV6vDpP2t88aAxIMw3UTP2p4cswtOuh4FefkmyKXadTg
FsPZQypRT8pLmHYkZWP0QRrRjD5LU9qd6s6l7+MOB21747mD9BiCObc+ZFC1rLX8Vjia8tp6pNma
30wbUbL0bAt+qrfEbWeWpxS21kPnqX5fY02LwMj6N6NFS6NofmP5iN2FPaMiCenAMZpko9V2FNl+
mRlicWmOyqVrjKv508+yn6iUfvl0WzFeeXGeWPHiIVFTkPoPnWp/lW4JNce95sXqalcDzwf6B5mq
nm5Tnd7OXvu24Oz2lw1SZcVgyLBWk7lxtueVDUfLiabcs07V1D2vvXVEMRR65pQdVxKBQjnnKBCY
Cg24oxlk+SPtnro3gYUYx81U58p2yNJdbx1F93u1XCZC/Mhj7y9F7AwpeuRuyykm4at98/A9xwbQ
xYtPOsOzYP71Ihsqxmt0ws4lTezwv7fW5NzI6H5PSGv6ZWSZc6EENuPNT8tD0+f961/1jP+vHSP/
HxktbR5FdH//dyfI+69++F+7X7inqr93g/yf/+9vXpDA/IvpYklwTM+DD/NXS+XfvCA+jkq45e7V
Ommb/IlC9L/RFN5fBMJ7vHGM6wS6df7qv70g1l/wKYKrQCaIHBL++X/iBfknuWFA4CIKRyzclucB
wvhHuaEHA1dVSOcPOhvLWJkFRyq8fRHKQ58CeT393eX5VxaNq0Lz73X4LumOnNjgBnFF8Av/4T0p
xML2bwbkG5R9esCTVvxyeGMfJ4vQCobsc1STd02GCv8Vx7R1It2pICzjbdMJkbKTsF/xjPnTvxNe
/gl3uP5ewjcRVEtEztL7w+sQ9D0pRmvtH2ZRfRuomyNrxkvnwRISg3MOgo11vrJ1nOQVvKP1IvVo
/oca6+vvYMMjM/HFWbbAVP8P6tbSx4u9FKMP42NRh6TsaZFZefvyP9+Cf3HHHb6qxAQBtRG30T9+
isdFLrKt8A92K4+ynBFHeORoEUSD8b6f/82F5Tn9835LLLw2d1wK8j3/eL600Ja5FH5wCBrPjbHh
EZQ0duLffMqfumCuHFYm5NwBpiJgLn88VTCHLDXLxDtIlD0Qi9Bl0E8A55n/h5r7v36Q41pXOpzE
bPTHB0l42H97fJPcRIpqFL+JlEYGbTcPdlH+G+n2v7hTAUgECAy2g2/Y/OPDltFpW693vANzCbCK
uLN3YJ3KiKZAFS6Fe/yfHwxxvRd/vJvBVQtvI/R3Waf+uFe55Tub9lLvoAx8xXpqIQGA9XiqrMyF
PEe6TdcoN84GyJlbWzD+JdP0u1uhiALOpp6KEqEyxfoU2SVUgZ0pFWN6268iKbftYRBd3UV+1gTq
NDKNDe26ZvSkuy2bdqQ3EiY5bFY0SiZCMHHcR03I2OP//B3/CeJyvYGY3gVDb9bif3oeZ1I5Z0nL
75A2mTgV0vBP6yRNRmvy1VibuCMw+9To9LdnU1k7ohQvc+r4/+ZS/6vnNWDlJp/WMyWGpH98B5nK
Oo1MquBQVaNzQsN2Bxw22F0Baf+hYh6/vsnGg7TI9iXX+o9PyjqElEERYMwhsC9cRh/5YFt/A2Qj
9v/m0rr2Pz+wAaJbwj9sB3PQ3/7+7xwNqrZswxO9d3ACDHTlZORHzYr/IEx3eXINHgQB2SMtSZ4u
xmEto8E3VZi4TTcDj17mY8AM9bB6HuCOfpTu88jw9UtOyj/OLlmyjI7G9TmAm387DFN7QwJ8fmh0
tlIzWmOxxBU3P1SjReFTe+OJqAf/SISqGwca1zXCIBVpzdzHlpo8dQWSDFxs2srkMA9USymalcuY
FRJtrkV2NVEA7j6dFhFNHjVoYtbFFxnVNUi6YIaRjdBmRZC0Y6TsnUo1eB/MDpx7PL05OQIO+PjE
rHYS6e0Zu3lyseDYQQWx9xXTsFMmcx32tYUoYhm7Fweh8ocAPfvFOMcHIaIaKOqrIhIVacOeUDoA
+0FTHXNzKJ4Nkw4mjD5fEUbfMS9HoY2cZLbVR7dMyYU+QPKWBVtOF1L5P9z5yhXhwP9ZGsV7UwmG
bQAIXQbD+t4OtH3n1Vmk4OLaZD0cKV2RgOkpFU+W5VPio9EC706b8X6baIlCanMPvdIlGfUDYP2J
SWhSET8LyHyszlObgzpnlVpvgzHgZubleC2yRTJ6+DFVjoRgnn5xZOKazDaSzwxjQluN1p0akoRL
ZosRu7nTv1t9M11xcgUx8bLr3V2izeCNY9tKIdcEw6tP+AYDKKz9s4I5p13p3KrJrfetMpOe7rDf
JaHa2PqvOEgmZgUxkiNqXj8/ipRGWONzv0U/cfkIHpZfZJ/NEXElG4vQZOV7p5PyM+sEws5AOJ9w
Ls1p55tldj+lyqQ5SwQNvvXRRPzK4oHkVTurBj5Zz8EbXSKSq2ybvOgJ2cUPJQu+g5dInvhgKvrn
yuEgFJF0SRuPI865JsGmgmT2e0vtFT0QFoc0Mge0QQdfdKgTinJcb0VZq/PmDm4b5RW2ncRlDpol
pKSLjQPOjvWAaA5b0jSjcDCiwNHqpAP42XaKhmRKzOUCnIEWGKPt4NC2xqYJtqiBejbJHcm46REU
Oq2kpbH4fbNZ2zS7fOLnkey7+DoMpge3NNnjcbLUGXmDJm6rqZ/tZiaFOV/jhZgu1KjBss9zxmA9
v9txNlqak2oIjr40a+7vUkepu/B8VBvNRMg+IwixNgX6DJn1xl7Vr9aSap+POud8qtS3IAFWxAGV
BrphYVNwoe+HpZhAYFqbnA80f5xIVSVXn+Ln4o9MP+n3Zaes0T7fVUIj7PP6y8SVeVc01nz0bZ38
pL8tk11ZzPPjVJhdVHGLn2nWmEc6eiCv1ik7GAu7MEdR/WOS2AjQVK7HYDbqg+4RsMEKsq7uZmNX
iyAmCXO9LJvl3DBDLJB6gb7RJMHtpu6cyty/6VtfkSazoaXr+9QPkyJ5TdfJuVHaSu/R0IkbrYeA
nADXfgVGOeyrNLUZ4QEH51Sur6Bi2R6zesjRxYBEJbwtPeelNUVux+G4FjLDOzl9+D7NHR+LZsiu
B5drHMejTrbmguXFR/3szFtE4Co9CVcTpgHmuiDRp2ijpebgbUvAq7ZCyFp427NQXn8hECj/vuSs
uKYhYKMnVn4g22MhmrqdoZgYyVW+nO7GcgteXeVs+0WvRsSwf7ukQfExuoF7aLGnhDjq+jB1H5Kq
fjLNsjrVWe2e5tEukesUUbpN06FiuBi3tjv/Av8KyLnsyhop/GhYH0ug7ItT9Zc5yfrIJ6k1XFCm
hcJZLTRoNtGAJC5id6g8GFFVO8etQ/Z6bw0UFBbK1A1lxRMOhSaPtQN+A9mYoKlg/Ka9vatnT75w
SNoO2Jjoyre8yq5lHizLxW85t9aFQftjlxNFUqAa8yyCBEjRhfKeNF/g5DVZFBh5dMkClLboQ+Du
914fZfnm7BeBeMYeZ/tOzWPy1JhQ2LwkpaviOxenJQ0p8A0GNba7xPM8qm9JkPghk6Y2dNcNkJ7y
42JmtrNzl9n9aLyMkBrsoLFH8KoN2SRlKArXA3heuzbdK+ey5VHQAT5CoEgOGolbaLHY3OV0gYiC
NoLnjO/7qYN5wucADO46gajdheVcFQtT8rH1Ik+1IN7kCn0bvSZXhMnc5j1UsoGim7J4vU/0Sb/D
L0VOpbxAj6QirwvEQXqN4dBvv1eRE75Lzvpu9sYvWDTtiR+H/crHrFQ4GkiWDOjyrtUTa39ksvjc
8RKqw1ZccRt2UH7iCVRngWIX5zMZIdY6o9Sn1RXnOe1my/V5jWd9o7dkQerpvE0iN6M0MF5tlG2h
zSb/4BqtH/dbUiCryayGfAB35skte8xYnqOehWs+e3mvji0yyF0wbOYR7FhxZmyAFleN42mkvcQq
PzbqAN7ZPExKiEPaVi6YD8vYJ5quztyJ6habhHgYO+RajZk1n63v9HuFjCox1uKGpEJjt/RB+5sN
Kd8XTHeOm2tOryljbCZji5x/6WqTzq41abEVmuwqRL509iq5xqQyt0e/wrIw5/3vVoj2vMyJ9Wxb
gYq1uT7k6IbO6yYZfgX2AgjNMqa3qSzT33IrsaJwb+4JCDNR1yoak4yEnjZZMU6rk586UOOd1Rhp
XGHcOLvYcuEMFWN5XCaT+MCipc3JHHQ/1OajYihMPAjxa5tPEtsG7oTRJkPTM0Nak26ZMGPLHgeU
WsUW0wAtb5w1x9c01GM+h0vJmHiUSftDLKK6uU46hrgZuCKBW1SkJgTWCeCkj1zcvSmd8WNFVXpZ
2uVuqdr+p6y78ZYheBelVgUD2Bd3o932+yDp+y8bbfMBzsp0qiXQndZ4azBylgQrdKQcNcRYtEld
7LNuSSEQu/XrwpD2LvDm9mCyCR4XZFAN3MdXB0HbrmFQhc9n0j9VM2/s3BwKMOkTRsDYao46cc1I
at30jsjS9JFoT9TkZodODaZviQkSzjONjOlhyfR7h1YCLex4m4mpChGl7Fuk99GG9mJfjUiz2gUE
7URi1RQgvqwEc/Ct8y5iYz5yFUM8crBnupkWSbRuSYeWCPQBGKLmDW1cHndes59K80fj5sdxtoZT
Na4asGYvjnbrpYgbiOX17QW7Xy63Q4VQbwy8uG8l9h53XckF7Qz/jA2xiISdQ9+sXibMT5EaSyui
hIquzs4DR3n0hWmQorwpkkM2BTmjfQP9Qi1/DEomHx5Y/V1n8jbPeOi3YjsOnXpdB+De/bSeB2N8
8wsxPWTMMri0n8GAjNrODOwN7Zuwy0uTu8/pxA5Fl/geaMmvtMRMj01B5Yj3zDx9GdwxY2bZnTtI
Trm0LgbojhDzbn9baeNW8wQRcxuQajvb/o928Yo4FXXILhU2PhASG2/Y+2b/pBVXxT52ydCaSbzB
WFDtRokmxK/7/AU2Oi7ovnnVm/+G1pR/1FfZJd+WlnEucaE4zIcbaNdg1CtdIA/MXjMRHBGDvaA+
/2yEOnUDjk9cUHe2W/K7iwlcVDfN+3Fa091QgH8Xxlgws6V/kTEhaZpZxYxHnmAK0pgvsu+0HU4u
nmzDR7BtXB2/amL+WGTJEfrsdN8EqbxfO6//NVRVQNNMnsrEqM8B8tZ4SubtQLbN9xLfTOhS7r8M
ymGySZHPK2tI90fGzCOueydMk1rGOjCr81pWJpLdObsepVy1x9jkkcftj4yc8aH5Fk33oGkuwtFL
iNeVs0qXBBT3s4MonhKhnwnrG6XBGYYvXIiiZCmAouA7DmGyZALuqFuZ1hneM9Oqe8eeQS4J/W2q
N4b7nPMbl9NnXYpxh9NvZ3U4bZQdwHK0Lxgu3tG43WFJcXaYKUZC2DoTYEalT1m2dWz6DRFiZKxr
5vkC+eFHYTFlsbyi2+Xtd89w3mG/DeGm2bPXruem6fKtE/b4sFZTjS8WlyF01Qo8bWodnQ09bJeA
3+pUT8TgNKJgY2rIktIWZ68xGUB4yoiQYXO29fS3xhqng+O6fFOMpMhCpntpIVrOahtNJTFfv701
s+/zduF059pVvJpmGxvBAiC3NC8NNUtcUP+caeRzOCLaSgr9oJGb7VA6q4+sM+ShwX1yoMXyrMa0
jZNOhXJK7yBvDPe9wha7sHbsHdhrF/ixCE+Kq9Yvt7S62wR4f50vZQzjTHH6R5BbEv4x+gwKRK5N
yMIQxrzZXV6QXVK6NB1nSawgcdp67Y+FL3XGvMSccuGWCmvsjiIzxgP7rYl6ITNPKXbJc62OAMqL
PeNLcTFXBbG4HwsE1r7zhvPVffMX+StZLBEJ0UyHrLLN92qqkKpZhfHcdZP+PvNsPwzady9rTvZ0
YdvGoRuy6bDUSxbOuI/u5NjXe4c2TkSYnbcj9Q1N+8xpHiuE1XuvZluGBhFvdmxaOY9hT48vrOwe
lvGYdSNqoAp/mVl9roqjYkrH60eSZs0+V9bKEJij0ECJfAgKIqSWteCsVJjj0VWNjIoGhSgO0vVz
3NaIgolJJ69vbKLiOSUOxqS5kHOkoeU/5Ci2OS2W3RlL0RQ1vfuY0YgKp5o7vq1BcBSTZDhFL6Vk
rMcUWvT5xVm0Jpas2jfBvMQBLzq1VK1vWlAOe+yJnCulXV9wBXPAbQAfydJCLL6RX9ptyBnGRbgH
Rt7yhs9BkELCwmGTYjomuGPOiR8k9FxaFcFGWx4owJ7nXtjfyqawQncZfi6BPX+QDvitwcJ1UUuW
vFf59pNyXD8Fs4IjlWrANqgC+9iCxnpjmP2rEPKdj2W+rINT5o7Ovs84DvcOuc+4riVaEuZQ3Cid
3QnToDdEEKC9r0eTXlBtWHQdcxdbHcJQkgO7GLkBih+KPud9TLUV8Qh278DfADSULdrxZkT1k7XU
VsRrNY/0KprXzpiDUAdZ91UQfPWUT7n5IBSq2WylNNy5W64fShF8V1D3nujHuWFn2OgRgLSFMwSC
cICGSYNp9G7x8+vbplXl3g0AMk5LQ0tUwZtSmAAOBrPJsOsBBALOyc9rtm4UZrr1yFRrZ+QJ27e5
d8xjuqXrB7JX4izQ6tPhcL97S1twOAjWkAFBukfn2t1XNsPSclrzWxfbROgHdnHi8XsEOtZhm2pS
dVxSO7tNp6bYb22b34gJ5+vOKOmo3lTLWCF6G+3pcS1M5+dUoBc5G1u5HqYZPFJou5v3Qcg0qgCU
WIvca6w1v1seMg8Z6loQYpkO68tWo2dA4GDoZO8by+AQpKGrj9mFFWusM5XeNmwvpkidQzdV7I4r
CkmmJs+FO7JmBrr8UScqiwvfQmBPPu3ebNw+LPtOviZlc1MO051fW/pcMXvetcTO8xiC0rk0ug72
hQfVZOd4Wz/uMrjRaNuq9o0P0q911bQf4Efse6ut71C3lXHRdN6tzNCWVdacscz5Q/PZ4WY8D7IW
4D29do2cViVHSybT60xIyHOZTOolL23nQk4RcSIGDlMTLxv+brIxCLbqqqPVBcB6By8fsZMkjJ7R
EbAm1ib7Lzlcfg3dFqlP6oFWz70WUSWmMoQ0w5jEykvppa+qhJZZshnsvHFEv+SqvoqNZO6+yOsU
8npPyheP9ecODwjYaZw3YLIoJiFXuNK/Zf/OyjgX+imRPatX+eT6AU7/idhRSf8S5bxJwL0cHxwI
WxGdnCnsk8nFYmDc0XAHspnMqLISFl7mCLEhZ7IYyk4dPPApXY4sf8SNExhGH6GFxbA+Baq8yBSn
UKn6NwLviizKStugQOjcL5dS6hhMvgi1JrtmDkg+wjA2PlFSJrz/NeK6zCC0SXX8VkP2Ma/sfkIS
Z0GYMGFKePeQODmnBp8GU+v5jbilI8aA+UCn1iK7JjEfetH0extcNKwMowyrHDpFMzBLx5+pzraf
P7kDYtt2ms6JYyK74mmxCEDN6j1dnfHi9YUg4AyhfFQXdW1xBl+9w6DNCUWV2Q03jqfHg+dJo2Xx
Mv2fpAwHh3EV3Tvtj+4RdPLwlM7+8EGienHPlacupnUXW5P27jnLzSFyXz+uefsipDO/hizVx2Cz
lnuJvBV9VVAl3+nBcsKnX07ihJ2S6uew5pm7qfc8L4aKCrh+TlUHM7UNhuE3Im0LmJqVbOA84ai3
h1oS9rvr7S54ZS9Fp4tqh26WXEfKYBTrejsNAVgPDt0mI1V/qHCpeDVUg7J4LV2QJFbmKxLtEBgn
5nXikuTGtxVV8VLhhazw27Pyz/2TxNJ7qDvLvIIbPH40tro87enoSc+D7h9wlgXNsShBMHTJMp0J
c8ekZwkb3USyc6b7BJzX0Bf9brbJc20IUel09xvx42szLMFrg8+UbTeFpLlLm76OPGv7wJb1Diie
5Bw8H3E2kXrZl4hDOtgC7Zrn57SlJ8RA55RWufGG0SmPgpzeJW33MsyzLT9jY4tqcgDjoaXqUqkk
gg0/SdxjH6Txkmn7xAkWxUauMQDH5sCuuGt7H32PhPHUhNofip3Tz2OKHSUbN8IkTeOu7fEOxaZB
6NKOjkb2bINLv+HQ154EaWD7Ic+6Z3da8TWSiopuE0EHU2oaHthet1EMD73dOOQUe7b7YqYdMtEy
pYjUVCttRDCcPhtgjgYkcOsSlz4+XpXS1jRnz/3ge23xsNbo/dUo2zd7mwb7WrFUD4mZtjRuNmX/
XIXi0Gt0RhB1QUNqM53F7tXHkokOcLq2kEs7sX87bik4Cvm+gcO1qdje6Je8y6X0PoY1826ZSLWX
ConAE4NP7+QKjBamTNMucqUBYiM1HGioZMMEn9PqtxxkjLo5mexwJs+2CRx8c2naIQzn3SqmtlGR
QRQGUT2O/TryCr8lZtH9Lr0GQMoQ9NBPlCkYMajCBOwaOOVPhRnglBD0d4QMkyMYlEkalZnRs++0
7jfgwN697Irqe+VhjUyAQ9+PS+t8jIZ9TWIkcuKrwPp87mqHf29mOBPkRVEwhUuNHSnAA4IKWvok
YtSO9dV3qTjOoI+RNWE5eyjNhG6Er3o89ptDbzczYpEliLT6YPjdNqJ9Y4iUvNdp3X4avPt7o+fK
F1zO8uRykjyuTb69JyuB4E0qeDVRVg2fQhvuF11g5xu5On04Qc2IExsvjNNzhP8v9s5jR25szdav
ctFzCuTem27Qk/AmIzPSRZoJkUpD7z2f/n5UqU+rdEyhgTPpizssFCRlRpDbrH+tb02SOteMR+RQ
aIrmGZI369Qehy8xOaRv0G2WmQ7eoK4dyppH7DsXzUyDvRz08VT1vfsSGSJe6jYhTH10woOFzEw9
odYUmyKvvLcJkYUXIE/KFydrwCJz1uZQPSUYmTkALnAr18HG78wHNq/ss6Np9gxDQN8ybNDkwjQr
f80xL1oasUblbEqbL3N4He1G91ad4Sfbzo+ja3wcTbZg2S/XMi/SM+MyOiQGH72LXnoOJZlIZ1NU
j08tpvODD8dEhFSijmbgQbJXFByTzwuaAyGJ4iPikFYSfG4k+AHqAaeFcMLkgVydrq+oSc1PLBhO
sVIh3xwtTFW+5Zo8iGUnSm7ReWoCy8/CJOacDW313Yiq/hbBuj8T9izvzc7OP82ypb9Pz+LDRH78
y1Wmc/LIWlz5YCewmRLF+zLbBluYiHvA1F3evszhyOeoqmp7QaVsReorLGkSG3sFFHjMpLXjUXVX
GLLVQ22WBvlA0B4hufBav9OqRl18UsIfmV9dDCLiy6zmRNKNBWWfduID7pJQqM5T249vKQ3u9rJC
O23ndAwrDNL7tKsbZD2TxHO64RrAh9wWHQcMzSom/RAFpUpXQWPAH6wGL7weh8bMVyZTV9YIP3M2
lAM0xyBi/1rF6BWbfip5dNKMYOlSYNrfCljolN06mn7qYDAwtspaca23pNVZ4xpaKS3bf2urwgOH
UdXPyhghLYMCCPYkiPO7gC/K2SinVo81A0Jq19PS/uBopDoQYun4jluzR1xJCiishZ3iBWZiPI4b
nuao3noGe+YCZAPgKbKH1mubuySDCo78IJZl/2g1887mWj3UJw3VXssM9+CDc6qqeFowOe6HBVdr
3hPOSPwGDBMM3Ml5yZaLjj0wx7FffFqlPyq/95AsGxNH4ohVxDCuzAYJk71AVdZWYpAPVjYKtliE
ZsXAQ/I/Hoym6zBFj8rI1pRmw/FqDTsHLh6ESGe1Eb17tUr2tgpNsUz8RjdWtj6jUhKvfK9Ge2TX
VQbbP6Ob8YgDOFnqPYkF6urYPiKfy1sKQSTeVUksP6Kk0Y9jRTEaRvJxDkikZGfizlomUTNilWQI
xCOZ7Xu/ZVAG4MY9UxNGOKRSLbtJ7dXvU1QYHPGEVj1FdpCu+o7TBDXIX7IzXJJPyj3A4HDP/SSB
L/Fr14exqqvTOLbailktd/wx3tCspC00pn1b7jZ5sOLWTBkeNAaYGMRbz4Fj3iTMfbfCL/2HIE0l
HJ1aG3ZRagTdhrk9ZJlavZm5Pt5pVqTeNQtpx8j0q1EY+UdryuhR2kGi7+iXdhF/VflMaCW70vzc
uE7AgN35mvgrI8Zsf/iz5YUSdVxQbNyA0pSajRq/OBaCWJ+9/aUz3+kZnnJjPtsWZdtJU4Ts2xxV
bwhpRY9617GV/mvDhPpHdgksKExBoSRjvPnN3zMJDfABoKLtaPnNjWsV1a6raqYIoPG3EpQZhMOA
rRXmWPfRT2wpVdumm6KLDZAX9Xtc1LhRnRSxk/wL3nkGTNlgyU3PMZ55szDOmd9LZJnUsmGdp1SB
V5bKD72KAMbWIVHajlGFiTYocWoly7aPJ9YVTsDs9Qk5aJAR23SIIWLgDlpZpD3hj+Fc1XuTuPeM
iepH41yG1nuU5Wqp2V2zK+f0KS13NuHPAKefNzjyLz468fc2QtdFs1VSSoE6aP9mYkt5lPj4FKd1
PJTcG/QzpdVjvsRAu88MLEv9iDcD9zi70tiOx7Bux42brDkFzB6DXkDs812Ky4OODHmbWuvIld0e
4miwzAftOOgt990k5gAso2iXRbH9F8ac2Uj6+6Pnmgy01Mz6xp8zO+d+efQgcHlF51buVq8K8raZ
S/s6uSlgyZPW3FE7aa06NuclwNXgYOh6+8nEq91X+uzWQ3AzDeLgou51ZA98G3/xbP6jHw70Ms+l
7eJM/e3z9dHwLMNK3W0MwpadXPrule5l1V/8M8bvEFbsSXyROB55BVjajd/+nYKBsaq9wt0y/oR7
3Qlb2xHga1e0NljfBRd41kjQWZnhZSuv7ay7kEMo9J2+jI94dtwb0F0xthlelsLM0ptGtoTpY2+i
dzzUH4omri//+qP5OyIw67VumKaOdVI5aD+/2TTLhM4K3D3k+2qySguoQSY+b8TByIsJlnENubgx
WOQQUAwAS3CCuO6DLgkOoxqtFWaG8YMA9XD14+f6d9uv/2n31fuvfVn/i0zahsSI+ctXOFdw/azW
un5LP//zP3Zv1fiWvf1q0P75Z37C+u1vpsuXykWffhtcgbyJ+C6a//wPW32jD8mav24HCCwdWH8z
aEtqBXFJ4lbgmi65vfN613nbBLS+2N9A/+tzSzCP9Px//qsd7PzH1kOxGB/2PymnsX9/RXBLw7LH
kozJ8x88brEhAhHHQQZ3Q3NuMIX3NorDnN6ZCMr5BFVeuNQke8bwpCfdEo6rOcBp0+FV76pOuPsI
XfqeKxb0wc6O3EuOuv8s+sy+niZdPYamh4uCyTpsDhl9z0NNXreVP1CBXfk7KzVpveA2HY5zGlB9
xMPEJKYuIfowOREPZIoBwIXcB79IOYsTCn3yIFDgVnQQiAMZI+Ncl5IR0IizoQmsdO8X3ADI9EWX
1DHhfGiOd9GLIDpFUboJx4YlTSPaBUrCXaPX4tyJGtQQO6DzK0ZzkpFEGk4cb2n6Zsk7Bz/q2g1l
tg1r+KpqiJOVZFK5ls5A9KwBQNINUXPdwkNZ4aXAhIrCBXNGv1JKFSeoNtphSHRFgjPorhXxwU1H
DPm+a/TmRHZ9Qom0sutSqBoRojbWZGS6uyQLmj3oUyLCCXhBpJlrr61IGJcD48mhdV8MkrnLSSN6
5NtCrTVRxjcJLnJ816T9m6oYF0nbTG/gNzh6ocJtqHNviUTOuZuJXkevasxDpXSBWFp8ZVlTMHlt
qjLkUhv3L3oz+Jdmbkob6S15cL3W+2TBJghCe3vRAQCZG7hG2GXh3tJbmJYh6J45ts/lWP0o9XIm
e3iNxrJXm9hT4TlzQECGTjocXQ1fSVX0DqIpqJdwlePlW40gDomya5KBBddg2BZFO2VXTtemX8Zc
ReZ1BrKQjnNrVwE/uJJze5k3mOU9ZJ9kpUqog0AivsYhQqEPmvygcWY54eLwV6mWNU84m5HAHbd9
srsovOS65q8YY90JKyqOUdeLL9Bp5iLVsZZiJi9bhor+iMNFRB9B4Lyapu2dimr28w22d4Sga67a
PsP7xYgVvKvHHhFzVSjME2f56A5zgbEKp3o8DKzsN6AhtzBnH4eA9mpmo353hcEje6tojt6NIH92
fugEV9VYxORnk7XwB29HIQyOSjlJ67anpfEGIXNkkG4NB9qdsA/KynLWMWLsM+DA8OIXSbzP4r5/
hdClv/VeB+2OkeAKTco5YuKsV6GLqdMyb8PBKO9kN6RLt026t0iW5cUcZLCt8la+FF3h76cWoYfg
kweNJw9DbFGcvgPg3WVx7dds7gsiFnDpA2Jnk10VN+YQ1mfuz8WTB5iI3kqqnneiFIjWOjnNTYQF
E5rkGNHurAzO3anhg/pO5Y2Q5rBrhoAIfaCnlNF1wugv1GrYB/ibIzdVLT9BpygXVhOJm3BysIxl
rbFugqY61J1dGQvHjoBsWkVhnWIoVN3aSxrj04sr49PhTvDZYnA6IUUN1apPCXIz8eySWUyE45vV
NVPm3tL7R7oCMeBg+dGTZWa2sb1ykeVXKZMfAmAyMo8Mictg1WZU04nMRihmqrjBt8I6mNuNbq4K
lTnOXLpTrBtpE4ubbM25bhwDwA2QRPmChZsTL95FRoqxCVtuMVIshfKRIGozNyXaA6WoD64a8CTP
UgU+Kg2XuNtB67IP+BvWAOjGF68KRoC5yJgvvwwA+BQI4Zghg00AFrJzIlr7BQxMw9gfTt4jDmsT
eLDRPyOSTdmBS4IEP6Xl417rdTPbNilK97J1Q+27n4PEBQNc2M9tYKbO2k0cYv0FOGeJesqiTSEn
C+MAd3KpNdmwaUU3tgg8Oh7dTLjaixUMCd46zr0kiI16wBtqMd3YhaEowNDoWnndJyCX1/RfUPQB
aHyclrXWR9V2zBz8NL0w83sy03haekQEuMV4oL7r1eRSrkQKPUAzNUVzX1CferSrKd20adFUa7sN
/HERlel4r/sxEjh++/aFoS3tjWlIOhjDYq/CdVxDRohbDSuJXpsed/oEacUnOUExdwKBeYwSa28Y
DXpuLcPhC9Ete4I0UpPNxE6GKdDs0cqHMrkLY9t7anu3PiWu+oIUWIHnc+/UMKBtTSbiD+2mubVp
mQcdWgYWryN4a9L5HD5f1Q+Xr8/8dK9bPgnqEDr81jc6+84DgeOcfdwWGSnV1GBuAkN1g/eeX6Cy
wabFidsoqFCj1S8TFt9HAC7DsfZG/6KrEDBXm6h6hfyOetNbVf/JjbFdyFnmAU8GZ5/eOPOkxUwO
Fg1oZEZSaWvuNS3hva94EZ4LM7EexsbiaJzaYNhTI+MBzEH3j9vJ8zrkFd94bOs2OMWpiSoQa3oU
rjMri55NGycvKpSTHiwFjWw1TSRD0c7d+kBJR/nkWJS670MUEXAkdkq9LQnYpF5Weg2OPOOL02QC
5oq5Lz8gBoQESZdT72Ioo+k60zremIaWjCeG0+2RNdR4041mfOp1x9knGSPhhWdPEWtvRmNwz18N
ywVn/AsVXdNt3UnS/pBIIU2YpvbCtHY4itHRH1N0zU+jG8ytF2buxZ8GwF6Fm9wqOfj1qh/MDkmM
yTgmbA9Qpscny6Lb3ESeMhClAPBcuk6N0LtDmb9qcV7sXWGoiHe0kPdmiDFrwaqofc9KsrALGlYr
XAIAjRW2GIejgts2yRujgKnYal0HjA9txmVyH+ZVuY2I2j43adXe54iNn3ZARPsJvj9Z/mrs7btI
RoE/I/z5JLtowt4b5/HZDQxYBI1niXqpfAh5XpNKQKT0g/VNANmldnpvVfXhyoim5DvfFXGFaXAK
HOcNu0AHiEUpY7qLq4BxYyzzFLNYOQeaY4pLbjV7ngeIUtMvRQQ0bDm1yr7qgsmCmgM1wMcXVrnt
le0LNLy4RaBYeYHZwAeL+dd7NDv0nTjwnj1rwLoLtYeGG4w0N2Awi0uLfnfb9KELYi7ke4+qrD4b
STqdpmHu/SOHV9+1RlLc9Q6Z7UVDJG5jVYbDG08x6z4MRusqogazXCp2OJ4Mc6TLPWqNjZHjMVnK
LsYyOekNJ1ojCKCRV9ENRd6kjnALiLcJUe6iwbhLMYXW+rVVDXwibhKXV7o+8AkVqgh3Bhi0tzhM
5DvXYH4sDMrNxQVqxueLO2DFyMF/dzjP7qykdS8hV7ptMJEyqLVGXMcUNZ6S0WT2RC3CtI1weOzY
aQEdpJaRzi3387wxj2r3ykPmOQ6qQe6chN2AzwyD+hVqGlpcktXyKync9NNrI3kwPc3/DukGi4Rf
gxEQg7wOsOPsRygq4x9Cyv+/NP5VqzL92cht/zzZuyMF8B68Jf/nXL19fNbBn26Pf/zhn7dH95tO
dlfaRMrmlO8vXaom90qukyzYUhl/tKz+jPdK+U2Y5PZ127IdIbhH/u32yMVS2jbTe0LExFDn//Xb
dfFfXR/F32WydFvQF6ebau53Jnj7W5+IYHjCEb5xthluAqitNXCi2mXiXWhj+c4TyXKlB9jbS9PZ
Wlqf4nzxmpXdR95eWCUMenDzOzYdscpFc9Om2A5U2kSvSRXbm5zqBQFoKS7fy0YvFm4Ndh/xzb/W
iMLcOfMULW8zP1gYXMM+8PwDBQ1q+w7bWtivA71Q7x4uZsx7ygo2nZZuRrc9hZFKjuh/pAF7q9mX
k7+3LDyg8Bv0TVi4N+Riyl0B3fzZ8kv3I9YsWhLBOeNup9l0IzM6cdDIk+HDD5X3ir+4PUzYAVYm
XqYthIZgZyp33I7437b1UMJvEskJFphzIxOvX48iyingQL0vx3Ymf+LbCdt6OvfYC+CfDQHFJNIa
t16SEcqZvLB47LABfIZooScQfxLkfPsw1br7BMvFOUsbRiQGiC7kU8091vIwB0QGB5s2GxIMbCwj
5sCtM8IQaXIRP6NY6pgc6HbLYvHOTIAuD3DfV4y8uMbZDtkhpOu9HGubnBmxn4Uf2+H3wB60J8aP
zrEMa3XlO7X3nUQYDuGhNrWvDhjDKeVI85yzM534wvk9zQZsepnBndLVNTnaGgMdZQ3LkY1/jWXg
i3bTbMU5jpxN0nXpoYzxxlasm30K8BuajtNysxQek0hL8UFpGaXVgvrTyWMaRjbqmawUG6qVlDvX
xH9ZtLExX7vrXSHAPPfAcbaOL2xucmC6Omge+O/wEDCf8C4OR2wC6Ub6oHRG113NLtZMgXwZuIPt
WgHZtFN2ehMmtOAyvgkIRnQNajlAuZXt1es+tjEWcqZap2bwKfhIOLllhXltGF20b0tnwZdOiU2j
p1d9PrkfeBn8x4H5Ju0OMr0wA0oOTuBZMNiZWy8GwifceLG79YUublE39Azwi6bm9vAqXaiqhQak
6htyV9rSoO1iQx+puJ7kmJLcsIZrTtyYli3BUxsy8XpMyJaVq8Fqpo2W8pm5kQFht8ra1wnP21Fz
nOKOM7N9nMLC2eC7qhZyiD5KNdfGQmMqCE1e4mKgAiPlUFxBMGNmFa16E5cfk8DsEai/ex3w2+Hm
0LpprXs919syiPzrJtf9sySuhDpDOzFv2cRlNusZA9eSEAk2fvz+I1KmjRfl3Zni2oX3o5U7zazU
BuSvQ8pnnlvm77UxHJzYi5aa3q+wNmibioKNtJPFzikr6G+QKgIMsr6RCSrUIgsNO7D+qrxJ/h7n
Z9UTDMZ14vQGArMzi2q/iOueHWHir1kOuEzQ6gsNaNKxtMNH43HMiiuO+DPGiyRonT0nQ0Lzel5W
wPgnI5QL38vaYzN1/ZeXBu0qC7Lk6MIzSZcgweOr3JfZc06d3aa2abhZW9T3pOsGY5GHNWyK79wf
73P8492WQS2xOfFeWPt6XhcIYrUjJAMJ8bdVWvz6yzb1U0D8tWPanuXKPw0WCNszrGY2AhuCTJL+
24o/ag1CYuwTVjL9e7hbgKljeQ+2+JXAZbQw8BBh6PHLK9xPtr/U+I43JDdAXJUVrQALzTcrY21O
QZ5w3fUGjrCzczVKuk9OivNwbxj3dtnvFCe/Uk7lsBRt9YpZapMHnHjNrD6IRDjwjcL3shzyJc9W
eiZ7XO0RTEsIz0l7cA3GGqJMU7WsY9Cd9G3IfdZV0iKIqDdrPkex9HpMJZ3VgZRxh/Tc2r37mjtx
9jp2ejc747PvIpXttemP5XXiVxTF9DNbsunt5xzL4t5KpXce07C74z/tTTW1IQZwGRyGjuSb6zbO
eoKuuu0h421zq5dXwunHPT0IUOB71XhAHoV/D2wo6hb95NdLfuweATIONjHp7m3VMzyL2WTXiYzb
hj2o5bpXe9WlEaax8qVbXDjiu6QSM/VlYUoC1RvHx5ZpN3xKMzpyaYNg1UIKvmiNKW7cydHuZd2L
HTgjIIlEV/NP2NbDheSSdTHtPDsHXlmdndjsDvoEskgaKrjySr3COKz2aeWsmi5wVnZeNcvSIdOC
69BAIOsJOA49mKCuz1oQ4AnhvUChyiYjmRNEwOq+pUlriejAQTc3BH2N0nvIPZVTSQzjqIl6uWwm
sye0RVPCK/mx/jRJ0VxNVRMAoq+HY+Y71lXqxHLDwTm8ss2Rm2qFNQ/sZzTSCQA8a6lXHTU+8IBu
0BEg/iNql9vB8EfyEhazLSWpqajgNDEVi89tH+Qna5hm3l7GZcyXxWGwbPeW/JbYw9fjuGLvNfya
FfjGUQT3CZeKsk8w5fojEFmYPpFj48Flm1iSYDvX85rlW6xe3ryOSd8IbtNJ076oQMnemfUCWa3A
lPWVWKiOgGVWJ+Z2+rEwtj8WSVYKtWrnlbOa11DQqKwzMOgmFoKAQAFgePd6nFfeYV6DK6GGQ9bn
rLmFKMfnzOucjehHVnQjL+860nXHCVbiq4m4tcoTG4OGVolN+mNjiOY9wp53CyOhDomMG3tI6cch
pXQIROGy+bEF6W6BRO5qY4N2aJT2w6jn5g2ZeuWthnlfQzPD2uxA+je3tU7BidYVxaae98m2iqZV
9GMHzQrf+d4XUNnwkLcNhGoRFsciSRkWFw1W/hzL+NYLiIWtqh9b+qTXfLGjVgOaM8NuY2D6qBZT
zVdk/zg1jPMBQuMkMc1HCufH4SK2+giYrm3ifObcoXN89NygXFppgJnISxyHoFw7HNPEIJLrasPe
Y8JH/BXebsHRZ0UTWbSP2lbA9nMCtSLTBJ13yHE8cdPDvYq9aC9pHztFfiqegtxS101tOnc4TOFO
VcT7sXhV7mc5FeI8oOm9dwkBrbAew0eCOM09Ti0Qrz72l33jB9ghvErDaYhcw2XT7SlBDwN5bWmS
VK2GX5YzHdGpXgmLsBXm93M6FgHuxCK9blrCUYuit6vvQ9U96+ifc8xzFrakbm5SzzG2DrfoB9vn
F4+4NezpsQEcF4DDePBddKwF8376d2Klnc0pl3vsHuo+jXLrTO2WuQxtti7unflDQSANe6ReJXup
hVGzSumKyYCHOORqjQK/gDtE9ckip7a2ut4lAhDq3wd3at9lnhV8xqR88Wjxom36fjL1hYXaBVbP
4GMcUbC3hAF5i5PBCg+2VaA3VY52cMsOwmQ0DIfIRoCDW1nhSizhQoa+pr8YNMBNMHMfsK+Cosi1
ZBtmXnggc1QPfGgOMYhRxK+RtDzSMropsdykzXcfLem1aEEC6rZihJ/HHpkt77sOrHLNT2QSQ8ys
oyhcHn7NbpI5+h/eagxqScURElyQaiOi34+WOof8GsSLM3xMeOpz4nkg/z91oaF9EjrkNs4BQFsV
OngTJ2zKNaN7/TmvY3Xoxro9mRL5wzdQk0k1UQdBMBqmcAB7sc+ccu1wYF8znrEWiWsd8J58QQH4
TkuKpJEqBbHjenm2tyvT4W3v59heVPp3KP/jlpWHg7UX65doCHEx5+nFUIV4VqVBYr9NiieMGtET
TrLqM+Z9X7mg+XZdQ3u1q1+klRDDhRVp7U2VnwQ42wgFm0M/HsJ2GKx17LBX8FoFdb7WO+Ic6Me5
RVswUsjegSWw1L3YPKDpyd3UFNHaqMzxBep8Ab8VqtzQa7AkA8t7F1Wotj6p0J6Kr/lYP2UETPuh
nZZDoD7aNvC2riq1jWWM4grLbXgsRkG+mSrXHA5IJx4C7i+USdNc/dkRoouWMq6dq4y+CznH+6N7
kCAMJqYeZHuUxunGjlTByINRjhsVFLFpngmlipSxxd/ahW9JSGOlZxfVgZAxeBGn5nfvkjkz5ZC1
NTAxO/yiIy2QJPoV15Gb2KqDXVbZ07p3k3pbeNPAxUnKRUkAfz+Aot+GJv8+gSD7OeUkGK490jmn
1KWL1ixkvpFGa78GZWhsRRdCwHA0Yn1pMvLWVqOOqSYLItKPeb2PkvqF6dxpsvWvrAmbNWxI463p
NPuGiS3bY/FQQ99Dkgua+k74+M22fUi+JmKmtABOeEmbjEM1nYsrDAcGLq6q30JPqRdEIIat3lpo
SowwL41PdQVsSJbisuoqlqSuWflKFLeF7aWC2kSX5zvJnOYBeWJ6sIoWJzi4hHZp2OYVXAvmhjm/
85mAhThhb/UWmudbJ0ZI4rbtwwaoLDGsbAtdSrun2VaepZH1X1TLefUMgy0G+gb8KbBusHipXRXG
HIu07JSi7im9hOdew0EG0BRtrbAtWUVIt5pDra1S82O0IKTCls+YhWhjki17Fy5xwUwSTuZ0zYHw
2Iju2tTbZyd+zac7WkmR91H0ykxEX5HpX8dxCkK+KvRb2/TKF54vNi8GSzf9ZFNeGGTFM3Yu5gEg
rzRqydhnt3B62pfJrDEYpq58gZVpPlkMkpaNXqt9jUx+YCcIrqyEsgknoAOyhVuwzjQKCqPI3zdV
hLxoh/QGDG1wyyTXuht1b3w1kYUXNC6m+2pSNLpEpCzsLDaTHWgGc2I/tYdnZD9SR1luSMCoItj5
ykz3STgStkTeZYBMGxOJSUrfNRLBI1EZyIV5tFNz8iMMOMmOCYzhLjSGHWdImiVUDgljUUndO5sJ
UHhVzrxyYEPrWBjBIwRwwDAC7yMib7nD8OjuQHySmaPeggKxGQ3Pz0Dc2U+ndUdJ3nPZjfMEdaB1
OwvTOz9jEcVYrE2bbt5wHStgGGfEj4k2FodYwU6NvYIDWRxMm5bCRsbylnrAQl2vp7ag2o41A9v2
mBRYhHNbLJtE661lWse8gTFMBN5+KOhLq+XN4kfJyWGl/ImuSUl30Sl1wW8NYYdh93vhZ3IXxKwQ
FJLXq7qxRl6VEI6NQOVusqxaGE4cwX7JWc36HtSUH5ursY0ZDxued8qYW1DG8N1EmIniObPInwi8
Iy1e8ULEg1y32LqZuqllYPf6OjGn8YDCR09l5d5xL18KF0d4LPDKASXx0lMQCwAffWcD9dWmNWl+
kjoCeu+icuLkiF3S5iPwjH1f5cYHE1wcwKLOvgIPAytV2+HekaO2LOkxpTzSY0qeYUKj5zaPX+B1
wKcsY+HdKa1zTxkH7TN3FQItoQn1aLRQlpjrykukqW7Z+GHxklqS4p0iyY/R7Oen9wj7LaOXnS7D
ZKu6qrzKZFbvakzwxZAtgbaBpAZgNTEUjYwtb5h8bLiunRstChYZk9x1mKJ9BNgfDN0Hlj03OQrz
MNS70eHzhL3ygktkyeDQuSPU6SKQ29HF0hO1L+MkuQKy4GCl1cy910dnH8pH+1c2wX90FcbV6TAt
xmFGV/qfZQDqUoXnQTrbarjo1qaK6AjxOxK9pQl3mzY37r8yGfwH38oIplSMlwjpB4V2i5dm/A7V
tKjWiTKDNZVXE7OFWa9E05E0Wrg6DWtGAI6aeNKscOoWMY2FMyAQjtT3HOjKUwBHuCFqf3gH/92q
/f8mE5duMGJR2Dz/uSS/DN6yj9B/q/4sxv/tT/7U461vjqOjgNgusRIsjHznP91c1jfbYKytW86M
1LNxbP2XHK9/s9HIXWwv0O+gMPIc/TRzIcfjgjRcB5cp9kQdh+L/QI435gfuV7+xTj3nD6YnPwX6
lPhNm2mDebCeRuPW6qvyMS1z+7m0Df/kCLIPi8ithpdG07/DM6w+nUpmr30LX9rqkBXWxJPytd3l
zM1NzX2uyLEfurTwVwbZiA9UhPbpx8f7737M/t9zFFpwWgXjhX/1NB6CN/Yunsg/TYb++0/+8TQ6
9jfXZATEWei3p9GR36TkEcDC/OeHUZjfYLvCLkfBA71pmf89GxLGN5drI8+pbTp0n1nqf/Iw2j/c
tb8+jWBfHZzHjs5fp6AD8i/9qpLqWKh8WDRAIQzIj8uk1eELM01CDa1bs0UIMj3ribienqyIK3Fs
LeqYhIQ/Vr6xqmuhuKcXZXff670rKUhszA3beHpyhrbZkMFt7nLaARfZj/yzmU4kS8Yk3AU0PB/5
gdJVqvJ+17ut1Z9G0+mHK4tb67GghSOkJbr1WaNRV8PVrEsEx8q2a7GOECbvwC+Z42JKR8aktLlJ
QdSUXoNtboOF4FqGe4QmEpOBBUNzdjmXamOmWF5015GU2OH7AAtlDNmzmeWDu2w9o/3glzOWpPBw
P1m+bMnjWma/BGmVeIseNOC2x2XDIby36Pnp6cPamMrqfKr8SjvfhFOvcpgYxG7CZk7gxD/SOD65
HcoaY48MI3s7iZ0IfdzeRTbjQXgSUZbh8lOhPVeQ4Nbgpq695q3nugDxCH/nXh69laByrmoUbx16
I4HW4yBsfVo5ydhky/RHEimu5lRSPgeU/J6oUiLiHrfJHGASkya/AjWnmgiGFYDWQ0SxnhpFfENM
7BYtHSsjPIkh3hlzSEqbtO424vL9LknxkkzFopCs8Qhqz3WpwHlRRwP3XJW1ddaE6RUroXys9hMU
PX/p5V3ykMuko9QM/2S1VAwJc6LUjvFlFShZpAnhpUw2VLtNy5Ce68ps/AjDKpTLoCBRDMADsxxn
bM09GtTZbowi61aiqstzMWoFtJiq2qHslHdB5OjXJX5AbRHR796vEtPEaWfS66LXzXCtdxHuhrGk
tSMv7PhACEusLdgLFA0VHBVDh0nTNEKHbFSZb3LTGDcBWJsne/TGk+5n7q6mifUyFHn4pLh7wkKc
s3nwBB0uhc10b+TDQM6C26pqhm4ZowvdRBw310mMzU0VyEI4HdxNy9+1tRP0JM+gAaeuG4fWhQw8
Vc2P1E8VdWRQ9U4AKsjneLAAMTTlO5EG7oZkWbY19SC9VGgCZDzloyUVDDYLC2QNq6LsjnjnefLd
NBxpD+oZQnQU9oQBv2nf6s4qdML6WIJrWHkkjx45MoOAadvhIBvazAN76pYlDBCACCPCp5EqPn9O
mP6ZCct0K0XnrGh6G2541uW2EJFdrAJq8r4cVPJb7iZiFbWmcT/5/XQhMGvtEhsFdNNHJWdeORTZ
hZuXeFJ5VFxgNbRfLUCNi031G6fddqdoobiJfmQw67ixzqNIy5eSjtPbbE5r9q7HPLIkrHAvwpZm
myAJ9WWE/4lrF2sKEQVU9jVdfxOauyXe+gkTDodLcmhClP7N/2XvzHbjRtYt/UQ0yCAZJG8zmYOk
1CxruiFUtsV5HoLBpz8fVe7atutsV2+g+6IbB9ioXYBLzlQmGYz411rfcqYixy8zlX/MceZd82yV
r9kaLk0+cqaT7Kc7cibRURP8OUvLuvjq9VFA9fhHTnUwXH2dfaRXgzXIimhpkcj11YNNGOCdQ4EC
bavM4vPSmt6tLucbDyP1tJkTvD9bnOeK35NWMfpQfOvFJodn0P81Qw4JiiK6IqA0nmvWiLtoTuNv
kEeQ8uQ066f8I67bszQfoQZxnMnWPG/e1WQG+wA436bPhXwYP8K/45hyXCzc+A7QSPXGfJu7n7JN
MkRrbtjEoye25IQZyFv+fHJFPFjbeA0az81AewQ140zt6AQl48n8VnINdJ1u98wPSCk7a2AZoZkG
hq7opBXCM1jotvKJnlU6GW98C+wLEAdukgYOJ4XCg+jvUNbbA6MerC70Lfb3WUZJkpQwHKGNywsm
V9FdXDjOS0TB2XllLtGrofp7synnE15KRUsqVtRbRj15eawV/JqpXwSjLDsez/K5E4DfDC3w/2n7
JHN/uCzaHPyDJYOEEso5uIKwYML2W4xxpYw6yy2zpVgdRTow4jUJliZT7L6KzFC7aYq9C2qQTFqH
QNukTiBP0LdK4IpjiVgGJ2aX53NwXVZaHyewPed51hkdN9nEcLowVWrsBk6gBuPDlpJwJYP2kltB
fJZM3m6RwWnXGCZ5roOofJvp4XwzCns8tAHV7ajNdvfVGgZvP9epeIA/ikDlVPTDcIqihaBrvgC/
U28BKNAcB6Q7ILMZeTsCelDdUXJMIas1FEw5reo96muS6+tu4zgaUG+m1jZ0KNzePRuiuT5lCpUG
nAmfqMYxvPGUW+8H6gVhJ005JjHHkPj7/LLZgwjiees3QXsVJCwvm9ZyISokalJv+P4i/MAl59Fk
0CPBQrccr62ciiCuOydHOSu96jKCsL6vRprLOky66+mr726r2oMp0Nd0h9O35jmQQXjUVbSk8vCa
ZH7V9zP2uKSszxOGcfgw7Ux8xX7IfIDOHkVGzrbTiwBkVrAXYjI/S69IH3lm5+m2Sxucm15QT68A
NdyLovCbQyDd4HOQdJJ5V0d416+JpAIRHdcKIXwUZ+nUVw9Un1CT3cIyuMDwZToXSaXtJxopoCLO
bneW9lJyyO4r9uC9ai8GRhh3s+mLcyeA1MGUFuHfp9hlAW5xs1Q9H0jAorsOqIcnMIf1O77C5clU
ZE2Loa3O+gU+crb41V0QtQ7irA39h6O8fBoEcP7NoAhhQSt23Ogs6xp5mSZJekWsNH+qOblcsmFr
nQM2DpS9tg+KU6BH/wX6xExdi3w2naI5aJnPIZErLufYQf9k9vuACzWHzVMWqCZ20+PE8UAlZeRK
SLjSln1IaNd5qWJTPQqWTjqMRddcYFAMdglwRAgQi5iPgmq0c/pjxzOtkdbECgiOImOfUu/ebows
g5KXqulVCwDK8IApLiZBnb/4usM1nIy2D5fU9K9sPSaMnSxz+gZvI9iN+Bo7NkY7s1nVDbt/q3BA
HFEliD4PuXthDf6Dg9/4oCitsrypeeoc0u2T0+EA8SY0riUD8H2YjX5NhhdxcZ9ymTy1szkz6JqW
Y6qMqdxZtpXeiSWY5vPRcIOM7CMAil1lC+cZ4rT+o8HJBQqMVR2XcxGwqmdl1I+AnuGBbclVQ9CN
KU/Z8jUD76RQDzMy8MeXtCWtDNwHKoEWPD4PUSas7ULfwg1F1NypAWWvYa0N40bW6UNhxt7N6lp6
SE10lG1NmvlsdNSI1bOm+7Ixa+Nb45bmw5Bn9jErNI/eOu72sUndOXNw+0E5ZxEf+Z6J4wYkhXvZ
l6Z5orrd2amyYzAemLgCqqQ8Ky2cKwAH4pveH5qQ0B8g6NS6kmyVsQOY6jZq6/SUL4W1z2mnTrbM
gfAqqUgkpN5a5YVTVIs9trDsyprn7hS3pcphI+BFP5Z5PFx2H9HmjuPMo0tZHTXPQ53YodCVIS8w
jQ2PoJykHwIjjB9pk6FJZtHuXeMpkYX2yC5xb7VVgUPJoCRr44qAqxNr+ZXSOrmhKoq2XPR/jXCg
5+Xc76b2uSe8CBlaaga2HlVJTjXJxx5q6S2LneVsytZMXriBzb2tsfRsSwPCE/dMde8tc3zZ5G7H
iooNKwyWxkdSMJL3QE4lArRCCAtz9ptn5NhR2YqlCvDoetThHZtyEHu7t9EV0HrsilVTW0Y44lmH
mV2Itt0uJvlARnIxPb9j76U7hHGS4gyHjTeDLOR9FUcLGjt79rCho+maFND4UntS02U96epy9D1K
dtBrtn1msMXRFP1d+70sXvp85oSWUBhWXvdVYtqbsaUCL3QTB7NxYEQYVfFJ0whoVphSoFtaDjtN
LmUyOyJ4iryRg87kRUGJd51LdVuO0AGoccOlAvpfI9DKxXrqe8OJD4M0fXq7lZq3mYjTz7Xhl/q2
rDvN6Dirnfe+c+L60IAo0/vIHDxKsT0KD8Mi5uIgp7kavouixmftY3bmoVcEEIJ8fcc9oyCAlwhE
Q0L9Jub5kp47wmwUr14QJnaeWJbcO4mUjJwTBReg0Yf7Wed9zm5qecKn4UFuTZjYs/xmw7ZLTBAS
LEmwm/5nRLLqT/qf/LMfUzf7txOSy28xBto3/fbThOSvH/xzQBKITx6bLxtQriWYh/zLPusHn3yL
GQdCuu99/5P/1Y4jP5nSs4kOe8zlPBn8EL50P5mwrzG7ujzHcd16/8mIRNjezwM7fx3TcQeagWQW
E3i/NjWMjOV8t/TkijJzYkJSuUTssBeAYFaQJl+JGhbng5zn5sy15UhlqPYR1RW6zT4OIvtzy+14
Vg1ScguxqkKnSA1uQVcNc3sojcT+HPQ000VKmdelYbjDDeWz0t56aPr0OTpOxgm0xvR0APBCcZtp
1POZ7on1uW6cQHKNhhjWCAjPzWQUw3YcLeMhsMb2wh+98bnBpIXI7Ac7i6pPOpD9O3OhynKyzStq
pMk/5E1Lf1o/dV8QzBvkLHiI7ZZfNj6ZWNeJOZEjAKuGjWQtyOO8MRb+wVmod/PGrrxuRSqOkUuf
eOwuNn1iGrC+0wZbKGpzTMmelrcqsYMHv6aGQlm5umx8TEa07XAwDGwTWFeJE5YTzGoF3GJhEs3j
VPuKguUajjy7mfrOCozGx24JeXxXU3ZhnoQgwg8WU0237cRSv40hEMSnNsWkdCCXAe9zVkVMJLZq
4fv2VjQDCTZs8v6aRWHax5bmuFtMgWHdLgT19XWHdam6JQcMk5RKrqg75tnqIksa31rORnOQ2Xk0
MeoK6yyyph3ZJnfZ21NSPE+s7u6tXzJe2Fs09fqbIhGUdIpRAKa2mYyM+4hD5oHgWfLVrJsY+EBD
wL7qRuvRjVTQ4TOJ4z1xgfcgmC9GQ7U3ovLFiSWVbj5iWEdjxrfrkWUgfBfdqBkep4SZtspyZXBp
d5Qn6Ta9tdLc3KOzlCzuEbn01jXVgUhP/9UuJ+9IWWYC/nNaUissapOnmWz8B9ejcxN4aS01dpHB
vy84VJ1UxIHSYbwSpv1Q3A+5bkNgIQV7lio55LFdn5sedOo1/rgzU/987HSAd89aHqIqtThx1O65
lBkThszA7gFbLEZpBi3W32uHTWFCPOPaiK1or3IV4zyxoUuwgdMcHerEox2OnGtMKEgVJ+zyMCiY
S4W6LMpTh6M631iZkz5wtY4XtWlbBBhFrekJDNLsTMe54sAXjWE5WjgyGs6LMRWz19Dlphd2Twam
pTqywNCLWeN3UYTANouhcDsSLtyUpfc4p2l522rKnxRZTw5pyyM27fSrKzgsdr7X3FN52x+8ZMz4
3NfBfha3Lx5Jr7PCWMbLZtDf6nHEU4MFgv7eORqOVHBkpF08I38GTinvVa2tHCkp914bPVj4XErp
nKliMvbzTLUwMTxMppx2dlShjHtomSDRA+xs3Uz5L6Ur+b6YM3PrdHFxxCh1bpa4OVxVzpdyFcoj
s+cQ3cfFTczA4Lxvsuq81UlwHdtt9OaoKRr+7whU/x8qByiNv1MNLt66Cj5B/vMzUX781Hf9yv/k
uoLUaiAJbPhMg/7Sr5xPEE9cfE+Yet2f6uIs/5PDM8/kWcVftQIJ/hKwLOri1ghIwJ84/AsNXP+B
gPUrjADWJEyQVSrgSImZ6RdftSRC0HhDMOyYIQA809cyyt8tn9baIceTM9xOdf5O20H3D0qu7/0q
5Urpw1NwyTxKJrjCEj9rFaSobeZRxbiTtDx+ixwPZi9PR1rWXXz6ZwKPEudKHNHoEKmx3M19gz25
INJ2lVqwinBMk6zIMbpKamkZ3ta+RgwXDunZNiWxGcYxxz4Cptq/IdfO3nGkvHFvu5HYJvSfHBY5
eedGPMh9zMh12VSakwVmH/IAsrtWcSFDadtfMobG4ZhT0QDWYUuF9LTx2upOlyWrW2yuN7LJdpaV
xpm77M6eLcmYcJ7sK6s2rBswYPmV1+NWxkqSUTPqZ6v7j9eL9NwfCAKXt9qtd8RlT4w8+8u84aPA
u2ct22iGI8jhOuWHlab6s6zb6YstDefz4PVzv+1H6kVSXFMnnJTu1krx4wpMOKxOAqq3GNyMKEQW
P6bKCu6kO81YnhIem0V9sJQYbzV00zCqAXoOaP6EwjvH2GPVtjF5r3gKZfTDezSLYKbMOcDvH2dD
8HVoFLqNVtKAsxmYn8kA9vyr4BoLo8ZO7nqgrGxTHJ3T6s6UoQP3rVd/k59csGuk7Ng1qpPgubC1
wZRfzWnpXJvpAr6Sx6t7g2PL2xJbNU/ph98NB8PNHAPF2i4czBEmWlpbkV4rBKgGqGrtjPNpyvxh
T9l9tV3Lf/dZOiwX4Eibz2ySvHHbNj3gAc8GvSgYHoRiMHxj4/FIYXLrT0F9Ewu7zjaJA/aO62Ac
yIVXbbl1+oZdE64Y5whaJGVcn6xPjUKYeYfSEQ+Yg7VFIUhDge41/51qN0JV1jfXYKu8ixkk7gjL
BjeJVMAfzQlD/nbs8Cu6ljGcjUAtKRWoatJC8QTSetOzvz44BH8aGnEb99HVE6a2JdP4KAllRwTY
BzYksuszHIteo8+ikjISnn1uc4lbb3jFO8WFlLfmc2zWybdo8JovfDLpXZ9XwbWXu5gjWl1oUNjO
mDw7FYbSTTqm8V5kpHU36ObTDWkWXmURCYb0KA9w6WBUelWN059LfE8k4RnC41eifhDfjG3pnUhn
sadfWN+LerHvKlQTskCWGHAic0RfubrT/KVl+83YO1bN7RRZwWvv18kTo73C3zl+V18yQKeTwA9i
+TgNFqF6tsDzbsS6+1bWQ/9ZxQFTB1F18g2KLZvdhidvaFkdKXNZZB1tJVZrfTP61LpPhqZ8nNws
upWz7T1X49q8AG+VDiWhbPMhjjKc5Y6FqWw3VvRa17IFak1GDFcojQhMpYm0oCvZI/Ig0eEh43Mv
DLC0syeoSZFyIfUm/ANUtJGWGDrssTT55pGCnAnweZ50d8gULcO42CwuFmbNFi0uEatI7pUYC+m4
NyD8cwKAyejnj5k28BUDjWcDIGFufTHNDlFJcoA+MrlkFA+/zNOshMI7G6m/mxAFS3KxTeZnN0ZZ
JDdi8NwRJ5jrUSqPVfI2RWB65CsFyNzQA7ORfiN3kSO7+5hxXug0jsIX65a3mGVhTzfMQhn4z+0z
UDhCI+yi9IvirPfKYs436jeVwbHBswAlkX42YMhOMfj1GNGhwRxXzgvbWwXddJh5p0YznI+xRDfm
HQaMUaeKZWGKUIDwxC/TlRqkeixMDOtQ1AtyFJTDi+aIKUS8pEM/uVtoeG4DRNeo6HfXJmCZQIw3
Bpwc0KizW65sZA97uaqcZ1Uuzdc2XrqCGq61V5tAloHxT3Txsm2KZCFY53c6PrMig4CaZ9v5FYMZ
M7nB/K+SHUda+7yeZJwc+sIegnMNAp3N5Ghxd9G1l+KXbDMDyAdIxi0d1V2/q0QV7fuqb5j497j5
HLvNOF01C9JfZK/Jci6cjmIH2uRBhdZGmZNFMEmRRLV2kehcKho4Pbuk6zt/PHV9U/Ij/nIeZFOz
bYQfwdbouldvMujDyDvvccy6ErvIlF8smclCbDIyOspE8wTNq1E/lb7Fohf7qbpyhtyvdmXOSr1U
OVZ2jZTdbmzX8b7WcO7v51yQW0MtKjcE4IBeeaPXvetxSm47aTfJNq0yLK5moGB7KwvwX0PhUVyX
TxWDyvM49ylNyTweO7FcT2iyWi5KUZnw48b+wuPW24HjMKCXZldkP6LN6Jmr2m9J8UccucWVE409
tRnUSa/2eYzvWNtczzxCEVuF99GP3sxYM1odJUeWE2caiv58bDRPpo21NSz9IsX+Pc+cRRqL3w30
qH5e8S0PLL/NDaISWAdz1i81z+eThPGCmFWI4gWcKk4Hq188iRtMInfTjYUUKUarpRFJ53B9pGF2
GHc4yqO5T1fRHIkb0+vdbwwbcY9ypPrsciN9CXAKMgs0ZYraUxyEk4JW8OsB7EJHMPTrkk5xs3Xb
3nO3QUAF/PqlidsUM+d9TQyeE6nIC9ruJu/FHZPkfclxKXOQaAnjW0VOGdJI1WuXcj6cYW0vszNB
VY2xCGgLiDdPl/RWWlYys2w1JfhRclxLEdZDYwwmx+7cu8bDWq8h/MWZaQavKC4w7M7BDTK64Qyj
gZuAoxrmXUwKIoiu6ql+AgRKDqRj3IhRtt6mJfiOPRuDdtmOA4jAC504kpJ3myRVq2FWbEsaEvZN
MhtNiPJ6oKZPd7uxMexsUwr/SysG+6KigtDdzLilOiwGQQ9n0JCn0bFeqM1tP2PSdP7wc3yYR8/k
MtsFIApQwQC4QJZmjPzuSwNgYTt6E16qlBiIacsYB8JkM4kkMBdRzwXTkLvTHldYsrJXWM3E2XFn
+gS+6B2bjfpinBznSQ0tVxR8jYqNEDCPrWPy2OsKs682cEB4XPKAt967PALib8E2ek67alrQD535
WqYpaWqT+ccuSTWHXi/BDHLK51KfoxkatLx0I9kSFFRqlzp/Rdvlw6vdTuu8YgTeHRuyllu719kb
lY+sAoEoUTesxbDuIUQ7zjGeGvYmTG7UZw7W5JEI59j9GRKzjbEkjhhB5Vmm40ttm/adWRWLvy8w
tjBRXYqWDhsEsLNBCu9rGYkOZmlEAwH4pq5t6HYZLLl3Jyd5UrOARG4s7Ni6iEx0XoKThRzUgcZg
WLGWvKFTD5bxRVtx82K6W3w7mLodAz2WpBtNkn65d1JYOH2EwDNiuNzOoJmvx8yH/yHdJCxtckfo
74wl5uoYB+6cbTRVabdZYxgIGmBtRd8VOy+IHB65E4G/yMWJ6Y3+gg+8/BIswnriSrQp6+2zXTel
NndY7QU3DLC6U5YQbeBvLLy7xdIp6YgB1LehrfISgZHPj5vicUaAQd617aU6+H2mnyIYtw89qTcT
dpQ76xBGRm9Bm2zG94Dd4BcHtCTpEr9PSjQczuBbkCv+u+0zasPSnSQPxBFqHrHYqC4VpPEN4dIV
tS24CjdQNsiqWqNW76nhzWGztOW9WlhUNk0VNWNolARxNsCFEjaVwzCL4wjwBJNGPutzeGSMvmGk
IL1qnrS4+lHfXUfbCY+xqi2uSnbzZZijjZlnLmr+LrZket/kcLZqGEe7xbOZgZXe4m+ZN3g7RS5y
WwcZnWVuOyoTaoU0zvMimnje67RUXMQyICo4YUKxI81OkAdl0QIJngonrK2WapV4kQnyNJYYWgYc
zUfrOfVnayiBmqZmLndj3pgXMwzMCQ191VViNN8ndEwgNCXa+7fcI+QJi52qmE1lYKVE5Tfjgay4
qB/NkZYqRa7tqyjj+og+xFSWAs3queJkDOPf7rK3zKljc88x1r1WOsfsbhtVERBYMK2LIJ7YHgZV
QFdWAxrKDicVOSwOjoXPhjbm9rbzVYaluuQyhP+0sMEeDY45vdOZN1DWWusC/BLDRaC95oNHx9tG
GcU3gNszQP3ZJ6HUWV4EopvuaEo2ZWydg/pxr2osAWS9Buhh52npm+eYIbjgIu78syFzu5vejpkC
OrmDNuK4HPOmucEzhY3xTPmx22yNOvsqPdJB1I+k1gWnZPdWZhVmBqLPqq3PSiGWqznJP6+Ul3Dg
8LWrbXUApUoQqzaGUFix2Cghr3tugOvUiPwdtIBmS5GeybmB7UdXTz35cG/IdyPR4A1OMnpLxmIk
a0MlUG5T1Fm1VnWLKagk/NbV4WCxa0Rd013Ey2inONUVrao04OF414zR4cBJKmiptajq4ghFzCKm
qegHytVNJTvzkfa7lYKDWSQsu/6J5OS4HVIh7ybMvxBdM9I41XztJcZM5Nwd5bF25uAs8iLkT9WI
mHSJEZiA/9r0gogCKnCX+iTgu6KCrFIH59TjKGdbU7O4BXRXffOpMG59s39vaJq4iacJctGEnb02
Jv/cSwT0RFJtX30eoFuPD2jsCtpnBuhQ7aZJ4eTs+Btz42ZBvPC2s93M7HgZoD8wHjbRECK/2Sho
ZQ+rve6iIG1O3YbRHMlKTp8br81fo9FcsB6aGmLD6FX9q51zDGIDkE5iX0VEuQ5dRm8PK6mYwyF1
YnwLCGdfDWvoTtpK2FlOScADLJstk91Ao3O1LyZ2kzliwC2wSz/bWz7jxNFVKNOQOGDTjKlVo01Y
7BTCfH1mNj78no3d+CxUvrJVHrJH6s8JDrLsDLy1l4GSzCmcRzIjQFsNLoqJ+LBLjpdjAtNsuyL3
UPeMwhtvtOFZVZZ8HTxlfWvcVEShI4Jchz68v7NgCuaAikXV48pHouQZbBfymx/bBTW3U3LRq15d
6WxevK1pJmxMRyvD0V86Q71xYibfjAXq4zDa9p0zmIj6sW+yJEY+zRfIqrHeNk1PHjAtPe3iN4Ta
sc2KahJYTYR5GrumORbDxO5p8BNky5rCmy8k+v3h8D+y4f+WbAgFB0v8v/f4n97yPnn7qr59a35S
Df/8ue8TUufTKhXKwJM2bfWQDv6akApYPJa5Snau/93H/10yZAzKGQHF0CZl4K/k3r8mpP4nwSYX
yCpRak84ZPD/kwnpL+gJDnuoksxgSQpIXHJWQKbhR1M1fSIR40IOnlLRu1f2B3LCxSkuu1eI22rD
4BLBBXdyRvdM5DOi4uDyCFvEPNX99Gyr7GVsOoBVy0rKmcbj0A43OJSYzklrZXDSfsJoytl2bvE8
+OQTzSB/xrhFfaI+h1ksiKNITJ8NHQYqu/7h2/hv6BKrI/xfjvGPX46EhAX8mOIly3d++eUys8Dz
oylnncsstNwRZuh71TU3yLV/Sgj/Fnz76ys5fJMuM9/A4n+Og47708cYGzwnJ+gQCHc1LTQM6SqD
QlWq+0g8/P6XWmXrH34rZsKO9JyV/Sttl/8TK6r7B1qIlqkqkduoKZbTFy9qPUAn1RO9guxqqR+N
pjreFnLKQ9KLTcj5od+akkIDIBoJTD01HIm0HfBwv/BfPVRVeWm4Ygldt3uODXVRS+9NMDZxGxm6
sv6jY6O/ZeyJS6hqT9qJuw2peUUviHkOzaI/w0BC1+SUzzuqVVSYRPpNTstL26YcAtDEipyN9O8/
A2v95v71zX58Bn6AuABwCuWcUfvPn0HkUkWnbWpkat8/JGT7rHJut00yUCRCnLd+bkr5ZrClFwk7
vhUN6Ezl18JIvv3+jXy80M9vxLNAmNgQmR2yCdYvb4RStjkuYyJX9Gdh4mxbvSUm++zHfRfOVvGl
GPMLJ2O3XBQX3bg81K5mLph5B7uhv6AMxK09dvdrhnp224MTe29LFr+W2tpjjL37hze7Ivp/fLMe
sgSLEIF+0/PWHMfPnxrCOplfeKg706QkxSWm55nqAUvOfWtIxL/0gU69M2yux4Vy9rQ1H4Hq8txy
EETnJOwW8CYWvRW4qvDtJlRRyAfVdM4/yCd/+3Z5nwGqCaFPbiWXle7n9+nGrcep0zNCGuLuGz+j
VrRkz96q+Vq5IxBKji5lxrbekTAq8255ndrlXpecwnkM//5DWz+TXz6zH9/Lr7UHkA+sovCKKIwq
xle0deaBtTFJXiJuYYv/p5f7WJN+fT0G7WRt+KY88SsPx2MY7S8AlkJ7IAAPjImQ3tCFYwl9Vzv3
lNiIvU+HUzjV+NvYZqU3zMXOONG/epowapaBkIpViUARVM/4+uDyBfsy6x9o9sov8CxQnADgD5RI
ehuU5hgOuFsNezn5A5XRGQVZm8aq8FSw0dCitnYIExfkxJilMELeOU57KlrKliNdcO4I+v7IQFjv
ahcMrUsl0IZRpL0b7OXm91/Ez0usR7YIfLkw5Zpqs7yPvNNPyx6VxH098EUslJIvTrzPmqs588O8
vPz9C4m/3yaeue514TryQrb7y2PDXQDJVRH3tJ15sGDzb5WLdO/4Tb9dAnsMgz55ymZ177R0mY36
ztbiJaJ2F6d39NpRfl65PSUyaG7m2owiHoahowO6+HNb9m+fOc7fL82f3+cqQv7wIDCjAOAlx1NU
L8kuWu0ZgWEpyMrniAf0xjMp2yUfn5JnT+iCm6vLbm40ZIH2OV6w5NRqMa7QoQxQua19tKnmvMTl
THu3UPmRzGl0iFvpnC+yyx9B29bbph2uphrIltOMuOYHDEKGaDDhBrywNCe6RBcNjbl1xMZQNKbQ
yLI6YIbxUDn10zxkb1GyIvgapV+1Oz6KxZfheoJ+L+lJ3M4RztBobOMLIOnLPk+Kx99/t3+/iNjt
uM5qxrL4p7t+9T98ZPkQsN2wqwD3TwRJLGcRnLapjcu1Efvfv9Tf8mrQEtc9B5qbgKhIbcbPr4XH
oR17uw7CSSz2+TguT+DQ7IuG6fwj4CdnUzDKlZW+7OP32CPJXCNIbETAA1YNdRdSoSP5UjhNW4H+
hze3vvbPqwyTf5e7Ft2eu+nXbV+RTVbpkuxCuaIzGcu6a+Ac//wPn8CvO5WVF2mSAYSjZ3mWWDOs
P37anciZTzMz32WAhPzZm4/apV05coEapkkdgii5U3HTvBWt+zlT+talTjUzqWbxHKoS2wWnVdul
1Q45+AYAQXIqDCJpXYTz/vdv9b97p6tnDhOeY6/+g5/f6UBMpZhdqhd9WbOqpOV+ykoKYcCMxaZJ
wi7x9pRxXfjQe37/yr9mbD3YhBgoYFS7PJXdXxcbqEDDUuPrCcnlP0bKY4nptmVA4V4l7kBfM5Bu
/+El/5brXV9TEmGWTsAT1nZ/+V6CUlMzlLuA+9roUAoD1GPazOeN4+F0Ttnal+OXJJ8+t4nzlqXy
TSCTbiPjj6FL421i1PWVP1fvmWefWbW3TbOH338kzt8WYB/Thh+wwfVgi3IX/fxtzEZrQZYYjJDI
fZgC7o7caB9l3C7QyyXB9wXeJhcR81wYGsn5uMhXwiPzfpDRSwcfaQO44k6o6T1Lkn05U/881fj6
83QlYh4aGBQ0Ka5ZrPoLlhB/543xfoqN4KzmjxcEw3Mww+2mJP6m57Hd527/TeNhH7XzYvXY8zQe
ko6eKUbTu8kmtvL7T8Bbt40/3Z++wOxkk792uXcAOP/8CVRpOnDaSLwQCP2DKN3bxa+PXjUZOALm
AiISPPLeTS4pzyq2Fi2OBem2TaeLfjfE/d3QqTuny3gYUEK1Jb+wnUXHAx7vhQ/g2WMeFJZBzwze
xgPfD8Mm0CzerSIeqqS1MviAKTsqTKPoDfxVRcTUv59sOiJEemnFdpgXEJ8oqZgIBYTKZLqxjMtX
utqacBTtVTdi2uSNWmZ5XRTzac6yU07EELy2+zYNQ2gQKqP4WR2GQV5SYHBoOYPs5iD3iAJReukQ
ZdjNdrurDdPamMrCNljOIdazeZ84/daeUQX5I7gWzRfVxdd18ewtFHAM3/7hq/jbN2GzXebW5GgH
GffXlWGUVUTqwWY/JrbtcnQ9YlTHFlGt/r71+z8dYP9/iJPgADDgCfzvByiXb+TS33rSJm8/DlC+
/9z3ULr5ieYV3GLrmcDEdc+98B2RID6tRuz16O3j8ELB/YuRIJitMExmpMrZDCO05Ie+MxIs9xOs
YoYr0mYFXI9D/8kABTax+OUKYTrjOEhetg1MHdca7+LHp5wYNdhbYcw7PTQUlEsqM8J56uWwWRLn
PWbPwQQYMp4dzvABu43/Mbe3Pkb4hmekOyomfGTt3q2f2eIHwdXEaJYjbdWLL3YLNBPNBn7a7CAg
dB9iQvEhLJCaKZpbt0vTJ8Nx0/je1I6qb9m8FjRy4BBChndwHFO/LSMR0gLadSH1EYEPMk3ShCDZ
sLIKloLD1Z+aHLUceJNYS+Kbaoitd0I8zi6bpcAFkY8BKBQkF0jqhrgayTyXoZUoJgWb1KIrRnWN
OpkfOo67SjpW1anzgeoKP+xcst5X0YcKVPmoJ3eIn8/ZtNYEKsNEQmo9gcitIqk5rycp68ncOdnJ
mWwcr3Qbo0uBtom7kKG+k9GamyFJ+UYp992HrKUFbKytooMlu+5tE2cSdp3PsgX3b5g2W5yl96fi
CNxI5efsg1egbUzIhooDh6iIJk/TE8tFqBODlTPxMJ0RHQ9Fb1i1Pehn4trjBHKyQPbeAn9sXnqE
Qrcb1mjrnFOEkwelu5OB6odNPUp/EzhF+sTfhgVvirsb2I1+feYWDbLl8iFhIgY5d7lGl78kSIPI
CbjdCTb4txA/K70Y817VkiMV23l3uXQGrzPo5kEN35qKDM6xwwP41PmLGg9jE0cwl7tZB1v3Q7L1
lXBvqnm21Db1oSSffJMdL7P7Ao9ZPTXWEdsWYjAQwDw4M2lcai5QdVFxiTGM086tVEVSzme1tuxa
1Lt4Efz7f7F3ZsuNI9mW/ZX6AZRhHh6bIAiSkqgxIhTxAgtKIQyOyeGYv/4uqKquRWbfm9XXrJ/a
+rEqMyWKcLgfP2fvtfvPCbSCc5AcFiHGEoQPIEGsyRxjUea19PTstJ1fFDlF5bHYJt3tNvOusga1
Qdp1741KAO+y6hBB6p/T87FjKEhIXENqQqcjfC4VQnGJWxmfGn2cCuFN4p6LQreuLX6B+ZgZg19F
GaEJCE8CdHWQMtPmbE39liTUduKWagWFR+49QLByvyg1AArqE6md0sHIzv40cRoqo2q/+XVhPDGv
Uz/WYHFxZwr2eDyBO8GvNp+TbmRm3ZR5b77kXYqUwtAFMoNBb5fnvLbW9yojK2B09I6oDNBLxn03
4LvazY0wp8isyTY6rnpa3QUgU/rjbDfIjEhJrKCnrPI+KDxk7R3G8JbE60A0oeZY9guaZ25Wulm5
koAp3+px8tbOrd3XGVkw6QK9CzVVatwMFnsCgunKvutaY0BDlDVcwqyiyn/0QWPOkbfYrHYj1daQ
0Qqy9EYy2bR9PfmqrWUSr8S6hNXc1O8wxoZd2WX5IU3s+RuJ7VUoFTTS2JBd9X0B2wISFIfhPXI8
WAl21dzUejm+kNcNaAlWLnsBvEasyLb1gEiL9pEdWMVxGJst49ZA5l/oo1kdpS7tL0Yl1I1apvSH
I8wsiNaeC/4jzjCPCa3FcDwO4DgcEDhk17nVJPErmY8mbGOPsjxK+ZK7unVixLIlRIGA03bIEOnN
JJ5bvrdO1p2tjjs7WlN//YqctH6TYzMGh7G05jTOOHHQcDCmZWo4jRGgvemSyUY7JbaJmmNMm3J6
bqc8QfvGFNPeZ8xfiL4IKskk1Eza8+i25RDPi2WYO7XqpMsKywYTvSas1dABefeNEsm7Z2zThCDX
tB9Gmnj1F78A00bcBy8KphbmfYnWOM6eNqPrv1Ua/kCCjK3Y6SaWZ8bNEc5OP5RG5JukLiO16Ajy
yCSIWYQibOFbGhPyNmT1Kax5LvUokDDcB2z72BoR0C9B/UI+CWElMBmgpNkyeaoWDZHgIjaVnTl5
Y0SjA859iSnvkUhJz0ZUbDJf8rlSazf2ahZ0dgFmkCmlD+LOtpI19FO2HGKPrSoCjq6TEj10w0OS
i/SFWW5d7sd0Nvot6IY7jeFIVmLg1NoWnRFMX4JlRWcDLT1PdopvPkefZ7uP5Sw1AmkXMtXCHCAA
wd7LNugyuZE95Z/RT+wNyKmYHIK9yxiYmqfcR3LLV5G7ETHUAiyEl883os912MT2qqEnRHo9z02b
hyP1gTqaGlDOQy+d4AjfL393IaV/I0eOxBEiScgWkfn6BsCURlfjOSbVKyBRRhc4TqpwHIr1ZNS2
EDA3NoJvDgJvCUlsN+0duDy+hJroOX0SVfGgxLpQIHSW9dOXjKFDn4ColwW9xV2jtxPjFzELmBwC
cU8wMC3ajV5aXWYstoAesvHrtDD5FQuWiIOuIRgvKt1HxOmjr70Twbq8jKvuE0FVIJIArY/w5Ti7
g/+LKOPlWEEMBkaYITPBmoLmsVkFMt56StcG4pvnk3cwZ8m9zbRyOdoDzMqHBQHaSBPHy+7QUAXf
XWdxHgtTI6eqwKTt9dUTNlpG1MXaZzRHQfRZbHL7JB21Y0G4yiZAuhZtSX+lZc80dVh5P0il8iGq
0Pb51mO2/kBql6BJnpufaCUN0kzlKE76vEUDbgeAnqfF5ryBATsNRUqcW1WE42zmT5qsvbMhPd2M
RwvlSpW6xPyij6V5maZ5KJMlQ5+DmHZny8zE/Osg/PKS9azJlWAdPWUkb0P/ET8yo09vmZdMIVm6
63GmJ4rwGrvcLmsnRPElHzou0gaALqL/Pu6zdLrRsNbazFWmPqq9fPEio8i9yyi1Diqvnb7bk5t9
B6z+ohkcrDuzSAFMeGMHeWdubbSbLknyrucBVSWZYBMWWKs5ngAFuVepZS089Lo0tfNYFCfDZv5r
0lh8tE16wg6m4JcS5eIPxwDScLEKOX5wja4nagOgfvdunyEPzYpJQ/dkrti6Fr+tEJgCdEZtIOZr
aqbB+2TX+fi1QVaax25DqrF0LL17xCzteZFZ0DU62xVylds8MPga0zQYFsYoSftupeWIEdw2s/GU
IChzOZ0FYIvSaIihqmtrfJa6z6A9Fxo6oEDhCW9mt1qfrE4+jaoVzdnpMAhveVHL4+JZqCmtNbtD
hpYfcxjcRJDOXR93GUdWX/YVsg47g82OGoHXhEK8f8jXLjtVfuqf60LLj0kwWfd01YlTqHrQY4gI
B5R3LQhevUw5y6lB3gk4nL84tZdFg0eqrtcgIWHj9b9qGlkfqI90vz/5denWP5e6D7YpmQhewFTA
iR2lRcqD3dX3Q6Dk14HIV9yHy2ScLULi4R01HtdwmRrfIB8ZX11qtYvqnTQOyjFFUwRlpoodvFJl
pJOSgw6pbSUkWRh9HJDlniPLFyGqfetbn6ifZicx6gOFxQtMYH37gdpJfjNyp9V2BmHrWkhKCAWH
li/1V5lCup8agVLDd/0N7qc7z5OkpeWzkqX5Cu1JhoFcy+mttytgxxr0JyPJo5ma/KcxrzDdl+y5
gLd50ph22YgwHSs4y206fdRXY1xvBSLN5VCV9VBc8ma0sJtPmlfsNBv1+tFEVw0700KtwJ7njVDT
jdpPD0TOw+zmBo1JEGnCi5IKYXVupuZzXghmxKbNUZ4ton3qFpU+sfbX4zoigtvBADbIM1iHgfi/
3A4DZbU3TAGsg6lRFeSl/ctmrK2AkaJcyjq/cE6qQL75rZJthpzPhHWwq9qOinC1dOOuJWbzwZ5I
QKqKdjfDn4kkcXJnwtOaiBm+Ckc1/hBgY+WB+BSRhFnpdQFEW8cB2xT0TxPZJXFqmvlry3d7qmuS
JEJwR6I55kRquEwj7DyPdDezBDpUTfue9WiuzoXW4uYYrMr7MlkjzPS6sBmiVd2IBL70vXmXcNBe
Unu7nDWeEg2nNxzVfJmT8tDkQcEjdNbvcE+mHyafwt0XU6YT18v33e5tUBixbXXzDwkkR+c6Jux7
YN/6CwUuO2yxjhTrQ5edE6uZf1WJJI598cpTZyCKOmIPse+4NPjJWRateQU8au1Lg+vMniID/Uq2
Bsj/VzHPP2ZzMxKZtW2bPMWEqHiJLiXgicHtF5YoIl5mQxI/IMYrr697qwT55LvM0DndR7tOj0mW
le0eH+ph0uEzkb/nVPemTjEUJbCwjbMKUBgcuBHr1j7NtYJbFdcbN+SSu8JqFuYPp+cAC9d+2Ca7
qW5vCvYSHFBCu3v50jEgtGHLWkFxyIELvI+yc05jNhjfq7n29+AeMMu2bPOriQhs5yAcizvRNxF4
DwHY108ZY1XI60Laf0WDrNdVP2xNJvepNzqxa3TZV1RZpb9PQaYDUCHR73Ht+kadZWOiLVJB4iI4
S2s3wjCwBQtOKRKy0SQVPnQyBGB+S9xQmPY5nHvAd8+WSr9kQQAq1SlcRK81poeqXb0D+jg99kEe
nxdlTKj7oK+0c94+eKPU923nEhTD2QyofskH9dSRlLKzusFb9jnI2beCDNv+EJh0DI9eX5fblb1/
b/t1vMfQ1TBIpX0vaIemKYf0vOg/7X7S9yXPAUiyvT7hSYPhX+buLWYaFxlrCpEC8OtdM643qReg
8SydhrmSrGDW2e6bGih4BAh2JKI1ZqiMW5IpSWcpSire0bW+rWv2znJDwV2h1xrc/L0cyVFT8HD3
Ze7zfRdUyFjNLnaltefKUXygsWkffI7hQ9536Q9qiqrZsfm5z7b4SQKlE2EPcyj0a2ufL04dgYtw
TqB52+ek7fW48xGysnHum0ZZsZHX3vuA0+WY6J19skjmWXEvk/M7kOHRAgA7FLBHnjswTTfISvUr
hvr6BuHV9HPoWoRgiUAHGvSLPh9L0ZAByyY5va2DO0w49gyJacPxz0RNUXRJ0P5lOELU+ukI118i
JozO7TJY3bGZqekFjfC4KNrp2CJgZ5m04mGCqHsBS+V0O2cq8TbjuQtQtfXrr6VQwNwFFWTo2JX/
ssAluF1MEildVdvcicvNey70vUkl/6vU5i7uevl5mLzKAFcdnAlnuFO4semYF02BvMNxmAQ0AUl6
xhLLEgN/jeuP/vAWfozluv9CuUvaQbmoNpw/7xwIn/cS3NyHb2UBslzw1sh31+8GCSFPdYN3cadn
hQqlaS+KWSgA2txhu6RzEztNeZrMtI1J9XDvBwE5ehOcIgKi2Uyxo1X2wRpQ96Ve79yOJffTwbPl
69TpN56xoFjXHc95IhSzP8LsmB+JQ6ZxBHMOwlQtXiXhqTiJK6IYBoJy0AIakV0v5qF10OKWaoIQ
YhuE1GLHy6TjRo6X5+cW7paE6XO0Zu+C+nUKbenZN4tjGhRSwYpek450jfGQO/KYY2RJtWjkMD64
gU5556bVLRtVEfHK+N9qTaJrTDspQ5rZ+Q7B6gsmM7Kjcoj2L647q8PESJv1EQzOvZ+Cj9ilhbvc
TcClI3ZceG5WXR6WPpXndU1bsPZG0fYR3TS08Zn6rhW+/uK4kviXWa7qyzoGVHupsAAGFXpMG1/n
qa6wXlyef1enPaM0HJNnCWwg0qds2o+O41DnrMK7znX5EzcIac1b8AfpTtWvcfGSmP2heZLrNFEO
JdqltCRetmT61hccrAOZzTgus7aJndkZUSjOZBSX3qV1EpBbPdcBpgsQ4jagpJPfYCskUkDv/F96
bz1oZHOExJusFGTJ8uDaixvNgGIIrim13dY4KXAxxNlc9CciVehNLYS4fXUZiXx3hBbqCr/nmA75
jSd7iFHcNxDrUtjiY3GWK5IH6wumNP1j6gaN+0DgPAxrHheQEPpLqyEzvctGhnz8LCg4a/kmERup
SLPUfKT0XsBeFdWDUI55xLgiow6z+vKoiwSTxjYD8nsj2UFrhrY/r05qUg572LFEAV8TC840POoW
cQk7h3RmlEifvfL/2wOD//d86/qGX97US381WYCsNXS/TxWM//zP/glzsf+OukNHHGjzAm9N/H8N
FsC8MB7g6GJ/NdGAboPrf8FcmB6ARMbsi4oeaYjDNOCfgwXT+rtvUVjzEy0H8SGA2v+Bd938dKf/
NgPEbcieYuBfDxxnG3H8Sd6Bk6puNV0Ex6IDDr9kOltnzp2sx7PQ9lzhyJOfX4Rf1DFWVXQ+2Tp/
qVSvPXMZ/9alkPw06a9PaUL4rMc09EmN9qNBTwUIGi+4MdmU7XODv6BS3JCyLvmKxq2664V2Ul0S
wHzyh5tSqCeNE40qcs6ujiaYnY5EkhBz/YDlEetESeYFPXAXvQdmL/ugeTl7ZeugLoTU6qPq6BMm
twsGw8JGR+bIRQ/pBpNgrCe4AlrhHbUamMAxUNS85VBlr2BUfwmy6L192ls4fOa8+JGbxXUCnH6k
uXgpUIgArUXSNDFCx8JKGjGW7A9dA/BhD7W8zM7k7hR4+6ciLeVdIGAADFxkgeOKsMudOQTZb4Sj
zBF1ZfnrOBfuruhbWe4IducPUhNlLFhS3YD9WTAgBGHKoLgzKyNULBGipLmZPulT8T5hcYQokCSh
lTGEZe45qdBX+g98ahU/KqlH0hsRZjL1Tp9HMFS9NWnPSNLLR3AwWkycD4GXrZ3oj87kcY+zcWuW
m8F11ENjG+yij9VpXGzJYztRZnp9BAi5PCbYvWlhEXLJJoMJc9BK1zyWRCtphDigOmRe3BeHZDVB
DNqzIkRgLRI8H5kPrnZs1LAR+5LupCQJI/Rb8/Ese0eauyxYib8YKY7lDtXvmITFFs60sytbf3O5
0H3l+kPAFXYXinjb+9Q+VlUPUUVbgofeE4K+jEQwSt3lOZh7pjWgLUSn5LVXbndHt9duIwOiYR7C
VLHvs7SujH0/IUjoejpItPG5VAT1eI+kRxmPi+hJTwxondY7FAwlRh8bUA5sRmOangpmY9kRl8Yg
6Xfq+P1LP03XPZdP86JpU/1B56+68WjOp1G/cC2MR+ZDPHN66edeCSyREzEy9IGmgAjn9ETVTU3s
TIBXHBEBf6v2IzCfHbKFNLKti6/br6XyHuatsgXxaoYq745ZT4/T6fS7EocsJ3jzNFrjNWnt54Hr
wEI350LFj+VA3FXTIKGGJntLNCc3u3OrsYVoGEBfws7bdxhPbXNy9n21VKdUF9ZDjur1F8sZ4Sve
nxEbT5+jBJ79R12X7aEhj6Fiizow1EP72w0f1vpY9SNKCv4bw2hfK80sHpWun1oXUvXUdaKEp0s4
tCrcfSO0dxuZ4HPQQptxNfXgA9hRHHCIL7uUxeCnR+IkSq6y2QtWN6g6aM4gDFrpUXqbOdat6GAu
9HeNqlHhsq56xMVK+4lukOwdL57rJotWC//f2BLcXPt6vZONRXox+o4QCkUDcbhu7vS8cH8ES/ps
llUOD9gc4ikpW16Z4iBsbl6G5W38qMR7W+1VRR0OfSixCtJSMePp8k9ZTaDO6HjPbH13KVkrOwuw
8lnk/qFnUIeFrjzYC9ZZGXRx1fpDjNr+ndEqc0B3+UU4+j2eT9I6V9s92Mp/wc1t/Jp6X1xpLH78
djo9/GNb/z0IEcnPH8bIvk0jBTU3spxN9gEV5U+il5rYU41MlOBIJLUOn7Qwd8FaEp6D8dy5z7hi
5CGMHpziDo60O72Z89e0aCBpzePokjPnThn7ZO/y1pHZGjwUJjfcKJ1Ft7Auc9/CzCVgaKFoXL42
XW2QHJfwPhvdxOjRazcMK6HXnbtfmqHbRHrdeBZGNmRxlrpaR7PAYbOo2+SGyLlxPDifu4n2ubPI
z11GbRvOXM0ZzfZ+8cwj7yUaxG6jZg468A0/E8VTX2iLh/pN904Ux2xTk5u+MUxpdmafYqx1h9sy
oTYmUfswbNdEqxhvdTp7N45e35iYW28sxitRYVYwUkzudBUOt9CsA5xqg/VEyCDpBGxnt4g3nFgy
EMduQHyM0eRqX80EctW1ed5ojb8Mv6m/dAx6ImllJWtVyQrctWDEGBMDw+jehT8eK8AixFzpBTV5
YPvsQnZrFIL+DHfyGyChFfm9k7PLnBnZSuAytZRaRWRjWn/NZLA+uAkJN0qv6Jx1xc2SGvbDYNfr
vPNpEnxnUyCIWHrrAUNGQ19ys0Ez+Cvux3bw39PeGSJc6o84t8yzq+c16IyqMO5oNGLvD3K8Vj1m
rSKkVbrm5Bma7g3+ZMZOAAximnH2GxApLTZgrj0ABkjoMaXpGxYz3taZFh1iTHav0R/N+8QZ9Mcc
2R4DJeNql4lx1GdVRQqFL4lPVfdQZkzbcseMy6pZGAwaZ047IuQGbbzxUwn1au5kNGWqC3EO58Cb
QdMuBNY6rxAk5ohv7luZcvzbAsVdkwZLpDHj2Jmt8VIFfRMK5rvAoLkSQoENZusdrcR0cKX2xvAB
GTZXN0Rc/dny8PMZBchj40ZVybcEYZIvs1MzTtcchlbaBCDV8Xwuw+Ac5nVgUjsbFyGtX8DXgjsx
0Io3uIwcfBIWj43R/3R8pc6Zb4yhIjv5fQmCiRmfr2BFmstJKUKQijb3oW0JPx5H9UaxiE3Ysd5H
G2z6xhJHKZH6+8rIc5T/2vc1q9IYxZ1xqWVwBwt0oek7mFENcW6PbYVgrr5NQrSi9W50ujV024Gu
J2pYZrdnHJRF1DOlpEo4NK3q79bWACkG9jj2bBTJ1Ww+d2ky35WGQVozYIJbzVhcig/aJ+nsGY/w
UNQDio6I2OL8pPXbAAaPNTJdJhdnVDcmJEuwmb+IEhgjczDaDzGmKFKE2xzsgRERUFZzZ1Um/zR3
0n1Bly9GjF9wwg7m8n12vJFk33kxv3mAZdrd2CEyQwbTf5Wkuza7Oi8KsoJo+u6qJM3CYkh7MKjm
rNpY6wa4gMTZVjfJdkZ322ktPg/u9vMQdz8PdMsr0/zofx704+ehv34WAKgeKAbmz8KAkTNFgrvV
C9lWOfz/29b/iQtuE74Zm03hv79s/a/6/Wf1s/4b+SJ/u+RvzfVn97eTKvmf6vcL2H/+pH/evyzS
RnTIYURHsM6hhf12/0Lob6G8CUx0sZ+Sr38546y/8/8QKrJ5Q5jubarqf96/CMxxbPglCEYd0pP4
uf+T+9dGQvtdgrlpuTydT4bALECitCnIfpd1KQYVTF/pnWVTha3Cqa51S04CtZ/aZUlHrbWWH71L
83sNxLUx8KQEILHwzuo7fPnQAfya9IR5oik55SAil/HfiJaNP+lkt4/IKFjnnsptI0C7/MePaI0J
F0eRdqQxUgVrq21GaYY2EVre7SjlT6ZdF1cNe5WaiiYeBdhvT/m/KFr+mw+AkJ4AD2w6zvYd/ian
N4XR+hOcqzhhB4IbOY8ASkos9XkSZbI1cZoQXj4EIHIyqO8FvZV/8xE2qfLvl+TtK8DUhO7OYaiF
DPCPn0DZudmVzCBiqnqOZsN7GTLnksv69q//VPtPCvHP7xqZNr/GJuzG/LN3yl0T1YMglXENNOTY
p31wwExNsHYVHAIAjiH8KjIfXAXZeZqCEMQpO/FsPtL6qW8JTNUiS7OSn6pwQDHOpv5kCU6Z7b2I
N5kM6gQOU9zB4Khbe2b3tb3IIXd11w0jbTsuBDgjTOBh9JGyhC9yke53rFAnvVP+3s5lck5rzd8M
GdQrBGLfLckX5n6s1grfmeE7B3ue5gtF24dhrSJSY3mFSuDvyy65rH7wC7HPEwER3/76m/tjXUvP
kpWBlUbHtgO5Ga/rH5+Qt6IPQpNCHCBFOdFyy/ciQWdvk/acMEgL7SwNYM4hyvnr3/tnax6/2AZi
iwXB24SebCN//MVVG3itCvwCAkZGim9fFifPX/ujaRL/kVoKjeSWI9J0pnOD+b8F/FMwZ/ZrHigp
j1GZpYfBJzzeYXq5Q+ADrznxGM/JaYlL7tBc5k2bjqRWm9G/+ex0kf60rJGskqrks6rpRG3hTr+/
WCgQbFqvWRkHBsWrRId4k2aEo1hj8ERXEaAeybExIXrVpZ39EyLJ0yTS81CSTJBU7ukfG5A9ExFz
64Io2vlqIG5F44/2Fv4at7Ro81rr219/7v/9WeNHRS/tYE0mnuzPtpIe9LjeMdhD08lE1rbZFDCI
iH980Z0LjEUOfUAMYmn+u/fzv/jCoB8GSLUdNLp/NuAOZpVMA9OzOEFeEI4DY9QAutb+r/++reX2
x90GTwL2EEKo+OPYcP74WOqyrSySess4W7w69jqJlDTJrn/9S/w/+x+2lYs1wzPpcho2KMw/PX2k
Ap6HlL6MG7P8gAzBUNBVQb0jOFLtiLngbyNzZJ8gpI9qYxVMyMoPg4yEx3Yt0G0OCHI2Hahhj0FY
9Y7GQCLVj6VikYtiAuCuaznQAq60rrYcsENfmPwREzEN+OmYeO7GLQOI4MA+QsljRgAVYn1mf3OM
mbGvDLSoyfnXGKQat0jn8YcPtEDIjGUnkrQEN+3qDpUPlT+YhWORggpDHkY20EC5lgXAFkxTfZ2x
hFP2Tyhc++LK1eXqFNYjY8/knLTYEonP+OjMoTmqIQuwjtdAhQM9HHDFH8om/6Dw9XcDAz3GNh5c
aJAM9JdY33WquM605RW9GiwUkX7BFUL4ZxmQnkJUGDYiPrf1WOeBdpyy0Ywss39FcR2E07Z7L+DZ
vzHiR5KlEWI7z7UZCptfVgaF/dPQF7Zlk0yucsqvKoXaYHHLDOGDoVcznR91Z4LGGSocPA1yRKYB
HMSrq0VeWXwYGX/0CEqIayufF8LiE06pXyjAxhCExG3KnZmrGBv3NLSKdCh6AFAkCOjstFdPJwfK
TrogDDLL3wMWSMLBVtmBvayOyXC64mGood64dAsUJzChW9ausqtbhMfPhRG8SFWh6Ry6fi8SP4sp
fiwOlpEwBotHU6vuyc1hsFTtcE+BESNWvHa6oj/IZYk8EBwmwczTJBSlDTtZcNPgZiJl+VEHNA1c
sp1kP96slfiAwBXEs1rIJLf5Q9VUOTAy7hKLFejXRDQxeb4IAhlCQ3IGIJwUe3NgqJ20rPNmOzIJ
sCDul6FXuIziQ0s1VixPdvHSD8TCWxKwdL6Ogm5tndIQM20CVTERfkDcYhGQ24yEbPL3Wtbczp4C
fyk4qcu1ulpNVSLkMVAkQwJ9VmZ5WIvs6lokF2WL3t24iffCJYm/kfL01i24sX0+GCqDC81L1LgG
h8fn2l0mlo3eBihAkxLiUZZf/YSa0UmtRwt4eNwv5dUn24u+e341el6Nz4XbQYzjEjYfkPYzr65c
WsT+SxtQyGRSF/94BSpWGA70R9V3au+MFJ82+s27euZhDflWbWxh4E3VWiQTsIIsg8evdF6Xdmj0
nYms5HZCMhgZ0LHD1mfRNn1+/fzgfFyqmKFeDwVuzZgsyO4GJI36NgTk0wy9zn7dzrxqXtbeNUEg
o3zk2XlLICIgpSeDEeaetNstxAd/cDGPt7Qv0rAQSXGY+wQoNRuYprYNy6ODuvJ3sHRxAG4PmD7l
o1nK16blvXLn4gMtToB3tLh+bheDJz56osiBmrET1EXKL1Cu2iEHC8LWXQraWT3Y24kvkcsA9RAq
pZAq2eMabRxx3dEYgES/F5JdiY1KRO7avjpmc/t5OgU6q5gMlOAAZSE5m27xQQZy8mCSpY7xS4S5
i9G4YwhDo8vcs5++01CkyjVZuTVF106pHFk577Gt8XNH9lpuzHwhsxN3Xnntqa+27WzBQbTLSvfy
uSkBsAnCrFevxcxnywf3YjbueiT64pH7Th3TAZxBWBZX4tWQiQKBAvrOw/28TXwGn7m5pUXbseM2
3uXzLwQN9bG9EjJ3HrejwIO717d8sM9n0JrBJYcYsdNrmoViukXdQi+s3pYN/SGUR9i6G6N71dEk
3Tpd8SFaAvS6laXSASb8x07n22wmTua/gHRkR3VXLWI3me6Vv/SMbHl/C97MaNJW/isfbwJzo+Tc
b09nhs0aOmtzu6awPp2C93Bu1/n8uRMTe0Eh5qYAJXOfM8OmzIJh8+KVLYZy/guXT+LPBzXzT0k7
nFn1KMrI7lkPmqjySxPoYu87LcePYkdgDfPjt3PFEnwotRXPwnUejS6J4CMtsUVE4U4svLzbCptX
/k0syY/4AdvDuPKopoZF1wVsPGXLsqpGdh9/5NFYAQXF9nRV0b2S2w67OWPX5xZUxyA5iaQbuRV8
7r/ltjsmMqtjJmfWTgsaTGOF6qPtjOsCfkGasaqdgRfIW8UtIh4UR5LtpmgNsf8sh4mSLqFGduKO
fKjli448+kj8VI0cjeJKnwU9LtZK3VfXws8+aCa+JHqxcGB0cjeOfNXbaZME7Iui5xVIul7czR7R
Dq7mwk4gBIAQQLyLDiF1u6Gt5cEjEZFn2+WXCY/Onlk49bnjHWjNZ8yUGg68pZcXdkl5k9tZf7In
4vgUqsbdbGXzfjDW4IB+zo+aJsBcTPsHYtwE4h7MlH7sGIhcM28eoH4Zdn4YDQQEPVF/ceBllBpz
/tHI5hWYWA9jUlZvWiDWZxDPyP5qsqDStn8uapnG3HMQDiaG8UoHNN8RrFlTEVs5dC+DYQpC5CMz
koOzck0Ch7KVBu3YnHAQew/GQCT3tBKxaE9kCJAR0JzI/stDkVEny7W7WEZmHzx7pq8ZpFcGavO+
8JAZjsRiMoVb1QFG4XqzEgEFeI3NfrvmQSoWNCOxN3O8q4PjTNkx0Cp5yR2y/Oaa9ACU16DI0dSG
Co35bi5REI+tBGdVCU5eItawine/ipWCrR9xVW1JQkcd+VJEGvGpD+Qr8TceAnH42iMJ1HejRT9f
+JaKaQoWOHHthF8PDgXxKholY+Bnr/C6csMYDt3gnEvCxdIynX6JvkPwIP1kP0ETDblAvbXeFBXp
8gYzlFukQaRApsEBbPxR4OPvMXOa2LIKUed4SXQSjuzGJNDMzJmR5daRoO0itNSkR5vcleL5QZvQ
s3ZsAIqAdlJYcbqlPNMURfnU3eS4nlmE0xdmpefOLf0dWsaWrZy8KJfFh0BXROZsmJEYtJ/49H3W
k2Gd+tV+TAXTEVjIt4Rbi32d8hroxaD2XW5oR5lDOVQzmmF/u/mssMd3+sq2BAL6w5ib4JCRg45r
lp2GXIjli9XbcnvC2MdKTiAbt9zHVGiojQ2//Foz0sb7oL+OJluFZqjXOqHFUQnZvaVrYLO94VVf
Xa+PRUMRnKHEIR6CiknnDkeAqgaN73MfJ5jo1tI551I2Byb+faQxYYiHlpjLzxu9E1DceRavKXpt
xtm68WjNfge9EDp6x2g1bLYlyoU5tqfpGoyDH4t6fCSfXYsIQuoYXI9smhwF2+ccfZ1xP5sTAVNc
CzmtdwFlNu6nq8BrqNOFxgihP6oVRmWvw6WlZz+fQazCMNK9Yc+A7qEup9t2MX5wgZQHnQb1jdLN
7sugie+IHi9pD3zOXIIzyfDWDoSTuGMOokU+VRUS1p7qettOV+YStNs58ZDMtIfJ8V+sXFzbpbql
wJgfVm9mSiytu7ajrtGM4JYpscu90c9hG0859IrqOcBNNZrZeuiZCXa7vEMfOBXZg94Z7fdc57uv
KZMjQ3in0maFtYSCHAdMdxRYfKewqPmebc//iqqqu0m1fHqpSMtjdMJyM7fmVQ50bRIiCxeffS1R
1DlCZjPTYwsrhxtsm3TFbWUcW2pv1a/8sdSY5jq2MU1uBpldc4SJHyc6YCQjKD5gSX+knPZdxzmE
8vkCHm4TM3Ki9zOXsK3ckdtaRRg6XxIbF3dKTcDlmuhga9EijQ+8s7czs14a3FPbrQXgHQ4M1xF7
wshem4qjZ5yG6T4liph5NdbLpO7ruB+W5LzQmdwhgZ/vBXThJzmMeVjpRqSl+hjOHnGtJTf66POU
Q8Ba3+ZMq8PAXtC2kjF+m8J0JAaUNTxn1vqD+N7s/T94O6/lyJFsy/7K/ACuQTmE2dg8BBCKEUEG
tXiBpSKkQ+uvn4XouXOLzJzk7Zd5aLOqzqoKEgF3P37O3mvXMSHEdC16OiAAZtyiC71O4W1yJ/zi
2YDXMK7luzqr6ncZ9Pkx49S7vP3cN9etncRXXFbfaULwW2XWnTPiQHD125yh0A6thOoDS/21NKqE
OVc7gpX7k6j4RqZ0OQND3s+u0BnRUEOxKYTlbe0SZ2mi2CeihQhgXY2up5htjGZkupa2bnmpaK8U
tF/suOVh0ud5bTJMWk1oBCA48nXEin6Dqg/mjon7DH+H5rsRXSnedo64jq+oz83by9nrjqzTiMy7
v1/8xZ/aC/QYgf7oNgygy4j4H+3UPultUONTulVyLp0QCJKVaNuXqqQpmKhy3kDMJRR4idxt52ze
RLrs2GrKJ1E9O1X5oDqxxhrmoruUGZ2tKmssJg9Mc85YDmYP+bmy07O686OBJL1y6M+WXMICnJYC
uA2xY3EOXu5I4Dx+4nKK3q0RQoporVstnXH6K6121BnJXFnlKI+jgjlZ9Lx/sDxdr0WrzH0p1blf
C2qvxbp/uYR1muHcMcgkw6Y+5A1xS2a4VIFRjP+WO68vQifYp5o2/vst8oVozqDAphWoIsr62LFJ
spjxGytlGzRcORx7CK4wgio7S6fokql4ipdWKr8f53/HctOwpX3Rov5DU8xxGWZYpmYwS/ncyzMc
p4IdmXbbxG6YAetztGtq6qQIGP+KdB28hRYinz6LjS/aVZeYkU/9Kq7vLhQagw2DXtLH356VrXU4
WLqtU41wRdnU/SRWtLt4gKlqzmX51qlJsA7UGWeYSM4FyHW0H/p2AiT+8ve3+/d5CuoGFfyOsagb
0Ml9/Fk6Hb9sRCDu1lw2gaVhgJWVEroZF0GreRuH7K5//8jfe/Ym/VFhm4wnVI3C++NHGnmLYoqm
FON7w1ln1eSsq5C/0rLiYWzqftVHyuDnQ53t4rCXu79/+h9WM3MCfgAXWeAyyvr46ZKHSlq10m4r
h2IspaHj5VwovnjD//BY6TIv+XEOfc/fxlScpjrqxoWoo2GR6Wb8C3UyvilTc42l/XVqs/iLT9T+
9IsBsuTFxdFNd//TL1blAL5GRHfbME6aQ9DSMI9bs96zJdDKGZyHiOOT5E+6Z7oVfpdjNm37UcNx
E1Y4+cijmv9NrtPSMV3miDBTeNlpAn96uWDp1bGrlqyxNHkrSjH9+lfxmybUeLhJr//+1V7YTR8X
lhC8xjDa0G0ug8iP322n24oV5GmzdXD91bru+rmC56AIcPmpVM0rrbe+kfbwWKpyn6n2Yx1j0+3j
4UTC2s/WWRAAmFm+IJd9hsfxGIQgS1DwqrO0CWr6+GMZDnyvEAHTVrpEZ9sZxbNVsdV0MOZXna7v
u6I6RjTJntEcYMsq+IoUopC9WCletHqkMUUdt8pKXV/FRU46iWVcD0B6V22S/LAaiAHq6M8mJUhr
A340bnVqnC6MSgyYXbJWyKCNbDo1Nkk2XovVJlumjimgAwygWeIhU0w8vMDcrVXE9sCEpacGiuTR
0MpaxnaXgy2Z1Xr/969MX3b6j1/ZMkkWNPAt4qUQWn18Ni5hokDp1HIbQr9bTYhZPBt1+iobJH0x
5OPeFEFaH1uJ+a3v1cuvSWvVI16poCDEowWVt/egx6c4BTplLVSmRP1SN88pVWkjw5n0CgmgyqET
CkP1q/3sQpP8/Ds4KtymRWCsAgj6+DvQy2Cfryk2KUobkPSO4tNTw3Bi1y8d1gnc7/IIU6jGjoqa
S8niTT1At/j7o1wW0+efAn6apetM7lVYpB9/CpnMRok9udqWU32Fb5yuDW9CTGrtFx+k/77TLGha
xyVWFs21/XmnYQoSVHqWltsgpyuI+WelkVmxIR8pf89mXEEYaHl5l+5yNXYITVLSBvXOnbxA9qE/
lNF3eGrf44F5ky2576VcAXm+6RrVEa0TLu/0t4+1wWweePO8U4B0fDHL+9OXxgCPAaiA6QsL7tMc
MufmqmtzhNelQd2qZ4in6nwsPdlQdSKWq9bG0P1c7ktTSvupq6L3STpf7FgLhObTd4YsgnkiPBzz
92Mi04nvLdF/blWz+GVAVfB4DHxYVuveMH31afrvygTbNnAIM/c1NJg9n09epFTo23XUWxRUm7Qs
Jn8ZS84NqnVXCwUNXArquWXIoTtmeCPn4qWAl4ECluLeVMPvhFhOpwzE4q7n4r1KMfSvTMnNXgmw
vCfG8AUr+PdzlJ9YLINi22JH/ywkqMVoy4Y8ra2tTPG2aEoYVSkdiE7l/kQrW/V7NftiaPmHgp9P
440AkqeybX9eSRmlw1BUekHINo1NZLAmF/FRP0LdgXBCPjPwzVxyo+32De2pg2vQqFx6hvTblbXU
C9BAJJdtAwZFfpv2DY1QQ7uitaJtKqrZ0uCKGeEr9g3Rvugz9dalJ5JrXJx0xs+b1l52MwKid9ky
fjH1Lr5NuVERxmZEOxOwxjYEgu3FhMNmlT6Tz8RQryRuDxOZLDeRvRTzBIJuxTKhBFp9Ow70SS6z
jWJB8TNz+7HchC1iOjftiNFbC94MZRwXvPmwmWdew7/vT3/cNizDRMBjLRAo83M14EAXrE22jXBq
o3MqGWNqXF82ujDRk9PH5Azkkhu7+nfa5nSzBV90PqBcHDo9W8PxH67siR7RZa+X+sBodIpR5ZpN
iRi71V8vo00koC6aH1mT9lAb11HCl/D33+T3AtZhf6V4RXGi6upnOGAdmoxga7vZ5jaHcTcOuS/t
ZUkQ13EIa1d6rjPLV9MJbKSEoBP+/vGLA+bTrgEzw8b2D9VK1bTPEgrXGVOX4NZiq2ZM0Qq9Hs+w
kdq1k9EJNyrXfMpL8qliI0r3ncYawTBKV0Ghjx0vfyXSnARW1SaucOY15exiorTI263JfFO1DqJF
8UIaa+xd5g+0NjRCCxheY6GDS/4iymUagBmB2RJxvKpcenzj0s6dy/i2rgbzSSUzvFTdY91jsRPW
LDbTonlBEPzO/xh6ZIr6y8R/uc0dBDapzbjx70/pD5UFvEJHg/7tmpzK1vIU/3ltZ1aX48YuthVD
isuAQJrLSFhjIkQEsALWhozwMJ33o5oS2bokQAXxE8ODEoAIY5hZ7RBO1XBqOK1vs2V/q6wHM5mJ
TGnL15yJPkZjZhG2Kqft33/63/c9xMBUFKx7lWvq5ztS1yol8cxknyuOudUC5ovLVpFO3Iov3ags
kF/ser8Vz2Dr2QcMLmXIHDjYPx2IkdYQmJRyE6S1DXmrbHEKL5P7yyymuXy9HUMhiEGLkgPRSLeM
Afu2cla417t1XdXpWiBmwVLJnvP35/H5oLz8cEAXDdbbohpa/vwfX6Y1OUmiYCHdxlFFj67mZ8Di
zRSA7ylbnsq//XHLEkepZGhcJn47dtISc3NYpNtBLG+tLY+TQkFlNrw73B2/qiCdz1UwdjKTHQVF
J0I2wJKf3tUI4ICFuBxJfxSJoxv3Jnthbfuj6W4YNbnRakipSOI85MygDIXGMQQ7jWy6a7Mw7efB
lDgL+m4HIuymsZwRggJaXnPAHDmwRn26Kw2pMmVOksBE0F6bx8fcIA0l6BHWx3Obb5qY/3jc16j1
FeU2ph2+T7pcW8KkK18pdADEjlPuuMOYEUExMOXNkCgvFSDUfgwGPLwpTsywMmGXhsYVWg6FiUp6
00yq6XFtM7a2bvAMtTo+IhpP/CBJw5uce/JmxmPhZ4Tl+F3EH0S68l0raaZqQ9XdThRq8C2CxLcj
bmqAjnrahkifO2ruGTdSwOA3lcYVAlWBDix1E9+SVb7JSzO+IrKuhz1i5ildssDYGnbl7NyYn0Ep
A6JFlfuyNW/CKNZ9he7wAQ/1TPtn1t66wTW22KXEFwvN+Fyo20SLYyBERMuupHJf//guu2FVu0rG
KY+CwgGCxBozMlQjgBWYbFNL4aBQb8qqyuEfDyYIlslc6+XyBRap6Ts1ZhKUPdT1do3UPs6iH5me
GPDHKwsOOvY6wQuE3ctJfNj4DMLzOt8wRDAJ9eNpkzyvADkazKO7/OeTor1pI/0BubjpDaOFkkR0
xrqrJZy5pHG+aDh9PryQ/bGgWMHUMWw06qdXnZ1Tw65NtG1Ukz8TTStaRF+s3s+b5+UjbBSGwlUt
ciY+PWBuYYJGQOggGEiIM8W+4/U1yQtpOSMGwbjIs1G+uhV9Lgr4UPZOk+KG+wTbxqcdKlQcK7Gi
2t5UhY0bPYQXXM5qxdgthQdiMNJTDNHsi1oNPMIRmy/aWtrn2t6Gnk2BTFzIYnKl4/LxrZoqmQFH
LuwNwR0Kc3ks/qVuEIKaLB8YCHdPoqyzZbd7oO2QbuED9Y9/3zUvCrh/XmcuPwMtcp27DKLfhQn6
z12aZVPbeg3fKLFSYgKmqtlJ+CdcxNVmXuHNd+Emq823UZ2Dax6keV2MqE7zVnfuSd+d/ai3cacA
INx0cnZe1EbnUVYN1V1UbuSSa0ogV7MXtc2v00b2sapM62iXQ/Wkh6gSCMOAeDW47dmwQ+gmvZJ9
UXwJnd/hw+9IAUvL1DIMg8Y1Z/PH33GKW8usOEI3HavqOEB32ahlCLQAgt3V5ZcAzpKd1SG0j03E
HzB4DCCxqDPsFrQjMyWYb9CLwJMahDs3jBycRYnCulYbmHn6e4kWY6f0FhIyp5/9ODRu4UcZ67LG
BAqko9llFVYmU8zOlkRYHF8Cb7yAK7ww8tcZiAAUPkQU9UWubGRJikgdEEBKNuIGBFmDBZegvtLq
kVhE4d2kCMWzgiE7T3P5NNeJwSbUXQnQXt5sQtkOq6g/6bHdviiwCP/+yuC+/v1x0oRHU2nTCobI
/vFxlq5LlCX3pg10NHonnVJ7Nr6yOBzuCW7BuNuZhG60cNljawo8nY6Xl4jS2aVOZkMaoXuVMl+G
vcwyS3ICnvD5qN+qKQF4NLtkgkrekJ6EZCbCZr6jkdQRixtZ21Ttf8ww1Q7c8lQP7AGhVWQtbCod
wIys9dojIPGpI4Zv04/Kg6QhTdZd/VVl8zkvwGHP4M7NijUwk5u0Sz8+AYCwWHn1TGy0nsPbwaPw
po8DQzB+8IAT1NHXXUF6VDtgKTYUqSDEqSIIb62zm8y4hB0bdET6FvIxDhd5R8yyS2cQICtHJMpG
H0peTCtU/BpxnK/WvCNk4CSeFjsJuExHg4C3wBIjDS2BeT/0xoupaNizXPs+iOKf3HU6cqbr7iBJ
3tyFiDZOYR4755Z6ch1lTrV2+4zreA71QQ5ju7XoDWxNRn4bBpO86Bh6sd9lxhc9nD+9O0wuTJre
7H2/FYUTRFpmlLw7+OzfcRs452Wt1B3IlUEL+y/auJ/T4/mi+IoMFGp0cnXX/ixmlh29KrVr2WGR
U/kEergvCMuiQ4kd3FNnOW4MjPPXgH0IHHdqNrya8ksbeOhjX1HBOxg6mSY+925wHELrFMwE1mmo
fEYL2n9S+NXEuu4TJK/8s15JTegrLu9lnXB8EO+tbCjb34ummm/1AjGfVs39Lw10zg7Cl8bkcMyP
SaNa65Rc9U2EJP5x6LP6joF/4Gtw4W7LOJ4xL6PTAO5Ci8uaq3WocLVBzOXumcjetvhjdsSpsXOA
lzpJ8qCPNe6K06CyLTdlmm4gj5JZ6FjZUoj3j2Li3Wp6jhly6h3pCd1ONkXVsgpbJbnW1UI16a2p
b0Zgg03rNcbZREkqG3fhBuLoVjYVDxK/M2mCEb0gKlAWxPxFVfCHt4WXhF7MBR7BKflxnTWWlaUy
RBXr1IhyEsHzq0vB4VQAXbMFC+LvW9vvn8dUEUU6JRYXdfH5lm6lOcpgkD6bTEIm6EtWA7I5d4/m
yNlFs6i+WA3a74Ul1zYBGEPjwsswz11+on9ckhzkbYDGQnODjskAvIQyVMOnc4wlg6h8VqPD6Jox
qYgWeUxdvavhYfkWvst1IVn89pAzChjswBu5OUPh4aBSe75qoh+wMNtauy0rfpXYKuo72bBdi3w5
3AUcVgHTBTdj8W1atpEwFwGKa146S8tIy+RNSyxUoUmBKz6kN/lQkIy4ny3nRCRfCg3MeK8KSKTz
IN5TOyPpip9dUdtxMznBfKCvpa/x/tJYKeqHZuZdxzOb/OtoLVNKrdoJoxcUZcbalQjuNUS+aERY
TS4BsduIV/BQYCQ+DK3ZbgtrOU2hY3hhSV2SxpwznezmFUD72b8gm2rZTd/zmf0t7XnP54pXPK3r
ZocqnrMnZdtt0rJ6imEpbnhuxjqr+YFK2wbgl3PWu0rEFGCqYEVf/jTjfY+nTtnUtsJtHi9s53c6
tLQRaQHBlvwXkkhv9qANbRYL20WsDdQD7TjzEMdmH7Wqc9IqBvhdxt+6bejsGpsVmkf8I2pIBZEH
LsiNAvE3mm/QaWFTX8caKqK8DQrOBX5NRWjJda/MgEB6rVl3U7EkSgUuFtWYZ5cJZ5vN1qM12T8k
el0vzUx9z+rsj3hqjDU7GG+xmDDZVhklS0wZfVnursXjQ2nKJ4AK9OF0Jl4kef6Ra7Rc2vk6Lqvr
/xtlZ/mgH/DPyMZA1vu//uf/+WD/W/vtw9+sL2bM2+5XPd39arqs/U94zPJP/nf/8H/8+u9YOjVi
B7kWsmr/357OUzwX9Tf5T//mf/1r/9fAaTL9ZRLKuWiLf7o3l5unuUAMDJ1F9l/0HPM/TMNiFAIj
RxWaLbgw/Sc9R/sPAj8sLlJsY/y71r9Fz/lt6IITFGeRQWeLXofg9/24Q41aQxg87MNd3ptkCad5
SYelkuSQatcG29E+DvpX8HcjKv3ulw6t7xQKFL3/eGTnfxXr/6Q6uL9BfJafQ8fHIJZhMbPHTzWX
4YYKaNWAWIC0yXatrW1MI8U66gE5iKKDWe0q6xwgY+5idGWTIFBMD4MTKc/tqqqNh67CbqDv5uZp
jq8N8AdGwugodkCQBQi8B8s+lGQMrgZqbCJRbqcOR37QQGxBROmr3ePQJMcJy+EY5OtENucxHW+G
FLmPUcK3tzZBI59NGd4oSQmaW6QPXWyQLWKE30ywXz4ywCUGkPhetPJ1uR75IJ+o6glhb/zSNOWD
MVHsBxMeH+MM6nWxfQG85cE2htG+gONO8eHP6oasqhUQ2GMP42UjotCbdII/Cmz9Bm6XZ7hCdyAS
73FQXuGo2TE1ucojghTTEM1bdT+O4hUPn00Cb3rN/bSDkNMLD5i6szNE/Ewf/hoS/pU1il9FhFVc
fVMa9XFhkqBRPNWivrMCbasDedRGxR90vVrpNj8GwjNv6sC7YNIosv5nXBnWrpsNjV6P9Q71Ldhj
fwc1OxtQy9Ou8kd7PrTacFKgL/uo0UAKabpngCKUWbiv1buG/Ev6MSRbmcN9NYZnzu0NY9qEpwU1
KMunNeLG1hrAbRqPEoHQSlVMdrX7Kh/fe+nsx0Z9nVELTbS2V9FQvoRDvCE86aBXhqDbQHxLAOPW
dh95vVapwMNlQObR6LSj11pPan8dKsFLUM4HgIt33GK5sdrdIyB/X9N+FlJeN2pPOvzIQdyFfjHO
hMG0ghuZnntpkPnu2L4lRuvp8KYQm5OuwqtZRdYj92p1hbn1J5592GeR9IuGrCQdsZlM2h9qC04t
UAN8kdNVa5HdRP6A6KPnRGoPpny263q+Sej+PvezPDSpeRvAL9k60+Cuaisc9qQX+owyDpiHfKvK
d22Uvlhd8CtVitM035TisTElc6hKAalXqrd6awOCHOY94L1nU8uHhTXv9+hC58A+9iOh3pbY9MIA
b00gdnliGuc1dUSWuTkVRxMOeAcZ3u+s6NxCW12HSbvj+ogKAAYu8zXiAJzo3IfaESanV7v7Jjdy
D2vuiu3gHC8+ONzPzyXW0jm1vgNUXSdDntHb0+pT5WoLbDrNKGaM9TRybDq43DJnU6Vn7mveUGq3
UkLlLMxNps5PqiN3vZ4BQIJkzHDsWYnpqijZllfD9lUkf3uj6EyKWxW+cW9dF512FemgPvT5Me51
4Ved/Rrji/XSGHDqLDCzGXQ5yJzWmy1CTi+fHfvQ56RWV9EPqzfPWpAsy0m/cVXolVUrbmIXUnrq
vuVpRVKz+Fmk2j7hMkCHFYOAXshNmuVExKnDEgZIEW4z8ECCfrecgcDv1ZsQLeA61861NXtqo/Lk
EYKEqrIno/kk43zwLYxgTD16IDzoyhVLnEUd3MosqVYTcPTYybd9FJhAIyMNr035vSCxCkDgkwTE
ZfF/+KBgNhnXT0KaCqqu+pG4iBukr6/dJMslISKiTnKeQI/d28MQkr+C/6E9FCGxz7J+UBX3Zjaq
1zYTb3qrb+BNHtWpe62m9DmdbLltS34PdDuTAhm2B9tpx/rdZCp3rsPjkRSbULev2g7RT4ejZFWh
iOdyUSc72xn2g+rgNTa2c12+G6ncwk3+5oTMdIYp2OdlpJ+I1obCjsXK0yrnF52Lp1FQRNF7XeMx
3pA6hJ7VxHEnEUuvGi3fObP7Te8Q41aNy/vXqtvMilRPT5RHvTCOi9luzQq7biftuXJzxpu0CE3Z
5Z4qm29JarMwoDJG7fDK3fCMj+JBGZyj2rfXs46mv0lszONYTmCV7efQ/EU5KlZqjT1Hi5sjgWxI
JIJT2g+bOrVg75IhSE3J7UpRTMeLakb79RgAU04PLL19q3X5ujOVc132yHejMEWZopxMVeSIreOf
dVFugQbd4bTDwKWEtw1pCpXN+1A7PMl0XVv2qXPBh8/m1dCQTVBfWVHrpQjDd6TAr1QkzpZ47Yz0
MZDNGjbsNp26FTcMryrYhNQCwH8UbEuwRmXxFjU5vBz7ua+1/Zi5fpuZh6Fpd0NfEmib+xr9BY+O
416Nx4Dw8XaV2vdVMPg4WXZTfF0V7fMkGZIM2Q43EN5H7YVS7gbEFJ0QN2QAvo3bAOtME+xmJVou
5PWDFbTf6rS7kO7TK6t+dtzaF+TQo31d5a6+G7LuqNnHcTZ8rJoxMv76VpmN0zSyc5WjtXITlrwi
7LMYo1/ldAh7e03G/U00vst+vqb9v0kS+gCq8U4FznW7S3zSIg7Ub0jD43dIvD+j0LwxrPbasOrd
Es+gTsNaBb4Cq8x9cRJMLt17SyVO8Mh5iYdsRH0tqpFFWLywRJ6qSVzZ2VvvoPzv87eQ+Qkc2mOn
djc2NwEDMdlWD6ITvcFnrHi3dUO+LMCBDmvgVMqbSsg3GSqZPynmd9euiDnS4d9OJzuMJSk7BvQv
jayChp5K962buxcsUmtoYzvGFz/oh32HpHmIFMwRwSofdZpOhSCZr4RkCwcnIycocVZDfK/LK4NN
AbgpESZlR7OXuAaz7WDCy+1gnObEAT6b3ahu/Avk0dqAT4CnlvOzoKM0os7PoCGm6gnnUIDjtzqG
ZnpLiBK2Ieuuk70XoRuLZfsanfLsqDePCdIJo1I2ZZNcl/RUuVAVK6NnxhvbAjAHtB8ykofkTOc5
7+xtNg67QjY/ES4dojjdjYuPttaPpgR7bo3Z3q2W2zMpdyMjJtt6qsf6u1t1wbo1TRKV+wjJt9Iw
X29nb0zkI6xk8xa8nuZZJIIQUKNS2BQFQpbe8LA7XqUAiNNWRyJlijOIrVcugzC3umcoEFvEonJl
m/VTnZa7YlhghzClFxCe3m9hCMHAeuhb5mBsvJiGPUPIu6pEuhc020kTa7sH3Bue+kFgn47GI61W
EBWQ+ob3jAAZJCVthUOEyWHQxjdJcwW32bcy2xvvxjnaFA1a6PymCjBPKmgM/DSKOD9i7uXdXcdR
tADJVsmwnd3H0Nafw0G9izuV/cDZxuFDGqdbdHG7LjbPM+Oesu6Ooypve+0sDV4gjFtz/KaoxPdW
5LgWnVhNgCTJwbYG/QhjMMTeNF6NboN4vrLeXZBdrM2pCK9o7mEzKggX4CJRVshcj7E2havMebDQ
NTlm+y3GsYF+o/NFoMbQvLDsKfZz2hoFgI6nag5xykJD0w+I9TBosWWZlKQjYUaVtO41+dCLdVgQ
3OV1FwIhMQCYiaV8DCHJejl5VlcuU+HO5kSmbz9f2ehOT6Vj4aQSRObkKCv2QWDg+VNrt30RQ1qA
XZpB3seiQ1XeTu952zpnN+FaDzyy/9mTFLBGT6VuhQDnvZqtoPew7nu6I0aCfAV4xzyLbh1DWge1
CiHnsdnLHTz99Klg2rbONOnezb3Bk1Ta6E1SDe8y5qNEEnHvX7f4UK5QJ+qdB7WUbGwDR9qYxXvN
nsKdXZvqLz7S+UGTbv5OhJe6k2JqMc0k2n1h1cZGs8P2xomQF6p5Ig+qYtf33PeojynMRvhSeXNb
ydR4cPiJPcVlUj8l0QCpsykPRW+G+04B9mxjsz7noAj8YNKcfUioTIqfE0d2V5TVKYc8ueasAWgt
3Hmv4L466bkdXNGBbq7czobkw6QJTEHt8twLqzy1jNa9XJ9OhaPj5w4nNbmnZW4/qbU6/SiLvDok
rRVsQjK9bsxxLl6BbLjXiZFXj1x0WD8OQU3fncTqXpTMEMOK0ji5MaHTPQg3ie6gTky3zeCW19pQ
i7veTMabunCjw2Q+9cDSCTGrt+7cjndBoZmPimlOPXytSX8VjjJsRpDTCPvH7Lbu7Q4X52wfJw7M
t0jE9k4WnUM7fySXpZ7zc5cN7Vlgor7JOi3ZyxiqAS3wZWqxhJ8UTrfRpjzcgpprV5ZRMvPtZwu2
oq4RLJfIrRtB8JbLBTtPpxjXehjQ7s2AqmpGJJ4NhMHeyPb0lohMB1TSGTszsbUDXaGJPSUHB5bF
54JQgajzkjgSXt9m042OnyxclXLq7xvezImQiGaS26LQcr+r5h8iSxRuvE2H8ifoHwLFenTy+caq
0lcrznamkPsIlY85dxnbfrxTrPFQxck6LocF9C08RXVC31TctSBnKVftF8jse5iGkCU086dFsIdB
1JGJygQau8dcddOiwsP3OHAwmGJE3A7N8doJTXWbB/XzqBcPJCLsY9W5zswO4+XsRYnBT9xt+5S+
dP2kaXBRS6V5YawWraYwpqKU1kNv9o+Bot2UE70/hZ0ojtLjNJJR5kxMaMJ+X2qV6QtFz3YyXybL
s34zOd1qyTryiiRfu1V0quKhQT1BUQ7nEZ23uSFPbZM3iu6XawCvHfrstmgObuSscEVtwix/L/Pm
8e/NDnTUNFX+a2LJkF0gm0GWbKFCphftfmq64FqnYhLWsLOyZ6758WEeu/FmHEh8ZswzXanWguUt
wvmW/Sm6G2JLPGhY227qoLIGCMJ5/+KkvfxuX5ZKuqwacnHca7GspGhZU+myuqplnWmXFbesvWIO
0/vByGmgAOk7dcsadZbVioRvvsqWFRxcFvMYGg2MnJQQvYC1Pi2r3lnWP47scC3lXJ1IRXW3eOkM
cOXARfZJkE5+jnn8zGANfPyyt2jLLgMtYtiHATuP2gajV5mD8WCTXHNbaQ31eRhF7b2aFM29WjSS
3GCrvirnmty0mduYu+x0+pKDjCpW5XGxD4plR1TCQvulL7tkPbXxHqo6IbVVtE4vmyls+YKzM8Su
d9lswf0Muyl1ore8pM4o1cm9M5PUXUeGnj71RsSFYRjYvtVosA7VNES3pltoPwKXtEqJcNMoEw75
yyFQdClRjMvJQE5T/zNYTotiOTeS2IWqvJwlRB0SFLacL9py0iBy4dDh2yz2IeSGdbWcSc5yOjXL
OcUIJlrSto7FcoZFy2mmcazFFwygMzfzT5qEBxhIbr2qdK15Gmqogc4FIDjFmf48CZumllwIgwPI
EVaN4SSbMqQBlfJurjurhyAtKeB0lJwrY8yvgdvn1yibYlQsenRd9rx5BkbwkkvbzlIiFzU/lOBv
phRAZRgNzFxuilbbNEK1a1S1l080au75tnQam3NasXNepjyKvKYosnORJxYRXrp+kAmbxNYaHO6r
kF2pFBha5uTWWWb63VDL297ImHqUCH+rTRQY1CXcFryuUlIaXhIBbdLadNVEOa77qrqLuG3uBsV8
rXNaOZ3ac5OYqStnXt8JJjaHzbh2leAhSaqHrI3kWhkSUsLhXV/j5kOUyYX9F5eYZ8VRxcnoXHfd
lOZjH1N69opurFVJjELfRiQCV2F25wyWcnTiMV1z0EMTUtP4wVbJ+mCAklxFlvUQa8mDg536kFRu
usttyuxOqlehocEd6qMx2lgj8fK05fD1GtZbrBF472jx+zQpKTzTOaIqTru1rk3HmvoD9Db/+MCL
4SV2/yI6rbjKGVdvcms0ma4X+raastpHOClJ0zO3TlRgGMoHYv0AvWxoptJWUetvWQei1KWhqFpj
taL6eCyL8QnlWH4/KCXXMSeLtmbX9Q5u2hS5r11GfpaicoThVgKp0LStkVjlxrHnmUiVvtn0Omut
cOhrBk3BDSwEURuOzduQ9/ae2OH4JZ7zN0EG0kqKst5mNpNy6Rqw7+as47WKYSRLgLS11sSrtiT+
dQpIzFi4MF6bCJPT0ZWUFqXKdf4sMKMBIaNimgg3WEVOUBDF1fINT9xacQVbXuP2D/x7Yh8aIuPY
Rdj/SNpffihaEez10iXWgWP3VAT2Tw0R50Oqk6PgjGwoiiTKsc/eE8N6YDiCNESLbSCfoXldFgyt
gQljvnGjn0hvybKAq7JKq0b6VAVQDKf4+zTpL0P2qorkhJCfNwIQxJTb51krdH9K83erme8mrbAo
hTsM21mLJV5xbB3wQxxeN7Xe++SSEZOsLsknOczRgtnefQ/++BFXWcPtVfsBe96AZpw82jjwNNSH
BC84AzfjsiacVYuOoW0cJnuI6CWzvsaaQwLEYuzTkL4GfgjHtrOLChA6cAe0fNEuJNLuJXGWS2Zo
TJt5xPu6Ghs0017S9vMbuYTSN1x0hTbpL54pllRXciy+JdFk7EPFUg/R4Cb7rDWbm6Cw2zMRuflZ
BMr4PWD/OWh6Ze/GpaLql9qqWqosY6m3hkvltdRguoI3ipg9xQ8u1Rk7rvkIeG68+9/snceO3Fq6
pV+l0XMKdJtm0HcQ3mWkN9KESEkperO56Tafvj+qTqFU6lNVtyYXaKBmBzhKhTIiuM361/rW0kGz
73nHf268/2MTql8HVP/1/1G9NPMoNLHF6POPx1jX9/h9AZH+Nsf64+f+mGOJTzYtC7jAmIoBr/Nw
Yv2lYTp0Pjng7JY0HZRN3/x1lOV9ImkHnS1cMgY8e9gL/zrKEp8s/ICEzGwSifyV/r8DIrUXDuov
xyqf1TpYuqVJWwKeA/X5m3NpDhTSnM5KqH6Opm7wPaZggbrJtrwmro4uacFJGJLjc93kDGvAZewl
iv375Ar/JgMEzBMQ7DNB0IJGw7vKYY13q+A5xssL/DHEb9wvnnQN+GDM3eF+aEW5GqnGIkHVF48q
wWBLdW2LDu6i/VBFoLwbrWj8CkRK4C9jwRui+x6LtAcWZ0s/CoSXLHqmVDLYtctc2y/FBfnGe/fp
gOVQzN5U26w6QTjfAB0v1x1dCqsCY8FqQECB2jDuRjXQNJYFu5nTJpfunpJTWULzmCx/IR8Ymzoc
72Xi0ncafh9tfzU25aXssRkp+wEvwrlum3hNpGUNLuAH3abTyUiiRSfLg3lvJ+1jynt7W6dlDfrH
aPaTnz5TIgT5frz0gjcz7Brnkml+5dTJr7Qz7qUREWrn9uiIHv3PrMt9OnXfGlvP1+iFytV0pSRQ
KXinJ9dKiis35BdP6E0he5pVN9gnqeKzgupH5+K5Cz3MNcyapsAD8JA9Sa75SVPam9ZHsIZVsDI5
WmyMOTsYur83bDEgDKnpuU9ncXR8WleRgzdpXm91wyRi8mXMPS9OHjGFPCRL8YBYdjLlFrtpoowj
q0v3VvzESi0cf8rcMLij5e2Djqk9Y3lxZOaln5yyfnDypa7VcrjSZGWiH80CDDpSPE07+G3i28m7
CUvxDNOE+HHmVXdjaxhrwpM3sUmbA5IiDOnXuNBXED563fWTu8/G9hK36mhAGjLn+HWMIXVM6VYL
nfJRqWvbdj/y6pEecaDXuGwOAjT9WsOb23aUOE3D2sQSQGeSY9D2NYPgseVVD+YlF+OwgstI+WqA
K0gvQzRE4Re7oGO3SbCzTd7y2tlRmgatm435DNAmXQd6oNk1IcS4Y+CIkhiM1l7C9qEN992NDK4x
VvijyMIbh+4TStiRYOSd0wXsaxmVCfZDOyfW5wG/LZUVlNy50CcfQw9feAQCamVrrpwOFp3bOXHE
nTXO3Y5KzWRfYQH71lCZcobClHYUcQvvrpBOc3Iipc+Z2wbvoqW4Keyr+GyApTxyE+mPsEeL18yB
irFmApleEjsxj0kWtweN4vGk/IlGwKpTDIpM/RmSIfFVOdZ3iecMR9+vii+5jvzH2cWhVZh5DnG8
ghfv1eEZO4W3s7yRYjCLstzemKcbLvjl09yl0xNUmv6UmU35XNLVuJODzY21bcL2vYsGfyOtZIDI
Eoob8CXNJR+C8R7937kKa+5PHZiWz1ZW9Fs/rif4TiFXEjr7ji01zLdzWycfjjshcytgrN8xzVBK
z9UhvJnpY7zBPjleBHi9cxEFFvoDCd27IJjMh9EZ5BWYj3Up8zp5hgIXMnUT7YWvin9xjNG8lAi7
aoWrleN32dBlXdjFNeQXRBmmQiX72abyyy7zJ5N/x1xW5V8vwwGZLeR1doEAVwOeU/7/Lx6pPGcu
6aiZFpE4Lq6N29bDMVODukraBzZ9RJC6scZxpW1KLq0xnzcjnratgKW2Rax+xjVr7ApHS56CbDlS
KquGk5GaOy5birlQGn/uop7cIHE/cedVZnbuKBjwl6YBEJ3zXeNZNH1GQXGjYT6t+CY9i2iqV60b
igNZRzqMLUVngRZPbYsq0fcj5bF9jJt/1H301IyjbQAn1pyelD/LapNU/MVQfgB4rj0fznA1Ywld
K8wUE+ksmGbbASzUZ+hRMt3IpVZBzFb1DDQm+Ez286SKDmybDQzENyDmdBQsMiZvKi3WsvOrDRQf
bEIl5GQnZuCyFDn0vfPQTN0FpDtV7H6AW9HsVsMkTsSb6fCpaDGlRzRfOeBd1v6YUR6WMFme3eEc
tfXFT3n8UyoBd4OK8UilhMn6Vm9LQYGgXKonkkGMp2oYaS7C3ESY2hPXWmc5a4xV7PylsqKZvXjT
9FQy9/Po70OqzWAt+HyrZiixl7ER6Gx9pi4kKcObXpjJc0LF8CWmnvqaY3p5qC3PvEtyMgtrUjfd
mc96usCDSLE7duGN5Tl83wOyE9/9GM/KyqH//AOvbbWe2mjatcuTopdnJlieHnt5jvrliSpU0J+S
aHKuuVFN941M5cU1K/bnRA3XZmSrJM+o8ClT8rSCKwy9bHmCw+VZNpenOvLz6gmn1nQjLHYfBnXj
Ti7rAPa78KxnpIPGrbk5ymr5Hsjgkaln8YV59nCcl3VlXlYYd1lrxLLqdMv6My8rUbqsSaHRmMec
W+Glij2WrAkr5ytOjf6Y5eVirh/jc9Exqh06L3jPClufm4jWR9PL/buEcotuCTn2Zw4g3jdoz8me
nqaOsVjq3fGnjdteUg1qIaFv05TIBGYOvcw7oxZgoKLxja9HSL/GLgjzwgKP5Gfjzk/JGG6YvHrl
2oqdlo5sNymHa+VnwdoUUuDE80NF41+INsw8J4yyUzWruHnFsNtidxB502EDd/LuUMcUiFzswiRK
WqvUbVd9Fww9c6UK8l0rU8wXZkwRNITORMebUE8SuWkWVHVPQszmunVh0fAYZDWkls65dYzBvgni
SdxT4mHtitBRW7qzrAc1t4LC2TkqzT24TEo/jdbCwRtlNZ2heRN9XSzQ4yYIAS+sWn9OjG1fFpyA
hmyRQ32WzTdKWlJnPSeVxdqisyzkK2ZJixh8Zz/kneR9qeQ9fXwzAdiMIaHSzbqzK3rOA3OX+d1z
N1w8JufbODJvCH83Ny7MtZWN+XfNGTWhpArTAtahcmVFeinTjqdNWTfjCuPXuIKE+gUv5bjT2fjN
qhy5DloHlJS27yJTjlf4pPbaU+3X1P+KuyA8aRuApOdrewNgcbw4NeCczDf3flIjaFkPGUOJDa2X
GBkIqyWl763jsjW3vXT9c+dN3qGoI2KqqXMCKvtQ5z17Xmo5F/rfKeudm2+Fqo3lM2Lcoxvoj8l4
x3b+PFtN+kO4YwL9Fu1rLOr5nOXduJrGunuxAlNvMkvqH1zx+A7CZWocrCU/i1h+lrL8557337Er
2p6z+Pv+8SXvrv/ef0s+2lb/es3748f+cscL7E9crAQpMBObqOM6OA//csfzxSexpFCFIMHFPW75
P38tm6BSwgXhgyABbwNJnYvhH3c8y/wU2IGF8RG4PAlpuhf+6tf843SA1ZOLdfxR/8lp4e+Fcx/f
o+Mjn5vEmrD+45r8+7OCaEJt9k2PEzkQn6OJHTUYAcHFvU/x/UDcWfbTLg79S1M53355p/7kpX8z
j/8/L71cPn85piw97zmhKZIVbt4jW6t8lWQzylL0dZQ09/zzV/s9K+36eCHJFASkUGjwsG3e7F9f
LosGFm+aWHdDlrunWELRDzMarKfAznd0y77hL872fNLEi4o+2Ib+gJGpMcVmYGRGzogBzBy/0Dh4
p7H1iWwiuFMI8IXRq5TL+El2lBPV2dlyKvWvjO9/8s8HfMJQ0Xf5rvCF+s3ab7el8r1Bulsm75Do
HCfDYd0ZKNiDS4tRh9tqbFD25tyZ7sI+Sx8JxN3aE1BrkipqZfbyLecsgVPB/ExK6JI47t6u86+x
zyUkKdNjJwn9/kQo/CQNVgECZTySv6qTioVSS8aYtvlkVCb7TFTQILyIXahcPu6s2lxniN+DSB5c
kR1iPX5VuYD5m2yHHmsgxHg6JPN7zjQPTaEfXfldt1gpubh/mdJp3vuavrcOTtxNzUyEErcmP4ZB
3x9tJvR7pWiFEgG/zFQ5L25rOXu7sOMnLzfvK05jSIq8siMHTBHxpN+zEjpkHWbTfko60NJ0w9IQ
ycANwRwHjAuc7FZz0V25xSgP1MzGO+FHE+OuiJ5LY4wuQbBcucJM3Y0cLA9zqfBbqTr4Qnzbx/2f
1reBoDipD5u4X1We92XKI+Z6Y2J/bQSZlabvzNNgnUc7GZHJwRKtzAA+a0bj3g4laD5VPS9h4lJz
BzLINE4239M0+57GtXcckX9go9KTTJzqHp56u6o1Jep58TkNkpN0MSQMnr3y+WiE0u3BUvxAk0Xp
YSzJERelkjcWkQLgNBCN+bz/xePEAvTLJcN36Ydwl0eY/yAygxf77x+nkHGRbDB7bfuiqOJNCmUZ
rp/EM7muAoazxGOdpzS1p8uc9MaXJBJUszcBzNkolfWFrPTzBEiRevjqPPZ98EE9un50crOgQiRS
mGOViYpQ569K9v2NP0Xmj5+/wn/EyyfdfPyf//3+HS/jJoXOnn7rft2dkBU9Pq1/vKk9vZdp8b+u
79/7P/mxPzY18xM5MfYLyjaChfL3t03N+wSaDYu/55jBH+78v25qzicoFaHJdA3JE0vH3za14BPb
IMsaK7O/7Gnmv+XB/31TWxJQXIIdgKPhAlP4TbZspRP0nL3abRo3nMzKATOF/EJMN15Dh1kR2z+5
apoP+F6Sf7HNcED4/cEATMW1mxs4EXh+o98YEwuYMhsRjmD9GfMh6lhycapozIlqWnU0/63mIsP9
o6iw7BszvXS1ZX6DwRxvw2ZiuJYwARhX4UxzwyBYuad5EueqnUGkCc6RJOsrCLQKUSilfocLJa1A
ERNqTaN8A2u78e8HYCFYdUoYtpJpmpM41ALFYF4Hf66b1TyN1q1bW/Bge0/dYILL2blyIL+CS3KB
4YJK10I5V98lRm+ZUmlMEfR5tpqbJbuJ8eTP7rT2gjq8HZ14XvkcfG7ifKHIG4Z+Jp+JkdSPihWe
j3lB0Pd7W5viHFKUsRdpOh1nWrYcjv/GYqb2EyM/uL6ElUV/BKQVI+3Ho0GDvXOWEW3me9d3Iqh/
IQQrI/LydQ3p70sQuXj3ciauDxyTQAcpSvySVWfwrilHHzSC7qVDrj2MwHTL+9KJh48y0ubnylVQ
QE1hVJpYY8WPgvgd38aYrhumSWP5SOHJKxNTgaxgJ6vQ7s5B5Z7DqmoOcUZIamiDdJ9J44vXm+GN
2buTR+M7M8GiVz2HgTyjGtzLnAlvdjnhRQQqz4eV404NMAMWiZfv7SAOsJ/IoL5U9NocE1jDB2dI
xqfYqTPu+gixaQtuXikaKeaej1tZufleVJ659apGEbr2y2mfYycuEdouYZ4uzKu2uXGMfF9zfKSQ
YwRA4BsqOOC3ybYhT47Aqt9bF51CbF2jRvikL8eo2QEz5ONvwb0C+naPsc89tjLscDe4BKy9jn4G
hmPB63Juu2lASbdTLM4B9GSQA3zPuzgt1pK6tRsHA8TTQIsZJ4u+22BKVDhzf3Y2hA05bfgFqD+B
eoJ9XUCjF23+GMQqtDaD8OjXWGsgK8kmr6XVI/um45cs6B2LRHdgm7zFJnSfXA0pT4s1inznzjMk
eOo93GFXkv+8BpXvfK3cqHswnQpPkZ/RWqSXLWZk9Pkxx3aLM1uFz11HAJ9RKHtUtuxWaV+6Tw7c
QJTxeiID40KlxYIzDXULSURAAbEMQ+5pLySmPZppzJgPblV97PJ4hCs9EXYdMhuUVmu10KsDpfcz
/gwKIixM1+HsZV/V1BZ3YwkiUsZ98aRSWxyqWuLvT8WB8vYfM3CcVdlO4y6vHOdHDOP9O30F2UHH
Ir1hsp0csXTkG4ucBcd16QxXL0yA1YuUOoJ+srpnLIbhtyxyoqPxM2QrmDpWahyTdaxKcaC/JJOb
1FLqZrbaZKshU786UcHptx+tq1nP4h3oYEUSmLob27Os7ViN1UMFJumxHkPrHeigd2fhlt1HwPJI
xwTqOcqAERWDMi/dFJfYaIV8qTPHeeau7h4T7GWrptFdxKxoyDEe9vm4bxTeiVVeEfkD9pVa7bcC
03B8ThzSfasyKwIXi3laj5imuuitnamGyXTyA+uh5x9c7i/z1kpEPR9sQsuEJ1KqCGoaJAOwijSz
CZwaOIxbAGCxKbF+iQk8jLIMDoJTNqTvfNMmvaoiBrFEQMMU0hsjfqYamMphEi8pZL8ZdQXevy+3
vQ9H6tIBED/NjrYQo92cGVGAtniMZGB9EYYI7/p2HlD7/ehVOZRcbzJjGI1NVo0pvPRo4LEZUiN6
TzxNsChCWzjHZKVe+qxihBvZqBgbmeWkPGW2lHoDoNlGcTq9V4SwrhD0lX1KyiDcDgY6+0gPGGNn
3hjKOylh753mQ0Z6OKqZyuPRt5GEzL6v4PwNtCjAwCqrN778WEQheE/xmhoPQDB5RGR+1WMQMJEn
B29cl77Eat5zM8hXLnmRzxMaHVJIkls7iHgVyaFedp8xnyh36+eN+1q6jfkmMdivTTnb39K+I5/k
ziHzrLnd0cembuGvhN+VM9dXU05htof6RBOzRc8dQ4E5qvc6nshX8cdSCn3kXBNh9Z2nSDP8Xo0u
Dz35mU4edNbyDyjzmZxWmcx0ZY8AAxpwV1lJuwLZ1YY102W9SGZsPfs615QBR7HoyzU3+HnaBfnY
GPvSqwNjZS/7DpfH+oWtJ8L4m2V+v66noXlmQjKf8zYDNmtEFWbqoNu5eTFdZBOx4cVhRUMUZMgT
eAxuBEXiGFQm1WV1JyPVr8ErmZcGbMYagpm4A0GVJER4fec2G0jRWLQYrrlZUdWn25HVdE7OZSjH
fZL3pBGouaPynnpA+uPDxkkemMZY3oYLhTKWEgNzedANDgldS08QNMjvmS753vZQyBEF81D9aLUZ
3FJD4NRr4saAU0yi88SMu+StdAdoOxiR7o283jsoVnfJaOGwzcf4hVTWT1+bv45aE0WN4EjE+LYU
68QP24X8kdwqX/HY2p7hPhe1HL4NmsKAJE9bTB80uMA3SjxzZlq5lJe7or0J5uSiKR1agOf3ZS/V
np5WWiV8O3kiEzZeh7nhhxNXYl/EcnFXpIVzpRLDQwXzjfRh6jpqLt0Ov0REMIYEExCQ4qEnmL8y
6tlacybbpWZcbTjAfnMHQ5BVbG9zHVMtxdARpH3D6/GD3m6ISvrXaQ7ak5+y12XTJDuI7CO87qwK
7iCrhRmBH8spNzkaDTYdryHvkwdwW0IXClHNl4pzEAch0hDJfEVHwENPZnh+8OzMozzHSSErjgP/
IG6yJTdnOwdNmNLD8dHTNtPt3SDtvvVB0uoddelDgse4aQ7+YDNXLKrBXskAg/M6K30tWFqp1KVs
ks65Y5V6TKSxnXBaywnaPOL5kGelu3kxX7sq4Mgn2A8bamteO6Hs11GaBTMwwH1soRMkpc7rmbeT
iyUyn0nT+zY3uX/vttH4Ys0cKddySPNTHDioixhxwnTbKrN+ljHASqgPA89TSVHxnVTNfMUeNRza
ynefgK2HB9O2s1sn9oI3cPqtiRGoL+pNHnhTc4ymlPrCvPT4lwyLALWOwwKKnhR5+xHmdpowFYcH
w46e6UfhCIFvQE22u2ZSbQpqoev20hthorYacv8lycrmR+fHvEycWQDH+Vxc1lWVtJSHeC6LWEpG
QF1aORbjbQV2hJxbbKDWF+UwQOSPDR3dxuYUVJssBhq5avTMG4SlMS0w/TWd2Amd2I9DG7XGie73
2Nxmg20Pp9CTQ7CzoDxeg7oIT/3g0yiSlCaAMt9jMGtpF9BllDE6C7kVPTXzSF1xYnqvPNTZcLLc
1jmXFumFmUUnZ0nP/WeNv7g6TzRBy6VITI6rfAoFJdNp2HJkbSZ8oFVhvAeGTDGZGzPTZ6BNGIdH
u1LMs7k5DLvO9HrAARWP6ymhIeG1AKD00mpI2FzLmXocBUOQY1G3PawqaXyYVhadcgo7KKhiVznq
aWQproMke3NGF38CLIDulU8b4d2aMVjNpdMdBYv5IVKFfZ7dGB6BiLpLWUPAX4uorkmfhnxO/CP6
9eS5E+ZIUSSQzuIIXALHI+o+QimeOtOWZAJ+ubn+icho/caMQp6wQwpAEcS4qVru70TOyu67vkjd
bhtZZnGsu/hrlVaP0mrenLB8tEXFxuon4YZD5heVDfP9P3/93xw0P1/eM03Q4MJCAf4dBZZHyi5z
uguozSIabcwNlRRDWpz/+av8vNH+beS7qDHU8NrLjdPkdRj6/r0agyNmoB7I7UFxkc3uYRfCmDYc
qsXdZA6AyQ04O1Z2WCXfK7YnG9KKpNLDGorxzZq0OFIl2l+8puwe8tRnjshbtvZwH10NVMU32+ai
kOZeXK179sXujpId4m0/f4n/6DH/Qo8BvbjgtP+xHnPXV9n711+1mD9+5C9ajI8fDPUe3RHAwVJ1
i9D+x4DB+YRi7CzeLdCLlFDw7fxDi3HsT8KyfAg/gWDEsMh3f8wX7JCpBBIOPwiMkuIE+9+aLwS/
P4AIOx7TDViAwGyZg/ymu8dxTFyzsqs9plh1aK28f192rhW7SnTnFIY6sy1hUjLc+kw1Y7ISQEGP
7RRk59CEOtRDgXgJmNN/D1uqQxisGTu6i12+wtl0BpiZbGcXRkcrRHQiwhhjnp3fvd69q7N042Di
JtdWng165jeoqv7Kr2FJ0bJ2dbQCRTSnL3btfo/cHoiTKE+5auTeJtQ3r8iSTjvZMAuhHjHdpplv
PRcihZct86Q4ObNb3WCEnW8r4u/fsPvS6Qj//atO7eTA6423jFegU7lGjPbpufELdjpiqsbQrF3d
pxsqIvIvouwLKLW8KtWNMTm3tGi+DyYzblfW8SvMfKSQqnY2vmcNG1mVEI7y+j3XSXfKLF0eR+bN
t/jWgn2diIm7uFroEnk99XcoCtPByBfrbjz2D0ziSS15FYpG0mX2syYWFAPff0wx9VxV4o4rOxog
spb+ne1Ww3NHV+GHLFJa57zRvSeAjzUGmutdGgBPmAjRbksvSh/J9trH0Nbk9wZ5R+THQsqVAup/
hMeojNLLkATVyxhN5j5FH8QXSPKRr8a6lTJ7XyysuOcDgucytWAb16M/PLI7Yippko8IKwlQuZzp
VO/JNy+Fkma4uvnGneGHznQwb/xwek3s5pAn4tTTdEDkxrLuSYyaWxBg+V3mj+Gby9njYunGPWOK
co59Pxff3XwJH+MAx/edUeCtK8e4VnOzjExY1L81ogc3H8TlUU0IKfD5xlNputF1LCp5QFnHQAig
d8HpEqvW/gc9M5b95mS8sgm391EZZX0qBFhZKv7ISthZz70k1nG8Lo2mIsRMOOEu9mrgEslMIZ0x
62dUEeu2Kti8Y7eWrzBFcLItNW2xid9M23LYxLIEO+YP46a3+IC4QNnhTTku/W5J3aiDifN/01dD
tyoM70c/usF1UR+30pbhzuvktCaqNB07VH+0Ax9PZio3IWVFu5Tyqx0zBf8pzA3Oj7Scv3uJQdhA
pZQ3C8+IVlEeW9ushQwsZ43ducJ+N+m+Xhva5IJJAejWnVFC4lQTbfFqfbDlEj+lTAieBcyAqd2X
TtVwv+EsEaHkUc8YQKeD+KmnZj+Tc21KjAQZg/1Bc+uy668iATHiFuk5FhMo8N7M7/FRpOhWivC1
olTQyt2dZ7UeceC0IvtiBp9zir8H8v+0lVmpHB/QzT5jeoB8FGMRUheQGd+yofKANuTBoTFad9dy
vmbxWf7Gsg2IsVpjAenygVvuA3YSTXiMEluGfvoxxiXCKZUWvSgtIR2l5XfukNeW3t0t3vVqbfUe
c3+v6V+TeiQ2wDlxT6bRvAWIiOCqK+tsZnF3okrY3fZd4390QR7tvNpzbtre4WFirLmN2JQfIeLw
rk4uATMdTms1DBLFtp53fI+rLdR6JrfZ3EyvMaXvODQz8o85EycGo/Vp4u609vNB7Yc608e8FlO8
Qv3xEAniGY57NN/BCBA7nO8AmJ2YfABX7g3qKayNXCTwr7jnWkZC21wosX9E0C8a3TNF7HFnUN7o
fG0y7Ff86Vpfuta0qPvqppOJgvKqK2NeD/hELmgdw4mbf3Wi4A1KGL2SX0fsO2cmZyZejNx84CEH
5ZEmSwaaXCx94fboPHtp7RNo0EWzzauJgsHITYKrgkoabJM0cHbZkBVLvjX+PoXlszNKuW10ujcK
S694Iw6FW/ug9SvxNlTGfa9Gmrr4zSMwTkNareEsEFiauW+/tXE5b8sCdmCmu25X19lSYlmEepUB
Jdo66C8rFfY8/x3+MZUC5OwqYd4pv9jmZl8siYu1UUUDR1//0mdEmHoH4gtFw+dshgOHu/uxQno5
i5q9G8iY2z0mhpduyn78Tq1iTnldbG1Qim5wvt2TpnA3eWZMOw5z7TqForvj2jrvnT5qEFBYwYFe
EciOsMb0aDofYdzdJ4P/TNSkC9EjHYxKOSe5JmPZgBpSZuIAftNd41bDMNPRW1hE7b5bIKazGekv
KRPVB9MrhjN/+7oIhgOq1eeOBBFx2idGQ1e7jLe1oVCJirjcqo4+O1FExjqZVEI9opmdqFVwjyT0
5TriN38VhFY+KycbN6kM8iO7xAFqV/MYF0a712TM6YYdhnFRc6rmbaJM8Cw93d36pSZba/jdRxm6
BnVR07INaoa+eQnTGQMFTaYqfFA4a1YlmG7P7N96e7hGJHj7MZuvVhkzVk5sttmiWkd1hZGGoDsl
BlzLos1kmSdDSpKdjro4k16XjCZXdtJZiAWEKQt8AZZFXR/QnGa1FK1srLk7tvjmpilo4IYF8Yo/
9WEpHYqdRz3PvCoUErMTj/LSBB/+5Iw/Ul9HVznloAJIkJxF1y6gkRHa6oZbUvc+sw3RwWkGm2Yy
C3j3SYOtmJwR2xs3E/CcQfeUw54yMHLldOeMRSphR5vdRjdIK4Tpk43oylasUqYtLyw9i9MsmvZK
ohqMth73pk2n9xwUXBJGEIEaeQYsbTIdy0DP5d6LdUR0KlFPTYKopGRwGxiiR4sOjBdN0zceSI4o
sdl84G2enprSL2j79kHFugW7t+OU4X3g1i8wW0msDQjnVXLt0nbn9QFRUKd/s7r2uWWcvnKq3IFi
F9a7KsSWwbYX3lRRiYtAm4X/lglVrGqOFbHIv2WJu3fqGBpVeu7IE48dbLlxdJk8zzCkSp6sutzG
AwsGM446E/WOsdWhFv2dNsyH3Ey+saER9Bu+K+Hu5TSKaxPHchdbLoWCGQ0LAv8u+y6nsCihyd6j
sMyb9U2jXKpGVUmxqHblNRLJrhBRnGzGyVf09Ln9Fcs5+lUjR2tlKGjMGcGyJ5bf4KJn1S8JBcPd
coSvyG9y6nQT1PU8PRuTMoCRj85BUihzzylOP3Jpnneoepi16UcWZfYdOA77zeT2IJPMbi2L/sbL
4FtQLG6slMAuiLKjNmbjhCcaUbsNnv7pgI3PXNet8Z5przloWRSXMdBs0cRdgTfV2EYUvIl6BsWu
xgiVzXDlKUB1OjT1GJ9klJ1LY5Kf+2zyX4aI9c8mzuesgGYSNCSd+dDKoLkNacLdj1n9HhTUIIoQ
TtfI7kMYwDuCSdJrJbs36bXvcqghGtm08uqS4UmXZ6fItIxXkZbBW1WOxjaVifFcue2m9BZHBaZ8
Ani8dR+UOGNOTi3vHjByDHSiMsWKylF1IncN2UzS09gP3oHCCo83tYwvUWw0d37AJhXXxYYqtP61
STp5EWnQfmaSYG1ySh0DqE/SYOFxaKGlNnVnRbLlu4OBMNFltKaPz9h5fk4ZB1m4fTP00XOlE3mP
vTbYyERGD07bOFePKTMdFMX4UNtF9dqSMcB0Py7UFKEfbKOkiSTtCtBXFo2lqVf9CJsm2hNOdteB
5ATd+Jl7oUOPUMSSqXxP0b8udBtmYmWNgX3G35o+xjGnPFhFMn1RZsGWUdD5YfdRfGWMa+5jpzSv
lo8BqB9iBzaJUsdoLi28LVX8pXJni7Zt3wYQP5bfMf6HVyNoxIu2LAPPKEqm5/Tqc6hk/JAzcmDC
M9mnET4YW56VDrz1NFk23AS2PDEQTdWyuVbJvcrcHc7QhAObUi891KSDoabx6jtDtPZGCbxfdepc
msLfzlH0wQyptVYzHJBdVWiObpMT7fAlBZ+tCRmMzhnnAdaJ2k6dJc9UNcLxLDxx0J0QX7iyShTf
OPxousjehFwAj0wR61svTtPrYAFfEy7EFWxe8lTjMmDXoF1gqhjLrO30LjdGmECMqbfIaJTVGBYw
IHrErjb0phLCFRU49JINfleegjnHztXY4RF0nnMRVBT84BeVtN02/jn3E6TcoqsZOhT6h4jmb12Z
61UAsAhGLSF/Os2sFa8CqWgA010WVXSOkvg65Az9JEkBu9G0kQSCMtEcilxqZHozzsVnWo9nCEWZ
f7OkakqsuruK8o11bavxvFzyGXBXH3Js9iIoQyKZod5GJBk2jZbZS0IYkWrDaUkY8MxBlCEO6lEH
vun71rq4HMHWZIir55gDfMRdbniJYfjAITEfMx1Hu/9L3Zksx41s2fZf3hxpjsbRDN4k+giSwUYU
RWoCIykJraNxONqvrxWpfC8l3byZVmZlZVWTNKVMZDQA3I+fs/faXryDgLm3i7Y4oZy4z0egaMnI
4jJTkguBUt2ezxeD6c6gKFgB4bvNve6N23Na5ZPKz32Nu0jOutswvQk4c/veXi+I4jDQVs1autyo
ZHsA1s39275MX5ZUnBPWz22JmONSG2SYaCxrOzSWQwrtHB/CXNGF9TJ9PzRlBousaw8D86sLElwd
2Cnykz00FVo4Fd72IAJBOwXtupKgYQKXCDiq0eSUTb09rkrUTBuU9Y4D+Szu4hUE1E8OEcwTGCmv
LbGBlXWZrGtGNhjT5CGtr2n4j6s+GcZrtFUh0GlrGj50Mq9eVOzw8LipHb/rGOAHcePBVK5E2jJu
RG58r7RtPeCHU0YdtYctODQpLoKFC3+uVVGdc5Pbn9kB9ZnxO8dc+rDrKi+IHIEBy2yOOeVzj+76
CbcGooqBcwsjTmbnK1VN87GCeL330T3sgybxH3Q1FaeZvv5RzrV8cCfP2/e4Zd6JeY/Exk/77IWE
dPM+AR1YdU3Dw8gU6sBXAyW8tRlj8yYBrozzasBPvs7qzqAg1B58BDE+DX2mPph29M5FQHpUalc1
UFShb12u6b0DRWjvM9V4Spzxa4POZctJ6OLBH+zb2eZP/RST2uS6A30DiZmqq2BQsNvaW0ZRkPvi
VK3wcF9buWBAUHoJcegl+gu7tfDoXRrzTibp8Sw5jy0O5+BDUE4W4zRnpOCu1Y1QYuvoBS19Ilmx
hiQ7+PNQnCINxzcyxG/6xatuxhtmghZon+xLUXj5MWg1diPE4AKJfIOl/1PH4SfkGSZtbAYENn+u
28o6ZXmafm8R/1f3Pf8X2WPZSLy/7Wg+vOavnUlfq5+amt9/6o+mZvibE/gBOE3X/UNF9r2n6Ue/
eSEnXV9eMgo8cPJ/9jTFbzaKq780xrq/IVeUESMSZGl0yOV/pqkZXny5P6kfbfJ9AuFfGBGBywj2
F95IzQDGIiSn2wnlKzBW8dTFNwDuqfa6CPkmEkhGKDidOn8f5TkzkBbFJxlaHB7wqEfI/UmQCa+c
oXB3ozu5xMUg3llz0mFiFYy6wQHBqbjFMaSc/jqCvN4HuYuSrQ1Gs5+1SyduGJplmyTSQkkB+fim
16OGJaEq/4hRq9HbvlcKKSaOopclm6aR4nCaEhDHORVgUSvcpaKKk+spHPw3t8UnmgTRuJ+GKMRb
Yy83rYXwSDVLgRMQo2fT9sUDvIL2fYC6+TqDVlIf8Wb6b6ow1bPTJ4x/ZqfPFRtXnKa7xOsSeplB
/qkktrVdtcJBbdyMQRHug0FNHzoh+j0WKRBkImj7FyAJkCuWeXpxQ28aV2MlmnNGo1ZsVGXnUEAq
s6DLZiJBmLmxSP/w84SFZFAZUFDoek23Siq3uWXhbVlQ7D56aWobqqwghitHoA0hYoserAcq6gEs
9BFcw3e182plxhQlhxfxnHedW+L1UgMQNyuIBnghw9whRK6AAR3hARFOcakr+97QdHAuKqJrwXqF
a3bSatfmxEa6pi+uFyK+mWFr70tq29NHUstFs+rZP6vVOLXVqSmWHGIbXPttXI7NEzpjXMoLFBmU
WX2Q4M1tazaUpZdPaZ+Yp7ZtimRDtipO7Hbx6gfbT/J2yzuYnobRlHdYhNP7wu5yvYtnEx3SzHR7
xFfJcw5RTV6MSDT4wIv2E/PEoF8+0XYa9MkH42+t3QwF445p+uwcLG/IX2WHgJuwOXj7V3bQVHol
6cNzzezBWtEQFo9dO+R6G4c+FCeKw5ZEMTaNeGXmgAZmxFb11EMFXdZgn6YXVPjhNWgXcLTMMmNG
ViZWDTcsXhtKIR+JEPFJlbsfVa05jY2cubemVSQ3idoa9l4e9decx5xLByf8WOQYCSPGpAPrf6fA
pw9quYtz45YPpP4SPgsZ+JC1vntnp4u5mgaRwtDoKgbfNmboFyaEIF8DK7aoBzB6NYasarviwLuj
/2ZOWTz73lpM2Ku1BF0aVbX/EjFmDlfKzmxacL2VgAMf+mgEa+OUO7919DFE+QedVKf9DjJ7byD4
WS5V3GiSB29xYF21aR49izFrP+WiDN/8IfSugnEwWLYsfnmOKAdvW/ipH7ILxIL562o2tvcayIz2
YeIhE6dHNeKvjKayv8UjN86bou+9kx487LFLybltxxGlf5Z12r3h0+VMWXJGKPeadSDfOcUCGKuY
nRlJni945VgQ0LFCYBkQMtIkI7PfLIDMioDUxkDnRw1cLdkz/M4KF3Rfm7GTzsvkES/aOPpimLPj
dFXH4cVUIMxMfqaICr1C/Ri91p6VvRZWY8UHJ0rLL/R87F0eJe51xRPOGVp06bv2/focBI3cT0Is
T2nUQ/t0Ytd7173Kb8MZzM3VtPiZPieUmp+tS7ZkjqBzbYs6ug7tPPnIHZWvKYq4KxHOQnqWWASL
fi7PbRKKca0FYySGOImzlzYp0rC5hvdce9OeCOOWON6ZxkUKsHrT53bP8cXYg3+dkNP6gcVGAjyJ
wvg1zK3w7CD/4QWoH4BHN8VzNruMl0ITBsFKlMr6BBChPyN7FfTg6e+jLAEMCeq2RfjF830thFN/
MS6uctb2zBH7EF9M+ORNFuyzXijX2jE4m4M9EVc8ZiPxah0Bx4vr3OhgNocgruVjGNuljZe3p1fA
AWeDvNVU2y6v0ysQ1Z8TYyMsRVa3Mk7Tv5ZT33zoR7KwHJLLVnKSFuIRSGPr0WuDARTDEgCvRpKx
RaMyvMpogkydTW51x0TA0athQVxmV0YeA1g7MDoDZhp2PYZbu3Hr6qBj42UfhKcmyb8lcZBuA375
Pg3LXcR2fywmR5HOTBA8y9Eo7C/0MYPbui/dz5Y1qDsHwsvObaf+qUymMLtTgDRZUBxquhXsuupz
XqrpUJX+5K77scm++ECU12mm63BrLS3d8YHRdvCIxGP4BluBZDepVPtZai8gUrqDwoxzMYGew3TG
rEGuSmYENVCDEot/s5LDTOSLXOK7Xg+LgNUXJ8MG5BerlmfZ/qfO9z027iI+iIVDkaMiiG8Idj8U
QC2uHMtxDkk/pI+16tNVY4OKIsNN4t8w/QuoXMRqiaotVC0QpSEL8RxaK9J+Ks792r01LbTPMpg2
rt9+qhN8WHFCuyfNDeFvmYyvIKUDv5k678uU5uKYpBEMRdm0IBCaGVRx9rnA/wbNJ/gqp+zNJJ61
tzP0NyZOFM1oWtY5/PnJ+2QKDlzbumElXqWyi4g2rL3RPYJco9dLyytvjqMX09uTFiCdtQsumeFT
OWOeTIIScfJE0BMRimn4pa7bGuqAbeyntAkJmWuw+UrE12U4nRduny+x76PnGwdKHS8tlbkc5SBh
m5wREmiyQ4ENeusMLSy5lNZzP6FmCHgguk3pZjnyjVJsUxQID4XEIC0HcOHxEBXvKN2db2EWm5cy
dLvNtMzdm9UieKO14GWo5XI4np6MfSK5QAdV0VjZTBFKfLBCQ1u/nvPasj56aQZnL0auVa9DgOvV
xmkzKLdtiHl7q7hhwJ83eTrjPzWuvR10Mh2bzHLPrc0geV1OLsbz2u7dZzTtRX6MFrf7Gl7cYcov
4dF7YVMelQLWsWZFGIKdO/2uzcNtv1oqHd2MSxNdC+PMQCugSL+ppnNPUmsLNNOQmrfGgWy+MlE9
f8aHZPINSjjE/Ux/MTb0xIQHew5TgHyN6KlDEwBvezVjvuf4bPIbW4cOorTCDfyVQyRPoXS8bpya
423tO90TRRSYaFzLznvXzkR7IxI8lUqG6aZyQhRabErTOcGhxU7CPN5aB7YESwIlKb/tAxsvP2Aa
s2lAni0buzDav+YIpo4SszDaUha73Tjqy+7HAb1kWxW8ngOH5UaWPKZrghzDjYI6dT9GS/3kYl8M
SFbM6mNoBTSFx7bPDxVTpvsBgGi9CRFyz1uEkhQFzIfm7FbbcXJDNJxmnu901C9+1N47jfIf4k6D
PYsd3zABGRZa+SDeuE8Gia2gcMteYNTPN5r+x0Xjmo0ri8L0XiZyvOpjvp51nKLOXLGMyyeko8sl
XyCdGyba0Mq3IGpC9Ym8yPorbj0nw9A8s1wk46U6ylM0U0zZTPlKoRA/zMM0J9chQcRiRY4QCG9O
HIxRCpWh5KKTQ2uFBXo2TChS81TEns3Aiz36tq/n+Krqh2HLI6C/ql7aD2MxpN3GbqLyPl0miNyI
8J+cYZJ7Z4iir707iI9kJaIuldJ6mcm9ZyTT5sv9WOf9C+sv5YLXGvR1sOfyvaq8eQaZJsKjqJL5
U53NRBX17DFI1gT51F7hlSTrliLHZUA/Hllo5KJTTlzTlFTKgrmPYO4WrroMTCWS9lCd/GDAAlYP
qXvMOscvd6TXyoyWBLvbykvTdt7HDMmy00L445XsUTMee8/u9CrLMWNv+qiMvg3MFN47TWMSf2pf
OduOs9SThx48BUA8Ttrei5QIHljSOvVOmYvOlDUrb/KdXEZyv1Z0LCLrtdZdgILYKcN6Ey2lzI9p
lUPKwpDGcWeDyKYOnxkT2OGDBHfNWJ47rfFQ4dkS1mzcv8oKk/+cQNEZL2J9M5XBNnG82tpPledD
QPEdbszFCtU1cVmQ1nvXG9zz0iQUrG4dhOgu5aNgv1lQ3M3xfRFRE9yVvX3Bk16Q3s41AYZWvE+Z
6pdbFSbw7NDR+u7aRbR44RJVUjMGq9K2bW9SUrHz26bOeqQxdqO8swH+Gp+kjdPoNhyD3r/1szge
DzA9zAaJdXVvgqKFxCepSR5num/LPoK17RKtuKTZkZFilj/T3dbqACCfMX9ThHP3WS2zeCX9piBk
de5l/PkiDItpOiaQxJOSlLmE6z4iYl8N2Gx2gJXbbG07c8ZsKZkdUrL8oTNrbfTYr9u4cTZxJufo
mu27HQ8QGwAYQeDQW0d29qEWDpjlhNYsZaA/fUgroy5EKj8XiBYbN1xVBEnkNzUO/wBBol2brSlg
6rRIgq2NSUZ/P8Njjk/gFad+1+Qhe1dUxfB2q7afW2eVGUcgEyI0qdgSm1l2L1NBud2006xuyosP
e221KUYCIJQmbE6VwK91iMMIRYjBP5M+sUn5JBtNpqLMEeN4zVyH4CzwH92gPiLz9/I3m2e4vk96
A9fTby6g2zbOONp1/nAH5zB6ySnuiBGbUQGQceQF3qbW2bwc7ITJDPxxJgTbMJaBx5wgMLvA0UhU
l1BbVzi4XiJkt1TkdpNA+2jYE724+Wy5Ew1j4h3u8i55yIdW9BudFQA5IHiWzmpxh3xfTD6Uwizu
2yvHKLapKrXibwhuLAdwcs7JiBYDymRTpvP7nGjXPXYAqilYxdCd2nboP/R2C4bAT0AwOBJN0uC2
5IqMHsLspGNtqqKuuEomnliqFhygmziEOUQ2bTK8dUEIIAJFmkBQ7Wt1UR5wrjlknYZt0A1z8tSh
WOd6hJeZSJklNBN9t3RuEIgNyYafBoCNXElYmCZq7HFkfU32mqYv/t+kCr6gwwe3MLVO97FDQMLj
lTdEEFl+dbQ6fDGlH8REbJao9Y1abNiCidTlZlFkd8gycR+YFXv7rIGEljNZXd5cm6/DR1d+xX1p
vguevSghGMOAF6y349IdG1FNr0knkqd5zoD3t4nJ93ZuO6eB7NxjX0Uz6rbQLl+SYgiadaFVKNYB
bkC1QXWLj6dqcwtcUN8j1llcuv07iw/21CZFRIjvMiucRxd9bRXGY0v/3yBj1bHfbowkhp7+cS6G
zdiHMSt2G/nb/1695qVB+v4/K57qYllFOvvvpZgfMnLPfoqm+uNH/rDFhqD5oOV5ktxjj/Ygssrv
bcsQh6stfEcgurR///s/hJhO+Jvt8BcR/SxbXggRfyoxA1yxERolN/id84fJ9heyw9+RHuyfXbH4
0TyXd0UZgaIEQbL8xRXL3iowcHEw8YbUOi16LNZJnd14sdOcgmnEc9Eu4LsoyLdjk0wfs7FITpWN
6KeFzbqx6aPQtAQVnKcd0hQWqYdK9dOxhnt6o4Lpn6y0F2Hon5rmf32/fDE/AhukNfsmC2ebKOsS
2LCHVrFh/6MDSFxfQxcNIZsAAyfi/Q+X9O77S/yYnfU9ev7vXvqi6v4BTYFUU2GixEGaJfCvFjo5
54KJzG5pp3pLgCspflHJ4NSGx1M48nYaOAHRwVWbCFr+OkeNcZiXiqAfxq2rOmpRner0Fo0sPIOG
b893p9uSffImNv28zoK6hlxTiQO5fw/NkG91mdHZEvSoTGvh/W8Q4DwXmTWT3deO7V2dKoYv5Lx+
GFyRXBcsoUxLgNmVDRkUKhL1jeyj7EbTFHpJ+xFZgNXURAhwpJ+hTe90Y7aiep8HAG749/eWyeFP
RSlHu9EWH72xno4BST370sXNEE9JtsMPRY8k6gzNQKd/bjIp9mlFBA/Of0qihOAIjQ0P22n+Ufrx
bT+P95weNXvFZiytZ6+roitT5uo059GnboHwJaPmSs+e2Mypj2FySW6w8zB1RYO2CfF3rWio792x
ob0bBq+GwJEN2ogKIXt+YsCMa2uYb8Emyl3XFmbbi9gloJOmXTNM0w5NG5VFmZ3reHE5poqDTurH
0ptO8TIjpdRg/hB+AKeFZ97S/7wkCLui3QEIAZGGyWWXLeRQoP7yts7YkJgzMbNVs6i3fDB4hFmD
+UH74vOY6GRLhhTuYxpKM6q27H7sI/fEU7PKrP4KGBH8kNBBTplOjxNh8PeTIpNpUriBGr+nUz42
aDaxW1fTuM10QigVOzpazjq9jXrCBQfXLa8RnEAAye0tPN74GGIE3pssjY+e14Tr0MHu1yI2BGnv
S1r2IPkHYgAeUXKc6HZtLeB16yFVx8XV7qbktEtuDXfzJOky4YWjWxpGqHholV2NSYppJzPZXsBF
94Lq0eAQ15Ej9y3DSYjuj0Kw4YBt4wDHdympXlZ+QeCca8Y1kZvBugocd106xIKUfcMkGGruAAFO
cjWJ/o33vnyqqg4RsEujMJUNYo2S/Bh6seE6LnNgHy1KlSDM9y3yCrsS4gqSMI/ayCxj4gCwqhsT
XM3gRz/krk1scBDsp9H7cJE34jWaLCYq8KGKPj/7IcEtc4oGwtS0Y00OBm+2nL016r10GDd7fvIA
0TJEdhOhMC2OrQofspCRTjtPj2bKrmSTrY1JzwNFFtoiuHnBsJ26p6VsbwPo6+uA2JCU1gcHsCLb
2QEhGaJ/LTI6236iycDApqmqx86itJ2iHZ70d2FXW0OptSkDOqxUKOC+Xe8czX66tyE/ZXl7nzF+
h7Z1OwXJKY8rB0EtgRIrKvJgl8R+hS/Nrbs3hlaS770SH6Zu3nUAUh4Iokt2cTaClIyGiakNoDBR
aR+M2ORGrykcuwsHPDtOSye5VJE3r6FxuHSOGhrZs0nWZUpxNoEOPOgmq45Ogduw6btko1Uh78MY
T2A5FMtNLtr+UFpJenJZF2k3iI84sZ01q994NYuxf9QRFPXFIOFzE0vsGbagyeTUz1GzCgQxRJMg
fqbXD22s+ruxd5tDhoedfgxc1pJeJmJ9tDqm1IJxWUx0wXzSDmBa6RePc5UbzlGG/aHwnmhbpltI
CLDA58ReES1HfLjT6LPT4rgXIQcR4wHUdjTofny2yyrCAITjndl9bmmxt1CUbAOBoCyqO/msGAkF
8cJ6l3NGXkJ6ECOwQkaYy0GPwULKQP0NfN6BhpfZE1bgrC2UHgco1y8ukuKtl8X3QUZ6m53G1g4U
BIauAVPvaOX2kZZSdUZc8vAP+9jPU8rfd9DQt9n3pe2AEQ5+sV4Ajx/zqlsQAQ2KAlN4DvOdHh8S
nUaUsDpAf9baxQezNOZQVBbytsvTldKaQpQct1fRSKuk7mok97m+B+YTkZCjWfkSu6rOMlhiEpJE
tsmHMjnQfasOzjQBjEPKt+kqcdKtCA/oEr4hp7PgbkDrU1rd8z6sbUIr5O8/L8XVrwXDTx/3F0RS
7pUlQCNpHyzZxQ+dpjc8M3zaMMpZ1n//Uj+zq/74ZgMAuIL/eHg6fi4Q7JGjlqEXcMj6AOMhTcNZ
ep9d2FkbLZvnv3+xX5Ai//pqv7i7yOFTw1TnzkFmwx2DQPeTq1IohmPyxc6Qi7R+Ye5omKan0DjL
wVgM9pwCzkLoJ+aGBK9DzpXccOzfA+ebdnnXGzyMPPCcyNQmy7iEhRwFUNJcbpy5ru5EnpI1Umik
v5PNb0MWR5PPup4uG3V72bI99u6//5x/df0wskkbSUVA0fvLUN22vNS2isuJP6rvQSP7BwUxuSed
5R9e6BdT4Pcv9MdX+qUULsxUpcJJ3MOQ9PLgxdFXe+kGjslOvaYb/OY7qAMn6YGkv1QKTTDWm7//
rJdL9kuFScVv+8CTwpB76PLo/lBhgpj1hcU+cvBbiS4cn+haEZ1B6eZbdxmhCeWqb8viH27bv/rg
P73sLzU1GaQsbjWSU8uTLANafgkKm51Zg/7PaOeeqnk6x9gp7spLlYPUoPiHD/6Xb4GLHOFVu5CD
ol8WpVKQ9NyozD64Gcb3ji0xk90NsPN4HRuJyqfxb/ETUG+S68Cq3363Gf5b4t1fPLrRj6//yyrR
kxTL+B7Gqyn7z26XTWdTxe5JtT4PsZX8AyfrclL49ToTOyy5xjY4okvs8I/XOYX3oA1xHwfpEocL
bHfE+x2b70fxf/uZ/uLJ4fv881V++Uydi1uslLV3UAbFErQVOvKVtzVIaf/h8v3VK10+igDfxGn1
Xxa+BiI02aDisMQj6ozQ/lSS985z+w+f6C9vkx9f6Jc1j/NHb4DMeTydeGKy0dzmTuDtI7oZK0LG
3Q9FYhgM4/5Ob9tLoew0prn5+4f0L47MnhBg9MNQoCvi7P7z1YvTaWwZ/bkHtDfNYUE+/tg4nn0E
YOQeGneCex8Vm2TALJMNM+VbkrZr5hoC6rz1agVZsW2g5EF96brqqkjUJ1+7KPsz5wnvVL36+7fr
/uvN5gmb+WlIU4J3LH+5DSx7KGK1aN5a0l/hmKyhLwiS+JYSY6K13EyRP22xTQG+gr9DsG+z4hBK
aPtUUL7LqtwOiq1DDxi/VRVvSalm3MWZprOw0HCI+NY02MVFqyjhsLLYwdCSRhhwPJtDxHZWZrYN
yJGNaQDCDOVXJxP2ah5btRb+4F13Xfe9xPmv1s7dZO+aMuWb+T0D/f83nX7vpvz5f/+LFHa2b4eu
g5jthzvkktb+Rwr7+VVBgHv8Sv5E8lpRRn39nXZ6/PJ//88PP/lHz8r+jQa2j4PY5/fRQOEm/8M+
HPzm4AHmVBoRePHdJPz/UG7Rb1BGUL+hfL88HSGr7B/+YVv+FiLZiyIP2r2Ldvg/h3KLfl5xsC1L
6do+LTKcGKHrOb/c1FkRZh2eoWTXCfPgM5K4LHIcK+C47CJLjV/zcCYHxo+iQ1+jk6aEJ1Mn9d0D
dAkCr4gqE1ukrCJflbCi7jta+DsbL+bRXEyfaclAM4gT/8YNk+AIuaLeGZrsX7QT17ulnPKAX9mY
N1DjouOUQ0240lPmP8OpSp8MaWY3ba2BQ/WOyeKV7kV4FUxLeMzG0TAXT2RUHnJORyv4UBrkkWcN
GL7G9zhbNFiE8AoMzfDsO6R7yrpxsB3bfrbwSAXeQfuIoVuwAQWFs6ePLO35x0oFXrOuWp8EXKec
IiKMvdCq1hUDxNsCxW+9zj27AZpuQcTv4zCr0NIE8mOlxfASCTLUMWhk5thEefx4IXGjYIPGPwNv
99PzXOiRRoA1+QiNUze7NVAjnnQlWc3AK4srZrbVahjns40G7ABCanyvhVLMGkrOFl3ZdbfUxhYW
maokRK+05VMsRvfauK71mBaBeLbqCvIes93hOLfDeD/ESbXVbpJ8CeeSLzzxp8sbL4muKnjvPbUo
RjmIo71TX4syY0niMldvft/IY5cKtPgQVhzeZBghu3GBUBUEnd0iywDYUwTzvImJXCwRbhMsjogk
2zswWxi02vroERWyGbrxVAcd2uHesYhXHNOHfkIgPObJQIpJu4DnQWwerzMw7K8s8/lpJB/ohhuq
z+OVHwIS8skr2CaXo1WqIxovHbgTgWU7WrR/CCyVPTVdbTYMaMmQs2DWWFagmLhOdA8YL+5rVc+w
Akf3NsUFucV+mBz8XokrriixS1bX7tRSiM/tsiyn1CNhsnar/GbOuVE1juk3gy9yJ9ypw96JAx2/
2GPbjusx0jVqlz69K4ppxPCgm4/IdMiK7EPvNbNp9mRCe0xvNUomyChuoLtPQjQvmLHmFedybGjt
QMTIQK+n6g2lRQDd/IMiTFZP+V3jMMjAeE2sVRIQ546wArn8hNqs7ZuesG7TcPp0nCJYNfi+H3kO
gpvOZiQfFdK/HJqn/FQyc3ruAhE+IlSoi03t2m645x9lNAQnV5FQqAHHMtpuD+DU5Vnw9UFHNCgN
6clnR9yFDYrE2veeKjp2Z6lCl2yni85qVhg14oA4YjGUzU6PCnLNPMXdGxItJKvwR6PHoLJpnJmM
hQIxnB5X3CfzHWkHZNe1JLIwCGM3c5YwuWvAqNPKgXf3MIUhjPJxBtwI9XJ4abIcwWrmjadZVPKM
ahJvNkkRC7+pbPFj9PZDdIlyCpfWjVZxI4fHMJqcj70KiC8cp/ktKjP1OBun1gfHz7037u/sW+rT
/1sBc6D3Vs1O+mrHJUGMLdJd1EFpEODCaCusc8phvJwrt90VdDX3Y9Ki67uocfdNX1S3qFLcxwHx
8SnW0vlQqM7FrIlikXl/5d+lWW+rjeO39lZoZEP7XvTJ7TLmmOmZxhGiQhKtSRv1nnMLc1Vj13mC
7meucdi6QFaW9hC6kLtsuG3nqlLoJUo9Yw4D4Ciu/Lihn98C3pf2QD0cFgWKOCkpL7Rl24+W9Mdu
G/ilteX5Dc5BYdR9qBPx4DmT06Ck8t30BEEHv3qpBOKvZtbv41IT9a7QxQUCg+sam84av+EpZ5jN
M88Zgp41PfptbNXFPlNj222LC0bXFWV6GKPqLHJtLMzN0tpQ1pGKFhn7MIW2uvdzmpmSB3fbCZXt
Nf/BlbVUH7oBzY7pMnSHWXRL0mByU0wqfC/ciGSFJC52tlMv4DrNcJX4ysErLMVbsbTFzTBAYcir
2DDal8EVRDCuoZP413HU0gjsc8BjAQVjNc+YejExjttAqTe7K2sCcC19cL3K/2Sl7c4P+0+5XzZ7
Hv30aBf+Nm2ddGPlxfDFq7OvedcEW7+z5nVa2qD4a2ibpdtiffLaveylR65LdutYXkCKsG/d21CI
mVwkFYlk8UkkGr1d7U9ia0prfp6bC0oxthN978QI9wE4WM1We84GFtHjwgxop+jt7uq0eS7F7BzL
xjDr0NnbBX9XnhyP8deKI0SxGel3Q03robCZ2Bse7MHLb2iLE4xHvMFZE3MIueRzPzUHiGPNijYW
OfQTA1o1TzakJefa9syCHC4NBQ4UHQHuHKOakXnQ51eOW4WITxCSk71MeMuelAD+2Nee2rduftJF
3OdrAoraeYP9CJqIHRrmqVAGm8Ogy1c1lyhW4Ja+uBjtIpQ/M1Ewsxn2VWq3Yg0lon1oaUXul3YM
gUl5IXXCMPVXiqh5tXNgsG26eXFXS2+5X5VJBqIh1SDJP6aippixEpgCY5+hW2469oHM6eqJTJaO
ICAIsf57VXf9beCb8TYr8Js3FabdYGQTiyJmRqgSbuo6vOVj+YiMJAlObieAcsSRGes1eQTTE07W
LxG3+8si/Q1lz41MSdYtOogbLIjtQ+aj6CLTT7lrTUuSD1W3K2gEzn1OxtwL1BKBIaCcTrmrGQuI
ciFVcDTz2o30SPxCId86p4g/M+RuaQmSIRhGrr9Sygp22m30x5oR0gENGlHYAXZNTVsXRHXyVEhs
CWoZ5Tfw+OUzQqdm5wQLk52LjzQ7lIb4jrGKZLMaGMTBemC4v5KeV92xB4x7klSHM7KV5eRQkD2R
h1eccNNOpxak6gYjgzg2Sho2pEBeA7EkkxfxWnhMNd+VBEX47rRSHMLEdBsXleeuU0TGbJQt9wBE
9ospPs4+cG7m6JtAju26IZHM6eQmEGO8DhlLIPFV5KCM+qvrjdRzNbciMgoEOhzrWIg3yoxqg3xn
gwzo3nJb98Sk3jviwZeHTMX1q2Q9W3ceJYXsFOqEsBK7xmQ1O4xjyP4Ow3t/sexrkl7HHTLA+KaC
b8jZNyYMtqyYXcV6DRDYOSdDf0Vy8Tfb7lIkN2xTE9BBX37pyw4Kh5zpc1NqnaOi9nYVjvQrA418
by1AvrqRXSXS9vBoYm0+zt6l2Z9Nw260p7NIUBEQRoK9OMVKTtROtepGRlFFDHBn9ppoBzJnSteu
O73wQ8M1h8HljYgVzAy5yHdemlTXoincT3zf+L89v6+KddNkAWOwgklWIqxDlXnpf1B3JsuRI2mS
fpV5AZQABoMBuMzBd3fS6aSTwSUuEDIYgR0wwLA/fX+eUzOVdWgZ6UvLTB1KKiWLwSAdsEV/1U8R
133/SRMFWEW9Bu3XRPmFwhRKzKIleuJmHtyXuOzAyFi5WCU69x55QyEcaiid99xDyqcqFt7vhZwD
yYyouriTcB68XqhT3xbe7zCJwrOiH2sF9TZ9duHO3Hm2gniTNVX6YTlld2bZLI4N7MONafxf+HfD
g19lwHlk1j900gk+cElTQJpVFcBKNnrORW6mzyQvcSe3wFGOdRkbcxtlzaweOHDjZap2dHz0h7Al
E215/nyNsox+l7ztT5jrI/rzwurkTvn8Cn6gukxl8l7jR3m0I51/jHbQHFyfQd6cu3sX6w7Eu6yh
RuYWmWsnQJWJA2/Ez9jpdBSjN+BLrWwW5z5EtV8xpHmzucrwaw7KS9Oz4HF+rN/BSng/w6rIT05c
8QC3RuKdZ6i/WuKewL9J4+QpFphjyl5hPNPL9CuaUSQVVYCrKBB85xnEnPHZxycfVkPt0zTeDfFb
YEWcMqkX3vQciNo2PlKTTGNpp48OKBlIusMjO+oEEZIj78b2eoOTyNrY9qwRqSPK/fT4K00ZGeWh
Lk9ZewsjZsNwZNDh4FXADSdMThdAif96pFU2tEn9kE4mx1d8j4MdfseBdo9ZzR/FEdYGZle0v2ZC
LXcEYqHKyrTId4KmTJhLI3FgFOcdo3J+fXKUF8sLYPYmecsQqqrW9JPpL5sH5oGmYqq0BPSIVGRo
Po7hONGE1qHDiU+Ds006Ik7n5yhKDeeFrPjMnXDhRwEHXtJY9YvLmDgOmGE3uKrkasDy98OylvFK
vzne1KZynY/Kr62fJbS8XZPa+gCt9q+oTKEJok8ll54ucB5b4lTriEJiE5Djwkwc5ruAgZi/Dkdw
v9zkhnStDZ+Xh2f9naTWyJOFE66+NQVXUQ8hGsdkw5ZSe2KFfb5ekzP5E3LgH7rwfqpC/nzdrScC
p5uQOR7HU/uUK8ptSr8kfzwdCMi/BJAr13Cp0kciO1BXKR46mMCPd7NsaTZ36+5I9qH7aOx6+FwG
PH0hNWGvlifC+3quo18E9tk+6U0CWtl64Z6PB1hCOfhndyn0PZUd5YcfRD1nI8871jZHWrzytPHS
ZWRt8TOk9iFcvKldVY4FkrWqWOKbtAz3gib4VTLWmMnnqQ52UZsFv2wGq7eiXW9ezUXk/0RuV/6K
Wvb8VXNE2upwDh86ctjvDQXD+zmhUIGyzelTVUnJ3pFXDhbNGfeJrJanmLDCKfeWiYYGAzXUw4i7
JjIotlHuL8cFpeIaEkP5BKuR7lU76nfN/sYSb9yjP8tyq/KxPTO1sXFEd1pBAHLsjYia+qmDhYTF
pB7a35RHDPRuKDw6ZpDmrDyiP2Q9XFwjkMk+QLU3e9+IP2leUV+RJBgw8Zy5AH0cG0qIm76ycDC8
t02fbDRAj/PkL+LURkLsrHku36mc5OS6+KTHeN2BgxX1Q9QO3kPRtjcsAfypDTUgmFlkKcxj7nf6
wuE6Iykbw3ZqM8FS07CJXuO6aakITbziqFUZ7EkRts8YYnpa1pe8PJR0m2yI8wYUdTgARgva4JWN
86C+Ob1nk9/cvKDVozbC2RkuQ3YcKyVWnhmXU8nxDL/hMr4zCR5eQk6hT70Y2U2WzH0txZSewsHJ
6DTp2YuicXnwFo9WpVxjkmll5pwrg2RJalmtvKzwjjZGkWa1gCqu8YAo73OQVqLJk7n2Z6kIwSMe
LNObxKCH1gLHEuGhkzb9U2Hd39Hv7mzdGmD3Ckr9sptBIJ/Zx/VHMkX6dfAbb7toycUgoK9txp5x
wQUW/AAq4Z8YvkDH7QfwtJYoH7xm5oiVdSZvgJWnw7vjw4XxmMNdIjmJfWucBabumKuPxYGy45Gc
pOw5KEDgeZw6gdPVK6uXzdYH3oHbU8V8tMGnHlFAkszaL4hWO3vmDs7PAQ4B6+iAO0NFAasriMrc
rKub9uDQf3hwOlDsrUW60y1sWAq56YdthTH7y5LcL6Yl47gU5goF3reaEgSWoxlhpQAi+ak53loY
ddMoK86p9PjLiqlae5MkQ/eXoPnfpv/+P+hBRGpl5HAjeP7nNsSXNtV9+++67v/5sv8l64biH6i5
CixRAABSuv+yIobOPxyKMQT+RP49bkRmUv/bjCj/4SHYMpzjSwJcCvyrf8q6QmBtDG1Io+4Nm2bb
/yUzolS30cm/BmNUCytXSRAcUgGfhIB5+/d/G4DqKrcsPH098x08J33eiZUFDqwcSkojwuk9UGFM
12JS8KTn7MZ193sS4i0DvczAwb6CWieg1YzfHViiFTJBv+0m1W8sC6LJ1DXVMy+9ufOHGIY1CvGG
zYfOxCZ7UoAdNqMYkkNlQDnGsX7wNYdKk85g8GvvvQ41N+t+vtbS/l1q5jVzxbU89nhDwgzzdW6B
5XEfyBawLtVUiyQ18ChPDdOhm2HL8zuM+K7x8DM1xYFz9n1bZDf/9Ii3uVTxI5frEBqOh8rRzGDY
3KyCEuW7d10ml5O2tLpP8KdzuvUlkCm7mF+jMH6x0/xzTNr33EaSZZuel7PlS2+bTVN0czW166Sf
exhlsr+WM77uNpf3dHFOuHZQy5dorsEGhmSJGicFC+b38H1Xmef0f4hJP9zSDFundSFAI5evyXqi
JnDCmY1XrnGHVGcfd/UabhFlf01sHZRs/RMoer1pybySbQ39Y04C+wTnXX11av7Z4j4nrcC9UY+3
9uaw4H+Rzv7qVWidIzXg+Bm1woA/ZhtiGPK8cC7eUZD5O3O6cW9hnby0Nuh1rh3kh3BPr4h5BizL
vtzmSdVz6Sd62UDsugZm+Yask67rHEl1LPr83a3ndzJXt3ZpghImzGCAQ2NHz+s5Kctks5AGh45b
/EmrID/4dfgz7Aq4LHDMV0tXzAkXIaCJQ2kjDysegADkkK3b5C71i5eUchWfVo1TgEN2VcZT+mIi
wCewMfItlsT4nDVxccUWGKydcsjXC5z97ZgmJDi1/OHTVL31YwutO2veeF7D35NdYcyEAvTAlgQL
qUNXHLR5iazoJZlhCtYTwO7FvGaLzDeDTZ2KqVy5miz5UVSTfWAHuTqenra0wOqVylyzK0lxvdq3
FKGnguswhy8Loi3HNZ5Z3ncMgZI+hIGIxCrk7LzHwhNH58wVDYxG/FpHik5vKMe51Y9STSQ9PctC
486LS4jLbFvLeDwy0ddQC/v2wqV6OGEkSg9xTj6iSBKWs9Bwq9bnHltRsg4KUD9eVWdX8EHBXmgQ
V3h2Xp3YTM9lWMankWk3mxDbSSfVDxp1xD5Ph/K1yEgO8lFhnPJm0JZ5xogl7K3oAxQpJOdcNPfE
3ePTMo/M8+kGliR+oAtQe9v+JuVYbeK6YvQwLeGDKuX0RCQedM4k8+2E42zdGUVQKXAvNsDmDXMg
tKVwxMzpQCGZddBf7Gwp6S1TEH/IgFANABdz9OtDQBd1vtKL80TIk+CwBaVkTiamSTadtbaJ/DVn
WzpNuhEgs9JBehDJbeZaFiWDCMum83u0+rfZhOpHTwHfoQlmiN10SKwtCAqkHe1sn0o/OWZ+M981
5MB/hKlu7jlyQZonniKuxeJYD7CxCP2FRfYG6fWNuDsEQzXTxI0/jWvXo+4G8XvQznBNRzVSdmHA
1bkD5+B0QrEMIL9x6ddfKYe23wMx74uv3fHEyXk8dB1ZdEby3tryuUI59GgHstAPVhvcRVYpgNSu
utgOydeUWFo4oq4Dxh0TLTq8uambbUp60jZ6SPw7MmTZ47hE+j5yuuyS2BxLiMrf9yod9iUVD2+4
J3vyqGX70DVzD5YLDESfOmJbEoheUyya/RhC/hrFOC/XKFmeJq9CvQ5g3NXzmB511j+xD1lHOLTN
DntG/MXMj0BNYb3EE+rW4pLiqkXVXYD6e5sgWEAGV0FP2jGFipHk1wYA65OHmLEqUwk32PE5zvi+
WLlTEG1gxs1cH7zQ4Wpv9ZuOziLCTEG5t9u8vZ+sjkNZif07KilbgkXEKpx6vx0HIFOoCofMcAgi
SP1KRTAzoxldknR0SEy2RmUZMogCvVm2oMdYXqIcdbOKXm1Zsyve/g4QR9xtjD10DQZKvAUDb3OB
a4N46hKe8zwR2RrghuR+DYnwy4pJ0JOVH9sXoYM/YJNuwFhWX+dA/6+zpXfyMrhBuJrAktBWAo/3
SuVyv4Oja5H/za6ApfTZt1X2qokZwJL1ACIsySujgz0ZoWJDLLqtMBuEH7hEll0T6u964oFSpngZ
GjowsmkeN1VhPyzDwo25YeKlVfbDdK2g9NsK1+3tkw7oCUdbigUyG0tPF1bflVi+er/+OfioGZDU
XeimhGy3PiPR270sPU1R/JgmDfcpO2Z644onoHF4AKMhWMMiFASFDPGqBfFGZr57MEPe0rQUM5Iz
cQOUriMkP9WftsUqRBRsg7d1qzrva67EYZTeNyULHiYlp1qnrvf933uS/XuY5n/+f+RkcDlLcMr8
z8+6P7rus/0fj+3n92+T/N3J8M+v/KeLQf4juNmScCIoRv2kXP7mYgCJKQBJSgD5NKditfvncde1
/0HmBm8BswoyfJDS/3XcBZ0uMf+AZQylQ9zzv0RB/3e3ny8dXPGO5L1QhLKF4/JX+Ptht6u6ULW9
N+x11oXPMJrnC7sfPn1mRe2XFS753WiHjf6/2f3UX/UGfztm850lZ2+HWBM/uMLz+O/fuTcY8idv
GPZK9tEubV1Pf8LKQhJLB0eWq16DGV2nBDHfCxq9lu0kMdOvA79we6ito632dqEdsTYYlz4iAosM
TokorKQzx92a+mRGAkazqeclZTeHUdzQOE3vWB1jso4Ln+b0/QWMd+V2c1uhyrj+RwkZ4nOuRfha
2lmZbKECDU8za7pme2R4mOLKSFEBI52tB4ewSSX9dAfIHgZDWd7JtE4ZbO5mSIEAbKsvetjWSecO
m6Wmqt5E9a+haJ17g7v7iWmT/xYuqtljdcru21Lz/ibo47CqYxX9sIYizQByW/WRGzpDkGj+jSaW
0yrv7iiNFcdO0NhNcdZjkPT+bpgAp6HR5WvLqV7TFNvGqJGfnFE8D4TUodoIQOsNF94M2GxR1j1H
FFdeKk079gRCAa92TMym5wvbxttRxQ5D9daBpDRI1nYSn5DgaPUKJX1eKHyUbbOatfsqKnaQoQbE
BkLzTI/3in71tfGWgv9TjeYamfEytn1zb/ckU5aovRW1mh5WMDbfugVxz+yKDofYkI4cU3+bBwjF
ZmIS2Xkx2STbODvJ4naUNhu5NYiGC0Hfw+o0tyBOIujlngD5eKyIOZaCXURMhiaqHMwV8N8Nzu90
j08OeB9RaGLATlwcq8qS3xw34kMvkXl9S1kPCAjgUNHmrvNSmHxTSfD8MbTUbBVMUcIAJLPdjOR/
UsYbZmsS53lAVHw7utJ8woDJa4jchEzXabL4H3EvgzPpf+eLdb78Ro7FRcIk0XPB+I49qlR+b094
LrC62ulDJsLm2NGWE9vSOpWu1qdkKeu3kugcv+usxUhgL12ybFtvTOmeD4Ezr2y7VgqNQ9WPZTEQ
nrUj78aLqnM4EYzdQV3mVKrjly7uC1M6ezbLoqSdLwmeS89qm41F2mfTqGoRW89yOpuqdxWc7dZN
UMeaeXgSVjfvZJzM8Yl7Kcobbgf/w3QBM5wIXM9D47vkIBpwRdd5DOzjzb3DfksjD+0xtTjmDkV+
kHeC+EBjlHyp25aZSoCNaOaXeQNzgbHllOEoXVzcsh5ew7ihXQffDOwSNQkYnJZsx23g4Rw4zWPn
/K4bugmUWzqvuZs0/b4rHYmjf4zCnXTF3K5c09BOsVpmz7oGDCx3KmxozDKA90kDi9bFrAQca+UW
WfLSC8hT6NPWXattGv34j7v24tS/9gwACR9RUrArFgvZa/5Wcf5lyuQes8Be25bc9TP8inIQxWFI
QveiJB0PjYT90OVgGRna3Yddmq84BqOyMhXYlIvVHTLdPFRqMY9NZn8nOQFfDFslWzmxBTvz9bny
feYBMT+RP5e4WEo/fSSo0e0nihPvmFKLbTdO9dei2mE3Exx+sOeMBgMKpcb7yOTTn7LkysNsSaR3
RKMoWMiygNjPUlHPuWpnz/ny8U6cCtEXdyFujYniRi5kxuncjeNURv1u6vmGePXrGS5sZZW8l9Z7
B2S7glezhurh/eA+5e9MNfRPoeswc01SrEsMKYfT0i+/tduwfhAcl7dcfLQJxeyfB1cyDMwZRIeT
FW/HMmZIxa3y0bLh3ULj5NKDIzy6UmWQ4wyxlrZbIROi28f0eXVW2T+YkabULSJHvSIQNl+CdkjW
c1cLZ5W5k8+TRSkSq0X8FdC4ubEqLzi4AU5SWAn2umDgBhlUiB9BAY/I43Nc4RziT5h4gOMxf6Bg
2YDbjQ59Icp1XXonkubwT4VKTr3y/rA7pQ9gG/S+aBv0HMWTYo4UKU9rjKbk2tplIb+fGmIpG2tu
2m+SklDV4pykkK8qIJ8CIpjZJq2VTcgzQ3yeEq4/c5y/AafOt4XvBr/txOn3yOYTdABemL3XDGDP
NcdTuR2GIXigBq989fmc1sPkkPAsouob8rB8NFMTfc3wKeWzaUqW2W6pkm5Td649YVuCvUmG4DYZ
tvBObCnoXChdXVzgfvaXJjOJ4GGWfSGc4c5Pw83UVu8WjKbyxlIXBNlM7gJSHZTr4F65BXhI+wV4
kZq0exlzIW+mjEw++MYHIzcrZKliICU6B9VT5GLWg/rZbnDdW49FR3XFZBEXz2kPTQO5s4nGwzu7
EbyaGLBNfIRTnG3HQLZ3GYgWy2sHEoFpzI+QnBEIvht/IjgqJG5EAlYYkedjuqDzYBCGGUc96yqN
YQYIUSBqFRMlfK23DwYu81EsIvwW8LrrZAKF78WvsUvVYtONPAAR9wdknm41dtIM69Jakms5acoc
s3RHJ/eWSIiz6+Ze3CcT3ceF1TkrG5f19xQLplX90J0LE7gELpGJ6mmC32qgO8RoMnvtM1zkExq3
nAXdtSFMiEVv+REV+PtE+VeRCb/YoqmiMwjeeh8Z/WP0CGSGddUeuhCGP0cNgq6q7fY16YY9K1BA
UFADVMxbtbWpHdlA8lcHVBcJrCl8xHjD61sKeZn43BlCQr0Q7TDJPZ0s6Taf/HjfctfBTd3SMWcQ
y+84Lhg6vm8fasLIaweryTyqVIdbFDEDqqmKxo/Qt4ur3y3ktLj//jGTx2yZLefoDOH4loFMxo46
1YzxPbsGVQh4YRP7dvTHTpb+oLw5wOlWINyxzUZ7i3sjRpDUSVAmQ3bOPB7sE4M48Akicz9DXHT3
gy2mC0NcEgzUloQpv29m63FY0m83DKR6Y9GDqQ4d784OBucFhk30uzB0iOLe4EKMiyvNWZic6Jh1
tneK+VXbTDSzcBu7VooXayJrTWfggBOSedy+tIXzSv94uIKKgdaD8SdcJ6KIv/Gx2QPQhtCv+RCq
8hE+r/VCGC87IK3Nd9mULfvKnod3CQ7/jpl3ZcHJuHlbiZvuhOmZuHe2nQN+S4jH5tk8/+4zVfKa
4ki7tgAfryEtKox/UoVkU0Y9Va/C32VRbl6DubYfoqSqTgmlYvsZXhUjMtygcCVaFb+nspGbsrQL
qhOs6WUYS3kYqnR4skLK0jqh6D0ydXCGj+PcdVXgv1uwoQgPNPW7K6Mj8Q2CtF380AaZom45tpZt
Y3mD4jmT0MTxMmERWjAjwhRN76XtLvh525bZLpZxygXSiRACN4tVz5C9wPaseJhyLyofotBP9iHN
NSSnq9uQfsZT3VnL0df8DSqEkx+uGgDx1m1H5WY0qni7WCJzHtki2N/62B9mFjAaKEtDu3SB2Rd/
a0WjjFtRG6xA5PfwdNd+EX5mqXZIXTpAhOlv2osBmDf0yuSbQwv9IQq3y5pCBhHjFZ2rfemN7VE3
g/ngpV2uFtoi5PWpQsbmmwSWLbYZnqMt4nAM3M+NH+upFQ+jsYfps3bF1DxRvtsUz5YaY58MwoK3
pum54K2xrGUj2Ox2itZSDNBC/L5D+1fBQAhdI0SWcoxfJu2kfxYMJnu0LkBeyyjjfc/U9EnPwvno
61C+9NNINmtuBVTmJQZBnaX0ycWllXxPo8pOFlOPz0aKLl75TZrycWg1XW0OqL9bF3UtHmvmmmU6
Nde5dVgrFqo/ObAZh1XN65qYcoKcJbs1bg9tqbQ/88iXBOpt1b4EFBd2D1HdSHe7ZDT9bR1DCWxc
QpjCjpg568CL6dNDQgVzh5VzRgNzeAg3PSOHjHO7aUkFzcqhO4O3V85ZgFTGfnhXO1mokIkaDd7L
TzBvWzjMGkv7tBpoH4W2HnR8bOre/SiWMdlXTqhRgUT/KbgS0culm2vryafUgiGAB3+jTRDcdXOM
TZDnEN6Msj8zPxl/xkxRjgqMMyL2YL07uvaCrQpn+UGz03QaunHeQaCtL2Jx1VNMzoARSTxFB5kV
22bW+ZETdXI/CTkeGtPT486v8HPw44EudUs9ykS3Ozxoe6er/UvqZ/OpU8LZ9EOfXStpyXPYuf1f
RjA6aqiewg4fNIz0/QK0Vt0uLSuOH53jJPjZx8k3QMLpCVdShC7XtCWrtaAZyKgh/EOphc/QpUx3
UqgYOIFIXtsg7N/GjDensKruLSvieBNNyj1XIHRPKY1RTxix/sSSfD2hpfDacJx9pIey4XSV6t+S
vlx20FEwn8rVy4J94rTEtr2lc2R8zRkWkcfJkwcTedljTdxnO7eNqbalo7v7KZIjg1saCVRcJk8D
AsDG1WmtaVIa9WPPnfSrmYV8SrBA7+YFEpsJ6vYyYF044uB56+0pBQgQCDq20tLtt1MNWxAHjtjl
fbd8JqrAEj719jovXM5A1Ii9D0ktMLWiYhQqD99TJtA//xJBQaeZo4IPe6Wmk04ZzmIPVRcv24UM
3LmnR/y545SHc7Og0WaBDHpyIRmcI8MjPxjWe1/X/c80batttHTp58xM06NUhyu1U+ERwWkCJWKY
ebtSdpUNRT5w00P2lGCErI9hE5MRVtxFJ9m5AhnxWgSeOXnUcb5aNc+VSVTJTXCoNrhnYDskrvPo
h7Y4RT7NWtbQFy/TrMU5scrqjxwn6o1SuxIAN7PuwS7Z81Yz8cHvIM65YfVt2d7ZMXOm1QJe8mDx
oOEQKAbLWXVdDi4YTEW8qS2p37pJNyH3rsl5zr1Zv/itMJ+ZlaCt+H+hB6ewqd7pxo4+x86+Zchi
1pc7A6P2cWH1e13+Ahdmf0EMkStlC7cCKmncjdyvAGe4X4Oq1GstyuU2Lqs/oZlpvCW2/1YrRBqv
7Or7mJMaVD/WDv5CGTW3FYjOlLHJNbRYvR3Vwm/0BgNWzwwM54busy/74c65MRqNCKKtqdPiQCAP
guON5Yj5x2H0mer31ifEiRfWunpF7q0zQC0rx2fwRS/BGoxy9V2TYZkeALgl3oGBCohJmEjzqh9j
55U6dFiSOp/SP4Mtg13Y2vOWrrdJrSKMWjBmcUe/5dwhNzH0sIPxU3Ca/PAxZ4K/eJUiMbLE8TC0
97M9JB8iTJ0XP6t4gFLICsg/pr7OdYDx1Yrj6lWWzR/zFw2z8efqc4F49qfmDHpMPItlCIPHJimb
euMNFlkPqJp5jLDl1DkY1xmmqjdvQHHgt+k6KsNuWE4OY6+4TesTZQjPdjSKfdyn1l2cgfEMY4Ce
IO28jaUoGOh1xCk9uHapkRdK28t7OyYmT2fyjQ86RfnR66rqbsT4faTQjMcBRrB3Wsq2p+QhcW/b
VInjn3bvkDweW5XhTbOWu6mfg3Maz8kG0aPdO2FkfyU8Pl+aPtSFqEZd8vVFc6cS2zsP3KB2qnC7
azb7j0AUnD17M/a0yEI17xwY+r3lQYWxQlh4iFIXT9iXmyb0YdMmBVFRj8TFc6vKLpzsCG3YrFfn
BIQ6apfxEmDFJFdoEeXiSYZnkehvS7dxGfS/0vpTqFU4tuqJo0Eh13mSRxeRpRhdRt8cOpmodYab
aYPT2V4F0cx7WUQhXDIK23Ydtt2KTa9u72R7mw/JXkRvTTyInWm1+chm1z7DASVxoBLwGUYO3pOb
9s254buta/rcHhPHds+2tqBcEwTz73rMXAe3pq1GACG/gw2t71KZBgTRyJFUo0LJExXvKVbI7oK4
ZrotSV+ONIEPS64ZrHlcLVJn21jOv0KMRhsgtu56iYX9bWGLPA74W58VK9NK+T0AxkYv2PGWIN/F
WR/vWs9emLKiviXCx53tZGVwnvJOPy3WREVC3xDwTCzoHIo+MLyVhX/Sns5+0K7AKjjV4IyFqyAI
IV4RZ8drfuFOIF5VMku8l/bAmYugmWvYzLoaCC71e1z3QDe2wvoRdAMdvTN5MIomYz5N6DXYDYrp
yY8E6ZM5sI5dofTJqu16TYls89MmnbuxIEttTAk0YAnNges6PrCyuQx23e3aHOeGg5VxXvGP3rGT
IBKLyR93oIYg31VJpuf1DLVsK92EdxxoDR5DhqH7Pm9ah42Hbi+nCM0rNFnnFehCTGhizpIVyhWl
1YPKYHcUMDlXkozrSw4W3N6RMp8w+2NXrXYWlTn13UBZCpKsrgmWlIgfAHDz2HoD8WEY6IOZxVaJ
OLBOkmy4kiRoUzyuKn1O/AX4fhFaiL04671xkzVp/yfzy2W/9KP6mYtFXYMprJ2dT0lzs80yYlU7
jwYrlJAmCamOKZSAw0vi8WoAg+WEtFI6x/Ig1G+9dLOvwbLnBZz2aMvjdKO6nRak/pdULtV740ZY
I7KquUz0i1N46jXmCUweEQmBH/BRjwhx7iDx++bdh+ekGtyeyeGdh+FPq3aTnZ7BdaWu755MIMrX
zGQdGQuSaLteJSCiKqdASOmO/BYWjKx6ouXoxpjyMMo+d90wbeiIW16QL71T0Aj/0Z0Bcm+ykTa0
GOilgVvlBt+oBnCI4krgYLVbRgfWhFFhY/lje0BDbpY1RKbpPQ0UGwQS6nzuSulv++Qp1X7fb+JK
hS85bu77GLi/zFWbbwRc5HMk2AkOZMk0mQ2arL9oqAYugkMCL/FEscGwQnUGT6Oxpq/0OBf4bfwZ
7GnnotRuhjrA0uO6NeU68yweCxl2T+4sljeE8/HJwqc+UzpCbgSw+L4z2v3hEp67UAQut2lgjfau
pmNtYyCHXkxfzNzLx0D97HSe4IRXxV1HGvuxtUTeIEE6ibxrgompi+MAVlglAfm1OeWUte58a3if
cdYh/3O43iXelIEwTacLwU5yjb7MQyKM/CKe6qxdrHWsRfwdOYnfr1PpOM9xhNBLCtsun7MU5yl1
WVygQ7V4bKfGW6sw4SI1la730NaOYaBd20x13eoyW16VwVpMm48FyPaDWrKGu3wTqLNt8COs0spk
FRaHxvmhklDcYXVWtJZiSyYS3qN/kq0q/VM2W9GvNC+XTx3y8mzx13P3HOzmxtFdmHSr2eUat7RD
8cbTBoKqKlJ2AlTP6WJsN/o1WmCmEsFLRCysePN9Vxxdp1vO1NXhMEoiCq6a0tyxtrMBmdD+NrJv
k01Ys/PBrbJ+KCvVT5PCjzRhj7+XYzccGRH3f0wvcd7y2DbQCnATYbOdpt8qi8pNW/Qb7hBFtu4U
6BpKsvwTIIeSOX1dPEsIqSdLAJdf8rn/rrLG1esFkOdeF3Z1yKQ/VZspLptPB6NZssWxUV+5IqF+
kwn+kTNIfwo4nf1atO8/L6Llv1rWIRMPzXvc3RJvBL8Yd6S+sU4d5Trbnt/hczWa7hc7UBmsbqW1
L9biuNG6KluRbmuTPJITNFf67T2mB6wtzLJ7KWkr7brH0vWLO+3wRU5U37IHyn9UU4WaYM9l/xMr
D9xP2xnEmUm42WEwwzcSV2NxpT8hpwYzzITGvF5jpMgZsZEsYGxip+qJ4VZ1BN2RXA2Y8bXIJ2xD
Q8NVQ9bttm2dZLUkY3Qph1md+LKYTp/G+pogFK/5x/ckGvKtk9YAMcMleOj9ZXmcp/K7cbxNmff4
gBNMXRhT57Mih/Wcju64b2ufJHMSPs+pEdtc4WxYKaTLY2dsL1u5I7y7jMDNizvyc4XK5+WZb3Ti
gveaPKEZdwPXVyY0PQqHRerm2HFs/+kntXqMbBugoHSn9io50HMTKDyC2QEVJivgcfqUDp5LF1EY
G/icU3vPdPVX3eYCj09nvEsSC/88qlo+TcgZPysf4uIqhz3dcd1lfJP0PE2jHR9YVQnq4llaxzaa
AvY28UdTDUp7H8QsgFC1oZkV2Z1QwH9QdybLcSNptn6Vsru+SMPkcGDRi44IxEwyGBxEcgMjRRHz
5Jjx9P1BNZgyq7vTanHbbi/STFKaSCoC4f4P53wHCM+UE4JrhqdOk8U3K+TKIiGVkiViwpka5gDo
lG0L/myjemaf2h5yXl90em25HyPlbnSpW7476W650y1hc5uGI0urts3fHCvAqx7MnZ85k/vV4zQ7
ofvFlcp1/6rLSFcI8TNXW8N19RZAEIWsTNhbWXNHB2Ma0XBqzIZRTl4D6GObw7i3Eu+VsAsbh2Gr
HWDH8EQyI4mJFYAK1o6CQ86TdTViloweRMHOhzCJ4TGWo/1ZDtP4EVO2PsL67xTsrnE5/4MljN5L
3BI+7Ti+1Sn7yxWnAiBYzjw6vJweb9UnHMZ950r2MGlrcdGkbXQzaLr+kVmEo4GxBEnF8oWLayo8
5xBAciZ20wIHxR1MAHJFyPYkMJttkiIsD6oRlQ34zySXOAmy6VvtpiZ7m8jbmmbFnV/UUesHjl4G
6zIwNUSXMp5vuhgGGyUq+B7pOc0xHJvcQpIyye8w7WNmeTobP+xhJbeVGVdwCw1vIoAyjyO1YtCG
ND+JuMVWyGiWiBuns+qzN458G8Kpwn3QENm1zkmqecp6xR7FLFIkVXIsV22gaQeG7DkGTtUsfzDw
ocNEFZtP7GytDIq4mct1XgjxiSekuK3YoEJXgqs2Z1yXqwA3fHNo9dxIN9KcxxfmzcR2kTb7CCGR
2B23JWE49MZ2jfjPRL2op5sxznSYPb35mdqY6yBgwaYNUlIVkPT2wVagIlh7DIdPc64bRwxz4+2k
s/G2jGVInkcljnJl+iTXG3yyenLekuHe1piMRs1Ad928dBThxykosgNsAw2is9FshqnufxiVSBAS
qviWHDvOr5nQQyn14qz1lYknhl+BCUaPaXSN/qJrdUxIcJTegDUw/bLV0WLi7WjitSXal6ir5nvV
98W5BPDJGh2SjW0G+SEzpP49q3qg3pWrzmgoEeIjH1brKh7iDVE283eoxNE+NFC9EjICVxvV3noo
u1D8FVn0P6Zy/9+qDYJVAnzERmr+Z/qg95QwMRRXv+Oc/P3v/oNzAmbLRdcOtcjR0f38ohASIMdM
XISo4Reh/N/1QcZvtgP+Z9HPG7j3F6HS3+Xw7m8LFwidvLR0lPT8rX+BzevIP8jhbcOy+PasQx14
K56tLxSUX+TwUUDwl7AcJgSJIFCMRnjA0o64fOcFUrw3uD7vDZBcK9KfdA66uRjXejo55hY9RMua
Rw5nAL0xWmbOKZQZNafbU0fkWMFgbs16W2wip84OOHf6D1z+1PZJjFk3aUOuH0b4jBVZA3FPTrm7
CIBiNPaZYW2Ltp7vTAuDXVbbrNKLjp8Cdz2djNONvp4Oe62o1I9Q9WRWMLoCmZizxMw8w73V2y4+
h65p+BN9PIV/B8MCY5Zvt3nsN23inuB2ohaNZlRDBjaVKLG8z4RFH3Gy9aRvjSawd+XU6Q9yjuO7
tELIwzsjNzmWSbmy8WodNYBKG50ueWvOsjDXVkb7yY2p3jMgZAQ2hCQ4526N3insp3RYR3aPGlV0
7j3VX7hx6qq8EL9Ufeh5Vt/aKQrxmWIevPBcokgh7WA/T9m57+UJO+19pGEeF3Z3kUV6o/HObbi1
WqKW0L7A+TyAhhzR3AKSz9ahlmMQdcehJXQycB5bIR0kp2Qz6RvDju8h651UusTZM9zfBAUrgJVb
YtOO8skD/8vci14G7sm7ZmnTzaRU8OYlozgks1tdMCB15RqUrgPXFoatSqZmPzqazn6boc5aby18
mi7V5QrIT3pw8lHue9yt+yzs+qfeEgwFKmCnoMRnWn0Lw7EuaepLs9a+N1YbYM0QAFx50ppVVwzy
20DneiI0a0DvHjHJoNEggNTO48/YGVhy8lTu2Z2RYlGKqNjppSjeejSpBN6TEp+h5f5QVfmKpEW+
et4sdzIv0mue2v2FoQ3zynjAycog7VzEtTwnGZkrtcEWjuvtHJRjyCYST62qLW3v6UO6Yy9l3kta
+pj5OYtc+kSeaEHXvzKC7tYtOPuzEfrwsvMY14bMDYKZVTmtCDiQz600I+Rt3hAdkCNND2Mcjod8
aIyLCbUWoIuo+nfKiYHwHoLArLlJdvBO27chX7QfgO33bGOtx0Z3GUC6QznckTeh3jInqNU6TWYm
MP2oifrWQwMzQjPNNbWxDdkw5001P7UG5iEBnfNeA5uzI0SUb1MAwrj0jpM/2yD7UAdpvBU1C+PI
b6g87VWBt/I0036sLaT7R5mgVdViwmQ4Lgxmc4QI3yaRYMI829llYDh27rHhXEajd8cVYsjpgYAV
42inLURnm+RPvJFmeKe3UwQOyEjMbc9awY9HSVkIsFE7IUCuueCMoTT4pkz42M8UNwFz/wtKO/w3
wVgAimB0YJDdt5fEMdS7Vhsq2nB6A0Rc1TnK8Yv2VTsGK+YJ1tYVJH9Ru2fx2UxwtqN+cc5G1Iwn
8CMRJazZnjHUDTcRMvk3CMEwj9qg7K21OT1VgU1dJCoreDRUbgLAndnbD7W3TqkuqDWrcRPbzPZj
4Bc7GRt8tqYhT8GcZsO92xnj/STEgEmYdee6Qpaz4Uj1MXzsycNV2EH66MzeFIdpKvojrXp9MRwv
v8RCiueaPeMzTqnyx2BV4byax9LcB7OrPUgkCnc9ndIzEhuNVPtqSE44XEBBtzLBdu7xSBeW9VWk
6HdKY6ieRakbGw0d4XOMWIOHgmULWW3Z7BM/6mwT2zN2ZpJGyDWiAQ5u2LBxUxSLGsPGB1sy/4wi
F4YJDNLpgCLNOod5PO+m3EF74bUkczE92ITkDxwS1Xkvhabktm7M7lqTwnfht8GB0Yd8iQcj3wHF
ibYtk81b02m6294BtjTJtt/ahpm/sejHJ4MS84LBO96ZoxZjCUxNnnan9ZcYVQfVvzQPKu0Z9dV5
jgYpS6NjOmXdsertekklUAdSqfNLBVN9ja3ju6lGd41Y54ijf7GztlswCW+VBXR9PXXyGhIiEuZE
3rqRDB8Jqe5/FI0+wBexxl2rgE2x1TUB1zjTjM8KtAugWmUPw1abLOYWLUiKcyW1dj0vMDAG58CN
XcDtAVOGvUjYHOUU67b1oiZ1ZIGi3Rhlv89Dt1hJ6C6jptSeo9pnFFqs8ySv97jT2acqQ60NcFSg
UBTJvBiUhJUdU4s2lUlPC2Ms6Wj/zKgbtylxkYcIuw//Foz3vsKUvYqUetOXSXPfsYJbu4M1VqtZ
F8ODWoy3nW3OvlkPSEUxRl/hCYvc78LS2yMwnAiGAfOKxdkDVnWVyN1WGRqhi95wn1Wdle4Dz6w+
MJPkR1ZOwAF45h8ZFzHYGCv7JmK4tcGJXW2MpphOdPq71prnvYM6Zlew7H4xxuATaSBfNniPRgbx
Q06yOhK1fVsy6GOcXwsAVZ4BeGy0NSaaIiXBJSn1B3vqGybJqK7uIllM7cp0RUdvFEFccYrRwJsU
o5Uzde1rDJRzBJmjnvl81GfpVt3eYqTPNdOVnznw971rVvLYgiJ4V5FgohgVlyA1lmHqRA5qnwcP
vAE5r6m5oKdS5b6zxmSK3NTRLQvkBP3PxDa6GQ3EhHN5yaxCPzdIeCGQ6L3fR2Glr3Wt76vtYCbN
3nRaIAXsrb2vXLNAq+BP2A60ZPVKWWqROblD7BMiScK1AxrnUNiFdpVEa8c++qZ+X4zLopSW2CEj
lpzAK/VFXNxk+MaB9ORYo1YcA+vowPp/dhFg1clwR+OnjjC7snto1vGPnBNnWkW2M6yzsQZqYznx
k5XniZ9Q7iJyBZsEhCHbjiYGXX6PsyEPonhrJfR4WhnrvuXp8bqGgLKHXkSmnxyqazMMdxr8uwJ7
NN+wOahyLDcdzg9CzMd01VJarBcL21o1w/g5xOP4NVTmZxML9Saz/t2piHnCQBaWd2zwHIb8Xbuf
ZRyz27OGs7QU6tVK70+zbapNGbCQkU1ExCAqOUYfnXW0avfRnIecmcKQAl7T3E2gimYTNawQoe6E
G5GJYhuhCj6B3BjuWozPu6ActAeEeO1uEIaDnKNwbpxkCj5J9bG2fEZDED2zxdvQ5Y8xTvmbGLLf
RSc5hVTwvt1qSW6QFZU5D6EM1RmEGjrNxJyTjbBbsv+IzAqPkyYXtkUbHtQo6w+SZ4HbaFVwISGt
Q8lVyrXiiAKOnQgSz2PU4FmAF6fWWPajnY/Xg0tyBpPQEQ84yCWo/b1WkkI/SJ95ZrRNWqiDVFeD
BrmstE8SVSVi6xGI6+gYD0HrLQRzdnKdZgZ7MdnpLp0G47llZE4QBqGmqdMPhzgLyoscsslYdQ5T
xhVIlfhFxKrd10NaXXXLImXAjMM7O0a95srZfuaiQ23tKJfuAAaQbw9ueoyNHFZ30EK1Cavii/m4
e+M0Invq0yLHHANFsca4vJ9TW4Bpn+ztAkQ7FH1lkAcWeFw1qKuIe0ytDSvy8dzo7b3Qmy11qn7G
Rp/4+P6+aUG5qQcbiP6kvRY90lAIAuLJIstx5bhLfHFJ01I5siGXTh9ZZjFyIVo9V6vRjpmRgtAD
7pVDDODBAFaXt0QDkCTmPOqwbja4EgL+BaNcYeALjr90lpe/+iZ+TQYx7X9ycvyhT1vowr/0aRoO
sWTQ42iPWzBbaZZIEQl4TJ09QI0m2W9MkgbtqfbM8dFl3/IyuX11Z0ZzeHIns36FxZ/4NusHLITC
DHdRx+ofFP+81YXGIE6mDLPIh74UDHoQepNrSGog7wB+XJtSQgvM+MXGPAu6PSv6dWC2xY4phe3b
zIRcN9a+o0+HgaSN5Z2WZM0ed9lzVzcY1NpK+EHtGS9m18lTawjGTrVXboAP8qFNBQL2LMVMJyzF
VLZ254OKpHyjUg93AvUWy8fhvezFpWu7B5sKZTWlbFFw40wbMUcTapPiHMTpfI57nF4gJfBM6oYi
ESVl1+Zss1GxolqoYp9mW7O40uyQyLUppyj00UiU32Yzz8xNFbvs7lTk9GewQNMhqql2sRWazn1Z
Nv1dQ24jEH2Og5spSs0fotPjzwql4aayNeljtzWvJVN7bwUjDSWGY+l+OfXOyW47bS9AVm2aZC7Z
jJLuMOP51scffcPkKyIZpegEah6Vs68b62zbh/ROzmIksIhGvAkG4fabOlct6a2C3AAAHUCWiLa/
m9OCGzoq0I7Qv15AKgZsUqGIXPmge4fRG4cD2ZrsJXQqbIN98lcVtZSC+TCMj1HO0g6Kogtuzq2L
DvsCgL0zOLDkrv9Zcmc/y29zqcS5hSnKkwpWHi+kudXp5QkSG6LozloqeSaKnE3uUt8bPyt9HNQj
5wP1/6C57dlbegJIVx5hWvQJXYaad6VCzb1rkgFNPuqBx3xpMNTPXsOhMuMwWloQ62c30i2NSb60
KMjr6VaCpXEZFAi23BlgbUWknfhWV0P5j9gFej9bHvdn+2NIVVT7Fg0x5iGH0SDQF39iQ84bnvLg
eimenxBG/HtV4CkgMgI0XtG3F3tUyW4if27mEKPfYpf+UCnbQQZcXTUzjvfsgcqzRc7NNe8Mm+Ri
KmVtQkW/KimF4QYVNTvfJXSVfFoHM3lXrSMQKSzreR/WUagbC6dKrDtcMRdWr/K55j1gTb20jOnS
PDKepo9ME5XeRGnLpIAm0y7YFA8/O0/nZxfqLQ1pZVjprl6aVBRVxbYjpftc08EinSRqbWlq86W9
5YdcGl1aXsbUznO2tMHO0hC7S2sstNB9Lez6dWyS9MNZGuhuaaXnpakulvba/dlpz0vTHS3tt7c0
4tPPnjxb2nPC48mJX1r2dmnex6WNb3929Gpp7oulzZ+Xhj/hkM6Dlv+LmhVf2M/JQLoMCdCby71Y
Bgdm23l/whM3FuL87wxqPw9UakOMcaaUYmFa/3KgeqoJJ3uc3B0D/of5xXqp37WX+jrcNvcIjIo7
AtD++zPcXoDBf/iOhm578IRtj0++/MN3XHSsOclSwa533OAjK4lFWMOGmW7RGs3mmsJwCSWqW2dt
YGD/MMQM1doO0q/ZEKO1gHWCbZEMrO5QHMO8mwMoR2uzROG/m0WgfWsA+TwCT+bkJptlQLBgL7rV
Np3UfqzL+mzlKj3iAhoPXMx83JgOrBzpXjuwwbueaoreOU+2mW3U26mB1+YSNvPmDAna4CHIDn0t
3F07ZRoJK4M6A2RN0fMh4jSX9MhTT333ELEBfkf+kECuWNJykjFWz1Arlo9jbmbf/uRFXXyEv3tR
bVP3bMNZEs5Aerh/oDQ3nmfR69Xabmpd+1ik8aE1A9cXk+b5pkm7ZXqWuOg2a3GWH+CkRNyJXW9K
47Vxo6hYs+wLP6e+G455Zk8nzTWai8tQ9oX6jhxYdAUd62i/070ZOJk1XFXe4gzOtSrlo5lYoNjk
lO71ltnBKmiBh26cUJPoG8Ki9NuJn8ryzJ4COZiLdzV3SKjy1mENPS/3ERs+rqbk5zU1/7yy7J/X
V7TcZN5yp/18wf7HRvr/H4JrsLni8qIZQk/ELxYj5y8P0T/Ryc/vn0ztfx3Z/6df4G/Dex1IuYtV
n2YHsy5e3n8M783fBF6n5ZGz+YX5y/ReEp8HJFS3GKZh2FkG+3+b3lsmcBw2sgbVL8+doMz7F6b3
gCV/9/QjYbcl7l7++/3hZWdtmRJyHO3JGs+XMx4JNbdy6K3dChjWyvKK+SS1woVZppqjzvD3WJrY
SFe90ya3Q7V06wVJmPkGnjWdr8bAsvHc6ZmoSY8pIMJ5cMVpjnkuZq51zaukuZepbqPwRwmGuFUy
oa4Z4YYam6neQI9p6fjjm6Q2w48efXt16MntvmEaZR3Jchne+2AqcB2lgqAeO6l2ZV4QYzeLmDot
6xuyHYbJcd7UlNJoWKU3TrtJxy0BbSDra9wJxHOt6ymykw3uYYbOievE92MlCTJJZlU/CtnlD6xl
x42Tsgxcj5NyXs0pzS/jaEzaeuxNMGkqmbNsa051tES6R/prnYA4xCmrKfYR0EuuI56JEk6X1X9P
BHBPL8nto8GC/ipQrvhLbfxAyd1900EZX1Dg51dEd85Oa21vD5Ri3i2TYqC/S7pnL5xlzCGoS0Jn
3JgOhdC2R7AL2MTsou/eMPI+alkTeXAFnJ6jJR3mU6U51tcA+fJBr8OZHIo8J4c5rJDMmKlNMBui
ez9qElicGGHCJ2lnPZVWl7eXqPL02ylJQOx4Y4Ucp8PbskuJLx1Jy+uHJ2k42jM+DapBCCL6EwNJ
eCmeU0+pH1NJXHCsmB+JMdQ7NRN4bJhtGoKGCJsLi+IFmQZMTvp5FXhsUdL2nBRMzla1pYq9ZMJE
Hm3OcA9VQtG+IXBj7MzSovkR5sH4KPqSAI8GVKaxYm7ormXQuTcQUoDcgEjJsk2LoX6X1knj3QmP
45JDNGHrJLweN8mkZWRHDrMcY4w5dWn7GHo1a5sjovlRJFZgb9g/CMLFkwJXOXggYBeal+PKa4Wq
3ihAoxfdrFgl4YUo7nKBSx3Hdz6hzhyyfNiLAo/Gmhd2XIROy2QO/T4/p8U3YqwrpugqyAFXvPp4
bsBYB19xgsvrqDIz+MGqpd27CUb071XW68zgKDb7nZUHUE/5Xm25lQpO/AUfr3HuPHBLWKUzELHD
0HxHBDf6mqpwTelxzu9RPWhnPKVliuCg897scp6TSxv1DrHyY8A2BuHGUw0w+3MSc/w6hkx2CfAL
cLQXcb6k25Zim+haarMhL4ZDFaFCYTDoSPw8GtSMRUaauVgx09ZYM4HotpMHD3MVsd7+4fXKMXHs
eTA6JJIzFCqtvNe7oDn0RCmTXEQQ54OGJPLDU6L5liSRfmuP87wVXdOWyNpHhw2T8vAgaXbzbVBC
rLA2s0GYqTEQjeqOP5ICzUyrD3ofSB/sUq0kbNCEO8xrgecGLWfSV9+w56anwkhF5DuJQyZowhT+
gKqfeD0Dt+FK8FQij2RGgoNN9AKdhnR8pyl7BLCMsGgjO+mtoVdh10uz6epAEAEaHZRV4GdiGnew
pcQO77SOLSkdqP95G1+Vl86frdbAqDJbfbrR81bDQhCFNx7zRmaIBCZfh7yKH/peQy4C6NM46AMB
bTb+v2vsDjSOtJDMIIdCAwPUFS+Ex0i/x82ybYIgeGw7jhxwVeGMlJ6Ryop8ytjHmo9MZ7bd5I1C
vbxLMiWAOxHQSFM1HgALzZ8Li9FdE0JeGrs0BWW4giDFe9+lVQTSZQir1wquwitqJBOSjmXAxRF4
tlac4e0T7w6IfZ2kOizZOCH7DNzNURPj0CBaazD6l0DM4cpoXQptwRpIsScZ6YNOnYWiDZ8Vn3jn
4XQc6uTNKO3qBTIafO26ViXLnM5uxdZmOhSBxkoQSbeSXnZnEqL63CRGkl5Nt4Qn2qKQhhmpM5+3
NLqvU5RMDNh7Xv7ZJzBCI3mxmqCcmRkikoPSp8a6q+pK3YRzHGAjQL6PiCQ0vVtVy+xjjMLoK9JU
iRdIB/tvqgZuJ7YRav0sdXcJpMJozbJW+sFkkBFAVnMM7xvk/EYr6/Fo9zU6VYs46GM39M68Fn2W
N+usbEuQ7Sb4U5BR2G7cYLyQz2nNiFa1dNfnEeL7NuhQ8nXoyEfAzuO2tqzkbCmDKYpZthYULyva
9eOdouwOydlsFpNM08/nKakqv8uRzKz02tZx5uEM/JB1Wvh6Zp2QnRE8yV6Sv0U7X99XwNq/oV0e
jlS3MOnDqcVR3yCiAgLHsGgTtrI88rEREAbYTCVsrZs9zn+EpdkMSNnIXllEEI7q5NQPaY22Piq8
7BhZA80pixuo8KRGofjj2Ck4h4S2U8YVi/W9aZSs+PR+/sy4DbiocQRnkMJP4Vwuk5XAXdtF014h
vvZfNpfPDt4No1fPeZdqcDYzFgSCjayQ5q5pnqxRWHu43pKPbgZ2AtSs/aOOvaBfs7L2Lp2BIiAl
eJNAaib0RyNg3u5McceSAfT/ykL5qTZ0HeMZOAOrO8SmG68P2MAKDnI/GYq6wj6EG2htM+AA7UPs
KhJrpj+7JplQdc1xnR7mGG+GmdjZkZRP6+y6bXKavdg+dZgksOBUXfPi8ZxtGlG43x3UEchnaZTv
7DxziSXWJSC0toCvVAWYv0fN/ESKRRosvl9CaZEj19kc236ehvZeF231pBcI6YeOt7/06uglj1KZ
r5B0zSztnBDhrkzkbZF6znfQeUL3AaKXa0e11VurPLGe2xoNm9k038fQqC5O64w3Bdt4F/JcEt42
opGQQjFfIr6Pm5WWVVZLzWXKt3y2kmlddtn45Ngxil+BR/9HENXRXR5o1pkpBXT4xR4G6w6ePhdo
2XWvvT1JX/a1+6DZFnD0Wg/CV6kj5FyFcT++aU6kvaWdrWIkHsmIUy9xdhH6+jsPNOORYVT6xc+r
LjJspg9v7iCPz9XUUJ6RswF3Xbnto8e2tF4lzSCSjRViSl5hHZ7u3VC5WzmJ4XmmF9zKusjfPdOh
1KiaFBds2wQsVeGJ4zIyayvc8VYNZyMMSZMjTkvdw6GBzlZWTpqwaMg4qcxybDO/6hDZs8vWunLX
tUgdDpVqsVi4HpLqbWZExm1TVfY3Uw49qbMNYw/MSnlPQotyQ4zfpnJPMRkkGMztsWkx5Hlo0txZ
x2zPbtDBCjoN6nXA9J9sFLOXch3PWXDDFNzC2UM/eOAJ8QhdMOOWmBfJpcbEz7imveT1b9wOYDh2
y25vjnn2bNtRfYU7jbZe0Q9dkwlOSQ/pZK2ZujzFjXDvFq/cjxjgbbbiKSiQ1olhicMABEFSChTY
B5aiceRDn+RTN6gmKkB6zRC/DY0W5uKKHEHd0At7L8m3JFMmxf3P9Va41qbkquhvzBgCD/BoHBpr
XAdy5xiteyUNs6o3sze486qEBfKV5OQBbQpPM5480rXf0bHrn66bdd0e7wg3ecr6rKNYZdmyghQ+
VussSSof13qEZCYLv0x0Ndd2ZkI3eXhlAVQ3MwMwN/ZnWar7zmV7oxjwnZF2uw6gjJgHxx4BtsHE
cDmnuhTTrdME795Qm1e9oMTwqXo9ba1yADL+WDnsnljPa19Zl8/UaJ06MAkDtjL3dYnGsBh9JS0+
Jjb38oYnuzN8qB7luwU/ybzApc38oGdbye/GSwm8aFoXVTlAa6kUFDWeKkSCeR1dAoZtByt1w7uU
9CKkrw57Jzogs55Z7y2QPsmXDJ+S2OZnMtgeP1eDJE+09oLsq2RyeoWJBJgl00mHyYIa20uCSUx2
qCSVGlmPWqr1nQB1wDrQqQBXUwjALixgyHczjLygilNU+npYkcSrqVM6zgiRR4PtK2gD72uyZTDt
wOrJ8cZIYu2R2Gi+ihs1gqhadxH10HMu+9ouOJY809/xOVA0z7YRXrm5qxCrauyd3KAsWO7racWq
r7R2ukaORl/DFAR7MfqhAvPjmFE6rooEbLWdRAlIbNn5Xokkupua7oYf2j5Ce9FfqANq38OUsE3h
+Wl8aLJyJQdsTCuP0eE6kXBRxiTtriW662aVW4zYyBNm3gIFJr6X+pz5RuUxeRGuBywAP4ZPBRf4
GOM/qFO9nc5n0i87gB2254Vvpsrbj0lnq77SYoPg7slMyZwo5X04G0x76A5IYyJnbzdreb5mA0TC
NqLrKWqNV1xu0T3rMD6X5ogoKXDEiGWlH/Z2lYUnx6lSXncnBnuYwbAYZSx2Zaqb32o1S86ouHSW
Ch0WVIQSHlM3/lRkWWFCNZvG+ofgiNnHlKV+ygenuUGG0PEQATrsVA/Y0dQwpm5CYOaHEmkohIM8
Lh8xArlbSjjn4jij/WDPJTxwp9EuZQPRD1l5A68xcfpHDNiw7Dh5TQy9ruvLsY8e+egFrxHmf442
4hI4HkPG/yCaPdJdCj2/LaYqOlpB5Fx628T8VRNSFK8sR09vhGZ1+yiOrNvYxPWxCphe36kM9Aew
6Rysp97JQ5CHU7MhIqV9mEyi6Lus6y/MJcV3PrvGxYiU96NuomZLRHmQgyGYIvgvg838vC2p6o00
OYjaSUAF6gA6UZOTmtxyXsUdKWmEjOcJqfOwyLsiz3eBW+er1NPA1FYEVpJrNJ60jH9sKvkiK6yH
uBzaEOa5YLP6TXHVYfUaWM6g4V+WjW32gBvNfWyjDrbt1LEdXVXRAG0gTRjxW+ZIVIpmLM6xoRNr
EJrFo5EbydaxeyzUtvklaQa5lesU0sDYae2ZmbR8Xq5Pnxhnt7giIBvwzKH/3oRzDU2+68sW8fM4
rf8vzXlWBYWV7a1JUNFkasQf5WA1hAoRiTs26UWHHjIB2/D/ZIr4vwgHKG1B/eEapmkbwrSEYaKU
/a/hgJv3T/X+F6S/f7l9D8EE7t/7H1n8l3/nDzbv+Xvx83/xVP1+zPiffIu/jhml9RtLCBMxlS0E
OseFFTj8aNp/+z9S/w3jMoRQiSluEfwyAvw7NFv/TaIPBtm9TD1tBqD/mDOa+m+6DeDQM/jnLF/y
X4JmG9aiAv51yi5IVGTQbpAAaJN+8sfsXNol8uic2UYu+NRN5Q1Gn224Zc1DlRcTTJOsY7HVm6v1
hIvc64C1PTV1vI3zb8HYbmLmdm5voxvO36joifLeRzmqTm2L9mDXU1QETX6I3I9pZHpTAVrq4m/d
8EYp5GvM8ECiPViQ0QZzurMitbW0IxRRfBTZHmFrTxDNZ4QIqxDnCdlOMdyUCoag88Wwap0qUls0
jNfOQSRIogCC33I8bqZBI2F+2uVLKegw6hltSLfajo8PfnYIwEtlfDtGbxRlVPjDh+4VT02r3+f1
zB6NW3AlrKnyG5nQ6HxvszvH7Tlh+hT+YIKgldMzoyZWhMxL82IkyUOYzQfLUjjDoRXZ+THV4e85
+dkaDehZVYWfT9EfYArpiCl3Ev2CpHE1VgmXolWybLaJWqztVx21Mm+T35ehX3ohc5BhCwGO5Itp
rSAAAwraEIp2Y8XtpXWsW4Yj31PpXMaSn3WYJrGCq/g8xtMTLvMtUYV4hGHpJIytV5FD9wFgAm9n
FF/CvKLDR9+8lFq3dTNAUf2zqNt/WsQtHwrMQbpEBW9L5um/n2WjG28gP7CuGef8SbVoVWy7uWCC
23OS+ti8Ca+TDka1YpdVd+wDd8KwT20OLHfSWb/kDYDpIPAge2T7VMNw2w1blaTBqgusi9WX23EU
D5YtWFwDCaut+FQXJ72zd6oqTsa0NTQXbRoZb/F8L8hlc+XgK4M0Dt7Caoq/bCWuIn0lXGYbcIrH
KscijU3aiNbUrYhKKIeT5ux6cgP6aBMqbV/N+kUJte0t+zLp3tmxkfFNS4mLxDFqH5MKyIXh7GZS
M4w3hwlkMnfH2plvQaIRKlqG9UpKRhAeT2U6Fduqj88uHPQaPVdAq5a7H3k77bNM34eLCY2CBzBG
N5/nscXcErxPldiW8BhyvuAKmQKXjDEhc6OHMcPbpHg0lbpRgb1vsEQV4xvOlfFUEcFOPpwhX+sA
V7IWZS9aYvlRZexgkSWrwbG3huPtmfR+kndE1G4+3cF9AfQXlGKz0E1O9cBWwJnffjldL389an4v
gPnjCbR0h9KzdNcFtur9ceMxL2QmpJZwccv0RwiuOuDlC5TxVtNnzb1Cb6CuhDfdzl1/FzaKwei4
xCGuDGLHtqz90dN6yYZcOjwz3l0E703FLR5oj7jSNr0kUf9VieJPnm5WRH/4uR1Obp5vDvD/YO7c
mtNGsjj+VabmYZ8WSvdLbc08YPAlthNik9iZF0q2sSRASAgJIT79/hoJD7JxKpNO7UpviXBLfdR9
+lz+5384YOiJ8Kq3/AonjewIdOtLO4XDS9NBc/PCJojFHIIFOkQRUguIyKAXE9BsHQCHvaUKuY19
uiGwsgwIB9odovjpksqMxLZZsz71RIDqaDgHFbNFr6pwfYtiPdPnm2E4zW8TPK0tAHxqN598E1Jh
iJjHugMxHJzcPZAyPNjKYiKvDqpxrT0rhDfgsMg6pIjxoKfbBDBnUtwE6/WwcPLLxKKzS2gtroP1
GOvFcv9a2luVcv31CEKCT+s5zDG5mTwvOtMAHoJkVGSdZzfQ5ydOaD2DTrhdWdP7iNhful4BcFGf
EyJCAS2zXBiyQn9JCRz9DRyis4H5tYDCEjgxfQLShyLoXJQgZOOoGKxUQGbFCZwaJ/gvd4sEHxlE
lDHeDCIzuwZ/NlxhIPcSRYND2j2HJ3UGuQWdCtPsyxJQB5Ga++1s+cWnyjkHtdhfC6cFnkad5o1L
n2bptG8wg+JcAVa9yKaPYyW5nQfZh1zT6afGfp+afWvqDP2FchEnxbAwAE/OYdlUqaHPI8jPFHfg
UlcSUovlB8opn/5KUeeDYl1wyoR3hKHPiQ0OMjs5MYklx1fZmEL30jzN3PnJ3KbH4+p+ur0FOgQF
mNMP8ksX3iF6Nt6liPCsxMkhN6Ge4nSfObPtIBA+PZCK51mAE5FZwxyEK3SM35Yw6NP+mzpq+PDg
O9MBjxL1hxcosj/HMGhgdS77i5RkjJusQZZPH5dzA1w33XyciHpK984gakrnSjhmOqcJJT29OB5f
LdiGOFzxMFvOzrUtyYU4uY0K62bmTy8NDZJtcE+9JcUZIBNV/j6jWjo/Bd/TH/sryPNm91OtgO96
cx7lgQsRSBiRN6fhS7C491fm1SbVv84zh2yJdW9ul6NNlGcDVvXFcmw/b+EJHecBXYjA4PXmqn8J
MQuIKNpf9FPfmQ9MY3sFeqS3tOJPQMnSMztVPGOFX6cV6U2sl95sGYCkybN7YqrU6pHlPwndcpga
2Zf11vmwtkFv6wrh99nFDCQ9JVU0A1A3wKinI3Vl3edafqlsNg8RVP69zoKig7l+3ik2/Y2iDGmy
0Qe4/zXKip4DhUNquDdW3rn2Z9/ADfWA35244+Djah1+pjvFACv9K6nQ522o9Uokttm4t5tSBw1E
9/QMHJy6vBl3HtYzGmRtlb82ZPB8bXOq5u4jINw+Xe/WYJbMm7E7iXAabXdgdGBv+5ioH0390yK/
oZ/iMIXSM9fpyaDfrEutR+3Tl2izoqh3ehID3F1Qi72mYEGbTqASAnmN/7O6t91RQTA53Biwp9Kd
K+ir2rfcv7V9MJlO2nOMzx1iF/6quIlzjeXSoUX1DbASkTm6UsZg4ksD7qHyPLSI2NunJk2nZjCk
Eg7kfPikFo8uBd2Rrd9nObGZkn090+4ddwhFJyxun2EuC3voyrsl/LMneWj2/fChoNQqyp830/gk
StyHja7PT9316gEq9/Mw9c9nofq0LqYZBBcBrl3s9kuQxKRTij4JX4qaYudiSoQVzlAXajc/+hqW
kJNutNJ46qTQijpggcmiOKdFvL0008Uo8Jd2fztVR+6s8y0uy7t4Bv0EbSy244xOAAk5Y50+GBeE
GOcD4t+LAVxTxP+LxWOcb8+crX1O7kgkG9MTBWg5dhUJM2Pp91IlGRSK0YsAN2YW5jAtoeG2paMx
tcNby36AsOAD1UETp8xH7oIsxXKq0dC7hMdphWnijiF6GdsC4kJB8HRN/J0kWKISF98aV3GiP88U
oiLqmZ9BuAbnihqn17MiQfsCvl/CA1FmZ2CXtb4x1iF8MehTahQ0oiXfH/ZJlnboEulmg/msU/b+
HWzxdO0cMy0x3eGM9pekkPJRqET3UJ/Q6DcGhAfh5Y0eqB+QTTgYu+W6pyVjCNxsOzuxF7RUUDpU
xYGCuv1V7qgEXKWG1Aj8CEy30Mt+zidpeTOBVSNb7VEb4q4oos9G8c/96PsD1XWlozKZ/PG79xRB
LhrSkSB8zA4dS/BD+IsNZ3X3TrsX/t4Qc4955U+MrZldgGF0cTZ1ZXfh/c7jhV/fdrituGSD3epB
B7J5b/bfn1glxu//pvHm7JZFJsTvh/HicPIkfn5s7q9GOJg7oBxT+N46rsfBpG23C6DIVkDyvMgE
If/v5/7uh9cg3n0dpvinX15Vuw5tC8gzYFeLq/nlEQIJQRGbqO6K2+0SguhbBv6Pbye3A+yu6eo0
GTHVaqas9IPF4FpdVSEGwzaoLgD4LZODaREAkpKBanZt0zRVx93PsiED1oJrmcTHXMLf4qp2Xps2
BIA4SRloFtrAYB0ghepqyID2duwGYhaiQYe4WieDPXmBtCDUrsa2MlxCLLurqRgcjRCjiiiU/9eR
8K5aRJmpsrNXja4NWlszCHsemb2NOuDA5Lhs7TJALYqYsex2ULpEmIkiC+TrgT4kYo2eFMHgWj7c
bpk+pC0PBemy5yOh9HoJOEcXAvpAmEyq00ZF4Oiga2WXgGrT4kixCF+9sY+IxAkFUR8H1RHcouMA
w0AsAWJuUsei5nQhz6ZYFfqWY7rA7sKgQimFCY2huFpnGkAcTG8BaR9B61qgaYjSH1eJKgYUsU5k
0WIxUCciuRowknALNJyuowaCbXQVSqFcS9MqMZBLa5li1E2nWqLwM/mT+MWH/Sf+ottVXYdDgdkd
ngoYT4aCr2DUyrJ1W0F4MrIKERPRhJmJRsX1LJuuAkcjLqNK5UdtG7RvBdCaQXYb6Cp9mSnGwzl8
RylSjkPLub2MWrcSsN1q4/3nt4Gud03MQBLsterHAzvcDqZwGi3B+tVSlVidkLq0OrC6KH6Rmjsq
B9eAz8xRbbpvV1dlnbfJUqgZ32Q9aE3vWlBXwdxW7/2myUQczbQoV9NAk+2u9lnNxPiql/r5XaFi
MhsQ1NEKu7kdrK6hwIJHuWa1DNrnOQqnCUCNpInAKgBPJAoSm/rAVfl/zUYn1jqzfSeDKFiUnD0R
RQqQiREJrNKhNsQyMjTGFwWRLTOJxFtJTpuPbuooOdOstVwzXmI7XUggKfyGVnB3tc5fNFT2pqQQ
VLdrEC9yqJQ9ahWIKKrj6kTbq6t1K0EDpiFtHypdk5Jkw0AK1dXYBw6nIXRThq7UMmqdEGqrQHpH
EEPTDYqnmekRObjYyeScbDg1Xm63Sy3gximyi4Fez46h4RNriPNQG5pdzkGHNVDPvnX6oF4F0iYR
Ng8RdZVY5MtnPpADZ6Jmk2IicvByu12rAMyZKb0VyC6BcQSoe3QrOE7XsDE8yK9WarN93lJlGcme
DxySMJ+QYnuVaxVpFcoANBeClN3Vut2AzW5VilrCMFa7pCqJm7+2jPj8QGA1sIKts4xqx0jWKEQN
4vZA0wE4cHe9sg3dLrPX8Zuqu27rzkQOMkHDjWr6+e9P4GgXM1HrFPOrXLuD3WBZYBH2zmP7NoGI
7soKQYTHSCLDkdI4EB2769qcuMb+mPgHS+AHIgkvkJ2TIJw/7cA64WR1DNPz3g/2X/7t/RqpcvH0
x+8CjtL4ocDuVM+e7FBE4t9/NlKXO0TJwc09wmT3nPrP6wm+fXTjWftZ7f/zPJykXvoYlLsbZf2a
H70IxA+lKgElLMPUe5qsggaiZgck+PuF3iCPXvbAd8dfrbzocFhBVrP/91FA0w8NS5NZL90PIwRe
gZ9k3/bcS0tv4R0OTBWMCJNLjxxG3mPgzY9KuorDyj7igxdF+W//8qLkP79denCZhg0J1YFO2adc
eukCtNusKaQq1S49Nut0/mrgXRxKduArb7YKvKdiMkn2n3K3S6swh+zo195TUB7fQ1VAQfYBn55C
Xv/wzWv/VHbgYf6UPwaTNC0bg1d4MvnBF1PvoTnwzpGSHfjGm3rUfHsNAGCd0ZEd+zaczcKGwqrt
ftmBR14UzikTfMoPJVKbk7KDf8kyqg+PKPHaXJEd/44ixN96k4XvzRtvX9kBsqNfeyhzFFaWNtZ4
HYiSHf0snzJ6dvjeL4lw6bHjxhuLcXeZZdlxOZVfykc/ho/xA1/3YjWn0HTVnIeqqiKPKf28NF+8
fzy9ICtlH3MdbuO0aQ4QXRCh9l9wwo5SaFeaK6ge/BfYG8cLffeC350lYiI7oJWslEQpsfjUr0YH
wiISdLKjX3sLIaf9QPWri8F/gZiuJz42jlc2dsXfASTZd+9P5kH49s0Fskd66Jf99qpcu3p7gR+T
fcSJ6BEVUibeNLMrcNIv2MQ0gvWyLFy9eULtu/+C77s7Z77f7OrFu/k5f+EDR8G7zbSIQcp+hNGE
reW/tvFJWtcQOdnxf5RWVFJMx/XRzxAPfPdFjvmbL6UPb73QfTnHsT9rutjiF4/ziZf++V8AAAD/
/w==</cx:binary>
              </cx:geoCache>
            </cx:geography>
          </cx:layoutPr>
        </cx:series>
      </cx:plotAreaRegion>
    </cx:plotArea>
    <cx:legend pos="r" align="min" overlay="0"/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Style="combo" dx="31" fmlaLink="Calculations!$I$8" fmlaRange="Calculations!$A$4:$A$38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hyperlink" Target="https://www.publicdomainpictures.net/en/view-image.php?image=262430&amp;picture=flag-of-india-india-flag" TargetMode="External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1</xdr:row>
      <xdr:rowOff>41275</xdr:rowOff>
    </xdr:from>
    <xdr:to>
      <xdr:col>5</xdr:col>
      <xdr:colOff>292100</xdr:colOff>
      <xdr:row>16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2AACE-7E30-6DD1-6085-939B0C6A9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250824</xdr:colOff>
      <xdr:row>0</xdr:row>
      <xdr:rowOff>98425</xdr:rowOff>
    </xdr:from>
    <xdr:to>
      <xdr:col>12</xdr:col>
      <xdr:colOff>260350</xdr:colOff>
      <xdr:row>18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A78E5A-68F8-2C5A-5892-29D9825AF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1</xdr:row>
      <xdr:rowOff>82550</xdr:rowOff>
    </xdr:from>
    <xdr:to>
      <xdr:col>6</xdr:col>
      <xdr:colOff>254000</xdr:colOff>
      <xdr:row>2</xdr:row>
      <xdr:rowOff>107950</xdr:rowOff>
    </xdr:to>
    <xdr:sp macro="" textlink="Calculations!$L$4">
      <xdr:nvSpPr>
        <xdr:cNvPr id="3" name="TextBox 2">
          <a:extLst>
            <a:ext uri="{FF2B5EF4-FFF2-40B4-BE49-F238E27FC236}">
              <a16:creationId xmlns:a16="http://schemas.microsoft.com/office/drawing/2014/main" id="{6D27219B-D8A4-E5A0-EB05-419C5D53D5E1}"/>
            </a:ext>
          </a:extLst>
        </xdr:cNvPr>
        <xdr:cNvSpPr txBox="1"/>
      </xdr:nvSpPr>
      <xdr:spPr>
        <a:xfrm>
          <a:off x="2813050" y="266700"/>
          <a:ext cx="10985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6725D93-A9DF-458A-832E-E9EE3F15C54E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27</a:t>
          </a:fld>
          <a:endParaRPr lang="en-IN" sz="14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552450</xdr:colOff>
          <xdr:row>3</xdr:row>
          <xdr:rowOff>69850</xdr:rowOff>
        </xdr:from>
        <xdr:to>
          <xdr:col>3</xdr:col>
          <xdr:colOff>19050</xdr:colOff>
          <xdr:row>4</xdr:row>
          <xdr:rowOff>101600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5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374650</xdr:colOff>
      <xdr:row>1</xdr:row>
      <xdr:rowOff>69850</xdr:rowOff>
    </xdr:from>
    <xdr:to>
      <xdr:col>9</xdr:col>
      <xdr:colOff>254000</xdr:colOff>
      <xdr:row>2</xdr:row>
      <xdr:rowOff>133350</xdr:rowOff>
    </xdr:to>
    <xdr:sp macro="" textlink="Calculations!$L$5">
      <xdr:nvSpPr>
        <xdr:cNvPr id="5" name="TextBox 4">
          <a:extLst>
            <a:ext uri="{FF2B5EF4-FFF2-40B4-BE49-F238E27FC236}">
              <a16:creationId xmlns:a16="http://schemas.microsoft.com/office/drawing/2014/main" id="{433796F4-DDED-38E0-BF04-534F99B21E11}"/>
            </a:ext>
          </a:extLst>
        </xdr:cNvPr>
        <xdr:cNvSpPr txBox="1"/>
      </xdr:nvSpPr>
      <xdr:spPr>
        <a:xfrm>
          <a:off x="4641850" y="254000"/>
          <a:ext cx="10985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83C365E-12F7-4DB3-892A-E51480FF4CF8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91</a:t>
          </a:fld>
          <a:endParaRPr lang="en-IN" sz="18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342900</xdr:colOff>
      <xdr:row>1</xdr:row>
      <xdr:rowOff>69850</xdr:rowOff>
    </xdr:from>
    <xdr:to>
      <xdr:col>12</xdr:col>
      <xdr:colOff>222250</xdr:colOff>
      <xdr:row>2</xdr:row>
      <xdr:rowOff>146050</xdr:rowOff>
    </xdr:to>
    <xdr:sp macro="" textlink="Calculations!$L$6">
      <xdr:nvSpPr>
        <xdr:cNvPr id="6" name="TextBox 5">
          <a:extLst>
            <a:ext uri="{FF2B5EF4-FFF2-40B4-BE49-F238E27FC236}">
              <a16:creationId xmlns:a16="http://schemas.microsoft.com/office/drawing/2014/main" id="{2D7D15BE-F4F1-6C5E-CB8C-3F39C36A0692}"/>
            </a:ext>
          </a:extLst>
        </xdr:cNvPr>
        <xdr:cNvSpPr txBox="1"/>
      </xdr:nvSpPr>
      <xdr:spPr>
        <a:xfrm>
          <a:off x="6438900" y="254000"/>
          <a:ext cx="10985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3BB8181-EFB6-485E-A893-3BC4F69EB64A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107</a:t>
          </a:fld>
          <a:endParaRPr lang="en-IN" sz="14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332124</xdr:colOff>
      <xdr:row>1</xdr:row>
      <xdr:rowOff>63500</xdr:rowOff>
    </xdr:from>
    <xdr:to>
      <xdr:col>15</xdr:col>
      <xdr:colOff>282222</xdr:colOff>
      <xdr:row>2</xdr:row>
      <xdr:rowOff>115455</xdr:rowOff>
    </xdr:to>
    <xdr:sp macro="" textlink="Calculations!$L$13">
      <xdr:nvSpPr>
        <xdr:cNvPr id="7" name="TextBox 6">
          <a:extLst>
            <a:ext uri="{FF2B5EF4-FFF2-40B4-BE49-F238E27FC236}">
              <a16:creationId xmlns:a16="http://schemas.microsoft.com/office/drawing/2014/main" id="{699246D4-D70D-3E3D-54EE-D1A9F7AF1EBF}"/>
            </a:ext>
          </a:extLst>
        </xdr:cNvPr>
        <xdr:cNvSpPr txBox="1"/>
      </xdr:nvSpPr>
      <xdr:spPr>
        <a:xfrm>
          <a:off x="8253589" y="249510"/>
          <a:ext cx="1239340" cy="237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6F0DC6A-EF15-4BB0-A4BB-831EB9480C9A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0.33</a:t>
          </a:fld>
          <a:endParaRPr lang="en-IN" sz="14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361950</xdr:colOff>
      <xdr:row>1</xdr:row>
      <xdr:rowOff>95250</xdr:rowOff>
    </xdr:from>
    <xdr:to>
      <xdr:col>18</xdr:col>
      <xdr:colOff>241300</xdr:colOff>
      <xdr:row>2</xdr:row>
      <xdr:rowOff>120650</xdr:rowOff>
    </xdr:to>
    <xdr:sp macro="" textlink="Calculations!$L$4">
      <xdr:nvSpPr>
        <xdr:cNvPr id="8" name="TextBox 7">
          <a:extLst>
            <a:ext uri="{FF2B5EF4-FFF2-40B4-BE49-F238E27FC236}">
              <a16:creationId xmlns:a16="http://schemas.microsoft.com/office/drawing/2014/main" id="{954744C1-B4DE-594F-1631-3F466FB39E5A}"/>
            </a:ext>
          </a:extLst>
        </xdr:cNvPr>
        <xdr:cNvSpPr txBox="1"/>
      </xdr:nvSpPr>
      <xdr:spPr>
        <a:xfrm>
          <a:off x="10182001" y="281260"/>
          <a:ext cx="1098036" cy="211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2C85AC2-C6D2-47F0-B8D3-2C7E09865DF4}" type="TxLink">
            <a:rPr lang="en-US" sz="1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27</a:t>
          </a:fld>
          <a:endParaRPr lang="en-IN" sz="14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4</xdr:row>
      <xdr:rowOff>183971</xdr:rowOff>
    </xdr:from>
    <xdr:to>
      <xdr:col>8</xdr:col>
      <xdr:colOff>592981</xdr:colOff>
      <xdr:row>22</xdr:row>
      <xdr:rowOff>5935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BFE407-8464-4AD8-8CB3-09D877F7A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17274</xdr:rowOff>
    </xdr:from>
    <xdr:to>
      <xdr:col>10</xdr:col>
      <xdr:colOff>217025</xdr:colOff>
      <xdr:row>41</xdr:row>
      <xdr:rowOff>176834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8B2D54-B363-464A-B1FA-3BBC77692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105833</xdr:colOff>
      <xdr:row>20</xdr:row>
      <xdr:rowOff>86591</xdr:rowOff>
    </xdr:from>
    <xdr:to>
      <xdr:col>18</xdr:col>
      <xdr:colOff>564364</xdr:colOff>
      <xdr:row>41</xdr:row>
      <xdr:rowOff>178054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E08850A-8D1C-4883-AD16-F2275AC9B7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1833" y="3833091"/>
              <a:ext cx="5386131" cy="3964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602848</xdr:colOff>
      <xdr:row>0</xdr:row>
      <xdr:rowOff>80380</xdr:rowOff>
    </xdr:from>
    <xdr:to>
      <xdr:col>3</xdr:col>
      <xdr:colOff>602848</xdr:colOff>
      <xdr:row>2</xdr:row>
      <xdr:rowOff>120569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31FA6F9-FB68-97D7-D9CE-7946F51C428E}"/>
            </a:ext>
          </a:extLst>
        </xdr:cNvPr>
        <xdr:cNvCxnSpPr/>
      </xdr:nvCxnSpPr>
      <xdr:spPr>
        <a:xfrm>
          <a:off x="2435506" y="80380"/>
          <a:ext cx="0" cy="409936"/>
        </a:xfrm>
        <a:prstGeom prst="line">
          <a:avLst/>
        </a:prstGeom>
        <a:ln w="25400">
          <a:prstDash val="soli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602527</xdr:colOff>
      <xdr:row>0</xdr:row>
      <xdr:rowOff>80058</xdr:rowOff>
    </xdr:from>
    <xdr:to>
      <xdr:col>6</xdr:col>
      <xdr:colOff>602527</xdr:colOff>
      <xdr:row>2</xdr:row>
      <xdr:rowOff>120247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B7B3B0C-6D77-D67B-6CC9-47DF03B44A2B}"/>
            </a:ext>
          </a:extLst>
        </xdr:cNvPr>
        <xdr:cNvCxnSpPr/>
      </xdr:nvCxnSpPr>
      <xdr:spPr>
        <a:xfrm>
          <a:off x="4267843" y="80058"/>
          <a:ext cx="0" cy="409936"/>
        </a:xfrm>
        <a:prstGeom prst="line">
          <a:avLst/>
        </a:prstGeom>
        <a:ln w="25400">
          <a:prstDash val="soli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602205</xdr:colOff>
      <xdr:row>0</xdr:row>
      <xdr:rowOff>79736</xdr:rowOff>
    </xdr:from>
    <xdr:to>
      <xdr:col>9</xdr:col>
      <xdr:colOff>602205</xdr:colOff>
      <xdr:row>2</xdr:row>
      <xdr:rowOff>119925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1FA93D6-61D7-EA0A-932B-7DD61BFD4122}"/>
            </a:ext>
          </a:extLst>
        </xdr:cNvPr>
        <xdr:cNvCxnSpPr/>
      </xdr:nvCxnSpPr>
      <xdr:spPr>
        <a:xfrm>
          <a:off x="6100180" y="79736"/>
          <a:ext cx="0" cy="409936"/>
        </a:xfrm>
        <a:prstGeom prst="line">
          <a:avLst/>
        </a:prstGeom>
        <a:ln w="25400">
          <a:prstDash val="soli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601884</xdr:colOff>
      <xdr:row>0</xdr:row>
      <xdr:rowOff>79414</xdr:rowOff>
    </xdr:from>
    <xdr:to>
      <xdr:col>12</xdr:col>
      <xdr:colOff>601884</xdr:colOff>
      <xdr:row>2</xdr:row>
      <xdr:rowOff>119603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8F1FE44-3C5A-A58A-F400-4781BD3F3725}"/>
            </a:ext>
          </a:extLst>
        </xdr:cNvPr>
        <xdr:cNvCxnSpPr/>
      </xdr:nvCxnSpPr>
      <xdr:spPr>
        <a:xfrm>
          <a:off x="7932517" y="79414"/>
          <a:ext cx="0" cy="409936"/>
        </a:xfrm>
        <a:prstGeom prst="line">
          <a:avLst/>
        </a:prstGeom>
        <a:ln w="25400">
          <a:prstDash val="soli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14791</xdr:colOff>
      <xdr:row>0</xdr:row>
      <xdr:rowOff>87130</xdr:rowOff>
    </xdr:from>
    <xdr:to>
      <xdr:col>16</xdr:col>
      <xdr:colOff>14791</xdr:colOff>
      <xdr:row>2</xdr:row>
      <xdr:rowOff>127319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4C4350A-B5A4-B569-1CC7-87AEEB415F9F}"/>
            </a:ext>
          </a:extLst>
        </xdr:cNvPr>
        <xdr:cNvCxnSpPr/>
      </xdr:nvCxnSpPr>
      <xdr:spPr>
        <a:xfrm>
          <a:off x="9845234" y="87130"/>
          <a:ext cx="0" cy="409936"/>
        </a:xfrm>
        <a:prstGeom prst="line">
          <a:avLst/>
        </a:prstGeom>
        <a:ln w="25400">
          <a:prstDash val="soli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43</xdr:row>
      <xdr:rowOff>4811</xdr:rowOff>
    </xdr:from>
    <xdr:to>
      <xdr:col>2</xdr:col>
      <xdr:colOff>52917</xdr:colOff>
      <xdr:row>45</xdr:row>
      <xdr:rowOff>177992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E39A8A-9972-576D-7628-5DF17395E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0" y="7947122"/>
          <a:ext cx="1274811" cy="53878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Rapeti" refreshedDate="46075.952382754629" createdVersion="8" refreshedVersion="8" minRefreshableVersion="3" recordCount="5054" xr:uid="{95ECA685-66AD-4964-B74F-92C7427E19E0}">
  <cacheSource type="worksheet">
    <worksheetSource name="tbl_AQI"/>
  </cacheSource>
  <cacheFields count="9">
    <cacheField name="State" numFmtId="0">
      <sharedItems count="35">
        <s v="Andhra Pradesh"/>
        <s v="Arunachal Pradesh"/>
        <s v="Assam"/>
        <s v="Bihar"/>
        <s v="Chandigarh (UT)"/>
        <s v="Chhattisgarh"/>
        <s v="Dadra and Nagar Haveli (UT)"/>
        <s v="Daman and Diu (UT)"/>
        <s v="Delhi (NCT)"/>
        <s v="Goa"/>
        <s v="Gujarat"/>
        <s v="Haryana"/>
        <s v="Himachal Pradesh"/>
        <s v="Jammu and Kashmir"/>
        <s v="Jharkhand"/>
        <s v="Karnataka"/>
        <s v="Kerala"/>
        <s v="Lakshadweep (UT)"/>
        <s v="Madhya Pradesh"/>
        <s v="Maharashtra"/>
        <s v="Manipur"/>
        <s v="Meghalaya"/>
        <s v="Mizoram"/>
        <s v="Nagaland"/>
        <s v="Odisha"/>
        <s v="Puducherry (UT)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District" numFmtId="0">
      <sharedItems count="5019">
        <s v="Anantapur"/>
        <s v="Anantapur (Area 1)"/>
        <s v="Anantapur (Area 2)"/>
        <s v="Anantapur (Area 3)"/>
        <s v="Anantapur (Area 4)"/>
        <s v="Anantapur (Area 5)"/>
        <s v="Anantapur (Area 6)"/>
        <s v="Chittoor"/>
        <s v="Chittoor (Area 1)"/>
        <s v="Chittoor (Area 2)"/>
        <s v="Chittoor (Area 3)"/>
        <s v="Chittoor (Area 4)"/>
        <s v="Chittoor (Area 5)"/>
        <s v="Chittoor (Area 6)"/>
        <s v="East Godavari"/>
        <s v="East Godavari (Area 1)"/>
        <s v="East Godavari (Area 2)"/>
        <s v="East Godavari (Area 3)"/>
        <s v="East Godavari (Area 4)"/>
        <s v="East Godavari (Area 5)"/>
        <s v="East Godavari (Area 6)"/>
        <s v="Guntur"/>
        <s v="Guntur (Area 1)"/>
        <s v="Guntur (Area 2)"/>
        <s v="Guntur (Area 3)"/>
        <s v="Guntur (Area 4)"/>
        <s v="Guntur (Area 5)"/>
        <s v="Guntur (Area 6)"/>
        <s v="Krishna"/>
        <s v="Krishna (Area 1)"/>
        <s v="Krishna (Area 2)"/>
        <s v="Krishna (Area 3)"/>
        <s v="Krishna (Area 4)"/>
        <s v="Krishna (Area 5)"/>
        <s v="Krishna (Area 6)"/>
        <s v="Kurnool"/>
        <s v="Kurnool (Area 1)"/>
        <s v="Kurnool (Area 2)"/>
        <s v="Kurnool (Area 3)"/>
        <s v="Kurnool (Area 4)"/>
        <s v="Kurnool (Area 5)"/>
        <s v="Kurnool (Area 6)"/>
        <s v="Nellore"/>
        <s v="Nellore (Area 1)"/>
        <s v="Nellore (Area 2)"/>
        <s v="Nellore (Area 3)"/>
        <s v="Nellore (Area 4)"/>
        <s v="Nellore (Area 5)"/>
        <s v="Nellore (Area 6)"/>
        <s v="Prakasam"/>
        <s v="Prakasam (Area 1)"/>
        <s v="Prakasam (Area 2)"/>
        <s v="Prakasam (Area 3)"/>
        <s v="Prakasam (Area 4)"/>
        <s v="Prakasam (Area 5)"/>
        <s v="Prakasam (Area 6)"/>
        <s v="Srikakulam"/>
        <s v="Srikakulam (Area 1)"/>
        <s v="Srikakulam (Area 2)"/>
        <s v="Srikakulam (Area 3)"/>
        <s v="Srikakulam (Area 4)"/>
        <s v="Srikakulam (Area 5)"/>
        <s v="Srikakulam (Area 6)"/>
        <s v="Visakhapatnam"/>
        <s v="Visakhapatnam (Area 1)"/>
        <s v="Visakhapatnam (Area 2)"/>
        <s v="Visakhapatnam (Area 3)"/>
        <s v="Visakhapatnam (Area 4)"/>
        <s v="Visakhapatnam (Area 5)"/>
        <s v="Visakhapatnam (Area 6)"/>
        <s v="Vizianagaram"/>
        <s v="Vizianagaram (Area 1)"/>
        <s v="Vizianagaram (Area 2)"/>
        <s v="Vizianagaram (Area 3)"/>
        <s v="Vizianagaram (Area 4)"/>
        <s v="Vizianagaram (Area 5)"/>
        <s v="Vizianagaram (Area 6)"/>
        <s v="West Godavari"/>
        <s v="West Godavari (Area 1)"/>
        <s v="West Godavari (Area 2)"/>
        <s v="West Godavari (Area 3)"/>
        <s v="West Godavari (Area 4)"/>
        <s v="West Godavari (Area 5)"/>
        <s v="West Godavari (Area 6)"/>
        <s v="YSR Kadapa"/>
        <s v="YSR Kadapa (Area 1)"/>
        <s v="YSR Kadapa (Area 2)"/>
        <s v="YSR Kadapa (Area 3)"/>
        <s v="YSR Kadapa (Area 4)"/>
        <s v="YSR Kadapa (Area 5)"/>
        <s v="YSR Kadapa (Area 6)"/>
        <s v="Anjaw"/>
        <s v="Anjaw (Area 1)"/>
        <s v="Anjaw (Area 2)"/>
        <s v="Anjaw (Area 3)"/>
        <s v="Anjaw (Area 4)"/>
        <s v="Anjaw (Area 5)"/>
        <s v="Anjaw (Area 6)"/>
        <s v="Changlang"/>
        <s v="Changlang (Area 1)"/>
        <s v="Changlang (Area 2)"/>
        <s v="Changlang (Area 3)"/>
        <s v="Changlang (Area 4)"/>
        <s v="Changlang (Area 5)"/>
        <s v="Changlang (Area 6)"/>
        <s v="Dibang Valley"/>
        <s v="Dibang Valley (Area 1)"/>
        <s v="Dibang Valley (Area 2)"/>
        <s v="Dibang Valley (Area 3)"/>
        <s v="Dibang Valley (Area 4)"/>
        <s v="Dibang Valley (Area 5)"/>
        <s v="Dibang Valley (Area 6)"/>
        <s v="East Kameng"/>
        <s v="East Kameng (Area 1)"/>
        <s v="East Kameng (Area 2)"/>
        <s v="East Kameng (Area 3)"/>
        <s v="East Kameng (Area 4)"/>
        <s v="East Kameng (Area 5)"/>
        <s v="East Kameng (Area 6)"/>
        <s v="East Siang"/>
        <s v="East Siang (Area 1)"/>
        <s v="East Siang (Area 2)"/>
        <s v="East Siang (Area 3)"/>
        <s v="East Siang (Area 4)"/>
        <s v="East Siang (Area 5)"/>
        <s v="East Siang (Area 6)"/>
        <s v="Kra Daadi"/>
        <s v="Kra Daadi (Area 1)"/>
        <s v="Kra Daadi (Area 2)"/>
        <s v="Kra Daadi (Area 3)"/>
        <s v="Kra Daadi (Area 4)"/>
        <s v="Kra Daadi (Area 5)"/>
        <s v="Kra Daadi (Area 6)"/>
        <s v="Kurung Kumey"/>
        <s v="Kurung Kumey (Area 1)"/>
        <s v="Kurung Kumey (Area 2)"/>
        <s v="Kurung Kumey (Area 3)"/>
        <s v="Kurung Kumey (Area 4)"/>
        <s v="Kurung Kumey (Area 5)"/>
        <s v="Kurung Kumey (Area 6)"/>
        <s v="Lohit"/>
        <s v="Lohit (Area 1)"/>
        <s v="Lohit (Area 2)"/>
        <s v="Lohit (Area 3)"/>
        <s v="Lohit (Area 4)"/>
        <s v="Lohit (Area 5)"/>
        <s v="Lohit (Area 6)"/>
        <s v="Longding"/>
        <s v="Longding (Area 1)"/>
        <s v="Longding (Area 2)"/>
        <s v="Longding (Area 3)"/>
        <s v="Longding (Area 4)"/>
        <s v="Longding (Area 5)"/>
        <s v="Longding (Area 6)"/>
        <s v="Lower Dibang Valley"/>
        <s v="Lower Dibang Valley (Area 1)"/>
        <s v="Lower Dibang Valley (Area 2)"/>
        <s v="Lower Dibang Valley (Area 3)"/>
        <s v="Lower Dibang Valley (Area 4)"/>
        <s v="Lower Dibang Valley (Area 5)"/>
        <s v="Lower Dibang Valley (Area 6)"/>
        <s v="Lower Siang"/>
        <s v="Lower Siang (Area 1)"/>
        <s v="Lower Siang (Area 2)"/>
        <s v="Lower Siang (Area 3)"/>
        <s v="Lower Siang (Area 4)"/>
        <s v="Lower Siang (Area 5)"/>
        <s v="Lower Siang (Area 6)"/>
        <s v="Lower Subansiri"/>
        <s v="Lower Subansiri (Area 1)"/>
        <s v="Lower Subansiri (Area 2)"/>
        <s v="Lower Subansiri (Area 3)"/>
        <s v="Lower Subansiri (Area 4)"/>
        <s v="Lower Subansiri (Area 5)"/>
        <s v="Lower Subansiri (Area 6)"/>
        <s v="Namsai"/>
        <s v="Namsai (Area 1)"/>
        <s v="Namsai (Area 2)"/>
        <s v="Namsai (Area 3)"/>
        <s v="Namsai (Area 4)"/>
        <s v="Namsai (Area 5)"/>
        <s v="Namsai (Area 6)"/>
        <s v="Papum Pare"/>
        <s v="Papum Pare (Area 1)"/>
        <s v="Papum Pare (Area 2)"/>
        <s v="Papum Pare (Area 3)"/>
        <s v="Papum Pare (Area 4)"/>
        <s v="Papum Pare (Area 5)"/>
        <s v="Papum Pare (Area 6)"/>
        <s v="Siang"/>
        <s v="Siang (Area 1)"/>
        <s v="Siang (Area 2)"/>
        <s v="Siang (Area 3)"/>
        <s v="Siang (Area 4)"/>
        <s v="Siang (Area 5)"/>
        <s v="Siang (Area 6)"/>
        <s v="Tawang"/>
        <s v="Tawang (Area 1)"/>
        <s v="Tawang (Area 2)"/>
        <s v="Tawang (Area 3)"/>
        <s v="Tawang (Area 4)"/>
        <s v="Tawang (Area 5)"/>
        <s v="Tawang (Area 6)"/>
        <s v="Tirap"/>
        <s v="Tirap (Area 1)"/>
        <s v="Tirap (Area 2)"/>
        <s v="Tirap (Area 3)"/>
        <s v="Tirap (Area 4)"/>
        <s v="Tirap (Area 5)"/>
        <s v="Tirap (Area 6)"/>
        <s v="Upper Siang"/>
        <s v="Upper Siang (Area 1)"/>
        <s v="Upper Siang (Area 2)"/>
        <s v="Upper Siang (Area 3)"/>
        <s v="Upper Siang (Area 4)"/>
        <s v="Upper Siang (Area 5)"/>
        <s v="Upper Siang (Area 6)"/>
        <s v="Upper Subansiri"/>
        <s v="Upper Subansiri (Area 1)"/>
        <s v="Upper Subansiri (Area 2)"/>
        <s v="Upper Subansiri (Area 3)"/>
        <s v="Upper Subansiri (Area 4)"/>
        <s v="Upper Subansiri (Area 5)"/>
        <s v="Upper Subansiri (Area 6)"/>
        <s v="West Kameng"/>
        <s v="West Kameng (Area 1)"/>
        <s v="West Kameng (Area 2)"/>
        <s v="West Kameng (Area 3)"/>
        <s v="West Kameng (Area 4)"/>
        <s v="West Kameng (Area 5)"/>
        <s v="West Kameng (Area 6)"/>
        <s v="West Siang"/>
        <s v="West Siang (Area 1)"/>
        <s v="West Siang (Area 2)"/>
        <s v="West Siang (Area 3)"/>
        <s v="West Siang (Area 4)"/>
        <s v="West Siang (Area 5)"/>
        <s v="West Siang (Area 6)"/>
        <s v="Baksa"/>
        <s v="Baksa (Area 1)"/>
        <s v="Baksa (Area 2)"/>
        <s v="Baksa (Area 3)"/>
        <s v="Baksa (Area 4)"/>
        <s v="Baksa (Area 5)"/>
        <s v="Baksa (Area 6)"/>
        <s v="Barpeta"/>
        <s v="Barpeta (Area 1)"/>
        <s v="Barpeta (Area 2)"/>
        <s v="Barpeta (Area 3)"/>
        <s v="Barpeta (Area 4)"/>
        <s v="Barpeta (Area 5)"/>
        <s v="Barpeta (Area 6)"/>
        <s v="Biswanath"/>
        <s v="Biswanath (Area 1)"/>
        <s v="Biswanath (Area 2)"/>
        <s v="Biswanath (Area 3)"/>
        <s v="Biswanath (Area 4)"/>
        <s v="Biswanath (Area 5)"/>
        <s v="Biswanath (Area 6)"/>
        <s v="Bongaigaon"/>
        <s v="Bongaigaon (Area 1)"/>
        <s v="Bongaigaon (Area 2)"/>
        <s v="Bongaigaon (Area 3)"/>
        <s v="Bongaigaon (Area 4)"/>
        <s v="Bongaigaon (Area 5)"/>
        <s v="Bongaigaon (Area 6)"/>
        <s v="Cachar"/>
        <s v="Cachar (Area 1)"/>
        <s v="Cachar (Area 2)"/>
        <s v="Cachar (Area 3)"/>
        <s v="Cachar (Area 4)"/>
        <s v="Cachar (Area 5)"/>
        <s v="Cachar (Area 6)"/>
        <s v="Charaideo"/>
        <s v="Charaideo (Area 1)"/>
        <s v="Charaideo (Area 2)"/>
        <s v="Charaideo (Area 3)"/>
        <s v="Charaideo (Area 4)"/>
        <s v="Charaideo (Area 5)"/>
        <s v="Charaideo (Area 6)"/>
        <s v="Chirang"/>
        <s v="Chirang (Area 1)"/>
        <s v="Chirang (Area 2)"/>
        <s v="Chirang (Area 3)"/>
        <s v="Chirang (Area 4)"/>
        <s v="Chirang (Area 5)"/>
        <s v="Chirang (Area 6)"/>
        <s v="Darrang"/>
        <s v="Darrang (Area 1)"/>
        <s v="Darrang (Area 2)"/>
        <s v="Darrang (Area 3)"/>
        <s v="Darrang (Area 4)"/>
        <s v="Darrang (Area 5)"/>
        <s v="Darrang (Area 6)"/>
        <s v="Dhemaji"/>
        <s v="Dhemaji (Area 1)"/>
        <s v="Dhemaji (Area 2)"/>
        <s v="Dhemaji (Area 3)"/>
        <s v="Dhemaji (Area 4)"/>
        <s v="Dhemaji (Area 5)"/>
        <s v="Dhemaji (Area 6)"/>
        <s v="Dhubri"/>
        <s v="Dhubri (Area 1)"/>
        <s v="Dhubri (Area 2)"/>
        <s v="Dhubri (Area 3)"/>
        <s v="Dhubri (Area 4)"/>
        <s v="Dhubri (Area 5)"/>
        <s v="Dhubri (Area 6)"/>
        <s v="Dibrugarh"/>
        <s v="Dibrugarh (Area 1)"/>
        <s v="Dibrugarh (Area 2)"/>
        <s v="Dibrugarh (Area 3)"/>
        <s v="Dibrugarh (Area 4)"/>
        <s v="Dibrugarh (Area 5)"/>
        <s v="Dibrugarh (Area 6)"/>
        <s v="Dima Hasao"/>
        <s v="Dima Hasao (Area 1)"/>
        <s v="Dima Hasao (Area 2)"/>
        <s v="Dima Hasao (Area 3)"/>
        <s v="Dima Hasao (Area 4)"/>
        <s v="Dima Hasao (Area 5)"/>
        <s v="Dima Hasao (Area 6)"/>
        <s v="Goalpara"/>
        <s v="Goalpara (Area 1)"/>
        <s v="Goalpara (Area 2)"/>
        <s v="Goalpara (Area 3)"/>
        <s v="Goalpara (Area 4)"/>
        <s v="Goalpara (Area 5)"/>
        <s v="Goalpara (Area 6)"/>
        <s v="Golaghat"/>
        <s v="Golaghat (Area 1)"/>
        <s v="Golaghat (Area 2)"/>
        <s v="Golaghat (Area 3)"/>
        <s v="Golaghat (Area 4)"/>
        <s v="Golaghat (Area 5)"/>
        <s v="Golaghat (Area 6)"/>
        <s v="Hailakandi"/>
        <s v="Hailakandi (Area 1)"/>
        <s v="Hailakandi (Area 2)"/>
        <s v="Hailakandi (Area 3)"/>
        <s v="Hailakandi (Area 4)"/>
        <s v="Hailakandi (Area 5)"/>
        <s v="Hailakandi (Area 6)"/>
        <s v="Hojai"/>
        <s v="Hojai (Area 1)"/>
        <s v="Hojai (Area 2)"/>
        <s v="Hojai (Area 3)"/>
        <s v="Hojai (Area 4)"/>
        <s v="Hojai (Area 5)"/>
        <s v="Hojai (Area 6)"/>
        <s v="Jorhat"/>
        <s v="Jorhat (Area 1)"/>
        <s v="Jorhat (Area 2)"/>
        <s v="Jorhat (Area 3)"/>
        <s v="Jorhat (Area 4)"/>
        <s v="Jorhat (Area 5)"/>
        <s v="Jorhat (Area 6)"/>
        <s v="Kamrup"/>
        <s v="Kamrup (Area 1)"/>
        <s v="Kamrup (Area 2)"/>
        <s v="Kamrup (Area 3)"/>
        <s v="Kamrup (Area 4)"/>
        <s v="Kamrup (Area 5)"/>
        <s v="Kamrup (Area 6)"/>
        <s v="Kamrup Metropolitan"/>
        <s v="Kamrup Metropolitan (Area 1)"/>
        <s v="Kamrup Metropolitan (Area 2)"/>
        <s v="Kamrup Metropolitan (Area 3)"/>
        <s v="Kamrup Metropolitan (Area 4)"/>
        <s v="Kamrup Metropolitan (Area 5)"/>
        <s v="Kamrup Metropolitan (Area 6)"/>
        <s v="Karbi Anglong"/>
        <s v="Karbi Anglong (Area 1)"/>
        <s v="Karbi Anglong (Area 2)"/>
        <s v="Karbi Anglong (Area 3)"/>
        <s v="Karbi Anglong (Area 4)"/>
        <s v="Karbi Anglong (Area 5)"/>
        <s v="Karbi Anglong (Area 6)"/>
        <s v="Karimganj"/>
        <s v="Karimganj (Area 1)"/>
        <s v="Karimganj (Area 2)"/>
        <s v="Karimganj (Area 3)"/>
        <s v="Karimganj (Area 4)"/>
        <s v="Karimganj (Area 5)"/>
        <s v="Karimganj (Area 6)"/>
        <s v="Kokrajhar"/>
        <s v="Kokrajhar (Area 1)"/>
        <s v="Kokrajhar (Area 2)"/>
        <s v="Kokrajhar (Area 3)"/>
        <s v="Kokrajhar (Area 4)"/>
        <s v="Kokrajhar (Area 5)"/>
        <s v="Kokrajhar (Area 6)"/>
        <s v="Lakhimpur"/>
        <s v="Lakhimpur (Area 1)"/>
        <s v="Lakhimpur (Area 2)"/>
        <s v="Lakhimpur (Area 3)"/>
        <s v="Lakhimpur (Area 4)"/>
        <s v="Lakhimpur (Area 5)"/>
        <s v="Lakhimpur (Area 6)"/>
        <s v="Majuli"/>
        <s v="Majuli (Area 1)"/>
        <s v="Majuli (Area 2)"/>
        <s v="Majuli (Area 3)"/>
        <s v="Majuli (Area 4)"/>
        <s v="Majuli (Area 5)"/>
        <s v="Majuli (Area 6)"/>
        <s v="Morigaon"/>
        <s v="Morigaon (Area 1)"/>
        <s v="Morigaon (Area 2)"/>
        <s v="Morigaon (Area 3)"/>
        <s v="Morigaon (Area 4)"/>
        <s v="Morigaon (Area 5)"/>
        <s v="Morigaon (Area 6)"/>
        <s v="Nagaon"/>
        <s v="Nagaon (Area 1)"/>
        <s v="Nagaon (Area 2)"/>
        <s v="Nagaon (Area 3)"/>
        <s v="Nagaon (Area 4)"/>
        <s v="Nagaon (Area 5)"/>
        <s v="Nagaon (Area 6)"/>
        <s v="Nalbari"/>
        <s v="Nalbari (Area 1)"/>
        <s v="Nalbari (Area 2)"/>
        <s v="Nalbari (Area 3)"/>
        <s v="Nalbari (Area 4)"/>
        <s v="Nalbari (Area 5)"/>
        <s v="Nalbari (Area 6)"/>
        <s v="Sivasagar"/>
        <s v="Sivasagar (Area 1)"/>
        <s v="Sivasagar (Area 2)"/>
        <s v="Sivasagar (Area 3)"/>
        <s v="Sivasagar (Area 4)"/>
        <s v="Sivasagar (Area 5)"/>
        <s v="Sivasagar (Area 6)"/>
        <s v="Sonitpur"/>
        <s v="Sonitpur (Area 1)"/>
        <s v="Sonitpur (Area 2)"/>
        <s v="Sonitpur (Area 3)"/>
        <s v="Sonitpur (Area 4)"/>
        <s v="Sonitpur (Area 5)"/>
        <s v="Sonitpur (Area 6)"/>
        <s v="South Salmara-Mankachar"/>
        <s v="South Salmara-Mankachar (Area 1)"/>
        <s v="South Salmara-Mankachar (Area 2)"/>
        <s v="South Salmara-Mankachar (Area 3)"/>
        <s v="South Salmara-Mankachar (Area 4)"/>
        <s v="South Salmara-Mankachar (Area 5)"/>
        <s v="South Salmara-Mankachar (Area 6)"/>
        <s v="Tinsukia"/>
        <s v="Tinsukia (Area 1)"/>
        <s v="Tinsukia (Area 2)"/>
        <s v="Tinsukia (Area 3)"/>
        <s v="Tinsukia (Area 4)"/>
        <s v="Tinsukia (Area 5)"/>
        <s v="Tinsukia (Area 6)"/>
        <s v="Udalguri"/>
        <s v="Udalguri (Area 1)"/>
        <s v="Udalguri (Area 2)"/>
        <s v="Udalguri (Area 3)"/>
        <s v="Udalguri (Area 4)"/>
        <s v="Udalguri (Area 5)"/>
        <s v="Udalguri (Area 6)"/>
        <s v="West Karbi Anglong"/>
        <s v="West Karbi Anglong (Area 1)"/>
        <s v="West Karbi Anglong (Area 2)"/>
        <s v="West Karbi Anglong (Area 3)"/>
        <s v="West Karbi Anglong (Area 4)"/>
        <s v="West Karbi Anglong (Area 5)"/>
        <s v="West Karbi Anglong (Area 6)"/>
        <s v="Araria"/>
        <s v="Araria (Area 1)"/>
        <s v="Araria (Area 2)"/>
        <s v="Araria (Area 3)"/>
        <s v="Araria (Area 4)"/>
        <s v="Araria (Area 5)"/>
        <s v="Araria (Area 6)"/>
        <s v="Arwal"/>
        <s v="Arwal (Area 1)"/>
        <s v="Arwal (Area 2)"/>
        <s v="Arwal (Area 3)"/>
        <s v="Arwal (Area 4)"/>
        <s v="Arwal (Area 5)"/>
        <s v="Arwal (Area 6)"/>
        <s v="Aurangabad"/>
        <s v="Aurangabad (Area 1)"/>
        <s v="Aurangabad (Area 2)"/>
        <s v="Aurangabad (Area 3)"/>
        <s v="Aurangabad (Area 4)"/>
        <s v="Aurangabad (Area 5)"/>
        <s v="Aurangabad (Area 6)"/>
        <s v="Banka"/>
        <s v="Banka (Area 1)"/>
        <s v="Banka (Area 2)"/>
        <s v="Banka (Area 3)"/>
        <s v="Banka (Area 4)"/>
        <s v="Banka (Area 5)"/>
        <s v="Banka (Area 6)"/>
        <s v="Begusarai"/>
        <s v="Begusarai (Area 1)"/>
        <s v="Begusarai (Area 2)"/>
        <s v="Begusarai (Area 3)"/>
        <s v="Begusarai (Area 4)"/>
        <s v="Begusarai (Area 5)"/>
        <s v="Begusarai (Area 6)"/>
        <s v="Bhagalpur"/>
        <s v="Bhagalpur (Area 1)"/>
        <s v="Bhagalpur (Area 2)"/>
        <s v="Bhagalpur (Area 3)"/>
        <s v="Bhagalpur (Area 4)"/>
        <s v="Bhagalpur (Area 5)"/>
        <s v="Bhagalpur (Area 6)"/>
        <s v="Bhojpur"/>
        <s v="Bhojpur (Area 1)"/>
        <s v="Bhojpur (Area 2)"/>
        <s v="Bhojpur (Area 3)"/>
        <s v="Bhojpur (Area 4)"/>
        <s v="Bhojpur (Area 5)"/>
        <s v="Bhojpur (Area 6)"/>
        <s v="Buxar"/>
        <s v="Buxar (Area 1)"/>
        <s v="Buxar (Area 2)"/>
        <s v="Buxar (Area 3)"/>
        <s v="Buxar (Area 4)"/>
        <s v="Buxar (Area 5)"/>
        <s v="Buxar (Area 6)"/>
        <s v="Darbhanga"/>
        <s v="Darbhanga (Area 1)"/>
        <s v="Darbhanga (Area 2)"/>
        <s v="Darbhanga (Area 3)"/>
        <s v="Darbhanga (Area 4)"/>
        <s v="Darbhanga (Area 5)"/>
        <s v="Darbhanga (Area 6)"/>
        <s v="East Champaran (Motihari)"/>
        <s v="East Champaran (Motihari) (Area 1)"/>
        <s v="East Champaran (Motihari) (Area 2)"/>
        <s v="East Champaran (Motihari) (Area 3)"/>
        <s v="East Champaran (Motihari) (Area 4)"/>
        <s v="East Champaran (Motihari) (Area 5)"/>
        <s v="East Champaran (Motihari) (Area 6)"/>
        <s v="Gaya"/>
        <s v="Gaya (Area 1)"/>
        <s v="Gaya (Area 2)"/>
        <s v="Gaya (Area 3)"/>
        <s v="Gaya (Area 4)"/>
        <s v="Gaya (Area 5)"/>
        <s v="Gaya (Area 6)"/>
        <s v="Gopalganj"/>
        <s v="Gopalganj (Area 1)"/>
        <s v="Gopalganj (Area 2)"/>
        <s v="Gopalganj (Area 3)"/>
        <s v="Gopalganj (Area 4)"/>
        <s v="Gopalganj (Area 5)"/>
        <s v="Gopalganj (Area 6)"/>
        <s v="Jamui"/>
        <s v="Jamui (Area 1)"/>
        <s v="Jamui (Area 2)"/>
        <s v="Jamui (Area 3)"/>
        <s v="Jamui (Area 4)"/>
        <s v="Jamui (Area 5)"/>
        <s v="Jamui (Area 6)"/>
        <s v="Jehanabad"/>
        <s v="Jehanabad (Area 1)"/>
        <s v="Jehanabad (Area 2)"/>
        <s v="Jehanabad (Area 3)"/>
        <s v="Jehanabad (Area 4)"/>
        <s v="Jehanabad (Area 5)"/>
        <s v="Jehanabad (Area 6)"/>
        <s v="Kaimur (Bhabua)"/>
        <s v="Kaimur (Bhabua) (Area 1)"/>
        <s v="Kaimur (Bhabua) (Area 2)"/>
        <s v="Kaimur (Bhabua) (Area 3)"/>
        <s v="Kaimur (Bhabua) (Area 4)"/>
        <s v="Kaimur (Bhabua) (Area 5)"/>
        <s v="Kaimur (Bhabua) (Area 6)"/>
        <s v="Katihar"/>
        <s v="Katihar (Area 1)"/>
        <s v="Katihar (Area 2)"/>
        <s v="Katihar (Area 3)"/>
        <s v="Katihar (Area 4)"/>
        <s v="Katihar (Area 5)"/>
        <s v="Katihar (Area 6)"/>
        <s v="Khagaria"/>
        <s v="Khagaria (Area 1)"/>
        <s v="Khagaria (Area 2)"/>
        <s v="Khagaria (Area 3)"/>
        <s v="Khagaria (Area 4)"/>
        <s v="Khagaria (Area 5)"/>
        <s v="Khagaria (Area 6)"/>
        <s v="Kishanganj"/>
        <s v="Kishanganj (Area 1)"/>
        <s v="Kishanganj (Area 2)"/>
        <s v="Kishanganj (Area 3)"/>
        <s v="Kishanganj (Area 4)"/>
        <s v="Kishanganj (Area 5)"/>
        <s v="Kishanganj (Area 6)"/>
        <s v="Lakhisarai"/>
        <s v="Lakhisarai (Area 1)"/>
        <s v="Lakhisarai (Area 2)"/>
        <s v="Lakhisarai (Area 3)"/>
        <s v="Lakhisarai (Area 4)"/>
        <s v="Lakhisarai (Area 5)"/>
        <s v="Lakhisarai (Area 6)"/>
        <s v="Madhepura"/>
        <s v="Madhepura (Area 1)"/>
        <s v="Madhepura (Area 2)"/>
        <s v="Madhepura (Area 3)"/>
        <s v="Madhepura (Area 4)"/>
        <s v="Madhepura (Area 5)"/>
        <s v="Madhepura (Area 6)"/>
        <s v="Madhubani"/>
        <s v="Madhubani (Area 1)"/>
        <s v="Madhubani (Area 2)"/>
        <s v="Madhubani (Area 3)"/>
        <s v="Madhubani (Area 4)"/>
        <s v="Madhubani (Area 5)"/>
        <s v="Madhubani (Area 6)"/>
        <s v="Munger (Monghyr)"/>
        <s v="Munger (Monghyr) (Area 1)"/>
        <s v="Munger (Monghyr) (Area 2)"/>
        <s v="Munger (Monghyr) (Area 3)"/>
        <s v="Munger (Monghyr) (Area 4)"/>
        <s v="Munger (Monghyr) (Area 5)"/>
        <s v="Munger (Monghyr) (Area 6)"/>
        <s v="Muzaffarpur"/>
        <s v="Muzaffarpur (Area 1)"/>
        <s v="Muzaffarpur (Area 2)"/>
        <s v="Muzaffarpur (Area 3)"/>
        <s v="Muzaffarpur (Area 4)"/>
        <s v="Muzaffarpur (Area 5)"/>
        <s v="Muzaffarpur (Area 6)"/>
        <s v="Nalanda"/>
        <s v="Nalanda (Area 1)"/>
        <s v="Nalanda (Area 2)"/>
        <s v="Nalanda (Area 3)"/>
        <s v="Nalanda (Area 4)"/>
        <s v="Nalanda (Area 5)"/>
        <s v="Nalanda (Area 6)"/>
        <s v="Nawada"/>
        <s v="Nawada (Area 1)"/>
        <s v="Nawada (Area 2)"/>
        <s v="Nawada (Area 3)"/>
        <s v="Nawada (Area 4)"/>
        <s v="Nawada (Area 5)"/>
        <s v="Nawada (Area 6)"/>
        <s v="Patna"/>
        <s v="Patna (Area 1)"/>
        <s v="Patna (Area 2)"/>
        <s v="Patna (Area 3)"/>
        <s v="Patna (Area 4)"/>
        <s v="Patna (Area 5)"/>
        <s v="Patna (Area 6)"/>
        <s v="Purnia (Purnea)"/>
        <s v="Purnia (Purnea) (Area 1)"/>
        <s v="Purnia (Purnea) (Area 2)"/>
        <s v="Purnia (Purnea) (Area 3)"/>
        <s v="Purnia (Purnea) (Area 4)"/>
        <s v="Purnia (Purnea) (Area 5)"/>
        <s v="Purnia (Purnea) (Area 6)"/>
        <s v="Rohtas"/>
        <s v="Rohtas (Area 1)"/>
        <s v="Rohtas (Area 2)"/>
        <s v="Rohtas (Area 3)"/>
        <s v="Rohtas (Area 4)"/>
        <s v="Rohtas (Area 5)"/>
        <s v="Rohtas (Area 6)"/>
        <s v="Saharsa"/>
        <s v="Saharsa (Area 1)"/>
        <s v="Saharsa (Area 2)"/>
        <s v="Saharsa (Area 3)"/>
        <s v="Saharsa (Area 4)"/>
        <s v="Saharsa (Area 5)"/>
        <s v="Saharsa (Area 6)"/>
        <s v="Samastipur"/>
        <s v="Samastipur (Area 1)"/>
        <s v="Samastipur (Area 2)"/>
        <s v="Samastipur (Area 3)"/>
        <s v="Samastipur (Area 4)"/>
        <s v="Samastipur (Area 5)"/>
        <s v="Samastipur (Area 6)"/>
        <s v="Saran"/>
        <s v="Saran (Area 1)"/>
        <s v="Saran (Area 2)"/>
        <s v="Saran (Area 3)"/>
        <s v="Saran (Area 4)"/>
        <s v="Saran (Area 5)"/>
        <s v="Saran (Area 6)"/>
        <s v="Sheikhpura"/>
        <s v="Sheikhpura (Area 1)"/>
        <s v="Sheikhpura (Area 2)"/>
        <s v="Sheikhpura (Area 3)"/>
        <s v="Sheikhpura (Area 4)"/>
        <s v="Sheikhpura (Area 5)"/>
        <s v="Sheikhpura (Area 6)"/>
        <s v="Sheohar"/>
        <s v="Sheohar (Area 1)"/>
        <s v="Sheohar (Area 2)"/>
        <s v="Sheohar (Area 3)"/>
        <s v="Sheohar (Area 4)"/>
        <s v="Sheohar (Area 5)"/>
        <s v="Sheohar (Area 6)"/>
        <s v="Sitamarhi"/>
        <s v="Sitamarhi (Area 1)"/>
        <s v="Sitamarhi (Area 2)"/>
        <s v="Sitamarhi (Area 3)"/>
        <s v="Sitamarhi (Area 4)"/>
        <s v="Sitamarhi (Area 5)"/>
        <s v="Sitamarhi (Area 6)"/>
        <s v="Siwan"/>
        <s v="Siwan (Area 1)"/>
        <s v="Siwan (Area 2)"/>
        <s v="Siwan (Area 3)"/>
        <s v="Siwan (Area 4)"/>
        <s v="Siwan (Area 5)"/>
        <s v="Siwan (Area 6)"/>
        <s v="Supaul"/>
        <s v="Supaul (Area 1)"/>
        <s v="Supaul (Area 2)"/>
        <s v="Supaul (Area 3)"/>
        <s v="Supaul (Area 4)"/>
        <s v="Supaul (Area 5)"/>
        <s v="Supaul (Area 6)"/>
        <s v="Vaishali"/>
        <s v="Vaishali (Area 1)"/>
        <s v="Vaishali (Area 2)"/>
        <s v="Vaishali (Area 3)"/>
        <s v="Vaishali (Area 4)"/>
        <s v="Vaishali (Area 5)"/>
        <s v="Vaishali (Area 6)"/>
        <s v="West Champaran"/>
        <s v="West Champaran (Area 1)"/>
        <s v="West Champaran (Area 2)"/>
        <s v="West Champaran (Area 3)"/>
        <s v="West Champaran (Area 4)"/>
        <s v="West Champaran (Area 5)"/>
        <s v="West Champaran (Area 6)"/>
        <s v="Chandigarh"/>
        <s v="Chandigarh (Area 1)"/>
        <s v="Chandigarh (Area 2)"/>
        <s v="Chandigarh (Area 3)"/>
        <s v="Chandigarh (Area 4)"/>
        <s v="Chandigarh (Area 5)"/>
        <s v="Chandigarh (Area 6)"/>
        <s v="Balod"/>
        <s v="Balod (Area 1)"/>
        <s v="Balod (Area 2)"/>
        <s v="Balod (Area 3)"/>
        <s v="Balod (Area 4)"/>
        <s v="Balod (Area 5)"/>
        <s v="Balod (Area 6)"/>
        <s v="Baloda Bazar"/>
        <s v="Baloda Bazar (Area 1)"/>
        <s v="Baloda Bazar (Area 2)"/>
        <s v="Baloda Bazar (Area 3)"/>
        <s v="Baloda Bazar (Area 4)"/>
        <s v="Baloda Bazar (Area 5)"/>
        <s v="Baloda Bazar (Area 6)"/>
        <s v="Balrampur"/>
        <s v="Balrampur (Area 1)"/>
        <s v="Balrampur (Area 2)"/>
        <s v="Balrampur (Area 3)"/>
        <s v="Balrampur (Area 4)"/>
        <s v="Balrampur (Area 5)"/>
        <s v="Balrampur (Area 6)"/>
        <s v="Bastar"/>
        <s v="Bastar (Area 1)"/>
        <s v="Bastar (Area 2)"/>
        <s v="Bastar (Area 3)"/>
        <s v="Bastar (Area 4)"/>
        <s v="Bastar (Area 5)"/>
        <s v="Bastar (Area 6)"/>
        <s v="Bemetara"/>
        <s v="Bemetara (Area 1)"/>
        <s v="Bemetara (Area 2)"/>
        <s v="Bemetara (Area 3)"/>
        <s v="Bemetara (Area 4)"/>
        <s v="Bemetara (Area 5)"/>
        <s v="Bemetara (Area 6)"/>
        <s v="Bijapur"/>
        <s v="Bijapur (Area 1)"/>
        <s v="Bijapur (Area 2)"/>
        <s v="Bijapur (Area 3)"/>
        <s v="Bijapur (Area 4)"/>
        <s v="Bijapur (Area 5)"/>
        <s v="Bijapur (Area 6)"/>
        <s v="Bilaspur"/>
        <s v="Bilaspur (Area 1)"/>
        <s v="Bilaspur (Area 2)"/>
        <s v="Bilaspur (Area 3)"/>
        <s v="Bilaspur (Area 4)"/>
        <s v="Bilaspur (Area 5)"/>
        <s v="Bilaspur (Area 6)"/>
        <s v="Dantewada (South Bastar)"/>
        <s v="Dantewada (South Bastar) (Area 1)"/>
        <s v="Dantewada (South Bastar) (Area 2)"/>
        <s v="Dantewada (South Bastar) (Area 3)"/>
        <s v="Dantewada (South Bastar) (Area 4)"/>
        <s v="Dantewada (South Bastar) (Area 5)"/>
        <s v="Dantewada (South Bastar) (Area 6)"/>
        <s v="Dhamtari"/>
        <s v="Dhamtari (Area 1)"/>
        <s v="Dhamtari (Area 2)"/>
        <s v="Dhamtari (Area 3)"/>
        <s v="Dhamtari (Area 4)"/>
        <s v="Dhamtari (Area 5)"/>
        <s v="Dhamtari (Area 6)"/>
        <s v="Durg"/>
        <s v="Durg (Area 1)"/>
        <s v="Durg (Area 2)"/>
        <s v="Durg (Area 3)"/>
        <s v="Durg (Area 4)"/>
        <s v="Durg (Area 5)"/>
        <s v="Durg (Area 6)"/>
        <s v="Gariyaband"/>
        <s v="Gariyaband (Area 1)"/>
        <s v="Gariyaband (Area 2)"/>
        <s v="Gariyaband (Area 3)"/>
        <s v="Gariyaband (Area 4)"/>
        <s v="Gariyaband (Area 5)"/>
        <s v="Gariyaband (Area 6)"/>
        <s v="Janjgir-Champa"/>
        <s v="Janjgir-Champa (Area 1)"/>
        <s v="Janjgir-Champa (Area 2)"/>
        <s v="Janjgir-Champa (Area 3)"/>
        <s v="Janjgir-Champa (Area 4)"/>
        <s v="Janjgir-Champa (Area 5)"/>
        <s v="Janjgir-Champa (Area 6)"/>
        <s v="Jashpur"/>
        <s v="Jashpur (Area 1)"/>
        <s v="Jashpur (Area 2)"/>
        <s v="Jashpur (Area 3)"/>
        <s v="Jashpur (Area 4)"/>
        <s v="Jashpur (Area 5)"/>
        <s v="Jashpur (Area 6)"/>
        <s v="Kabirdham (Kawardha)"/>
        <s v="Kabirdham (Kawardha) (Area 1)"/>
        <s v="Kabirdham (Kawardha) (Area 2)"/>
        <s v="Kabirdham (Kawardha) (Area 3)"/>
        <s v="Kabirdham (Kawardha) (Area 4)"/>
        <s v="Kabirdham (Kawardha) (Area 5)"/>
        <s v="Kabirdham (Kawardha) (Area 6)"/>
        <s v="Kanker (North Bastar)"/>
        <s v="Kanker (North Bastar) (Area 1)"/>
        <s v="Kanker (North Bastar) (Area 2)"/>
        <s v="Kanker (North Bastar) (Area 3)"/>
        <s v="Kanker (North Bastar) (Area 4)"/>
        <s v="Kanker (North Bastar) (Area 5)"/>
        <s v="Kanker (North Bastar) (Area 6)"/>
        <s v="Kondagaon"/>
        <s v="Kondagaon (Area 1)"/>
        <s v="Kondagaon (Area 2)"/>
        <s v="Kondagaon (Area 3)"/>
        <s v="Kondagaon (Area 4)"/>
        <s v="Kondagaon (Area 5)"/>
        <s v="Kondagaon (Area 6)"/>
        <s v="Korba"/>
        <s v="Korba (Area 1)"/>
        <s v="Korba (Area 2)"/>
        <s v="Korba (Area 3)"/>
        <s v="Korba (Area 4)"/>
        <s v="Korba (Area 5)"/>
        <s v="Korba (Area 6)"/>
        <s v="Korea (Koriya)"/>
        <s v="Korea (Koriya) (Area 1)"/>
        <s v="Korea (Koriya) (Area 2)"/>
        <s v="Korea (Koriya) (Area 3)"/>
        <s v="Korea (Koriya) (Area 4)"/>
        <s v="Korea (Koriya) (Area 5)"/>
        <s v="Korea (Koriya) (Area 6)"/>
        <s v="Mahasamund"/>
        <s v="Mahasamund (Area 1)"/>
        <s v="Mahasamund (Area 2)"/>
        <s v="Mahasamund (Area 3)"/>
        <s v="Mahasamund (Area 4)"/>
        <s v="Mahasamund (Area 5)"/>
        <s v="Mahasamund (Area 6)"/>
        <s v="Mungeli"/>
        <s v="Mungeli (Area 1)"/>
        <s v="Mungeli (Area 2)"/>
        <s v="Mungeli (Area 3)"/>
        <s v="Mungeli (Area 4)"/>
        <s v="Mungeli (Area 5)"/>
        <s v="Mungeli (Area 6)"/>
        <s v="Narayanpur"/>
        <s v="Narayanpur (Area 1)"/>
        <s v="Narayanpur (Area 2)"/>
        <s v="Narayanpur (Area 3)"/>
        <s v="Narayanpur (Area 4)"/>
        <s v="Narayanpur (Area 5)"/>
        <s v="Narayanpur (Area 6)"/>
        <s v="Raigarh"/>
        <s v="Raigarh (Area 1)"/>
        <s v="Raigarh (Area 2)"/>
        <s v="Raigarh (Area 3)"/>
        <s v="Raigarh (Area 4)"/>
        <s v="Raigarh (Area 5)"/>
        <s v="Raigarh (Area 6)"/>
        <s v="Raipur"/>
        <s v="Raipur (Area 1)"/>
        <s v="Raipur (Area 2)"/>
        <s v="Raipur (Area 3)"/>
        <s v="Raipur (Area 4)"/>
        <s v="Raipur (Area 5)"/>
        <s v="Raipur (Area 6)"/>
        <s v="Rajnandgaon"/>
        <s v="Rajnandgaon (Area 1)"/>
        <s v="Rajnandgaon (Area 2)"/>
        <s v="Rajnandgaon (Area 3)"/>
        <s v="Rajnandgaon (Area 4)"/>
        <s v="Rajnandgaon (Area 5)"/>
        <s v="Rajnandgaon (Area 6)"/>
        <s v="Sukma"/>
        <s v="Sukma (Area 1)"/>
        <s v="Sukma (Area 2)"/>
        <s v="Sukma (Area 3)"/>
        <s v="Sukma (Area 4)"/>
        <s v="Sukma (Area 5)"/>
        <s v="Sukma (Area 6)"/>
        <s v="Surajpur  "/>
        <s v="Surajpur   (Area 1)"/>
        <s v="Surajpur   (Area 2)"/>
        <s v="Surajpur   (Area 3)"/>
        <s v="Surajpur   (Area 4)"/>
        <s v="Surajpur   (Area 5)"/>
        <s v="Surajpur   (Area 6)"/>
        <s v="Surguja"/>
        <s v="Surguja (Area 1)"/>
        <s v="Surguja (Area 2)"/>
        <s v="Surguja (Area 3)"/>
        <s v="Surguja (Area 4)"/>
        <s v="Surguja (Area 5)"/>
        <s v="Surguja (Area 6)"/>
        <s v="Dadra &amp; Nagar Haveli"/>
        <s v="Dadra &amp; Nagar Haveli (Area 1)"/>
        <s v="Dadra &amp; Nagar Haveli (Area 2)"/>
        <s v="Dadra &amp; Nagar Haveli (Area 3)"/>
        <s v="Dadra &amp; Nagar Haveli (Area 4)"/>
        <s v="Dadra &amp; Nagar Haveli (Area 5)"/>
        <s v="Dadra &amp; Nagar Haveli (Area 6)"/>
        <s v="Daman"/>
        <s v="Daman (Area 1)"/>
        <s v="Daman (Area 2)"/>
        <s v="Daman (Area 3)"/>
        <s v="Daman (Area 4)"/>
        <s v="Daman (Area 5)"/>
        <s v="Daman (Area 6)"/>
        <s v="Diu"/>
        <s v="Diu (Area 1)"/>
        <s v="Diu (Area 2)"/>
        <s v="Diu (Area 3)"/>
        <s v="Diu (Area 4)"/>
        <s v="Diu (Area 5)"/>
        <s v="Diu (Area 6)"/>
        <s v="Central Delhi"/>
        <s v="Central Delhi (Area 1)"/>
        <s v="Central Delhi (Area 2)"/>
        <s v="Central Delhi (Area 3)"/>
        <s v="Central Delhi (Area 4)"/>
        <s v="Central Delhi (Area 5)"/>
        <s v="Central Delhi (Area 6)"/>
        <s v="East Delhi"/>
        <s v="East Delhi (Area 1)"/>
        <s v="East Delhi (Area 2)"/>
        <s v="East Delhi (Area 3)"/>
        <s v="East Delhi (Area 4)"/>
        <s v="East Delhi (Area 5)"/>
        <s v="East Delhi (Area 6)"/>
        <s v="New Delhi"/>
        <s v="New Delhi (Area 1)"/>
        <s v="New Delhi (Area 2)"/>
        <s v="New Delhi (Area 3)"/>
        <s v="New Delhi (Area 4)"/>
        <s v="New Delhi (Area 5)"/>
        <s v="New Delhi (Area 6)"/>
        <s v="North Delhi"/>
        <s v="North Delhi (Area 1)"/>
        <s v="North Delhi (Area 2)"/>
        <s v="North Delhi (Area 3)"/>
        <s v="North Delhi (Area 4)"/>
        <s v="North Delhi (Area 5)"/>
        <s v="North Delhi (Area 6)"/>
        <s v="North East  Delhi"/>
        <s v="North East  Delhi (Area 1)"/>
        <s v="North East  Delhi (Area 2)"/>
        <s v="North East  Delhi (Area 3)"/>
        <s v="North East  Delhi (Area 4)"/>
        <s v="North East  Delhi (Area 5)"/>
        <s v="North East  Delhi (Area 6)"/>
        <s v="North West  Delhi"/>
        <s v="North West  Delhi (Area 1)"/>
        <s v="North West  Delhi (Area 2)"/>
        <s v="North West  Delhi (Area 3)"/>
        <s v="North West  Delhi (Area 4)"/>
        <s v="North West  Delhi (Area 5)"/>
        <s v="North West  Delhi (Area 6)"/>
        <s v="Shahdara"/>
        <s v="Shahdara (Area 1)"/>
        <s v="Shahdara (Area 2)"/>
        <s v="Shahdara (Area 3)"/>
        <s v="Shahdara (Area 4)"/>
        <s v="Shahdara (Area 5)"/>
        <s v="Shahdara (Area 6)"/>
        <s v="South Delhi"/>
        <s v="South Delhi (Area 1)"/>
        <s v="South Delhi (Area 2)"/>
        <s v="South Delhi (Area 3)"/>
        <s v="South Delhi (Area 4)"/>
        <s v="South Delhi (Area 5)"/>
        <s v="South Delhi (Area 6)"/>
        <s v="South East Delhi"/>
        <s v="South East Delhi (Area 1)"/>
        <s v="South East Delhi (Area 2)"/>
        <s v="South East Delhi (Area 3)"/>
        <s v="South East Delhi (Area 4)"/>
        <s v="South East Delhi (Area 5)"/>
        <s v="South East Delhi (Area 6)"/>
        <s v="South West  Delhi"/>
        <s v="South West  Delhi (Area 1)"/>
        <s v="South West  Delhi (Area 2)"/>
        <s v="South West  Delhi (Area 3)"/>
        <s v="South West  Delhi (Area 4)"/>
        <s v="South West  Delhi (Area 5)"/>
        <s v="South West  Delhi (Area 6)"/>
        <s v="West Delhi"/>
        <s v="West Delhi (Area 1)"/>
        <s v="West Delhi (Area 2)"/>
        <s v="West Delhi (Area 3)"/>
        <s v="West Delhi (Area 4)"/>
        <s v="West Delhi (Area 5)"/>
        <s v="West Delhi (Area 6)"/>
        <s v="North Goa"/>
        <s v="North Goa (Area 1)"/>
        <s v="North Goa (Area 2)"/>
        <s v="North Goa (Area 3)"/>
        <s v="North Goa (Area 4)"/>
        <s v="North Goa (Area 5)"/>
        <s v="North Goa (Area 6)"/>
        <s v="South Goa"/>
        <s v="South Goa (Area 1)"/>
        <s v="South Goa (Area 2)"/>
        <s v="South Goa (Area 3)"/>
        <s v="South Goa (Area 4)"/>
        <s v="South Goa (Area 5)"/>
        <s v="South Goa (Area 6)"/>
        <s v="Ahmedabad"/>
        <s v="Ahmedabad (Area 1)"/>
        <s v="Ahmedabad (Area 2)"/>
        <s v="Ahmedabad (Area 3)"/>
        <s v="Ahmedabad (Area 4)"/>
        <s v="Ahmedabad (Area 5)"/>
        <s v="Ahmedabad (Area 6)"/>
        <s v="Amreli"/>
        <s v="Amreli (Area 1)"/>
        <s v="Amreli (Area 2)"/>
        <s v="Amreli (Area 3)"/>
        <s v="Amreli (Area 4)"/>
        <s v="Amreli (Area 5)"/>
        <s v="Amreli (Area 6)"/>
        <s v="Anand"/>
        <s v="Anand (Area 1)"/>
        <s v="Anand (Area 2)"/>
        <s v="Anand (Area 3)"/>
        <s v="Anand (Area 4)"/>
        <s v="Anand (Area 5)"/>
        <s v="Anand (Area 6)"/>
        <s v="Aravalli"/>
        <s v="Aravalli (Area 1)"/>
        <s v="Aravalli (Area 2)"/>
        <s v="Aravalli (Area 3)"/>
        <s v="Aravalli (Area 4)"/>
        <s v="Aravalli (Area 5)"/>
        <s v="Aravalli (Area 6)"/>
        <s v="Banaskantha (Palanpur)"/>
        <s v="Banaskantha (Palanpur) (Area 1)"/>
        <s v="Banaskantha (Palanpur) (Area 2)"/>
        <s v="Banaskantha (Palanpur) (Area 3)"/>
        <s v="Banaskantha (Palanpur) (Area 4)"/>
        <s v="Banaskantha (Palanpur) (Area 5)"/>
        <s v="Banaskantha (Palanpur) (Area 6)"/>
        <s v="Bharuch"/>
        <s v="Bharuch (Area 1)"/>
        <s v="Bharuch (Area 2)"/>
        <s v="Bharuch (Area 3)"/>
        <s v="Bharuch (Area 4)"/>
        <s v="Bharuch (Area 5)"/>
        <s v="Bharuch (Area 6)"/>
        <s v="Bhavnagar"/>
        <s v="Bhavnagar (Area 1)"/>
        <s v="Bhavnagar (Area 2)"/>
        <s v="Bhavnagar (Area 3)"/>
        <s v="Bhavnagar (Area 4)"/>
        <s v="Bhavnagar (Area 5)"/>
        <s v="Bhavnagar (Area 6)"/>
        <s v="Botad"/>
        <s v="Botad (Area 1)"/>
        <s v="Botad (Area 2)"/>
        <s v="Botad (Area 3)"/>
        <s v="Botad (Area 4)"/>
        <s v="Botad (Area 5)"/>
        <s v="Botad (Area 6)"/>
        <s v="Chhota Udepur"/>
        <s v="Chhota Udepur (Area 1)"/>
        <s v="Chhota Udepur (Area 2)"/>
        <s v="Chhota Udepur (Area 3)"/>
        <s v="Chhota Udepur (Area 4)"/>
        <s v="Chhota Udepur (Area 5)"/>
        <s v="Chhota Udepur (Area 6)"/>
        <s v="Dahod"/>
        <s v="Dahod (Area 1)"/>
        <s v="Dahod (Area 2)"/>
        <s v="Dahod (Area 3)"/>
        <s v="Dahod (Area 4)"/>
        <s v="Dahod (Area 5)"/>
        <s v="Dahod (Area 6)"/>
        <s v="Dangs (Ahwa)"/>
        <s v="Dangs (Ahwa) (Area 1)"/>
        <s v="Dangs (Ahwa) (Area 2)"/>
        <s v="Dangs (Ahwa) (Area 3)"/>
        <s v="Dangs (Ahwa) (Area 4)"/>
        <s v="Dangs (Ahwa) (Area 5)"/>
        <s v="Dangs (Ahwa) (Area 6)"/>
        <s v="Devbhoomi Dwarka"/>
        <s v="Devbhoomi Dwarka (Area 1)"/>
        <s v="Devbhoomi Dwarka (Area 2)"/>
        <s v="Devbhoomi Dwarka (Area 3)"/>
        <s v="Devbhoomi Dwarka (Area 4)"/>
        <s v="Devbhoomi Dwarka (Area 5)"/>
        <s v="Devbhoomi Dwarka (Area 6)"/>
        <s v="Gandhinagar"/>
        <s v="Gandhinagar (Area 1)"/>
        <s v="Gandhinagar (Area 2)"/>
        <s v="Gandhinagar (Area 3)"/>
        <s v="Gandhinagar (Area 4)"/>
        <s v="Gandhinagar (Area 5)"/>
        <s v="Gandhinagar (Area 6)"/>
        <s v="Gir Somnath"/>
        <s v="Gir Somnath (Area 1)"/>
        <s v="Gir Somnath (Area 2)"/>
        <s v="Gir Somnath (Area 3)"/>
        <s v="Gir Somnath (Area 4)"/>
        <s v="Gir Somnath (Area 5)"/>
        <s v="Gir Somnath (Area 6)"/>
        <s v="Jamnagar"/>
        <s v="Jamnagar (Area 1)"/>
        <s v="Jamnagar (Area 2)"/>
        <s v="Jamnagar (Area 3)"/>
        <s v="Jamnagar (Area 4)"/>
        <s v="Jamnagar (Area 5)"/>
        <s v="Jamnagar (Area 6)"/>
        <s v="Junagadh"/>
        <s v="Junagadh (Area 1)"/>
        <s v="Junagadh (Area 2)"/>
        <s v="Junagadh (Area 3)"/>
        <s v="Junagadh (Area 4)"/>
        <s v="Junagadh (Area 5)"/>
        <s v="Junagadh (Area 6)"/>
        <s v="Kachchh"/>
        <s v="Kachchh (Area 1)"/>
        <s v="Kachchh (Area 2)"/>
        <s v="Kachchh (Area 3)"/>
        <s v="Kachchh (Area 4)"/>
        <s v="Kachchh (Area 5)"/>
        <s v="Kachchh (Area 6)"/>
        <s v="Kheda (Nadiad)"/>
        <s v="Kheda (Nadiad) (Area 1)"/>
        <s v="Kheda (Nadiad) (Area 2)"/>
        <s v="Kheda (Nadiad) (Area 3)"/>
        <s v="Kheda (Nadiad) (Area 4)"/>
        <s v="Kheda (Nadiad) (Area 5)"/>
        <s v="Kheda (Nadiad) (Area 6)"/>
        <s v="Mahisagar"/>
        <s v="Mahisagar (Area 1)"/>
        <s v="Mahisagar (Area 2)"/>
        <s v="Mahisagar (Area 3)"/>
        <s v="Mahisagar (Area 4)"/>
        <s v="Mahisagar (Area 5)"/>
        <s v="Mahisagar (Area 6)"/>
        <s v="Mehsana"/>
        <s v="Mehsana (Area 1)"/>
        <s v="Mehsana (Area 2)"/>
        <s v="Mehsana (Area 3)"/>
        <s v="Mehsana (Area 4)"/>
        <s v="Mehsana (Area 5)"/>
        <s v="Mehsana (Area 6)"/>
        <s v="Morbi"/>
        <s v="Morbi (Area 1)"/>
        <s v="Morbi (Area 2)"/>
        <s v="Morbi (Area 3)"/>
        <s v="Morbi (Area 4)"/>
        <s v="Morbi (Area 5)"/>
        <s v="Morbi (Area 6)"/>
        <s v="Narmada (Rajpipla)"/>
        <s v="Narmada (Rajpipla) (Area 1)"/>
        <s v="Narmada (Rajpipla) (Area 2)"/>
        <s v="Narmada (Rajpipla) (Area 3)"/>
        <s v="Narmada (Rajpipla) (Area 4)"/>
        <s v="Narmada (Rajpipla) (Area 5)"/>
        <s v="Narmada (Rajpipla) (Area 6)"/>
        <s v="Navsari"/>
        <s v="Navsari (Area 1)"/>
        <s v="Navsari (Area 2)"/>
        <s v="Navsari (Area 3)"/>
        <s v="Navsari (Area 4)"/>
        <s v="Navsari (Area 5)"/>
        <s v="Navsari (Area 6)"/>
        <s v="Panchmahal (Godhra)"/>
        <s v="Panchmahal (Godhra) (Area 1)"/>
        <s v="Panchmahal (Godhra) (Area 2)"/>
        <s v="Panchmahal (Godhra) (Area 3)"/>
        <s v="Panchmahal (Godhra) (Area 4)"/>
        <s v="Panchmahal (Godhra) (Area 5)"/>
        <s v="Panchmahal (Godhra) (Area 6)"/>
        <s v="Patan"/>
        <s v="Patan (Area 1)"/>
        <s v="Patan (Area 2)"/>
        <s v="Patan (Area 3)"/>
        <s v="Patan (Area 4)"/>
        <s v="Patan (Area 5)"/>
        <s v="Patan (Area 6)"/>
        <s v="Porbandar"/>
        <s v="Porbandar (Area 1)"/>
        <s v="Porbandar (Area 2)"/>
        <s v="Porbandar (Area 3)"/>
        <s v="Porbandar (Area 4)"/>
        <s v="Porbandar (Area 5)"/>
        <s v="Porbandar (Area 6)"/>
        <s v="Rajkot"/>
        <s v="Rajkot (Area 1)"/>
        <s v="Rajkot (Area 2)"/>
        <s v="Rajkot (Area 3)"/>
        <s v="Rajkot (Area 4)"/>
        <s v="Rajkot (Area 5)"/>
        <s v="Rajkot (Area 6)"/>
        <s v="Sabarkantha (Himmatnagar)"/>
        <s v="Sabarkantha (Himmatnagar) (Area 1)"/>
        <s v="Sabarkantha (Himmatnagar) (Area 2)"/>
        <s v="Sabarkantha (Himmatnagar) (Area 3)"/>
        <s v="Sabarkantha (Himmatnagar) (Area 4)"/>
        <s v="Sabarkantha (Himmatnagar) (Area 5)"/>
        <s v="Sabarkantha (Himmatnagar) (Area 6)"/>
        <s v="Surat"/>
        <s v="Surat (Area 1)"/>
        <s v="Surat (Area 2)"/>
        <s v="Surat (Area 3)"/>
        <s v="Surat (Area 4)"/>
        <s v="Surat (Area 5)"/>
        <s v="Surat (Area 6)"/>
        <s v="Surendranagar"/>
        <s v="Surendranagar (Area 1)"/>
        <s v="Surendranagar (Area 2)"/>
        <s v="Surendranagar (Area 3)"/>
        <s v="Surendranagar (Area 4)"/>
        <s v="Surendranagar (Area 5)"/>
        <s v="Surendranagar (Area 6)"/>
        <s v="Tapi (Vyara)"/>
        <s v="Tapi (Vyara) (Area 1)"/>
        <s v="Tapi (Vyara) (Area 2)"/>
        <s v="Tapi (Vyara) (Area 3)"/>
        <s v="Tapi (Vyara) (Area 4)"/>
        <s v="Tapi (Vyara) (Area 5)"/>
        <s v="Tapi (Vyara) (Area 6)"/>
        <s v="Vadodara"/>
        <s v="Vadodara (Area 1)"/>
        <s v="Vadodara (Area 2)"/>
        <s v="Vadodara (Area 3)"/>
        <s v="Vadodara (Area 4)"/>
        <s v="Vadodara (Area 5)"/>
        <s v="Vadodara (Area 6)"/>
        <s v="Valsad"/>
        <s v="Valsad (Area 1)"/>
        <s v="Valsad (Area 2)"/>
        <s v="Valsad (Area 3)"/>
        <s v="Valsad (Area 4)"/>
        <s v="Valsad (Area 5)"/>
        <s v="Valsad (Area 6)"/>
        <s v="Ambala"/>
        <s v="Ambala (Area 1)"/>
        <s v="Ambala (Area 2)"/>
        <s v="Ambala (Area 3)"/>
        <s v="Ambala (Area 4)"/>
        <s v="Ambala (Area 5)"/>
        <s v="Ambala (Area 6)"/>
        <s v="Bhiwani"/>
        <s v="Bhiwani (Area 1)"/>
        <s v="Bhiwani (Area 2)"/>
        <s v="Bhiwani (Area 3)"/>
        <s v="Bhiwani (Area 4)"/>
        <s v="Bhiwani (Area 5)"/>
        <s v="Bhiwani (Area 6)"/>
        <s v="Charkhi Dadri"/>
        <s v="Charkhi Dadri (Area 1)"/>
        <s v="Charkhi Dadri (Area 2)"/>
        <s v="Charkhi Dadri (Area 3)"/>
        <s v="Charkhi Dadri (Area 4)"/>
        <s v="Charkhi Dadri (Area 5)"/>
        <s v="Charkhi Dadri (Area 6)"/>
        <s v="Faridabad"/>
        <s v="Faridabad (Area 1)"/>
        <s v="Faridabad (Area 2)"/>
        <s v="Faridabad (Area 3)"/>
        <s v="Faridabad (Area 4)"/>
        <s v="Faridabad (Area 5)"/>
        <s v="Faridabad (Area 6)"/>
        <s v="Fatehabad"/>
        <s v="Fatehabad (Area 1)"/>
        <s v="Fatehabad (Area 2)"/>
        <s v="Fatehabad (Area 3)"/>
        <s v="Fatehabad (Area 4)"/>
        <s v="Fatehabad (Area 5)"/>
        <s v="Fatehabad (Area 6)"/>
        <s v="Gurgaon"/>
        <s v="Gurgaon (Area 1)"/>
        <s v="Gurgaon (Area 2)"/>
        <s v="Gurgaon (Area 3)"/>
        <s v="Gurgaon (Area 4)"/>
        <s v="Gurgaon (Area 5)"/>
        <s v="Gurgaon (Area 6)"/>
        <s v="Hisar"/>
        <s v="Hisar (Area 1)"/>
        <s v="Hisar (Area 2)"/>
        <s v="Hisar (Area 3)"/>
        <s v="Hisar (Area 4)"/>
        <s v="Hisar (Area 5)"/>
        <s v="Hisar (Area 6)"/>
        <s v="Jhajjar"/>
        <s v="Jhajjar (Area 1)"/>
        <s v="Jhajjar (Area 2)"/>
        <s v="Jhajjar (Area 3)"/>
        <s v="Jhajjar (Area 4)"/>
        <s v="Jhajjar (Area 5)"/>
        <s v="Jhajjar (Area 6)"/>
        <s v="Jind"/>
        <s v="Jind (Area 1)"/>
        <s v="Jind (Area 2)"/>
        <s v="Jind (Area 3)"/>
        <s v="Jind (Area 4)"/>
        <s v="Jind (Area 5)"/>
        <s v="Jind (Area 6)"/>
        <s v="Kaithal"/>
        <s v="Kaithal (Area 1)"/>
        <s v="Kaithal (Area 2)"/>
        <s v="Kaithal (Area 3)"/>
        <s v="Kaithal (Area 4)"/>
        <s v="Kaithal (Area 5)"/>
        <s v="Kaithal (Area 6)"/>
        <s v="Karnal"/>
        <s v="Karnal (Area 1)"/>
        <s v="Karnal (Area 2)"/>
        <s v="Karnal (Area 3)"/>
        <s v="Karnal (Area 4)"/>
        <s v="Karnal (Area 5)"/>
        <s v="Karnal (Area 6)"/>
        <s v="Kurukshetra"/>
        <s v="Kurukshetra (Area 1)"/>
        <s v="Kurukshetra (Area 2)"/>
        <s v="Kurukshetra (Area 3)"/>
        <s v="Kurukshetra (Area 4)"/>
        <s v="Kurukshetra (Area 5)"/>
        <s v="Kurukshetra (Area 6)"/>
        <s v="Mahendragarh"/>
        <s v="Mahendragarh (Area 1)"/>
        <s v="Mahendragarh (Area 2)"/>
        <s v="Mahendragarh (Area 3)"/>
        <s v="Mahendragarh (Area 4)"/>
        <s v="Mahendragarh (Area 5)"/>
        <s v="Mahendragarh (Area 6)"/>
        <s v="Mewat"/>
        <s v="Mewat (Area 1)"/>
        <s v="Mewat (Area 2)"/>
        <s v="Mewat (Area 3)"/>
        <s v="Mewat (Area 4)"/>
        <s v="Mewat (Area 5)"/>
        <s v="Mewat (Area 6)"/>
        <s v="Palwal"/>
        <s v="Palwal (Area 1)"/>
        <s v="Palwal (Area 2)"/>
        <s v="Palwal (Area 3)"/>
        <s v="Palwal (Area 4)"/>
        <s v="Palwal (Area 5)"/>
        <s v="Palwal (Area 6)"/>
        <s v="Panchkula"/>
        <s v="Panchkula (Area 1)"/>
        <s v="Panchkula (Area 2)"/>
        <s v="Panchkula (Area 3)"/>
        <s v="Panchkula (Area 4)"/>
        <s v="Panchkula (Area 5)"/>
        <s v="Panchkula (Area 6)"/>
        <s v="Panipat"/>
        <s v="Panipat (Area 1)"/>
        <s v="Panipat (Area 2)"/>
        <s v="Panipat (Area 3)"/>
        <s v="Panipat (Area 4)"/>
        <s v="Panipat (Area 5)"/>
        <s v="Panipat (Area 6)"/>
        <s v="Rewari"/>
        <s v="Rewari (Area 1)"/>
        <s v="Rewari (Area 2)"/>
        <s v="Rewari (Area 3)"/>
        <s v="Rewari (Area 4)"/>
        <s v="Rewari (Area 5)"/>
        <s v="Rewari (Area 6)"/>
        <s v="Rohtak"/>
        <s v="Rohtak (Area 1)"/>
        <s v="Rohtak (Area 2)"/>
        <s v="Rohtak (Area 3)"/>
        <s v="Rohtak (Area 4)"/>
        <s v="Rohtak (Area 5)"/>
        <s v="Rohtak (Area 6)"/>
        <s v="Sirsa"/>
        <s v="Sirsa (Area 1)"/>
        <s v="Sirsa (Area 2)"/>
        <s v="Sirsa (Area 3)"/>
        <s v="Sirsa (Area 4)"/>
        <s v="Sirsa (Area 5)"/>
        <s v="Sirsa (Area 6)"/>
        <s v="Sonipat"/>
        <s v="Sonipat (Area 1)"/>
        <s v="Sonipat (Area 2)"/>
        <s v="Sonipat (Area 3)"/>
        <s v="Sonipat (Area 4)"/>
        <s v="Sonipat (Area 5)"/>
        <s v="Sonipat (Area 6)"/>
        <s v="Yamunanagar"/>
        <s v="Yamunanagar (Area 1)"/>
        <s v="Yamunanagar (Area 2)"/>
        <s v="Yamunanagar (Area 3)"/>
        <s v="Yamunanagar (Area 4)"/>
        <s v="Yamunanagar (Area 5)"/>
        <s v="Yamunanagar (Area 6)"/>
        <s v="Chamba"/>
        <s v="Chamba (Area 1)"/>
        <s v="Chamba (Area 2)"/>
        <s v="Chamba (Area 3)"/>
        <s v="Chamba (Area 4)"/>
        <s v="Chamba (Area 5)"/>
        <s v="Chamba (Area 6)"/>
        <s v="Hamirpur"/>
        <s v="Hamirpur (Area 1)"/>
        <s v="Hamirpur (Area 2)"/>
        <s v="Hamirpur (Area 3)"/>
        <s v="Hamirpur (Area 4)"/>
        <s v="Hamirpur (Area 5)"/>
        <s v="Hamirpur (Area 6)"/>
        <s v="Kangra"/>
        <s v="Kangra (Area 1)"/>
        <s v="Kangra (Area 2)"/>
        <s v="Kangra (Area 3)"/>
        <s v="Kangra (Area 4)"/>
        <s v="Kangra (Area 5)"/>
        <s v="Kangra (Area 6)"/>
        <s v="Kinnaur"/>
        <s v="Kinnaur (Area 1)"/>
        <s v="Kinnaur (Area 2)"/>
        <s v="Kinnaur (Area 3)"/>
        <s v="Kinnaur (Area 4)"/>
        <s v="Kinnaur (Area 5)"/>
        <s v="Kinnaur (Area 6)"/>
        <s v="Kullu"/>
        <s v="Kullu (Area 1)"/>
        <s v="Kullu (Area 2)"/>
        <s v="Kullu (Area 3)"/>
        <s v="Kullu (Area 4)"/>
        <s v="Kullu (Area 5)"/>
        <s v="Kullu (Area 6)"/>
        <s v="Lahaul &amp;amp; Spiti"/>
        <s v="Lahaul &amp;amp; Spiti (Area 1)"/>
        <s v="Lahaul &amp;amp; Spiti (Area 2)"/>
        <s v="Lahaul &amp;amp; Spiti (Area 3)"/>
        <s v="Lahaul &amp;amp; Spiti (Area 4)"/>
        <s v="Lahaul &amp;amp; Spiti (Area 5)"/>
        <s v="Lahaul &amp;amp; Spiti (Area 6)"/>
        <s v="Mandi"/>
        <s v="Mandi (Area 1)"/>
        <s v="Mandi (Area 2)"/>
        <s v="Mandi (Area 3)"/>
        <s v="Mandi (Area 4)"/>
        <s v="Mandi (Area 5)"/>
        <s v="Mandi (Area 6)"/>
        <s v="Shimla"/>
        <s v="Shimla (Area 1)"/>
        <s v="Shimla (Area 2)"/>
        <s v="Shimla (Area 3)"/>
        <s v="Shimla (Area 4)"/>
        <s v="Shimla (Area 5)"/>
        <s v="Shimla (Area 6)"/>
        <s v="Sirmaur (Sirmour)"/>
        <s v="Sirmaur (Sirmour) (Area 1)"/>
        <s v="Sirmaur (Sirmour) (Area 2)"/>
        <s v="Sirmaur (Sirmour) (Area 3)"/>
        <s v="Sirmaur (Sirmour) (Area 4)"/>
        <s v="Sirmaur (Sirmour) (Area 5)"/>
        <s v="Sirmaur (Sirmour) (Area 6)"/>
        <s v="Solan"/>
        <s v="Solan (Area 1)"/>
        <s v="Solan (Area 2)"/>
        <s v="Solan (Area 3)"/>
        <s v="Solan (Area 4)"/>
        <s v="Solan (Area 5)"/>
        <s v="Solan (Area 6)"/>
        <s v="Una"/>
        <s v="Una (Area 1)"/>
        <s v="Una (Area 2)"/>
        <s v="Una (Area 3)"/>
        <s v="Una (Area 4)"/>
        <s v="Una (Area 5)"/>
        <s v="Una (Area 6)"/>
        <s v="Anantnag"/>
        <s v="Anantnag (Area 1)"/>
        <s v="Anantnag (Area 2)"/>
        <s v="Anantnag (Area 3)"/>
        <s v="Anantnag (Area 4)"/>
        <s v="Anantnag (Area 5)"/>
        <s v="Anantnag (Area 6)"/>
        <s v="Bandipore"/>
        <s v="Bandipore (Area 1)"/>
        <s v="Bandipore (Area 2)"/>
        <s v="Bandipore (Area 3)"/>
        <s v="Bandipore (Area 4)"/>
        <s v="Bandipore (Area 5)"/>
        <s v="Bandipore (Area 6)"/>
        <s v="Baramulla"/>
        <s v="Baramulla (Area 1)"/>
        <s v="Baramulla (Area 2)"/>
        <s v="Baramulla (Area 3)"/>
        <s v="Baramulla (Area 4)"/>
        <s v="Baramulla (Area 5)"/>
        <s v="Baramulla (Area 6)"/>
        <s v="Budgam"/>
        <s v="Budgam (Area 1)"/>
        <s v="Budgam (Area 2)"/>
        <s v="Budgam (Area 3)"/>
        <s v="Budgam (Area 4)"/>
        <s v="Budgam (Area 5)"/>
        <s v="Budgam (Area 6)"/>
        <s v="Doda"/>
        <s v="Doda (Area 1)"/>
        <s v="Doda (Area 2)"/>
        <s v="Doda (Area 3)"/>
        <s v="Doda (Area 4)"/>
        <s v="Doda (Area 5)"/>
        <s v="Doda (Area 6)"/>
        <s v="Ganderbal"/>
        <s v="Ganderbal (Area 1)"/>
        <s v="Ganderbal (Area 2)"/>
        <s v="Ganderbal (Area 3)"/>
        <s v="Ganderbal (Area 4)"/>
        <s v="Ganderbal (Area 5)"/>
        <s v="Ganderbal (Area 6)"/>
        <s v="Jammu"/>
        <s v="Jammu (Area 1)"/>
        <s v="Jammu (Area 2)"/>
        <s v="Jammu (Area 3)"/>
        <s v="Jammu (Area 4)"/>
        <s v="Jammu (Area 5)"/>
        <s v="Jammu (Area 6)"/>
        <s v="Kargil"/>
        <s v="Kargil (Area 1)"/>
        <s v="Kargil (Area 2)"/>
        <s v="Kargil (Area 3)"/>
        <s v="Kargil (Area 4)"/>
        <s v="Kargil (Area 5)"/>
        <s v="Kargil (Area 6)"/>
        <s v="Kathua"/>
        <s v="Kathua (Area 1)"/>
        <s v="Kathua (Area 2)"/>
        <s v="Kathua (Area 3)"/>
        <s v="Kathua (Area 4)"/>
        <s v="Kathua (Area 5)"/>
        <s v="Kathua (Area 6)"/>
        <s v="Kishtwar"/>
        <s v="Kishtwar (Area 1)"/>
        <s v="Kishtwar (Area 2)"/>
        <s v="Kishtwar (Area 3)"/>
        <s v="Kishtwar (Area 4)"/>
        <s v="Kishtwar (Area 5)"/>
        <s v="Kishtwar (Area 6)"/>
        <s v="Kulgam"/>
        <s v="Kulgam (Area 1)"/>
        <s v="Kulgam (Area 2)"/>
        <s v="Kulgam (Area 3)"/>
        <s v="Kulgam (Area 4)"/>
        <s v="Kulgam (Area 5)"/>
        <s v="Kulgam (Area 6)"/>
        <s v="Kupwara"/>
        <s v="Kupwara (Area 1)"/>
        <s v="Kupwara (Area 2)"/>
        <s v="Kupwara (Area 3)"/>
        <s v="Kupwara (Area 4)"/>
        <s v="Kupwara (Area 5)"/>
        <s v="Kupwara (Area 6)"/>
        <s v="Leh"/>
        <s v="Leh (Area 1)"/>
        <s v="Leh (Area 2)"/>
        <s v="Leh (Area 3)"/>
        <s v="Leh (Area 4)"/>
        <s v="Leh (Area 5)"/>
        <s v="Leh (Area 6)"/>
        <s v="Poonch"/>
        <s v="Poonch (Area 1)"/>
        <s v="Poonch (Area 2)"/>
        <s v="Poonch (Area 3)"/>
        <s v="Poonch (Area 4)"/>
        <s v="Poonch (Area 5)"/>
        <s v="Poonch (Area 6)"/>
        <s v="Pulwama"/>
        <s v="Pulwama (Area 1)"/>
        <s v="Pulwama (Area 2)"/>
        <s v="Pulwama (Area 3)"/>
        <s v="Pulwama (Area 4)"/>
        <s v="Pulwama (Area 5)"/>
        <s v="Pulwama (Area 6)"/>
        <s v="Rajouri"/>
        <s v="Rajouri (Area 1)"/>
        <s v="Rajouri (Area 2)"/>
        <s v="Rajouri (Area 3)"/>
        <s v="Rajouri (Area 4)"/>
        <s v="Rajouri (Area 5)"/>
        <s v="Rajouri (Area 6)"/>
        <s v="Ramban"/>
        <s v="Ramban (Area 1)"/>
        <s v="Ramban (Area 2)"/>
        <s v="Ramban (Area 3)"/>
        <s v="Ramban (Area 4)"/>
        <s v="Ramban (Area 5)"/>
        <s v="Ramban (Area 6)"/>
        <s v="Reasi"/>
        <s v="Reasi (Area 1)"/>
        <s v="Reasi (Area 2)"/>
        <s v="Reasi (Area 3)"/>
        <s v="Reasi (Area 4)"/>
        <s v="Reasi (Area 5)"/>
        <s v="Reasi (Area 6)"/>
        <s v="Samba"/>
        <s v="Samba (Area 1)"/>
        <s v="Samba (Area 2)"/>
        <s v="Samba (Area 3)"/>
        <s v="Samba (Area 4)"/>
        <s v="Samba (Area 5)"/>
        <s v="Samba (Area 6)"/>
        <s v="Shopian"/>
        <s v="Shopian (Area 1)"/>
        <s v="Shopian (Area 2)"/>
        <s v="Shopian (Area 3)"/>
        <s v="Shopian (Area 4)"/>
        <s v="Shopian (Area 5)"/>
        <s v="Shopian (Area 6)"/>
        <s v="Srinagar"/>
        <s v="Srinagar (Area 1)"/>
        <s v="Srinagar (Area 2)"/>
        <s v="Srinagar (Area 3)"/>
        <s v="Srinagar (Area 4)"/>
        <s v="Srinagar (Area 5)"/>
        <s v="Srinagar (Area 6)"/>
        <s v="Udhampur"/>
        <s v="Udhampur (Area 1)"/>
        <s v="Udhampur (Area 2)"/>
        <s v="Udhampur (Area 3)"/>
        <s v="Udhampur (Area 4)"/>
        <s v="Udhampur (Area 5)"/>
        <s v="Udhampur (Area 6)"/>
        <s v="Bokaro"/>
        <s v="Bokaro (Area 1)"/>
        <s v="Bokaro (Area 2)"/>
        <s v="Bokaro (Area 3)"/>
        <s v="Bokaro (Area 4)"/>
        <s v="Bokaro (Area 5)"/>
        <s v="Bokaro (Area 6)"/>
        <s v="Chatra"/>
        <s v="Chatra (Area 1)"/>
        <s v="Chatra (Area 2)"/>
        <s v="Chatra (Area 3)"/>
        <s v="Chatra (Area 4)"/>
        <s v="Chatra (Area 5)"/>
        <s v="Chatra (Area 6)"/>
        <s v="Deoghar"/>
        <s v="Deoghar (Area 1)"/>
        <s v="Deoghar (Area 2)"/>
        <s v="Deoghar (Area 3)"/>
        <s v="Deoghar (Area 4)"/>
        <s v="Deoghar (Area 5)"/>
        <s v="Deoghar (Area 6)"/>
        <s v="Dhanbad"/>
        <s v="Dhanbad (Area 1)"/>
        <s v="Dhanbad (Area 2)"/>
        <s v="Dhanbad (Area 3)"/>
        <s v="Dhanbad (Area 4)"/>
        <s v="Dhanbad (Area 5)"/>
        <s v="Dhanbad (Area 6)"/>
        <s v="Dumka"/>
        <s v="Dumka (Area 1)"/>
        <s v="Dumka (Area 2)"/>
        <s v="Dumka (Area 3)"/>
        <s v="Dumka (Area 4)"/>
        <s v="Dumka (Area 5)"/>
        <s v="Dumka (Area 6)"/>
        <s v="East Singhbhum"/>
        <s v="East Singhbhum (Area 1)"/>
        <s v="East Singhbhum (Area 2)"/>
        <s v="East Singhbhum (Area 3)"/>
        <s v="East Singhbhum (Area 4)"/>
        <s v="East Singhbhum (Area 5)"/>
        <s v="East Singhbhum (Area 6)"/>
        <s v="Garhwa"/>
        <s v="Garhwa (Area 1)"/>
        <s v="Garhwa (Area 2)"/>
        <s v="Garhwa (Area 3)"/>
        <s v="Garhwa (Area 4)"/>
        <s v="Garhwa (Area 5)"/>
        <s v="Garhwa (Area 6)"/>
        <s v="Giridih"/>
        <s v="Giridih (Area 1)"/>
        <s v="Giridih (Area 2)"/>
        <s v="Giridih (Area 3)"/>
        <s v="Giridih (Area 4)"/>
        <s v="Giridih (Area 5)"/>
        <s v="Giridih (Area 6)"/>
        <s v="Godda"/>
        <s v="Godda (Area 1)"/>
        <s v="Godda (Area 2)"/>
        <s v="Godda (Area 3)"/>
        <s v="Godda (Area 4)"/>
        <s v="Godda (Area 5)"/>
        <s v="Godda (Area 6)"/>
        <s v="Gumla"/>
        <s v="Gumla (Area 1)"/>
        <s v="Gumla (Area 2)"/>
        <s v="Gumla (Area 3)"/>
        <s v="Gumla (Area 4)"/>
        <s v="Gumla (Area 5)"/>
        <s v="Gumla (Area 6)"/>
        <s v="Hazaribag"/>
        <s v="Hazaribag (Area 1)"/>
        <s v="Hazaribag (Area 2)"/>
        <s v="Hazaribag (Area 3)"/>
        <s v="Hazaribag (Area 4)"/>
        <s v="Hazaribag (Area 5)"/>
        <s v="Hazaribag (Area 6)"/>
        <s v="Jamtara"/>
        <s v="Jamtara (Area 1)"/>
        <s v="Jamtara (Area 2)"/>
        <s v="Jamtara (Area 3)"/>
        <s v="Jamtara (Area 4)"/>
        <s v="Jamtara (Area 5)"/>
        <s v="Jamtara (Area 6)"/>
        <s v="Khunti"/>
        <s v="Khunti (Area 1)"/>
        <s v="Khunti (Area 2)"/>
        <s v="Khunti (Area 3)"/>
        <s v="Khunti (Area 4)"/>
        <s v="Khunti (Area 5)"/>
        <s v="Khunti (Area 6)"/>
        <s v="Koderma"/>
        <s v="Koderma (Area 1)"/>
        <s v="Koderma (Area 2)"/>
        <s v="Koderma (Area 3)"/>
        <s v="Koderma (Area 4)"/>
        <s v="Koderma (Area 5)"/>
        <s v="Koderma (Area 6)"/>
        <s v="Latehar"/>
        <s v="Latehar (Area 1)"/>
        <s v="Latehar (Area 2)"/>
        <s v="Latehar (Area 3)"/>
        <s v="Latehar (Area 4)"/>
        <s v="Latehar (Area 5)"/>
        <s v="Latehar (Area 6)"/>
        <s v="Lohardaga"/>
        <s v="Lohardaga (Area 1)"/>
        <s v="Lohardaga (Area 2)"/>
        <s v="Lohardaga (Area 3)"/>
        <s v="Lohardaga (Area 4)"/>
        <s v="Lohardaga (Area 5)"/>
        <s v="Lohardaga (Area 6)"/>
        <s v="Pakur"/>
        <s v="Pakur (Area 1)"/>
        <s v="Pakur (Area 2)"/>
        <s v="Pakur (Area 3)"/>
        <s v="Pakur (Area 4)"/>
        <s v="Pakur (Area 5)"/>
        <s v="Pakur (Area 6)"/>
        <s v="Palamu"/>
        <s v="Palamu (Area 1)"/>
        <s v="Palamu (Area 2)"/>
        <s v="Palamu (Area 3)"/>
        <s v="Palamu (Area 4)"/>
        <s v="Palamu (Area 5)"/>
        <s v="Palamu (Area 6)"/>
        <s v="Ramgarh"/>
        <s v="Ramgarh (Area 1)"/>
        <s v="Ramgarh (Area 2)"/>
        <s v="Ramgarh (Area 3)"/>
        <s v="Ramgarh (Area 4)"/>
        <s v="Ramgarh (Area 5)"/>
        <s v="Ramgarh (Area 6)"/>
        <s v="Ranchi"/>
        <s v="Ranchi (Area 1)"/>
        <s v="Ranchi (Area 2)"/>
        <s v="Ranchi (Area 3)"/>
        <s v="Ranchi (Area 4)"/>
        <s v="Ranchi (Area 5)"/>
        <s v="Ranchi (Area 6)"/>
        <s v="Sahibganj"/>
        <s v="Sahibganj (Area 1)"/>
        <s v="Sahibganj (Area 2)"/>
        <s v="Sahibganj (Area 3)"/>
        <s v="Sahibganj (Area 4)"/>
        <s v="Sahibganj (Area 5)"/>
        <s v="Sahibganj (Area 6)"/>
        <s v="Seraikela-Kharsawan"/>
        <s v="Seraikela-Kharsawan (Area 1)"/>
        <s v="Seraikela-Kharsawan (Area 2)"/>
        <s v="Seraikela-Kharsawan (Area 3)"/>
        <s v="Seraikela-Kharsawan (Area 4)"/>
        <s v="Seraikela-Kharsawan (Area 5)"/>
        <s v="Seraikela-Kharsawan (Area 6)"/>
        <s v="Simdega"/>
        <s v="Simdega (Area 1)"/>
        <s v="Simdega (Area 2)"/>
        <s v="Simdega (Area 3)"/>
        <s v="Simdega (Area 4)"/>
        <s v="Simdega (Area 5)"/>
        <s v="Simdega (Area 6)"/>
        <s v="West Singhbhum"/>
        <s v="West Singhbhum (Area 1)"/>
        <s v="West Singhbhum (Area 2)"/>
        <s v="West Singhbhum (Area 3)"/>
        <s v="West Singhbhum (Area 4)"/>
        <s v="West Singhbhum (Area 5)"/>
        <s v="West Singhbhum (Area 6)"/>
        <s v="Bagalkot"/>
        <s v="Bagalkot (Area 1)"/>
        <s v="Bagalkot (Area 2)"/>
        <s v="Bagalkot (Area 3)"/>
        <s v="Bagalkot (Area 4)"/>
        <s v="Bagalkot (Area 5)"/>
        <s v="Bagalkot (Area 6)"/>
        <s v="Ballari (Bellary)"/>
        <s v="Ballari (Bellary) (Area 1)"/>
        <s v="Ballari (Bellary) (Area 2)"/>
        <s v="Ballari (Bellary) (Area 3)"/>
        <s v="Ballari (Bellary) (Area 4)"/>
        <s v="Ballari (Bellary) (Area 5)"/>
        <s v="Ballari (Bellary) (Area 6)"/>
        <s v="Belagavi (Belgaum)"/>
        <s v="Belagavi (Belgaum) (Area 1)"/>
        <s v="Belagavi (Belgaum) (Area 2)"/>
        <s v="Belagavi (Belgaum) (Area 3)"/>
        <s v="Belagavi (Belgaum) (Area 4)"/>
        <s v="Belagavi (Belgaum) (Area 5)"/>
        <s v="Belagavi (Belgaum) (Area 6)"/>
        <s v="Bengaluru (Bangalore) Rural"/>
        <s v="Bengaluru (Bangalore) Rural (Area 1)"/>
        <s v="Bengaluru (Bangalore) Rural (Area 2)"/>
        <s v="Bengaluru (Bangalore) Rural (Area 3)"/>
        <s v="Bengaluru (Bangalore) Rural (Area 4)"/>
        <s v="Bengaluru (Bangalore) Rural (Area 5)"/>
        <s v="Bengaluru (Bangalore) Rural (Area 6)"/>
        <s v="Bengaluru (Bangalore) Urban"/>
        <s v="Bengaluru (Bangalore) Urban (Area 1)"/>
        <s v="Bengaluru (Bangalore) Urban (Area 2)"/>
        <s v="Bengaluru (Bangalore) Urban (Area 3)"/>
        <s v="Bengaluru (Bangalore) Urban (Area 4)"/>
        <s v="Bengaluru (Bangalore) Urban (Area 5)"/>
        <s v="Bengaluru (Bangalore) Urban (Area 6)"/>
        <s v="Bidar"/>
        <s v="Bidar (Area 1)"/>
        <s v="Bidar (Area 2)"/>
        <s v="Bidar (Area 3)"/>
        <s v="Bidar (Area 4)"/>
        <s v="Bidar (Area 5)"/>
        <s v="Bidar (Area 6)"/>
        <s v="Chamarajanagar"/>
        <s v="Chamarajanagar (Area 1)"/>
        <s v="Chamarajanagar (Area 2)"/>
        <s v="Chamarajanagar (Area 3)"/>
        <s v="Chamarajanagar (Area 4)"/>
        <s v="Chamarajanagar (Area 5)"/>
        <s v="Chamarajanagar (Area 6)"/>
        <s v="Chikballapur"/>
        <s v="Chikballapur (Area 1)"/>
        <s v="Chikballapur (Area 2)"/>
        <s v="Chikballapur (Area 3)"/>
        <s v="Chikballapur (Area 4)"/>
        <s v="Chikballapur (Area 5)"/>
        <s v="Chikballapur (Area 6)"/>
        <s v="Chikkamagaluru (Chikmagalur)"/>
        <s v="Chikkamagaluru (Chikmagalur) (Area 1)"/>
        <s v="Chikkamagaluru (Chikmagalur) (Area 2)"/>
        <s v="Chikkamagaluru (Chikmagalur) (Area 3)"/>
        <s v="Chikkamagaluru (Chikmagalur) (Area 4)"/>
        <s v="Chikkamagaluru (Chikmagalur) (Area 5)"/>
        <s v="Chikkamagaluru (Chikmagalur) (Area 6)"/>
        <s v="Chitradurga"/>
        <s v="Chitradurga (Area 1)"/>
        <s v="Chitradurga (Area 2)"/>
        <s v="Chitradurga (Area 3)"/>
        <s v="Chitradurga (Area 4)"/>
        <s v="Chitradurga (Area 5)"/>
        <s v="Chitradurga (Area 6)"/>
        <s v="Dakshina Kannada"/>
        <s v="Dakshina Kannada (Area 1)"/>
        <s v="Dakshina Kannada (Area 2)"/>
        <s v="Dakshina Kannada (Area 3)"/>
        <s v="Dakshina Kannada (Area 4)"/>
        <s v="Dakshina Kannada (Area 5)"/>
        <s v="Dakshina Kannada (Area 6)"/>
        <s v="Davangere"/>
        <s v="Davangere (Area 1)"/>
        <s v="Davangere (Area 2)"/>
        <s v="Davangere (Area 3)"/>
        <s v="Davangere (Area 4)"/>
        <s v="Davangere (Area 5)"/>
        <s v="Davangere (Area 6)"/>
        <s v="Dharwad"/>
        <s v="Dharwad (Area 1)"/>
        <s v="Dharwad (Area 2)"/>
        <s v="Dharwad (Area 3)"/>
        <s v="Dharwad (Area 4)"/>
        <s v="Dharwad (Area 5)"/>
        <s v="Dharwad (Area 6)"/>
        <s v="Gadag"/>
        <s v="Gadag (Area 1)"/>
        <s v="Gadag (Area 2)"/>
        <s v="Gadag (Area 3)"/>
        <s v="Gadag (Area 4)"/>
        <s v="Gadag (Area 5)"/>
        <s v="Gadag (Area 6)"/>
        <s v="Hassan"/>
        <s v="Hassan (Area 1)"/>
        <s v="Hassan (Area 2)"/>
        <s v="Hassan (Area 3)"/>
        <s v="Hassan (Area 4)"/>
        <s v="Hassan (Area 5)"/>
        <s v="Hassan (Area 6)"/>
        <s v="Haveri"/>
        <s v="Haveri (Area 1)"/>
        <s v="Haveri (Area 2)"/>
        <s v="Haveri (Area 3)"/>
        <s v="Haveri (Area 4)"/>
        <s v="Haveri (Area 5)"/>
        <s v="Haveri (Area 6)"/>
        <s v="Kalaburagi (Gulbarga)"/>
        <s v="Kalaburagi (Gulbarga) (Area 1)"/>
        <s v="Kalaburagi (Gulbarga) (Area 2)"/>
        <s v="Kalaburagi (Gulbarga) (Area 3)"/>
        <s v="Kalaburagi (Gulbarga) (Area 4)"/>
        <s v="Kalaburagi (Gulbarga) (Area 5)"/>
        <s v="Kalaburagi (Gulbarga) (Area 6)"/>
        <s v="Kodagu"/>
        <s v="Kodagu (Area 1)"/>
        <s v="Kodagu (Area 2)"/>
        <s v="Kodagu (Area 3)"/>
        <s v="Kodagu (Area 4)"/>
        <s v="Kodagu (Area 5)"/>
        <s v="Kodagu (Area 6)"/>
        <s v="Kolar"/>
        <s v="Kolar (Area 1)"/>
        <s v="Kolar (Area 2)"/>
        <s v="Kolar (Area 3)"/>
        <s v="Kolar (Area 4)"/>
        <s v="Kolar (Area 5)"/>
        <s v="Kolar (Area 6)"/>
        <s v="Koppal"/>
        <s v="Koppal (Area 1)"/>
        <s v="Koppal (Area 2)"/>
        <s v="Koppal (Area 3)"/>
        <s v="Koppal (Area 4)"/>
        <s v="Koppal (Area 5)"/>
        <s v="Koppal (Area 6)"/>
        <s v="Mandya"/>
        <s v="Mandya (Area 1)"/>
        <s v="Mandya (Area 2)"/>
        <s v="Mandya (Area 3)"/>
        <s v="Mandya (Area 4)"/>
        <s v="Mandya (Area 5)"/>
        <s v="Mandya (Area 6)"/>
        <s v="Mysuru (Mysore)"/>
        <s v="Mysuru (Mysore) (Area 1)"/>
        <s v="Mysuru (Mysore) (Area 2)"/>
        <s v="Mysuru (Mysore) (Area 3)"/>
        <s v="Mysuru (Mysore) (Area 4)"/>
        <s v="Mysuru (Mysore) (Area 5)"/>
        <s v="Mysuru (Mysore) (Area 6)"/>
        <s v="Raichur"/>
        <s v="Raichur (Area 1)"/>
        <s v="Raichur (Area 2)"/>
        <s v="Raichur (Area 3)"/>
        <s v="Raichur (Area 4)"/>
        <s v="Raichur (Area 5)"/>
        <s v="Raichur (Area 6)"/>
        <s v="Ramanagara"/>
        <s v="Ramanagara (Area 1)"/>
        <s v="Ramanagara (Area 2)"/>
        <s v="Ramanagara (Area 3)"/>
        <s v="Ramanagara (Area 4)"/>
        <s v="Ramanagara (Area 5)"/>
        <s v="Ramanagara (Area 6)"/>
        <s v="Shivamogga (Shimoga)"/>
        <s v="Shivamogga (Shimoga) (Area 1)"/>
        <s v="Shivamogga (Shimoga) (Area 2)"/>
        <s v="Shivamogga (Shimoga) (Area 3)"/>
        <s v="Shivamogga (Shimoga) (Area 4)"/>
        <s v="Shivamogga (Shimoga) (Area 5)"/>
        <s v="Shivamogga (Shimoga) (Area 6)"/>
        <s v="Tumakuru (Tumkur)"/>
        <s v="Tumakuru (Tumkur) (Area 1)"/>
        <s v="Tumakuru (Tumkur) (Area 2)"/>
        <s v="Tumakuru (Tumkur) (Area 3)"/>
        <s v="Tumakuru (Tumkur) (Area 4)"/>
        <s v="Tumakuru (Tumkur) (Area 5)"/>
        <s v="Tumakuru (Tumkur) (Area 6)"/>
        <s v="Udupi"/>
        <s v="Udupi (Area 1)"/>
        <s v="Udupi (Area 2)"/>
        <s v="Udupi (Area 3)"/>
        <s v="Udupi (Area 4)"/>
        <s v="Udupi (Area 5)"/>
        <s v="Udupi (Area 6)"/>
        <s v="Uttara Kannada (Karwar)"/>
        <s v="Uttara Kannada (Karwar) (Area 1)"/>
        <s v="Uttara Kannada (Karwar) (Area 2)"/>
        <s v="Uttara Kannada (Karwar) (Area 3)"/>
        <s v="Uttara Kannada (Karwar) (Area 4)"/>
        <s v="Uttara Kannada (Karwar) (Area 5)"/>
        <s v="Uttara Kannada (Karwar) (Area 6)"/>
        <s v="Vijayapura (Bijapur)"/>
        <s v="Vijayapura (Bijapur) (Area 1)"/>
        <s v="Vijayapura (Bijapur) (Area 2)"/>
        <s v="Vijayapura (Bijapur) (Area 3)"/>
        <s v="Vijayapura (Bijapur) (Area 4)"/>
        <s v="Vijayapura (Bijapur) (Area 5)"/>
        <s v="Vijayapura (Bijapur) (Area 6)"/>
        <s v="Yadgir"/>
        <s v="Yadgir (Area 1)"/>
        <s v="Yadgir (Area 2)"/>
        <s v="Yadgir (Area 3)"/>
        <s v="Yadgir (Area 4)"/>
        <s v="Yadgir (Area 5)"/>
        <s v="Yadgir (Area 6)"/>
        <s v="Alappuzha"/>
        <s v="Alappuzha (Area 1)"/>
        <s v="Alappuzha (Area 2)"/>
        <s v="Alappuzha (Area 3)"/>
        <s v="Alappuzha (Area 4)"/>
        <s v="Alappuzha (Area 5)"/>
        <s v="Alappuzha (Area 6)"/>
        <s v="Ernakulam"/>
        <s v="Ernakulam (Area 1)"/>
        <s v="Ernakulam (Area 2)"/>
        <s v="Ernakulam (Area 3)"/>
        <s v="Ernakulam (Area 4)"/>
        <s v="Ernakulam (Area 5)"/>
        <s v="Ernakulam (Area 6)"/>
        <s v="Idukki"/>
        <s v="Idukki (Area 1)"/>
        <s v="Idukki (Area 2)"/>
        <s v="Idukki (Area 3)"/>
        <s v="Idukki (Area 4)"/>
        <s v="Idukki (Area 5)"/>
        <s v="Idukki (Area 6)"/>
        <s v="Kannur"/>
        <s v="Kannur (Area 1)"/>
        <s v="Kannur (Area 2)"/>
        <s v="Kannur (Area 3)"/>
        <s v="Kannur (Area 4)"/>
        <s v="Kannur (Area 5)"/>
        <s v="Kannur (Area 6)"/>
        <s v="Kasaragod"/>
        <s v="Kasaragod (Area 1)"/>
        <s v="Kasaragod (Area 2)"/>
        <s v="Kasaragod (Area 3)"/>
        <s v="Kasaragod (Area 4)"/>
        <s v="Kasaragod (Area 5)"/>
        <s v="Kasaragod (Area 6)"/>
        <s v="Kollam"/>
        <s v="Kollam (Area 1)"/>
        <s v="Kollam (Area 2)"/>
        <s v="Kollam (Area 3)"/>
        <s v="Kollam (Area 4)"/>
        <s v="Kollam (Area 5)"/>
        <s v="Kollam (Area 6)"/>
        <s v="Kottayam"/>
        <s v="Kottayam (Area 1)"/>
        <s v="Kottayam (Area 2)"/>
        <s v="Kottayam (Area 3)"/>
        <s v="Kottayam (Area 4)"/>
        <s v="Kottayam (Area 5)"/>
        <s v="Kottayam (Area 6)"/>
        <s v="Kozhikode"/>
        <s v="Kozhikode (Area 1)"/>
        <s v="Kozhikode (Area 2)"/>
        <s v="Kozhikode (Area 3)"/>
        <s v="Kozhikode (Area 4)"/>
        <s v="Kozhikode (Area 5)"/>
        <s v="Kozhikode (Area 6)"/>
        <s v="Malappuram"/>
        <s v="Malappuram (Area 1)"/>
        <s v="Malappuram (Area 2)"/>
        <s v="Malappuram (Area 3)"/>
        <s v="Malappuram (Area 4)"/>
        <s v="Malappuram (Area 5)"/>
        <s v="Malappuram (Area 6)"/>
        <s v="Palakkad"/>
        <s v="Palakkad (Area 1)"/>
        <s v="Palakkad (Area 2)"/>
        <s v="Palakkad (Area 3)"/>
        <s v="Palakkad (Area 4)"/>
        <s v="Palakkad (Area 5)"/>
        <s v="Palakkad (Area 6)"/>
        <s v="Pathanamthitta"/>
        <s v="Pathanamthitta (Area 1)"/>
        <s v="Pathanamthitta (Area 2)"/>
        <s v="Pathanamthitta (Area 3)"/>
        <s v="Pathanamthitta (Area 4)"/>
        <s v="Pathanamthitta (Area 5)"/>
        <s v="Pathanamthitta (Area 6)"/>
        <s v="Thiruvananthapuram"/>
        <s v="Thiruvananthapuram (Area 1)"/>
        <s v="Thiruvananthapuram (Area 2)"/>
        <s v="Thiruvananthapuram (Area 3)"/>
        <s v="Thiruvananthapuram (Area 4)"/>
        <s v="Thiruvananthapuram (Area 5)"/>
        <s v="Thiruvananthapuram (Area 6)"/>
        <s v="Thrissur"/>
        <s v="Thrissur (Area 1)"/>
        <s v="Thrissur (Area 2)"/>
        <s v="Thrissur (Area 3)"/>
        <s v="Thrissur (Area 4)"/>
        <s v="Thrissur (Area 5)"/>
        <s v="Thrissur (Area 6)"/>
        <s v="Wayanad"/>
        <s v="Wayanad (Area 1)"/>
        <s v="Wayanad (Area 2)"/>
        <s v="Wayanad (Area 3)"/>
        <s v="Wayanad (Area 4)"/>
        <s v="Wayanad (Area 5)"/>
        <s v="Wayanad (Area 6)"/>
        <s v="Agatti"/>
        <s v="Agatti (Area 1)"/>
        <s v="Agatti (Area 2)"/>
        <s v="Agatti (Area 3)"/>
        <s v="Agatti (Area 4)"/>
        <s v="Agatti (Area 5)"/>
        <s v="Agatti (Area 6)"/>
        <s v="Amini"/>
        <s v="Amini (Area 1)"/>
        <s v="Amini (Area 2)"/>
        <s v="Amini (Area 3)"/>
        <s v="Amini (Area 4)"/>
        <s v="Amini (Area 5)"/>
        <s v="Amini (Area 6)"/>
        <s v="Androth"/>
        <s v="Androth (Area 1)"/>
        <s v="Androth (Area 2)"/>
        <s v="Androth (Area 3)"/>
        <s v="Androth (Area 4)"/>
        <s v="Androth (Area 5)"/>
        <s v="Androth (Area 6)"/>
        <s v="Bithra"/>
        <s v="Bithra (Area 1)"/>
        <s v="Bithra (Area 2)"/>
        <s v="Bithra (Area 3)"/>
        <s v="Bithra (Area 4)"/>
        <s v="Bithra (Area 5)"/>
        <s v="Bithra (Area 6)"/>
        <s v="Chethlath"/>
        <s v="Chethlath (Area 1)"/>
        <s v="Chethlath (Area 2)"/>
        <s v="Chethlath (Area 3)"/>
        <s v="Chethlath (Area 4)"/>
        <s v="Chethlath (Area 5)"/>
        <s v="Chethlath (Area 6)"/>
        <s v="Kadmath"/>
        <s v="Kadmath (Area 1)"/>
        <s v="Kadmath (Area 2)"/>
        <s v="Kadmath (Area 3)"/>
        <s v="Kadmath (Area 4)"/>
        <s v="Kadmath (Area 5)"/>
        <s v="Kadmath (Area 6)"/>
        <s v="Kalpeni"/>
        <s v="Kalpeni (Area 1)"/>
        <s v="Kalpeni (Area 2)"/>
        <s v="Kalpeni (Area 3)"/>
        <s v="Kalpeni (Area 4)"/>
        <s v="Kalpeni (Area 5)"/>
        <s v="Kalpeni (Area 6)"/>
        <s v="Kavaratti"/>
        <s v="Kavaratti (Area 1)"/>
        <s v="Kavaratti (Area 2)"/>
        <s v="Kavaratti (Area 3)"/>
        <s v="Kavaratti (Area 4)"/>
        <s v="Kavaratti (Area 5)"/>
        <s v="Kavaratti (Area 6)"/>
        <s v="Kilthan"/>
        <s v="Kilthan (Area 1)"/>
        <s v="Kilthan (Area 2)"/>
        <s v="Kilthan (Area 3)"/>
        <s v="Kilthan (Area 4)"/>
        <s v="Kilthan (Area 5)"/>
        <s v="Kilthan (Area 6)"/>
        <s v="Minicoy"/>
        <s v="Minicoy (Area 1)"/>
        <s v="Minicoy (Area 2)"/>
        <s v="Minicoy (Area 3)"/>
        <s v="Minicoy (Area 4)"/>
        <s v="Minicoy (Area 5)"/>
        <s v="Minicoy (Area 6)"/>
        <s v="Agar Malwa"/>
        <s v="Agar Malwa (Area 1)"/>
        <s v="Agar Malwa (Area 2)"/>
        <s v="Agar Malwa (Area 3)"/>
        <s v="Agar Malwa (Area 4)"/>
        <s v="Agar Malwa (Area 5)"/>
        <s v="Agar Malwa (Area 6)"/>
        <s v="Alirajpur"/>
        <s v="Alirajpur (Area 1)"/>
        <s v="Alirajpur (Area 2)"/>
        <s v="Alirajpur (Area 3)"/>
        <s v="Alirajpur (Area 4)"/>
        <s v="Alirajpur (Area 5)"/>
        <s v="Alirajpur (Area 6)"/>
        <s v="Anuppur"/>
        <s v="Anuppur (Area 1)"/>
        <s v="Anuppur (Area 2)"/>
        <s v="Anuppur (Area 3)"/>
        <s v="Anuppur (Area 4)"/>
        <s v="Anuppur (Area 5)"/>
        <s v="Anuppur (Area 6)"/>
        <s v="Ashoknagar"/>
        <s v="Ashoknagar (Area 1)"/>
        <s v="Ashoknagar (Area 2)"/>
        <s v="Ashoknagar (Area 3)"/>
        <s v="Ashoknagar (Area 4)"/>
        <s v="Ashoknagar (Area 5)"/>
        <s v="Ashoknagar (Area 6)"/>
        <s v="Balaghat"/>
        <s v="Balaghat (Area 1)"/>
        <s v="Balaghat (Area 2)"/>
        <s v="Balaghat (Area 3)"/>
        <s v="Balaghat (Area 4)"/>
        <s v="Balaghat (Area 5)"/>
        <s v="Balaghat (Area 6)"/>
        <s v="Barwani"/>
        <s v="Barwani (Area 1)"/>
        <s v="Barwani (Area 2)"/>
        <s v="Barwani (Area 3)"/>
        <s v="Barwani (Area 4)"/>
        <s v="Barwani (Area 5)"/>
        <s v="Barwani (Area 6)"/>
        <s v="Betul"/>
        <s v="Betul (Area 1)"/>
        <s v="Betul (Area 2)"/>
        <s v="Betul (Area 3)"/>
        <s v="Betul (Area 4)"/>
        <s v="Betul (Area 5)"/>
        <s v="Betul (Area 6)"/>
        <s v="Bhind"/>
        <s v="Bhind (Area 1)"/>
        <s v="Bhind (Area 2)"/>
        <s v="Bhind (Area 3)"/>
        <s v="Bhind (Area 4)"/>
        <s v="Bhind (Area 5)"/>
        <s v="Bhind (Area 6)"/>
        <s v="Bhopal"/>
        <s v="Bhopal (Area 1)"/>
        <s v="Bhopal (Area 2)"/>
        <s v="Bhopal (Area 3)"/>
        <s v="Bhopal (Area 4)"/>
        <s v="Bhopal (Area 5)"/>
        <s v="Bhopal (Area 6)"/>
        <s v="Burhanpur"/>
        <s v="Burhanpur (Area 1)"/>
        <s v="Burhanpur (Area 2)"/>
        <s v="Burhanpur (Area 3)"/>
        <s v="Burhanpur (Area 4)"/>
        <s v="Burhanpur (Area 5)"/>
        <s v="Burhanpur (Area 6)"/>
        <s v="Chhatarpur"/>
        <s v="Chhatarpur (Area 1)"/>
        <s v="Chhatarpur (Area 2)"/>
        <s v="Chhatarpur (Area 3)"/>
        <s v="Chhatarpur (Area 4)"/>
        <s v="Chhatarpur (Area 5)"/>
        <s v="Chhatarpur (Area 6)"/>
        <s v="Chhindwara"/>
        <s v="Chhindwara (Area 1)"/>
        <s v="Chhindwara (Area 2)"/>
        <s v="Chhindwara (Area 3)"/>
        <s v="Chhindwara (Area 4)"/>
        <s v="Chhindwara (Area 5)"/>
        <s v="Chhindwara (Area 6)"/>
        <s v="Damoh"/>
        <s v="Damoh (Area 1)"/>
        <s v="Damoh (Area 2)"/>
        <s v="Damoh (Area 3)"/>
        <s v="Damoh (Area 4)"/>
        <s v="Damoh (Area 5)"/>
        <s v="Damoh (Area 6)"/>
        <s v="Datia"/>
        <s v="Datia (Area 1)"/>
        <s v="Datia (Area 2)"/>
        <s v="Datia (Area 3)"/>
        <s v="Datia (Area 4)"/>
        <s v="Datia (Area 5)"/>
        <s v="Datia (Area 6)"/>
        <s v="Dewas"/>
        <s v="Dewas (Area 1)"/>
        <s v="Dewas (Area 2)"/>
        <s v="Dewas (Area 3)"/>
        <s v="Dewas (Area 4)"/>
        <s v="Dewas (Area 5)"/>
        <s v="Dewas (Area 6)"/>
        <s v="Dhar"/>
        <s v="Dhar (Area 1)"/>
        <s v="Dhar (Area 2)"/>
        <s v="Dhar (Area 3)"/>
        <s v="Dhar (Area 4)"/>
        <s v="Dhar (Area 5)"/>
        <s v="Dhar (Area 6)"/>
        <s v="Dindori"/>
        <s v="Dindori (Area 1)"/>
        <s v="Dindori (Area 2)"/>
        <s v="Dindori (Area 3)"/>
        <s v="Dindori (Area 4)"/>
        <s v="Dindori (Area 5)"/>
        <s v="Dindori (Area 6)"/>
        <s v="Guna"/>
        <s v="Guna (Area 1)"/>
        <s v="Guna (Area 2)"/>
        <s v="Guna (Area 3)"/>
        <s v="Guna (Area 4)"/>
        <s v="Guna (Area 5)"/>
        <s v="Guna (Area 6)"/>
        <s v="Gwalior"/>
        <s v="Gwalior (Area 1)"/>
        <s v="Gwalior (Area 2)"/>
        <s v="Gwalior (Area 3)"/>
        <s v="Gwalior (Area 4)"/>
        <s v="Gwalior (Area 5)"/>
        <s v="Gwalior (Area 6)"/>
        <s v="Harda"/>
        <s v="Harda (Area 1)"/>
        <s v="Harda (Area 2)"/>
        <s v="Harda (Area 3)"/>
        <s v="Harda (Area 4)"/>
        <s v="Harda (Area 5)"/>
        <s v="Harda (Area 6)"/>
        <s v="Hoshangabad"/>
        <s v="Hoshangabad (Area 1)"/>
        <s v="Hoshangabad (Area 2)"/>
        <s v="Hoshangabad (Area 3)"/>
        <s v="Hoshangabad (Area 4)"/>
        <s v="Hoshangabad (Area 5)"/>
        <s v="Hoshangabad (Area 6)"/>
        <s v="Indore"/>
        <s v="Indore (Area 1)"/>
        <s v="Indore (Area 2)"/>
        <s v="Indore (Area 3)"/>
        <s v="Indore (Area 4)"/>
        <s v="Indore (Area 5)"/>
        <s v="Indore (Area 6)"/>
        <s v="Jabalpur"/>
        <s v="Jabalpur (Area 1)"/>
        <s v="Jabalpur (Area 2)"/>
        <s v="Jabalpur (Area 3)"/>
        <s v="Jabalpur (Area 4)"/>
        <s v="Jabalpur (Area 5)"/>
        <s v="Jabalpur (Area 6)"/>
        <s v="Jhabua"/>
        <s v="Jhabua (Area 1)"/>
        <s v="Jhabua (Area 2)"/>
        <s v="Jhabua (Area 3)"/>
        <s v="Jhabua (Area 4)"/>
        <s v="Jhabua (Area 5)"/>
        <s v="Jhabua (Area 6)"/>
        <s v="Katni"/>
        <s v="Katni (Area 1)"/>
        <s v="Katni (Area 2)"/>
        <s v="Katni (Area 3)"/>
        <s v="Katni (Area 4)"/>
        <s v="Katni (Area 5)"/>
        <s v="Katni (Area 6)"/>
        <s v="Khandwa"/>
        <s v="Khandwa (Area 1)"/>
        <s v="Khandwa (Area 2)"/>
        <s v="Khandwa (Area 3)"/>
        <s v="Khandwa (Area 4)"/>
        <s v="Khandwa (Area 5)"/>
        <s v="Khandwa (Area 6)"/>
        <s v="Khargone"/>
        <s v="Khargone (Area 1)"/>
        <s v="Khargone (Area 2)"/>
        <s v="Khargone (Area 3)"/>
        <s v="Khargone (Area 4)"/>
        <s v="Khargone (Area 5)"/>
        <s v="Khargone (Area 6)"/>
        <s v="Mandla"/>
        <s v="Mandla (Area 1)"/>
        <s v="Mandla (Area 2)"/>
        <s v="Mandla (Area 3)"/>
        <s v="Mandla (Area 4)"/>
        <s v="Mandla (Area 5)"/>
        <s v="Mandla (Area 6)"/>
        <s v="Mandsaur"/>
        <s v="Mandsaur (Area 1)"/>
        <s v="Mandsaur (Area 2)"/>
        <s v="Mandsaur (Area 3)"/>
        <s v="Mandsaur (Area 4)"/>
        <s v="Mandsaur (Area 5)"/>
        <s v="Mandsaur (Area 6)"/>
        <s v="Morena"/>
        <s v="Morena (Area 1)"/>
        <s v="Morena (Area 2)"/>
        <s v="Morena (Area 3)"/>
        <s v="Morena (Area 4)"/>
        <s v="Morena (Area 5)"/>
        <s v="Morena (Area 6)"/>
        <s v="Narsinghpur"/>
        <s v="Narsinghpur (Area 1)"/>
        <s v="Narsinghpur (Area 2)"/>
        <s v="Narsinghpur (Area 3)"/>
        <s v="Narsinghpur (Area 4)"/>
        <s v="Narsinghpur (Area 5)"/>
        <s v="Narsinghpur (Area 6)"/>
        <s v="Neemuch"/>
        <s v="Neemuch (Area 1)"/>
        <s v="Neemuch (Area 2)"/>
        <s v="Neemuch (Area 3)"/>
        <s v="Neemuch (Area 4)"/>
        <s v="Neemuch (Area 5)"/>
        <s v="Neemuch (Area 6)"/>
        <s v="Panna"/>
        <s v="Panna (Area 1)"/>
        <s v="Panna (Area 2)"/>
        <s v="Panna (Area 3)"/>
        <s v="Panna (Area 4)"/>
        <s v="Panna (Area 5)"/>
        <s v="Panna (Area 6)"/>
        <s v="Raisen"/>
        <s v="Raisen (Area 1)"/>
        <s v="Raisen (Area 2)"/>
        <s v="Raisen (Area 3)"/>
        <s v="Raisen (Area 4)"/>
        <s v="Raisen (Area 5)"/>
        <s v="Raisen (Area 6)"/>
        <s v="Rajgarh"/>
        <s v="Rajgarh (Area 1)"/>
        <s v="Rajgarh (Area 2)"/>
        <s v="Rajgarh (Area 3)"/>
        <s v="Rajgarh (Area 4)"/>
        <s v="Rajgarh (Area 5)"/>
        <s v="Rajgarh (Area 6)"/>
        <s v="Ratlam"/>
        <s v="Ratlam (Area 1)"/>
        <s v="Ratlam (Area 2)"/>
        <s v="Ratlam (Area 3)"/>
        <s v="Ratlam (Area 4)"/>
        <s v="Ratlam (Area 5)"/>
        <s v="Ratlam (Area 6)"/>
        <s v="Rewa"/>
        <s v="Rewa (Area 1)"/>
        <s v="Rewa (Area 2)"/>
        <s v="Rewa (Area 3)"/>
        <s v="Rewa (Area 4)"/>
        <s v="Rewa (Area 5)"/>
        <s v="Rewa (Area 6)"/>
        <s v="Sagar"/>
        <s v="Sagar (Area 1)"/>
        <s v="Sagar (Area 2)"/>
        <s v="Sagar (Area 3)"/>
        <s v="Sagar (Area 4)"/>
        <s v="Sagar (Area 5)"/>
        <s v="Sagar (Area 6)"/>
        <s v="Satna"/>
        <s v="Satna (Area 1)"/>
        <s v="Satna (Area 2)"/>
        <s v="Satna (Area 3)"/>
        <s v="Satna (Area 4)"/>
        <s v="Satna (Area 5)"/>
        <s v="Satna (Area 6)"/>
        <s v="Sehore"/>
        <s v="Sehore (Area 1)"/>
        <s v="Sehore (Area 2)"/>
        <s v="Sehore (Area 3)"/>
        <s v="Sehore (Area 4)"/>
        <s v="Sehore (Area 5)"/>
        <s v="Sehore (Area 6)"/>
        <s v="Seoni"/>
        <s v="Seoni (Area 1)"/>
        <s v="Seoni (Area 2)"/>
        <s v="Seoni (Area 3)"/>
        <s v="Seoni (Area 4)"/>
        <s v="Seoni (Area 5)"/>
        <s v="Seoni (Area 6)"/>
        <s v="Shahdol"/>
        <s v="Shahdol (Area 1)"/>
        <s v="Shahdol (Area 2)"/>
        <s v="Shahdol (Area 3)"/>
        <s v="Shahdol (Area 4)"/>
        <s v="Shahdol (Area 5)"/>
        <s v="Shahdol (Area 6)"/>
        <s v="Shajapur"/>
        <s v="Shajapur (Area 1)"/>
        <s v="Shajapur (Area 2)"/>
        <s v="Shajapur (Area 3)"/>
        <s v="Shajapur (Area 4)"/>
        <s v="Shajapur (Area 5)"/>
        <s v="Shajapur (Area 6)"/>
        <s v="Sheopur"/>
        <s v="Sheopur (Area 1)"/>
        <s v="Sheopur (Area 2)"/>
        <s v="Sheopur (Area 3)"/>
        <s v="Sheopur (Area 4)"/>
        <s v="Sheopur (Area 5)"/>
        <s v="Sheopur (Area 6)"/>
        <s v="Shivpuri"/>
        <s v="Shivpuri (Area 1)"/>
        <s v="Shivpuri (Area 2)"/>
        <s v="Shivpuri (Area 3)"/>
        <s v="Shivpuri (Area 4)"/>
        <s v="Shivpuri (Area 5)"/>
        <s v="Shivpuri (Area 6)"/>
        <s v="Sidhi"/>
        <s v="Sidhi (Area 1)"/>
        <s v="Sidhi (Area 2)"/>
        <s v="Sidhi (Area 3)"/>
        <s v="Sidhi (Area 4)"/>
        <s v="Sidhi (Area 5)"/>
        <s v="Sidhi (Area 6)"/>
        <s v="Singrauli"/>
        <s v="Singrauli (Area 1)"/>
        <s v="Singrauli (Area 2)"/>
        <s v="Singrauli (Area 3)"/>
        <s v="Singrauli (Area 4)"/>
        <s v="Singrauli (Area 5)"/>
        <s v="Singrauli (Area 6)"/>
        <s v="Tikamgarh"/>
        <s v="Tikamgarh (Area 1)"/>
        <s v="Tikamgarh (Area 2)"/>
        <s v="Tikamgarh (Area 3)"/>
        <s v="Tikamgarh (Area 4)"/>
        <s v="Tikamgarh (Area 5)"/>
        <s v="Tikamgarh (Area 6)"/>
        <s v="Ujjain"/>
        <s v="Ujjain (Area 1)"/>
        <s v="Ujjain (Area 2)"/>
        <s v="Ujjain (Area 3)"/>
        <s v="Ujjain (Area 4)"/>
        <s v="Ujjain (Area 5)"/>
        <s v="Ujjain (Area 6)"/>
        <s v="Umaria"/>
        <s v="Umaria (Area 1)"/>
        <s v="Umaria (Area 2)"/>
        <s v="Umaria (Area 3)"/>
        <s v="Umaria (Area 4)"/>
        <s v="Umaria (Area 5)"/>
        <s v="Umaria (Area 6)"/>
        <s v="Vidisha"/>
        <s v="Vidisha (Area 1)"/>
        <s v="Vidisha (Area 2)"/>
        <s v="Vidisha (Area 3)"/>
        <s v="Vidisha (Area 4)"/>
        <s v="Vidisha (Area 5)"/>
        <s v="Vidisha (Area 6)"/>
        <s v="Ahmednagar"/>
        <s v="Ahmednagar (Area 1)"/>
        <s v="Ahmednagar (Area 2)"/>
        <s v="Ahmednagar (Area 3)"/>
        <s v="Ahmednagar (Area 4)"/>
        <s v="Ahmednagar (Area 5)"/>
        <s v="Ahmednagar (Area 6)"/>
        <s v="Akola"/>
        <s v="Akola (Area 1)"/>
        <s v="Akola (Area 2)"/>
        <s v="Akola (Area 3)"/>
        <s v="Akola (Area 4)"/>
        <s v="Akola (Area 5)"/>
        <s v="Akola (Area 6)"/>
        <s v="Amravati"/>
        <s v="Amravati (Area 1)"/>
        <s v="Amravati (Area 2)"/>
        <s v="Amravati (Area 3)"/>
        <s v="Amravati (Area 4)"/>
        <s v="Amravati (Area 5)"/>
        <s v="Amravati (Area 6)"/>
        <s v="Beed"/>
        <s v="Beed (Area 1)"/>
        <s v="Beed (Area 2)"/>
        <s v="Beed (Area 3)"/>
        <s v="Beed (Area 4)"/>
        <s v="Beed (Area 5)"/>
        <s v="Beed (Area 6)"/>
        <s v="Bhandara"/>
        <s v="Bhandara (Area 1)"/>
        <s v="Bhandara (Area 2)"/>
        <s v="Bhandara (Area 3)"/>
        <s v="Bhandara (Area 4)"/>
        <s v="Bhandara (Area 5)"/>
        <s v="Bhandara (Area 6)"/>
        <s v="Buldhana"/>
        <s v="Buldhana (Area 1)"/>
        <s v="Buldhana (Area 2)"/>
        <s v="Buldhana (Area 3)"/>
        <s v="Buldhana (Area 4)"/>
        <s v="Buldhana (Area 5)"/>
        <s v="Buldhana (Area 6)"/>
        <s v="Chandrapur"/>
        <s v="Chandrapur (Area 1)"/>
        <s v="Chandrapur (Area 2)"/>
        <s v="Chandrapur (Area 3)"/>
        <s v="Chandrapur (Area 4)"/>
        <s v="Chandrapur (Area 5)"/>
        <s v="Chandrapur (Area 6)"/>
        <s v="Dhule"/>
        <s v="Dhule (Area 1)"/>
        <s v="Dhule (Area 2)"/>
        <s v="Dhule (Area 3)"/>
        <s v="Dhule (Area 4)"/>
        <s v="Dhule (Area 5)"/>
        <s v="Dhule (Area 6)"/>
        <s v="Gadchiroli"/>
        <s v="Gadchiroli (Area 1)"/>
        <s v="Gadchiroli (Area 2)"/>
        <s v="Gadchiroli (Area 3)"/>
        <s v="Gadchiroli (Area 4)"/>
        <s v="Gadchiroli (Area 5)"/>
        <s v="Gadchiroli (Area 6)"/>
        <s v="Gondia"/>
        <s v="Gondia (Area 1)"/>
        <s v="Gondia (Area 2)"/>
        <s v="Gondia (Area 3)"/>
        <s v="Gondia (Area 4)"/>
        <s v="Gondia (Area 5)"/>
        <s v="Gondia (Area 6)"/>
        <s v="Hingoli"/>
        <s v="Hingoli (Area 1)"/>
        <s v="Hingoli (Area 2)"/>
        <s v="Hingoli (Area 3)"/>
        <s v="Hingoli (Area 4)"/>
        <s v="Hingoli (Area 5)"/>
        <s v="Hingoli (Area 6)"/>
        <s v="Jalgaon"/>
        <s v="Jalgaon (Area 1)"/>
        <s v="Jalgaon (Area 2)"/>
        <s v="Jalgaon (Area 3)"/>
        <s v="Jalgaon (Area 4)"/>
        <s v="Jalgaon (Area 5)"/>
        <s v="Jalgaon (Area 6)"/>
        <s v="Jalna"/>
        <s v="Jalna (Area 1)"/>
        <s v="Jalna (Area 2)"/>
        <s v="Jalna (Area 3)"/>
        <s v="Jalna (Area 4)"/>
        <s v="Jalna (Area 5)"/>
        <s v="Jalna (Area 6)"/>
        <s v="Kolhapur"/>
        <s v="Kolhapur (Area 1)"/>
        <s v="Kolhapur (Area 2)"/>
        <s v="Kolhapur (Area 3)"/>
        <s v="Kolhapur (Area 4)"/>
        <s v="Kolhapur (Area 5)"/>
        <s v="Kolhapur (Area 6)"/>
        <s v="Latur"/>
        <s v="Latur (Area 1)"/>
        <s v="Latur (Area 2)"/>
        <s v="Latur (Area 3)"/>
        <s v="Latur (Area 4)"/>
        <s v="Latur (Area 5)"/>
        <s v="Latur (Area 6)"/>
        <s v="Mumbai City"/>
        <s v="Mumbai City (Area 1)"/>
        <s v="Mumbai City (Area 2)"/>
        <s v="Mumbai City (Area 3)"/>
        <s v="Mumbai City (Area 4)"/>
        <s v="Mumbai City (Area 5)"/>
        <s v="Mumbai City (Area 6)"/>
        <s v="Mumbai Suburban"/>
        <s v="Mumbai Suburban (Area 1)"/>
        <s v="Mumbai Suburban (Area 2)"/>
        <s v="Mumbai Suburban (Area 3)"/>
        <s v="Mumbai Suburban (Area 4)"/>
        <s v="Mumbai Suburban (Area 5)"/>
        <s v="Mumbai Suburban (Area 6)"/>
        <s v="Nagpur"/>
        <s v="Nagpur (Area 1)"/>
        <s v="Nagpur (Area 2)"/>
        <s v="Nagpur (Area 3)"/>
        <s v="Nagpur (Area 4)"/>
        <s v="Nagpur (Area 5)"/>
        <s v="Nagpur (Area 6)"/>
        <s v="Nanded"/>
        <s v="Nanded (Area 1)"/>
        <s v="Nanded (Area 2)"/>
        <s v="Nanded (Area 3)"/>
        <s v="Nanded (Area 4)"/>
        <s v="Nanded (Area 5)"/>
        <s v="Nanded (Area 6)"/>
        <s v="Nandurbar"/>
        <s v="Nandurbar (Area 1)"/>
        <s v="Nandurbar (Area 2)"/>
        <s v="Nandurbar (Area 3)"/>
        <s v="Nandurbar (Area 4)"/>
        <s v="Nandurbar (Area 5)"/>
        <s v="Nandurbar (Area 6)"/>
        <s v="Nashik"/>
        <s v="Nashik (Area 1)"/>
        <s v="Nashik (Area 2)"/>
        <s v="Nashik (Area 3)"/>
        <s v="Nashik (Area 4)"/>
        <s v="Nashik (Area 5)"/>
        <s v="Nashik (Area 6)"/>
        <s v="Osmanabad"/>
        <s v="Osmanabad (Area 1)"/>
        <s v="Osmanabad (Area 2)"/>
        <s v="Osmanabad (Area 3)"/>
        <s v="Osmanabad (Area 4)"/>
        <s v="Osmanabad (Area 5)"/>
        <s v="Osmanabad (Area 6)"/>
        <s v="Palghar"/>
        <s v="Palghar (Area 1)"/>
        <s v="Palghar (Area 2)"/>
        <s v="Palghar (Area 3)"/>
        <s v="Palghar (Area 4)"/>
        <s v="Palghar (Area 5)"/>
        <s v="Palghar (Area 6)"/>
        <s v="Parbhani"/>
        <s v="Parbhani (Area 1)"/>
        <s v="Parbhani (Area 2)"/>
        <s v="Parbhani (Area 3)"/>
        <s v="Parbhani (Area 4)"/>
        <s v="Parbhani (Area 5)"/>
        <s v="Parbhani (Area 6)"/>
        <s v="Pune"/>
        <s v="Pune (Area 1)"/>
        <s v="Pune (Area 2)"/>
        <s v="Pune (Area 3)"/>
        <s v="Pune (Area 4)"/>
        <s v="Pune (Area 5)"/>
        <s v="Pune (Area 6)"/>
        <s v="Raigad"/>
        <s v="Raigad (Area 1)"/>
        <s v="Raigad (Area 2)"/>
        <s v="Raigad (Area 3)"/>
        <s v="Raigad (Area 4)"/>
        <s v="Raigad (Area 5)"/>
        <s v="Raigad (Area 6)"/>
        <s v="Ratnagiri"/>
        <s v="Ratnagiri (Area 1)"/>
        <s v="Ratnagiri (Area 2)"/>
        <s v="Ratnagiri (Area 3)"/>
        <s v="Ratnagiri (Area 4)"/>
        <s v="Ratnagiri (Area 5)"/>
        <s v="Ratnagiri (Area 6)"/>
        <s v="Sangli"/>
        <s v="Sangli (Area 1)"/>
        <s v="Sangli (Area 2)"/>
        <s v="Sangli (Area 3)"/>
        <s v="Sangli (Area 4)"/>
        <s v="Sangli (Area 5)"/>
        <s v="Sangli (Area 6)"/>
        <s v="Satara"/>
        <s v="Satara (Area 1)"/>
        <s v="Satara (Area 2)"/>
        <s v="Satara (Area 3)"/>
        <s v="Satara (Area 4)"/>
        <s v="Satara (Area 5)"/>
        <s v="Satara (Area 6)"/>
        <s v="Sindhudurg"/>
        <s v="Sindhudurg (Area 1)"/>
        <s v="Sindhudurg (Area 2)"/>
        <s v="Sindhudurg (Area 3)"/>
        <s v="Sindhudurg (Area 4)"/>
        <s v="Sindhudurg (Area 5)"/>
        <s v="Sindhudurg (Area 6)"/>
        <s v="Solapur"/>
        <s v="Solapur (Area 1)"/>
        <s v="Solapur (Area 2)"/>
        <s v="Solapur (Area 3)"/>
        <s v="Solapur (Area 4)"/>
        <s v="Solapur (Area 5)"/>
        <s v="Solapur (Area 6)"/>
        <s v="Thane"/>
        <s v="Thane (Area 1)"/>
        <s v="Thane (Area 2)"/>
        <s v="Thane (Area 3)"/>
        <s v="Thane (Area 4)"/>
        <s v="Thane (Area 5)"/>
        <s v="Thane (Area 6)"/>
        <s v="Wardha"/>
        <s v="Wardha (Area 1)"/>
        <s v="Wardha (Area 2)"/>
        <s v="Wardha (Area 3)"/>
        <s v="Wardha (Area 4)"/>
        <s v="Wardha (Area 5)"/>
        <s v="Wardha (Area 6)"/>
        <s v="Washim"/>
        <s v="Washim (Area 1)"/>
        <s v="Washim (Area 2)"/>
        <s v="Washim (Area 3)"/>
        <s v="Washim (Area 4)"/>
        <s v="Washim (Area 5)"/>
        <s v="Washim (Area 6)"/>
        <s v="Yavatmal"/>
        <s v="Yavatmal (Area 1)"/>
        <s v="Yavatmal (Area 2)"/>
        <s v="Yavatmal (Area 3)"/>
        <s v="Yavatmal (Area 4)"/>
        <s v="Yavatmal (Area 5)"/>
        <s v="Yavatmal (Area 6)"/>
        <s v="Bishnupur"/>
        <s v="Bishnupur (Area 1)"/>
        <s v="Bishnupur (Area 2)"/>
        <s v="Bishnupur (Area 3)"/>
        <s v="Bishnupur (Area 4)"/>
        <s v="Bishnupur (Area 5)"/>
        <s v="Bishnupur (Area 6)"/>
        <s v="Chandel"/>
        <s v="Chandel (Area 1)"/>
        <s v="Chandel (Area 2)"/>
        <s v="Chandel (Area 3)"/>
        <s v="Chandel (Area 4)"/>
        <s v="Chandel (Area 5)"/>
        <s v="Chandel (Area 6)"/>
        <s v="Churachandpur"/>
        <s v="Churachandpur (Area 1)"/>
        <s v="Churachandpur (Area 2)"/>
        <s v="Churachandpur (Area 3)"/>
        <s v="Churachandpur (Area 4)"/>
        <s v="Churachandpur (Area 5)"/>
        <s v="Churachandpur (Area 6)"/>
        <s v="Imphal East"/>
        <s v="Imphal East (Area 1)"/>
        <s v="Imphal East (Area 2)"/>
        <s v="Imphal East (Area 3)"/>
        <s v="Imphal East (Area 4)"/>
        <s v="Imphal East (Area 5)"/>
        <s v="Imphal East (Area 6)"/>
        <s v="Imphal West"/>
        <s v="Imphal West (Area 1)"/>
        <s v="Imphal West (Area 2)"/>
        <s v="Imphal West (Area 3)"/>
        <s v="Imphal West (Area 4)"/>
        <s v="Imphal West (Area 5)"/>
        <s v="Imphal West (Area 6)"/>
        <s v="Jiribam"/>
        <s v="Jiribam (Area 1)"/>
        <s v="Jiribam (Area 2)"/>
        <s v="Jiribam (Area 3)"/>
        <s v="Jiribam (Area 4)"/>
        <s v="Jiribam (Area 5)"/>
        <s v="Jiribam (Area 6)"/>
        <s v="Kakching"/>
        <s v="Kakching (Area 1)"/>
        <s v="Kakching (Area 2)"/>
        <s v="Kakching (Area 3)"/>
        <s v="Kakching (Area 4)"/>
        <s v="Kakching (Area 5)"/>
        <s v="Kakching (Area 6)"/>
        <s v="Kamjong"/>
        <s v="Kamjong (Area 1)"/>
        <s v="Kamjong (Area 2)"/>
        <s v="Kamjong (Area 3)"/>
        <s v="Kamjong (Area 4)"/>
        <s v="Kamjong (Area 5)"/>
        <s v="Kamjong (Area 6)"/>
        <s v="Kangpokpi"/>
        <s v="Kangpokpi (Area 1)"/>
        <s v="Kangpokpi (Area 2)"/>
        <s v="Kangpokpi (Area 3)"/>
        <s v="Kangpokpi (Area 4)"/>
        <s v="Kangpokpi (Area 5)"/>
        <s v="Kangpokpi (Area 6)"/>
        <s v="Noney"/>
        <s v="Noney (Area 1)"/>
        <s v="Noney (Area 2)"/>
        <s v="Noney (Area 3)"/>
        <s v="Noney (Area 4)"/>
        <s v="Noney (Area 5)"/>
        <s v="Noney (Area 6)"/>
        <s v="Pherzawl"/>
        <s v="Pherzawl (Area 1)"/>
        <s v="Pherzawl (Area 2)"/>
        <s v="Pherzawl (Area 3)"/>
        <s v="Pherzawl (Area 4)"/>
        <s v="Pherzawl (Area 5)"/>
        <s v="Pherzawl (Area 6)"/>
        <s v="Senapati"/>
        <s v="Senapati (Area 1)"/>
        <s v="Senapati (Area 2)"/>
        <s v="Senapati (Area 3)"/>
        <s v="Senapati (Area 4)"/>
        <s v="Senapati (Area 5)"/>
        <s v="Senapati (Area 6)"/>
        <s v="Tamenglong"/>
        <s v="Tamenglong (Area 1)"/>
        <s v="Tamenglong (Area 2)"/>
        <s v="Tamenglong (Area 3)"/>
        <s v="Tamenglong (Area 4)"/>
        <s v="Tamenglong (Area 5)"/>
        <s v="Tamenglong (Area 6)"/>
        <s v="Tengnoupal"/>
        <s v="Tengnoupal (Area 1)"/>
        <s v="Tengnoupal (Area 2)"/>
        <s v="Tengnoupal (Area 3)"/>
        <s v="Tengnoupal (Area 4)"/>
        <s v="Tengnoupal (Area 5)"/>
        <s v="Tengnoupal (Area 6)"/>
        <s v="Thoubal"/>
        <s v="Thoubal (Area 1)"/>
        <s v="Thoubal (Area 2)"/>
        <s v="Thoubal (Area 3)"/>
        <s v="Thoubal (Area 4)"/>
        <s v="Thoubal (Area 5)"/>
        <s v="Thoubal (Area 6)"/>
        <s v="Ukhrul"/>
        <s v="Ukhrul (Area 1)"/>
        <s v="Ukhrul (Area 2)"/>
        <s v="Ukhrul (Area 3)"/>
        <s v="Ukhrul (Area 4)"/>
        <s v="Ukhrul (Area 5)"/>
        <s v="Ukhrul (Area 6)"/>
        <s v="East Garo Hills"/>
        <s v="East Garo Hills (Area 1)"/>
        <s v="East Garo Hills (Area 2)"/>
        <s v="East Garo Hills (Area 3)"/>
        <s v="East Garo Hills (Area 4)"/>
        <s v="East Garo Hills (Area 5)"/>
        <s v="East Garo Hills (Area 6)"/>
        <s v="East Jaintia Hills"/>
        <s v="East Jaintia Hills (Area 1)"/>
        <s v="East Jaintia Hills (Area 2)"/>
        <s v="East Jaintia Hills (Area 3)"/>
        <s v="East Jaintia Hills (Area 4)"/>
        <s v="East Jaintia Hills (Area 5)"/>
        <s v="East Jaintia Hills (Area 6)"/>
        <s v="East Khasi Hills"/>
        <s v="East Khasi Hills (Area 1)"/>
        <s v="East Khasi Hills (Area 2)"/>
        <s v="East Khasi Hills (Area 3)"/>
        <s v="East Khasi Hills (Area 4)"/>
        <s v="East Khasi Hills (Area 5)"/>
        <s v="East Khasi Hills (Area 6)"/>
        <s v="North Garo Hills"/>
        <s v="North Garo Hills (Area 1)"/>
        <s v="North Garo Hills (Area 2)"/>
        <s v="North Garo Hills (Area 3)"/>
        <s v="North Garo Hills (Area 4)"/>
        <s v="North Garo Hills (Area 5)"/>
        <s v="North Garo Hills (Area 6)"/>
        <s v="Ri Bhoi"/>
        <s v="Ri Bhoi (Area 1)"/>
        <s v="Ri Bhoi (Area 2)"/>
        <s v="Ri Bhoi (Area 3)"/>
        <s v="Ri Bhoi (Area 4)"/>
        <s v="Ri Bhoi (Area 5)"/>
        <s v="Ri Bhoi (Area 6)"/>
        <s v="South Garo Hills"/>
        <s v="South Garo Hills (Area 1)"/>
        <s v="South Garo Hills (Area 2)"/>
        <s v="South Garo Hills (Area 3)"/>
        <s v="South Garo Hills (Area 4)"/>
        <s v="South Garo Hills (Area 5)"/>
        <s v="South Garo Hills (Area 6)"/>
        <s v="South West Garo Hills "/>
        <s v="South West Garo Hills  (Area 1)"/>
        <s v="South West Garo Hills  (Area 2)"/>
        <s v="South West Garo Hills  (Area 3)"/>
        <s v="South West Garo Hills  (Area 4)"/>
        <s v="South West Garo Hills  (Area 5)"/>
        <s v="South West Garo Hills  (Area 6)"/>
        <s v="South West Khasi Hills"/>
        <s v="South West Khasi Hills (Area 1)"/>
        <s v="South West Khasi Hills (Area 2)"/>
        <s v="South West Khasi Hills (Area 3)"/>
        <s v="South West Khasi Hills (Area 4)"/>
        <s v="South West Khasi Hills (Area 5)"/>
        <s v="South West Khasi Hills (Area 6)"/>
        <s v="West Garo Hills"/>
        <s v="West Garo Hills (Area 1)"/>
        <s v="West Garo Hills (Area 2)"/>
        <s v="West Garo Hills (Area 3)"/>
        <s v="West Garo Hills (Area 4)"/>
        <s v="West Garo Hills (Area 5)"/>
        <s v="West Garo Hills (Area 6)"/>
        <s v="West Jaintia Hills"/>
        <s v="West Jaintia Hills (Area 1)"/>
        <s v="West Jaintia Hills (Area 2)"/>
        <s v="West Jaintia Hills (Area 3)"/>
        <s v="West Jaintia Hills (Area 4)"/>
        <s v="West Jaintia Hills (Area 5)"/>
        <s v="West Jaintia Hills (Area 6)"/>
        <s v="West Khasi Hills"/>
        <s v="West Khasi Hills (Area 1)"/>
        <s v="West Khasi Hills (Area 2)"/>
        <s v="West Khasi Hills (Area 3)"/>
        <s v="West Khasi Hills (Area 4)"/>
        <s v="West Khasi Hills (Area 5)"/>
        <s v="West Khasi Hills (Area 6)"/>
        <s v="Aizawl"/>
        <s v="Aizawl (Area 1)"/>
        <s v="Aizawl (Area 2)"/>
        <s v="Aizawl (Area 3)"/>
        <s v="Aizawl (Area 4)"/>
        <s v="Aizawl (Area 5)"/>
        <s v="Aizawl (Area 6)"/>
        <s v="Champhai"/>
        <s v="Champhai (Area 1)"/>
        <s v="Champhai (Area 2)"/>
        <s v="Champhai (Area 3)"/>
        <s v="Champhai (Area 4)"/>
        <s v="Champhai (Area 5)"/>
        <s v="Champhai (Area 6)"/>
        <s v="Kolasib"/>
        <s v="Kolasib (Area 1)"/>
        <s v="Kolasib (Area 2)"/>
        <s v="Kolasib (Area 3)"/>
        <s v="Kolasib (Area 4)"/>
        <s v="Kolasib (Area 5)"/>
        <s v="Kolasib (Area 6)"/>
        <s v="Lawngtlai"/>
        <s v="Lawngtlai (Area 1)"/>
        <s v="Lawngtlai (Area 2)"/>
        <s v="Lawngtlai (Area 3)"/>
        <s v="Lawngtlai (Area 4)"/>
        <s v="Lawngtlai (Area 5)"/>
        <s v="Lawngtlai (Area 6)"/>
        <s v="Lunglei"/>
        <s v="Lunglei (Area 1)"/>
        <s v="Lunglei (Area 2)"/>
        <s v="Lunglei (Area 3)"/>
        <s v="Lunglei (Area 4)"/>
        <s v="Lunglei (Area 5)"/>
        <s v="Lunglei (Area 6)"/>
        <s v="Mamit"/>
        <s v="Mamit (Area 1)"/>
        <s v="Mamit (Area 2)"/>
        <s v="Mamit (Area 3)"/>
        <s v="Mamit (Area 4)"/>
        <s v="Mamit (Area 5)"/>
        <s v="Mamit (Area 6)"/>
        <s v="Saiha"/>
        <s v="Saiha (Area 1)"/>
        <s v="Saiha (Area 2)"/>
        <s v="Saiha (Area 3)"/>
        <s v="Saiha (Area 4)"/>
        <s v="Saiha (Area 5)"/>
        <s v="Saiha (Area 6)"/>
        <s v="Serchhip"/>
        <s v="Serchhip (Area 1)"/>
        <s v="Serchhip (Area 2)"/>
        <s v="Serchhip (Area 3)"/>
        <s v="Serchhip (Area 4)"/>
        <s v="Serchhip (Area 5)"/>
        <s v="Serchhip (Area 6)"/>
        <s v="Dimapur"/>
        <s v="Dimapur (Area 1)"/>
        <s v="Dimapur (Area 2)"/>
        <s v="Dimapur (Area 3)"/>
        <s v="Dimapur (Area 4)"/>
        <s v="Dimapur (Area 5)"/>
        <s v="Dimapur (Area 6)"/>
        <s v="Kiphire"/>
        <s v="Kiphire (Area 1)"/>
        <s v="Kiphire (Area 2)"/>
        <s v="Kiphire (Area 3)"/>
        <s v="Kiphire (Area 4)"/>
        <s v="Kiphire (Area 5)"/>
        <s v="Kiphire (Area 6)"/>
        <s v="Kohima"/>
        <s v="Kohima (Area 1)"/>
        <s v="Kohima (Area 2)"/>
        <s v="Kohima (Area 3)"/>
        <s v="Kohima (Area 4)"/>
        <s v="Kohima (Area 5)"/>
        <s v="Kohima (Area 6)"/>
        <s v="Longleng"/>
        <s v="Longleng (Area 1)"/>
        <s v="Longleng (Area 2)"/>
        <s v="Longleng (Area 3)"/>
        <s v="Longleng (Area 4)"/>
        <s v="Longleng (Area 5)"/>
        <s v="Longleng (Area 6)"/>
        <s v="Mokokchung"/>
        <s v="Mokokchung (Area 1)"/>
        <s v="Mokokchung (Area 2)"/>
        <s v="Mokokchung (Area 3)"/>
        <s v="Mokokchung (Area 4)"/>
        <s v="Mokokchung (Area 5)"/>
        <s v="Mokokchung (Area 6)"/>
        <s v="Mon"/>
        <s v="Mon (Area 1)"/>
        <s v="Mon (Area 2)"/>
        <s v="Mon (Area 3)"/>
        <s v="Mon (Area 4)"/>
        <s v="Mon (Area 5)"/>
        <s v="Mon (Area 6)"/>
        <s v="Peren"/>
        <s v="Peren (Area 1)"/>
        <s v="Peren (Area 2)"/>
        <s v="Peren (Area 3)"/>
        <s v="Peren (Area 4)"/>
        <s v="Peren (Area 5)"/>
        <s v="Peren (Area 6)"/>
        <s v="Phek"/>
        <s v="Phek (Area 1)"/>
        <s v="Phek (Area 2)"/>
        <s v="Phek (Area 3)"/>
        <s v="Phek (Area 4)"/>
        <s v="Phek (Area 5)"/>
        <s v="Phek (Area 6)"/>
        <s v="Tuensang"/>
        <s v="Tuensang (Area 1)"/>
        <s v="Tuensang (Area 2)"/>
        <s v="Tuensang (Area 3)"/>
        <s v="Tuensang (Area 4)"/>
        <s v="Tuensang (Area 5)"/>
        <s v="Tuensang (Area 6)"/>
        <s v="Wokha"/>
        <s v="Wokha (Area 1)"/>
        <s v="Wokha (Area 2)"/>
        <s v="Wokha (Area 3)"/>
        <s v="Wokha (Area 4)"/>
        <s v="Wokha (Area 5)"/>
        <s v="Wokha (Area 6)"/>
        <s v="Zunheboto"/>
        <s v="Zunheboto (Area 1)"/>
        <s v="Zunheboto (Area 2)"/>
        <s v="Zunheboto (Area 3)"/>
        <s v="Zunheboto (Area 4)"/>
        <s v="Zunheboto (Area 5)"/>
        <s v="Zunheboto (Area 6)"/>
        <s v="Angul"/>
        <s v="Angul (Area 1)"/>
        <s v="Angul (Area 2)"/>
        <s v="Angul (Area 3)"/>
        <s v="Angul (Area 4)"/>
        <s v="Angul (Area 5)"/>
        <s v="Angul (Area 6)"/>
        <s v="Balangir"/>
        <s v="Balangir (Area 1)"/>
        <s v="Balangir (Area 2)"/>
        <s v="Balangir (Area 3)"/>
        <s v="Balangir (Area 4)"/>
        <s v="Balangir (Area 5)"/>
        <s v="Balangir (Area 6)"/>
        <s v="Balasore"/>
        <s v="Balasore (Area 1)"/>
        <s v="Balasore (Area 2)"/>
        <s v="Balasore (Area 3)"/>
        <s v="Balasore (Area 4)"/>
        <s v="Balasore (Area 5)"/>
        <s v="Balasore (Area 6)"/>
        <s v="Bargarh"/>
        <s v="Bargarh (Area 1)"/>
        <s v="Bargarh (Area 2)"/>
        <s v="Bargarh (Area 3)"/>
        <s v="Bargarh (Area 4)"/>
        <s v="Bargarh (Area 5)"/>
        <s v="Bargarh (Area 6)"/>
        <s v="Bhadrak"/>
        <s v="Bhadrak (Area 1)"/>
        <s v="Bhadrak (Area 2)"/>
        <s v="Bhadrak (Area 3)"/>
        <s v="Bhadrak (Area 4)"/>
        <s v="Bhadrak (Area 5)"/>
        <s v="Bhadrak (Area 6)"/>
        <s v="Boudh"/>
        <s v="Boudh (Area 1)"/>
        <s v="Boudh (Area 2)"/>
        <s v="Boudh (Area 3)"/>
        <s v="Boudh (Area 4)"/>
        <s v="Boudh (Area 5)"/>
        <s v="Boudh (Area 6)"/>
        <s v="Cuttack"/>
        <s v="Cuttack (Area 1)"/>
        <s v="Cuttack (Area 2)"/>
        <s v="Cuttack (Area 3)"/>
        <s v="Cuttack (Area 4)"/>
        <s v="Cuttack (Area 5)"/>
        <s v="Cuttack (Area 6)"/>
        <s v="Deogarh"/>
        <s v="Deogarh (Area 1)"/>
        <s v="Deogarh (Area 2)"/>
        <s v="Deogarh (Area 3)"/>
        <s v="Deogarh (Area 4)"/>
        <s v="Deogarh (Area 5)"/>
        <s v="Deogarh (Area 6)"/>
        <s v="Dhenkanal"/>
        <s v="Dhenkanal (Area 1)"/>
        <s v="Dhenkanal (Area 2)"/>
        <s v="Dhenkanal (Area 3)"/>
        <s v="Dhenkanal (Area 4)"/>
        <s v="Dhenkanal (Area 5)"/>
        <s v="Dhenkanal (Area 6)"/>
        <s v="Gajapati"/>
        <s v="Gajapati (Area 1)"/>
        <s v="Gajapati (Area 2)"/>
        <s v="Gajapati (Area 3)"/>
        <s v="Gajapati (Area 4)"/>
        <s v="Gajapati (Area 5)"/>
        <s v="Gajapati (Area 6)"/>
        <s v="Ganjam"/>
        <s v="Ganjam (Area 1)"/>
        <s v="Ganjam (Area 2)"/>
        <s v="Ganjam (Area 3)"/>
        <s v="Ganjam (Area 4)"/>
        <s v="Ganjam (Area 5)"/>
        <s v="Ganjam (Area 6)"/>
        <s v="Jagatsinghapur"/>
        <s v="Jagatsinghapur (Area 1)"/>
        <s v="Jagatsinghapur (Area 2)"/>
        <s v="Jagatsinghapur (Area 3)"/>
        <s v="Jagatsinghapur (Area 4)"/>
        <s v="Jagatsinghapur (Area 5)"/>
        <s v="Jagatsinghapur (Area 6)"/>
        <s v="Jajpur"/>
        <s v="Jajpur (Area 1)"/>
        <s v="Jajpur (Area 2)"/>
        <s v="Jajpur (Area 3)"/>
        <s v="Jajpur (Area 4)"/>
        <s v="Jajpur (Area 5)"/>
        <s v="Jajpur (Area 6)"/>
        <s v="Jharsuguda"/>
        <s v="Jharsuguda (Area 1)"/>
        <s v="Jharsuguda (Area 2)"/>
        <s v="Jharsuguda (Area 3)"/>
        <s v="Jharsuguda (Area 4)"/>
        <s v="Jharsuguda (Area 5)"/>
        <s v="Jharsuguda (Area 6)"/>
        <s v="Kalahandi"/>
        <s v="Kalahandi (Area 1)"/>
        <s v="Kalahandi (Area 2)"/>
        <s v="Kalahandi (Area 3)"/>
        <s v="Kalahandi (Area 4)"/>
        <s v="Kalahandi (Area 5)"/>
        <s v="Kalahandi (Area 6)"/>
        <s v="Kandhamal"/>
        <s v="Kandhamal (Area 1)"/>
        <s v="Kandhamal (Area 2)"/>
        <s v="Kandhamal (Area 3)"/>
        <s v="Kandhamal (Area 4)"/>
        <s v="Kandhamal (Area 5)"/>
        <s v="Kandhamal (Area 6)"/>
        <s v="Kendrapara"/>
        <s v="Kendrapara (Area 1)"/>
        <s v="Kendrapara (Area 2)"/>
        <s v="Kendrapara (Area 3)"/>
        <s v="Kendrapara (Area 4)"/>
        <s v="Kendrapara (Area 5)"/>
        <s v="Kendrapara (Area 6)"/>
        <s v="Kendujhar (Keonjhar)"/>
        <s v="Kendujhar (Keonjhar) (Area 1)"/>
        <s v="Kendujhar (Keonjhar) (Area 2)"/>
        <s v="Kendujhar (Keonjhar) (Area 3)"/>
        <s v="Kendujhar (Keonjhar) (Area 4)"/>
        <s v="Kendujhar (Keonjhar) (Area 5)"/>
        <s v="Kendujhar (Keonjhar) (Area 6)"/>
        <s v="Khordha"/>
        <s v="Khordha (Area 1)"/>
        <s v="Khordha (Area 2)"/>
        <s v="Khordha (Area 3)"/>
        <s v="Khordha (Area 4)"/>
        <s v="Khordha (Area 5)"/>
        <s v="Khordha (Area 6)"/>
        <s v="Koraput"/>
        <s v="Koraput (Area 1)"/>
        <s v="Koraput (Area 2)"/>
        <s v="Koraput (Area 3)"/>
        <s v="Koraput (Area 4)"/>
        <s v="Koraput (Area 5)"/>
        <s v="Koraput (Area 6)"/>
        <s v="Malkangiri"/>
        <s v="Malkangiri (Area 1)"/>
        <s v="Malkangiri (Area 2)"/>
        <s v="Malkangiri (Area 3)"/>
        <s v="Malkangiri (Area 4)"/>
        <s v="Malkangiri (Area 5)"/>
        <s v="Malkangiri (Area 6)"/>
        <s v="Mayurbhanj"/>
        <s v="Mayurbhanj (Area 1)"/>
        <s v="Mayurbhanj (Area 2)"/>
        <s v="Mayurbhanj (Area 3)"/>
        <s v="Mayurbhanj (Area 4)"/>
        <s v="Mayurbhanj (Area 5)"/>
        <s v="Mayurbhanj (Area 6)"/>
        <s v="Nabarangpur"/>
        <s v="Nabarangpur (Area 1)"/>
        <s v="Nabarangpur (Area 2)"/>
        <s v="Nabarangpur (Area 3)"/>
        <s v="Nabarangpur (Area 4)"/>
        <s v="Nabarangpur (Area 5)"/>
        <s v="Nabarangpur (Area 6)"/>
        <s v="Nayagarh"/>
        <s v="Nayagarh (Area 1)"/>
        <s v="Nayagarh (Area 2)"/>
        <s v="Nayagarh (Area 3)"/>
        <s v="Nayagarh (Area 4)"/>
        <s v="Nayagarh (Area 5)"/>
        <s v="Nayagarh (Area 6)"/>
        <s v="Nuapada"/>
        <s v="Nuapada (Area 1)"/>
        <s v="Nuapada (Area 2)"/>
        <s v="Nuapada (Area 3)"/>
        <s v="Nuapada (Area 4)"/>
        <s v="Nuapada (Area 5)"/>
        <s v="Nuapada (Area 6)"/>
        <s v="Puri"/>
        <s v="Puri (Area 1)"/>
        <s v="Puri (Area 2)"/>
        <s v="Puri (Area 3)"/>
        <s v="Puri (Area 4)"/>
        <s v="Puri (Area 5)"/>
        <s v="Puri (Area 6)"/>
        <s v="Rayagada"/>
        <s v="Rayagada (Area 1)"/>
        <s v="Rayagada (Area 2)"/>
        <s v="Rayagada (Area 3)"/>
        <s v="Rayagada (Area 4)"/>
        <s v="Rayagada (Area 5)"/>
        <s v="Rayagada (Area 6)"/>
        <s v="Sambalpur"/>
        <s v="Sambalpur (Area 1)"/>
        <s v="Sambalpur (Area 2)"/>
        <s v="Sambalpur (Area 3)"/>
        <s v="Sambalpur (Area 4)"/>
        <s v="Sambalpur (Area 5)"/>
        <s v="Sambalpur (Area 6)"/>
        <s v="Sonepur"/>
        <s v="Sonepur (Area 1)"/>
        <s v="Sonepur (Area 2)"/>
        <s v="Sonepur (Area 3)"/>
        <s v="Sonepur (Area 4)"/>
        <s v="Sonepur (Area 5)"/>
        <s v="Sonepur (Area 6)"/>
        <s v="Sundargarh"/>
        <s v="Sundargarh (Area 1)"/>
        <s v="Sundargarh (Area 2)"/>
        <s v="Sundargarh (Area 3)"/>
        <s v="Sundargarh (Area 4)"/>
        <s v="Sundargarh (Area 5)"/>
        <s v="Sundargarh (Area 6)"/>
        <s v="Karaikal"/>
        <s v="Karaikal (Area 1)"/>
        <s v="Karaikal (Area 2)"/>
        <s v="Karaikal (Area 3)"/>
        <s v="Karaikal (Area 4)"/>
        <s v="Karaikal (Area 5)"/>
        <s v="Karaikal (Area 6)"/>
        <s v="Mahe"/>
        <s v="Mahe (Area 1)"/>
        <s v="Mahe (Area 2)"/>
        <s v="Mahe (Area 3)"/>
        <s v="Mahe (Area 4)"/>
        <s v="Mahe (Area 5)"/>
        <s v="Mahe (Area 6)"/>
        <s v="Pondicherry"/>
        <s v="Pondicherry (Area 1)"/>
        <s v="Pondicherry (Area 2)"/>
        <s v="Pondicherry (Area 3)"/>
        <s v="Pondicherry (Area 4)"/>
        <s v="Pondicherry (Area 5)"/>
        <s v="Pondicherry (Area 6)"/>
        <s v="Yanam"/>
        <s v="Yanam (Area 1)"/>
        <s v="Yanam (Area 2)"/>
        <s v="Yanam (Area 3)"/>
        <s v="Yanam (Area 4)"/>
        <s v="Yanam (Area 5)"/>
        <s v="Yanam (Area 6)"/>
        <s v="Amritsar"/>
        <s v="Amritsar (Area 1)"/>
        <s v="Amritsar (Area 2)"/>
        <s v="Amritsar (Area 3)"/>
        <s v="Amritsar (Area 4)"/>
        <s v="Amritsar (Area 5)"/>
        <s v="Amritsar (Area 6)"/>
        <s v="Barnala"/>
        <s v="Barnala (Area 1)"/>
        <s v="Barnala (Area 2)"/>
        <s v="Barnala (Area 3)"/>
        <s v="Barnala (Area 4)"/>
        <s v="Barnala (Area 5)"/>
        <s v="Barnala (Area 6)"/>
        <s v="Bathinda"/>
        <s v="Bathinda (Area 1)"/>
        <s v="Bathinda (Area 2)"/>
        <s v="Bathinda (Area 3)"/>
        <s v="Bathinda (Area 4)"/>
        <s v="Bathinda (Area 5)"/>
        <s v="Bathinda (Area 6)"/>
        <s v="Faridkot"/>
        <s v="Faridkot (Area 1)"/>
        <s v="Faridkot (Area 2)"/>
        <s v="Faridkot (Area 3)"/>
        <s v="Faridkot (Area 4)"/>
        <s v="Faridkot (Area 5)"/>
        <s v="Faridkot (Area 6)"/>
        <s v="Fatehgarh Sahib"/>
        <s v="Fatehgarh Sahib (Area 1)"/>
        <s v="Fatehgarh Sahib (Area 2)"/>
        <s v="Fatehgarh Sahib (Area 3)"/>
        <s v="Fatehgarh Sahib (Area 4)"/>
        <s v="Fatehgarh Sahib (Area 5)"/>
        <s v="Fatehgarh Sahib (Area 6)"/>
        <s v="Fazilka"/>
        <s v="Fazilka (Area 1)"/>
        <s v="Fazilka (Area 2)"/>
        <s v="Fazilka (Area 3)"/>
        <s v="Fazilka (Area 4)"/>
        <s v="Fazilka (Area 5)"/>
        <s v="Fazilka (Area 6)"/>
        <s v="Ferozepur"/>
        <s v="Ferozepur (Area 1)"/>
        <s v="Ferozepur (Area 2)"/>
        <s v="Ferozepur (Area 3)"/>
        <s v="Ferozepur (Area 4)"/>
        <s v="Ferozepur (Area 5)"/>
        <s v="Ferozepur (Area 6)"/>
        <s v="Gurdaspur"/>
        <s v="Gurdaspur (Area 1)"/>
        <s v="Gurdaspur (Area 2)"/>
        <s v="Gurdaspur (Area 3)"/>
        <s v="Gurdaspur (Area 4)"/>
        <s v="Gurdaspur (Area 5)"/>
        <s v="Gurdaspur (Area 6)"/>
        <s v="Hoshiarpur"/>
        <s v="Hoshiarpur (Area 1)"/>
        <s v="Hoshiarpur (Area 2)"/>
        <s v="Hoshiarpur (Area 3)"/>
        <s v="Hoshiarpur (Area 4)"/>
        <s v="Hoshiarpur (Area 5)"/>
        <s v="Hoshiarpur (Area 6)"/>
        <s v="Jalandhar"/>
        <s v="Jalandhar (Area 1)"/>
        <s v="Jalandhar (Area 2)"/>
        <s v="Jalandhar (Area 3)"/>
        <s v="Jalandhar (Area 4)"/>
        <s v="Jalandhar (Area 5)"/>
        <s v="Jalandhar (Area 6)"/>
        <s v="Kapurthala"/>
        <s v="Kapurthala (Area 1)"/>
        <s v="Kapurthala (Area 2)"/>
        <s v="Kapurthala (Area 3)"/>
        <s v="Kapurthala (Area 4)"/>
        <s v="Kapurthala (Area 5)"/>
        <s v="Kapurthala (Area 6)"/>
        <s v="Ludhiana"/>
        <s v="Ludhiana (Area 1)"/>
        <s v="Ludhiana (Area 2)"/>
        <s v="Ludhiana (Area 3)"/>
        <s v="Ludhiana (Area 4)"/>
        <s v="Ludhiana (Area 5)"/>
        <s v="Ludhiana (Area 6)"/>
        <s v="Mansa"/>
        <s v="Mansa (Area 1)"/>
        <s v="Mansa (Area 2)"/>
        <s v="Mansa (Area 3)"/>
        <s v="Mansa (Area 4)"/>
        <s v="Mansa (Area 5)"/>
        <s v="Mansa (Area 6)"/>
        <s v="Moga"/>
        <s v="Moga (Area 1)"/>
        <s v="Moga (Area 2)"/>
        <s v="Moga (Area 3)"/>
        <s v="Moga (Area 4)"/>
        <s v="Moga (Area 5)"/>
        <s v="Moga (Area 6)"/>
        <s v="Muktsar"/>
        <s v="Muktsar (Area 1)"/>
        <s v="Muktsar (Area 2)"/>
        <s v="Muktsar (Area 3)"/>
        <s v="Muktsar (Area 4)"/>
        <s v="Muktsar (Area 5)"/>
        <s v="Muktsar (Area 6)"/>
        <s v="Nawanshahr (Shahid Bhagat Singh Nagar)"/>
        <s v="Nawanshahr (Shahid Bhagat Singh Nagar) (Area 1)"/>
        <s v="Nawanshahr (Shahid Bhagat Singh Nagar) (Area 2)"/>
        <s v="Nawanshahr (Shahid Bhagat Singh Nagar) (Area 3)"/>
        <s v="Nawanshahr (Shahid Bhagat Singh Nagar) (Area 4)"/>
        <s v="Nawanshahr (Shahid Bhagat Singh Nagar) (Area 5)"/>
        <s v="Nawanshahr (Shahid Bhagat Singh Nagar) (Area 6)"/>
        <s v="Pathankot"/>
        <s v="Pathankot (Area 1)"/>
        <s v="Pathankot (Area 2)"/>
        <s v="Pathankot (Area 3)"/>
        <s v="Pathankot (Area 4)"/>
        <s v="Pathankot (Area 5)"/>
        <s v="Pathankot (Area 6)"/>
        <s v="Patiala"/>
        <s v="Patiala (Area 1)"/>
        <s v="Patiala (Area 2)"/>
        <s v="Patiala (Area 3)"/>
        <s v="Patiala (Area 4)"/>
        <s v="Patiala (Area 5)"/>
        <s v="Patiala (Area 6)"/>
        <s v="Rupnagar"/>
        <s v="Rupnagar (Area 1)"/>
        <s v="Rupnagar (Area 2)"/>
        <s v="Rupnagar (Area 3)"/>
        <s v="Rupnagar (Area 4)"/>
        <s v="Rupnagar (Area 5)"/>
        <s v="Rupnagar (Area 6)"/>
        <s v="Sahibzada Ajit Singh Nagar (Mohali)"/>
        <s v="Sahibzada Ajit Singh Nagar (Mohali) (Area 1)"/>
        <s v="Sahibzada Ajit Singh Nagar (Mohali) (Area 2)"/>
        <s v="Sahibzada Ajit Singh Nagar (Mohali) (Area 3)"/>
        <s v="Sahibzada Ajit Singh Nagar (Mohali) (Area 4)"/>
        <s v="Sahibzada Ajit Singh Nagar (Mohali) (Area 5)"/>
        <s v="Sahibzada Ajit Singh Nagar (Mohali) (Area 6)"/>
        <s v="Sangrur"/>
        <s v="Sangrur (Area 1)"/>
        <s v="Sangrur (Area 2)"/>
        <s v="Sangrur (Area 3)"/>
        <s v="Sangrur (Area 4)"/>
        <s v="Sangrur (Area 5)"/>
        <s v="Sangrur (Area 6)"/>
        <s v="Tarn Taran"/>
        <s v="Tarn Taran (Area 1)"/>
        <s v="Tarn Taran (Area 2)"/>
        <s v="Tarn Taran (Area 3)"/>
        <s v="Tarn Taran (Area 4)"/>
        <s v="Tarn Taran (Area 5)"/>
        <s v="Tarn Taran (Area 6)"/>
        <s v="Ajmer"/>
        <s v="Ajmer (Area 1)"/>
        <s v="Ajmer (Area 2)"/>
        <s v="Ajmer (Area 3)"/>
        <s v="Ajmer (Area 4)"/>
        <s v="Ajmer (Area 5)"/>
        <s v="Ajmer (Area 6)"/>
        <s v="Alwar"/>
        <s v="Alwar (Area 1)"/>
        <s v="Alwar (Area 2)"/>
        <s v="Alwar (Area 3)"/>
        <s v="Alwar (Area 4)"/>
        <s v="Alwar (Area 5)"/>
        <s v="Alwar (Area 6)"/>
        <s v="Banswara"/>
        <s v="Banswara (Area 1)"/>
        <s v="Banswara (Area 2)"/>
        <s v="Banswara (Area 3)"/>
        <s v="Banswara (Area 4)"/>
        <s v="Banswara (Area 5)"/>
        <s v="Banswara (Area 6)"/>
        <s v="Baran"/>
        <s v="Baran (Area 1)"/>
        <s v="Baran (Area 2)"/>
        <s v="Baran (Area 3)"/>
        <s v="Baran (Area 4)"/>
        <s v="Baran (Area 5)"/>
        <s v="Baran (Area 6)"/>
        <s v="Barmer"/>
        <s v="Barmer (Area 1)"/>
        <s v="Barmer (Area 2)"/>
        <s v="Barmer (Area 3)"/>
        <s v="Barmer (Area 4)"/>
        <s v="Barmer (Area 5)"/>
        <s v="Barmer (Area 6)"/>
        <s v="Bharatpur"/>
        <s v="Bharatpur (Area 1)"/>
        <s v="Bharatpur (Area 2)"/>
        <s v="Bharatpur (Area 3)"/>
        <s v="Bharatpur (Area 4)"/>
        <s v="Bharatpur (Area 5)"/>
        <s v="Bharatpur (Area 6)"/>
        <s v="Bhilwara"/>
        <s v="Bhilwara (Area 1)"/>
        <s v="Bhilwara (Area 2)"/>
        <s v="Bhilwara (Area 3)"/>
        <s v="Bhilwara (Area 4)"/>
        <s v="Bhilwara (Area 5)"/>
        <s v="Bhilwara (Area 6)"/>
        <s v="Bikaner"/>
        <s v="Bikaner (Area 1)"/>
        <s v="Bikaner (Area 2)"/>
        <s v="Bikaner (Area 3)"/>
        <s v="Bikaner (Area 4)"/>
        <s v="Bikaner (Area 5)"/>
        <s v="Bikaner (Area 6)"/>
        <s v="Bundi"/>
        <s v="Bundi (Area 1)"/>
        <s v="Bundi (Area 2)"/>
        <s v="Bundi (Area 3)"/>
        <s v="Bundi (Area 4)"/>
        <s v="Bundi (Area 5)"/>
        <s v="Bundi (Area 6)"/>
        <s v="Chittorgarh"/>
        <s v="Chittorgarh (Area 1)"/>
        <s v="Chittorgarh (Area 2)"/>
        <s v="Chittorgarh (Area 3)"/>
        <s v="Chittorgarh (Area 4)"/>
        <s v="Chittorgarh (Area 5)"/>
        <s v="Chittorgarh (Area 6)"/>
        <s v="Churu"/>
        <s v="Churu (Area 1)"/>
        <s v="Churu (Area 2)"/>
        <s v="Churu (Area 3)"/>
        <s v="Churu (Area 4)"/>
        <s v="Churu (Area 5)"/>
        <s v="Churu (Area 6)"/>
        <s v="Dausa"/>
        <s v="Dausa (Area 1)"/>
        <s v="Dausa (Area 2)"/>
        <s v="Dausa (Area 3)"/>
        <s v="Dausa (Area 4)"/>
        <s v="Dausa (Area 5)"/>
        <s v="Dausa (Area 6)"/>
        <s v="Dholpur"/>
        <s v="Dholpur (Area 1)"/>
        <s v="Dholpur (Area 2)"/>
        <s v="Dholpur (Area 3)"/>
        <s v="Dholpur (Area 4)"/>
        <s v="Dholpur (Area 5)"/>
        <s v="Dholpur (Area 6)"/>
        <s v="Dungarpur"/>
        <s v="Dungarpur (Area 1)"/>
        <s v="Dungarpur (Area 2)"/>
        <s v="Dungarpur (Area 3)"/>
        <s v="Dungarpur (Area 4)"/>
        <s v="Dungarpur (Area 5)"/>
        <s v="Dungarpur (Area 6)"/>
        <s v="Hanumangarh"/>
        <s v="Hanumangarh (Area 1)"/>
        <s v="Hanumangarh (Area 2)"/>
        <s v="Hanumangarh (Area 3)"/>
        <s v="Hanumangarh (Area 4)"/>
        <s v="Hanumangarh (Area 5)"/>
        <s v="Hanumangarh (Area 6)"/>
        <s v="Jaipur"/>
        <s v="Jaipur (Area 1)"/>
        <s v="Jaipur (Area 2)"/>
        <s v="Jaipur (Area 3)"/>
        <s v="Jaipur (Area 4)"/>
        <s v="Jaipur (Area 5)"/>
        <s v="Jaipur (Area 6)"/>
        <s v="Jaisalmer"/>
        <s v="Jaisalmer (Area 1)"/>
        <s v="Jaisalmer (Area 2)"/>
        <s v="Jaisalmer (Area 3)"/>
        <s v="Jaisalmer (Area 4)"/>
        <s v="Jaisalmer (Area 5)"/>
        <s v="Jaisalmer (Area 6)"/>
        <s v="Jalore"/>
        <s v="Jalore (Area 1)"/>
        <s v="Jalore (Area 2)"/>
        <s v="Jalore (Area 3)"/>
        <s v="Jalore (Area 4)"/>
        <s v="Jalore (Area 5)"/>
        <s v="Jalore (Area 6)"/>
        <s v="Jhalawar"/>
        <s v="Jhalawar (Area 1)"/>
        <s v="Jhalawar (Area 2)"/>
        <s v="Jhalawar (Area 3)"/>
        <s v="Jhalawar (Area 4)"/>
        <s v="Jhalawar (Area 5)"/>
        <s v="Jhalawar (Area 6)"/>
        <s v="Jhunjhunu"/>
        <s v="Jhunjhunu (Area 1)"/>
        <s v="Jhunjhunu (Area 2)"/>
        <s v="Jhunjhunu (Area 3)"/>
        <s v="Jhunjhunu (Area 4)"/>
        <s v="Jhunjhunu (Area 5)"/>
        <s v="Jhunjhunu (Area 6)"/>
        <s v="Jodhpur"/>
        <s v="Jodhpur (Area 1)"/>
        <s v="Jodhpur (Area 2)"/>
        <s v="Jodhpur (Area 3)"/>
        <s v="Jodhpur (Area 4)"/>
        <s v="Jodhpur (Area 5)"/>
        <s v="Jodhpur (Area 6)"/>
        <s v="Karauli"/>
        <s v="Karauli (Area 1)"/>
        <s v="Karauli (Area 2)"/>
        <s v="Karauli (Area 3)"/>
        <s v="Karauli (Area 4)"/>
        <s v="Karauli (Area 5)"/>
        <s v="Karauli (Area 6)"/>
        <s v="Kota"/>
        <s v="Kota (Area 1)"/>
        <s v="Kota (Area 2)"/>
        <s v="Kota (Area 3)"/>
        <s v="Kota (Area 4)"/>
        <s v="Kota (Area 5)"/>
        <s v="Kota (Area 6)"/>
        <s v="Nagaur"/>
        <s v="Nagaur (Area 1)"/>
        <s v="Nagaur (Area 2)"/>
        <s v="Nagaur (Area 3)"/>
        <s v="Nagaur (Area 4)"/>
        <s v="Nagaur (Area 5)"/>
        <s v="Nagaur (Area 6)"/>
        <s v="Pali"/>
        <s v="Pali (Area 1)"/>
        <s v="Pali (Area 2)"/>
        <s v="Pali (Area 3)"/>
        <s v="Pali (Area 4)"/>
        <s v="Pali (Area 5)"/>
        <s v="Pali (Area 6)"/>
        <s v="Pratapgarh"/>
        <s v="Pratapgarh (Area 1)"/>
        <s v="Pratapgarh (Area 2)"/>
        <s v="Pratapgarh (Area 3)"/>
        <s v="Pratapgarh (Area 4)"/>
        <s v="Pratapgarh (Area 5)"/>
        <s v="Pratapgarh (Area 6)"/>
        <s v="Rajsamand"/>
        <s v="Rajsamand (Area 1)"/>
        <s v="Rajsamand (Area 2)"/>
        <s v="Rajsamand (Area 3)"/>
        <s v="Rajsamand (Area 4)"/>
        <s v="Rajsamand (Area 5)"/>
        <s v="Rajsamand (Area 6)"/>
        <s v="Sawai Madhopur"/>
        <s v="Sawai Madhopur (Area 1)"/>
        <s v="Sawai Madhopur (Area 2)"/>
        <s v="Sawai Madhopur (Area 3)"/>
        <s v="Sawai Madhopur (Area 4)"/>
        <s v="Sawai Madhopur (Area 5)"/>
        <s v="Sawai Madhopur (Area 6)"/>
        <s v="Sikar"/>
        <s v="Sikar (Area 1)"/>
        <s v="Sikar (Area 2)"/>
        <s v="Sikar (Area 3)"/>
        <s v="Sikar (Area 4)"/>
        <s v="Sikar (Area 5)"/>
        <s v="Sikar (Area 6)"/>
        <s v="Sirohi"/>
        <s v="Sirohi (Area 1)"/>
        <s v="Sirohi (Area 2)"/>
        <s v="Sirohi (Area 3)"/>
        <s v="Sirohi (Area 4)"/>
        <s v="Sirohi (Area 5)"/>
        <s v="Sirohi (Area 6)"/>
        <s v="Sri Ganganagar"/>
        <s v="Sri Ganganagar (Area 1)"/>
        <s v="Sri Ganganagar (Area 2)"/>
        <s v="Sri Ganganagar (Area 3)"/>
        <s v="Sri Ganganagar (Area 4)"/>
        <s v="Sri Ganganagar (Area 5)"/>
        <s v="Sri Ganganagar (Area 6)"/>
        <s v="Tonk"/>
        <s v="Tonk (Area 1)"/>
        <s v="Tonk (Area 2)"/>
        <s v="Tonk (Area 3)"/>
        <s v="Tonk (Area 4)"/>
        <s v="Tonk (Area 5)"/>
        <s v="Tonk (Area 6)"/>
        <s v="Udaipur"/>
        <s v="Udaipur (Area 1)"/>
        <s v="Udaipur (Area 2)"/>
        <s v="Udaipur (Area 3)"/>
        <s v="Udaipur (Area 4)"/>
        <s v="Udaipur (Area 5)"/>
        <s v="Udaipur (Area 6)"/>
        <s v="East Sikkim"/>
        <s v="East Sikkim (Area 1)"/>
        <s v="East Sikkim (Area 2)"/>
        <s v="East Sikkim (Area 3)"/>
        <s v="East Sikkim (Area 4)"/>
        <s v="East Sikkim (Area 5)"/>
        <s v="East Sikkim (Area 6)"/>
        <s v="North Sikkim"/>
        <s v="North Sikkim (Area 1)"/>
        <s v="North Sikkim (Area 2)"/>
        <s v="North Sikkim (Area 3)"/>
        <s v="North Sikkim (Area 4)"/>
        <s v="North Sikkim (Area 5)"/>
        <s v="North Sikkim (Area 6)"/>
        <s v="South Sikkim"/>
        <s v="South Sikkim (Area 1)"/>
        <s v="South Sikkim (Area 2)"/>
        <s v="South Sikkim (Area 3)"/>
        <s v="South Sikkim (Area 4)"/>
        <s v="South Sikkim (Area 5)"/>
        <s v="South Sikkim (Area 6)"/>
        <s v="West Sikkim"/>
        <s v="West Sikkim (Area 1)"/>
        <s v="West Sikkim (Area 2)"/>
        <s v="West Sikkim (Area 3)"/>
        <s v="West Sikkim (Area 4)"/>
        <s v="West Sikkim (Area 5)"/>
        <s v="West Sikkim (Area 6)"/>
        <s v="Ariyalur"/>
        <s v="Ariyalur (Area 1)"/>
        <s v="Ariyalur (Area 2)"/>
        <s v="Ariyalur (Area 3)"/>
        <s v="Ariyalur (Area 4)"/>
        <s v="Ariyalur (Area 5)"/>
        <s v="Ariyalur (Area 6)"/>
        <s v="Chennai"/>
        <s v="Chennai (Area 1)"/>
        <s v="Chennai (Area 2)"/>
        <s v="Chennai (Area 3)"/>
        <s v="Chennai (Area 4)"/>
        <s v="Chennai (Area 5)"/>
        <s v="Chennai (Area 6)"/>
        <s v="Coimbatore"/>
        <s v="Coimbatore (Area 1)"/>
        <s v="Coimbatore (Area 2)"/>
        <s v="Coimbatore (Area 3)"/>
        <s v="Coimbatore (Area 4)"/>
        <s v="Coimbatore (Area 5)"/>
        <s v="Coimbatore (Area 6)"/>
        <s v="Cuddalore"/>
        <s v="Cuddalore (Area 1)"/>
        <s v="Cuddalore (Area 2)"/>
        <s v="Cuddalore (Area 3)"/>
        <s v="Cuddalore (Area 4)"/>
        <s v="Cuddalore (Area 5)"/>
        <s v="Cuddalore (Area 6)"/>
        <s v="Dharmapuri"/>
        <s v="Dharmapuri (Area 1)"/>
        <s v="Dharmapuri (Area 2)"/>
        <s v="Dharmapuri (Area 3)"/>
        <s v="Dharmapuri (Area 4)"/>
        <s v="Dharmapuri (Area 5)"/>
        <s v="Dharmapuri (Area 6)"/>
        <s v="Dindigul"/>
        <s v="Dindigul (Area 1)"/>
        <s v="Dindigul (Area 2)"/>
        <s v="Dindigul (Area 3)"/>
        <s v="Dindigul (Area 4)"/>
        <s v="Dindigul (Area 5)"/>
        <s v="Dindigul (Area 6)"/>
        <s v="Erode"/>
        <s v="Erode (Area 1)"/>
        <s v="Erode (Area 2)"/>
        <s v="Erode (Area 3)"/>
        <s v="Erode (Area 4)"/>
        <s v="Erode (Area 5)"/>
        <s v="Erode (Area 6)"/>
        <s v="Kanchipuram"/>
        <s v="Kanchipuram (Area 1)"/>
        <s v="Kanchipuram (Area 2)"/>
        <s v="Kanchipuram (Area 3)"/>
        <s v="Kanchipuram (Area 4)"/>
        <s v="Kanchipuram (Area 5)"/>
        <s v="Kanchipuram (Area 6)"/>
        <s v="Kanyakumari"/>
        <s v="Kanyakumari (Area 1)"/>
        <s v="Kanyakumari (Area 2)"/>
        <s v="Kanyakumari (Area 3)"/>
        <s v="Kanyakumari (Area 4)"/>
        <s v="Kanyakumari (Area 5)"/>
        <s v="Kanyakumari (Area 6)"/>
        <s v="Karur"/>
        <s v="Karur (Area 1)"/>
        <s v="Karur (Area 2)"/>
        <s v="Karur (Area 3)"/>
        <s v="Karur (Area 4)"/>
        <s v="Karur (Area 5)"/>
        <s v="Karur (Area 6)"/>
        <s v="Krishnagiri"/>
        <s v="Krishnagiri (Area 1)"/>
        <s v="Krishnagiri (Area 2)"/>
        <s v="Krishnagiri (Area 3)"/>
        <s v="Krishnagiri (Area 4)"/>
        <s v="Krishnagiri (Area 5)"/>
        <s v="Krishnagiri (Area 6)"/>
        <s v="Madurai"/>
        <s v="Madurai (Area 1)"/>
        <s v="Madurai (Area 2)"/>
        <s v="Madurai (Area 3)"/>
        <s v="Madurai (Area 4)"/>
        <s v="Madurai (Area 5)"/>
        <s v="Madurai (Area 6)"/>
        <s v="Nagapattinam"/>
        <s v="Nagapattinam (Area 1)"/>
        <s v="Nagapattinam (Area 2)"/>
        <s v="Nagapattinam (Area 3)"/>
        <s v="Nagapattinam (Area 4)"/>
        <s v="Nagapattinam (Area 5)"/>
        <s v="Nagapattinam (Area 6)"/>
        <s v="Namakkal"/>
        <s v="Namakkal (Area 1)"/>
        <s v="Namakkal (Area 2)"/>
        <s v="Namakkal (Area 3)"/>
        <s v="Namakkal (Area 4)"/>
        <s v="Namakkal (Area 5)"/>
        <s v="Namakkal (Area 6)"/>
        <s v="Nilgiris"/>
        <s v="Nilgiris (Area 1)"/>
        <s v="Nilgiris (Area 2)"/>
        <s v="Nilgiris (Area 3)"/>
        <s v="Nilgiris (Area 4)"/>
        <s v="Nilgiris (Area 5)"/>
        <s v="Nilgiris (Area 6)"/>
        <s v="Perambalur"/>
        <s v="Perambalur (Area 1)"/>
        <s v="Perambalur (Area 2)"/>
        <s v="Perambalur (Area 3)"/>
        <s v="Perambalur (Area 4)"/>
        <s v="Perambalur (Area 5)"/>
        <s v="Perambalur (Area 6)"/>
        <s v="Pudukkottai"/>
        <s v="Pudukkottai (Area 1)"/>
        <s v="Pudukkottai (Area 2)"/>
        <s v="Pudukkottai (Area 3)"/>
        <s v="Pudukkottai (Area 4)"/>
        <s v="Pudukkottai (Area 5)"/>
        <s v="Pudukkottai (Area 6)"/>
        <s v="Ramanathapuram"/>
        <s v="Ramanathapuram (Area 1)"/>
        <s v="Ramanathapuram (Area 2)"/>
        <s v="Ramanathapuram (Area 3)"/>
        <s v="Ramanathapuram (Area 4)"/>
        <s v="Ramanathapuram (Area 5)"/>
        <s v="Ramanathapuram (Area 6)"/>
        <s v="Salem"/>
        <s v="Salem (Area 1)"/>
        <s v="Salem (Area 2)"/>
        <s v="Salem (Area 3)"/>
        <s v="Salem (Area 4)"/>
        <s v="Salem (Area 5)"/>
        <s v="Salem (Area 6)"/>
        <s v="Sivaganga"/>
        <s v="Sivaganga (Area 1)"/>
        <s v="Sivaganga (Area 2)"/>
        <s v="Sivaganga (Area 3)"/>
        <s v="Sivaganga (Area 4)"/>
        <s v="Sivaganga (Area 5)"/>
        <s v="Sivaganga (Area 6)"/>
        <s v="Thanjavur"/>
        <s v="Thanjavur (Area 1)"/>
        <s v="Thanjavur (Area 2)"/>
        <s v="Thanjavur (Area 3)"/>
        <s v="Thanjavur (Area 4)"/>
        <s v="Thanjavur (Area 5)"/>
        <s v="Thanjavur (Area 6)"/>
        <s v="Theni"/>
        <s v="Theni (Area 1)"/>
        <s v="Theni (Area 2)"/>
        <s v="Theni (Area 3)"/>
        <s v="Theni (Area 4)"/>
        <s v="Theni (Area 5)"/>
        <s v="Theni (Area 6)"/>
        <s v="Thoothukudi (Tuticorin)"/>
        <s v="Thoothukudi (Tuticorin) (Area 1)"/>
        <s v="Thoothukudi (Tuticorin) (Area 2)"/>
        <s v="Thoothukudi (Tuticorin) (Area 3)"/>
        <s v="Thoothukudi (Tuticorin) (Area 4)"/>
        <s v="Thoothukudi (Tuticorin) (Area 5)"/>
        <s v="Thoothukudi (Tuticorin) (Area 6)"/>
        <s v="Tiruchirappalli"/>
        <s v="Tiruchirappalli (Area 1)"/>
        <s v="Tiruchirappalli (Area 2)"/>
        <s v="Tiruchirappalli (Area 3)"/>
        <s v="Tiruchirappalli (Area 4)"/>
        <s v="Tiruchirappalli (Area 5)"/>
        <s v="Tiruchirappalli (Area 6)"/>
        <s v="Tirunelveli"/>
        <s v="Tirunelveli (Area 1)"/>
        <s v="Tirunelveli (Area 2)"/>
        <s v="Tirunelveli (Area 3)"/>
        <s v="Tirunelveli (Area 4)"/>
        <s v="Tirunelveli (Area 5)"/>
        <s v="Tirunelveli (Area 6)"/>
        <s v="Tiruppur"/>
        <s v="Tiruppur (Area 1)"/>
        <s v="Tiruppur (Area 2)"/>
        <s v="Tiruppur (Area 3)"/>
        <s v="Tiruppur (Area 4)"/>
        <s v="Tiruppur (Area 5)"/>
        <s v="Tiruppur (Area 6)"/>
        <s v="Tiruvallur"/>
        <s v="Tiruvallur (Area 1)"/>
        <s v="Tiruvallur (Area 2)"/>
        <s v="Tiruvallur (Area 3)"/>
        <s v="Tiruvallur (Area 4)"/>
        <s v="Tiruvallur (Area 5)"/>
        <s v="Tiruvallur (Area 6)"/>
        <s v="Tiruvannamalai"/>
        <s v="Tiruvannamalai (Area 1)"/>
        <s v="Tiruvannamalai (Area 2)"/>
        <s v="Tiruvannamalai (Area 3)"/>
        <s v="Tiruvannamalai (Area 4)"/>
        <s v="Tiruvannamalai (Area 5)"/>
        <s v="Tiruvannamalai (Area 6)"/>
        <s v="Tiruvarur"/>
        <s v="Tiruvarur (Area 1)"/>
        <s v="Tiruvarur (Area 2)"/>
        <s v="Tiruvarur (Area 3)"/>
        <s v="Tiruvarur (Area 4)"/>
        <s v="Tiruvarur (Area 5)"/>
        <s v="Tiruvarur (Area 6)"/>
        <s v="Vellore"/>
        <s v="Vellore (Area 1)"/>
        <s v="Vellore (Area 2)"/>
        <s v="Vellore (Area 3)"/>
        <s v="Vellore (Area 4)"/>
        <s v="Vellore (Area 5)"/>
        <s v="Vellore (Area 6)"/>
        <s v="Viluppuram"/>
        <s v="Viluppuram (Area 1)"/>
        <s v="Viluppuram (Area 2)"/>
        <s v="Viluppuram (Area 3)"/>
        <s v="Viluppuram (Area 4)"/>
        <s v="Viluppuram (Area 5)"/>
        <s v="Viluppuram (Area 6)"/>
        <s v="Virudhunagar"/>
        <s v="Virudhunagar (Area 1)"/>
        <s v="Virudhunagar (Area 2)"/>
        <s v="Virudhunagar (Area 3)"/>
        <s v="Virudhunagar (Area 4)"/>
        <s v="Virudhunagar (Area 5)"/>
        <s v="Virudhunagar (Area 6)"/>
        <s v="Adilabad"/>
        <s v="Adilabad (Area 1)"/>
        <s v="Adilabad (Area 2)"/>
        <s v="Adilabad (Area 3)"/>
        <s v="Adilabad (Area 4)"/>
        <s v="Adilabad (Area 5)"/>
        <s v="Adilabad (Area 6)"/>
        <s v="Bhadradri Kothagudem"/>
        <s v="Bhadradri Kothagudem (Area 1)"/>
        <s v="Bhadradri Kothagudem (Area 2)"/>
        <s v="Bhadradri Kothagudem (Area 3)"/>
        <s v="Bhadradri Kothagudem (Area 4)"/>
        <s v="Bhadradri Kothagudem (Area 5)"/>
        <s v="Bhadradri Kothagudem (Area 6)"/>
        <s v="Hyderabad"/>
        <s v="Hyderabad (Area 1)"/>
        <s v="Hyderabad (Area 2)"/>
        <s v="Hyderabad (Area 3)"/>
        <s v="Hyderabad (Area 4)"/>
        <s v="Hyderabad (Area 5)"/>
        <s v="Hyderabad (Area 6)"/>
        <s v="Jagtial"/>
        <s v="Jagtial (Area 1)"/>
        <s v="Jagtial (Area 2)"/>
        <s v="Jagtial (Area 3)"/>
        <s v="Jagtial (Area 4)"/>
        <s v="Jagtial (Area 5)"/>
        <s v="Jagtial (Area 6)"/>
        <s v="Jangaon"/>
        <s v="Jangaon (Area 1)"/>
        <s v="Jangaon (Area 2)"/>
        <s v="Jangaon (Area 3)"/>
        <s v="Jangaon (Area 4)"/>
        <s v="Jangaon (Area 5)"/>
        <s v="Jangaon (Area 6)"/>
        <s v="Jayashankar Bhoopalpally"/>
        <s v="Jayashankar Bhoopalpally (Area 1)"/>
        <s v="Jayashankar Bhoopalpally (Area 2)"/>
        <s v="Jayashankar Bhoopalpally (Area 3)"/>
        <s v="Jayashankar Bhoopalpally (Area 4)"/>
        <s v="Jayashankar Bhoopalpally (Area 5)"/>
        <s v="Jayashankar Bhoopalpally (Area 6)"/>
        <s v="Jogulamba Gadwal"/>
        <s v="Jogulamba Gadwal (Area 1)"/>
        <s v="Jogulamba Gadwal (Area 2)"/>
        <s v="Jogulamba Gadwal (Area 3)"/>
        <s v="Jogulamba Gadwal (Area 4)"/>
        <s v="Jogulamba Gadwal (Area 5)"/>
        <s v="Jogulamba Gadwal (Area 6)"/>
        <s v="Kamareddy"/>
        <s v="Kamareddy (Area 1)"/>
        <s v="Kamareddy (Area 2)"/>
        <s v="Kamareddy (Area 3)"/>
        <s v="Kamareddy (Area 4)"/>
        <s v="Kamareddy (Area 5)"/>
        <s v="Kamareddy (Area 6)"/>
        <s v="Karimnagar"/>
        <s v="Karimnagar (Area 1)"/>
        <s v="Karimnagar (Area 2)"/>
        <s v="Karimnagar (Area 3)"/>
        <s v="Karimnagar (Area 4)"/>
        <s v="Karimnagar (Area 5)"/>
        <s v="Karimnagar (Area 6)"/>
        <s v="Khammam"/>
        <s v="Khammam (Area 1)"/>
        <s v="Khammam (Area 2)"/>
        <s v="Khammam (Area 3)"/>
        <s v="Khammam (Area 4)"/>
        <s v="Khammam (Area 5)"/>
        <s v="Khammam (Area 6)"/>
        <s v="Komaram Bheem Asifabad"/>
        <s v="Komaram Bheem Asifabad (Area 1)"/>
        <s v="Komaram Bheem Asifabad (Area 2)"/>
        <s v="Komaram Bheem Asifabad (Area 3)"/>
        <s v="Komaram Bheem Asifabad (Area 4)"/>
        <s v="Komaram Bheem Asifabad (Area 5)"/>
        <s v="Komaram Bheem Asifabad (Area 6)"/>
        <s v="Mahabubabad"/>
        <s v="Mahabubabad (Area 1)"/>
        <s v="Mahabubabad (Area 2)"/>
        <s v="Mahabubabad (Area 3)"/>
        <s v="Mahabubabad (Area 4)"/>
        <s v="Mahabubabad (Area 5)"/>
        <s v="Mahabubabad (Area 6)"/>
        <s v="Mahabubnagar"/>
        <s v="Mahabubnagar (Area 1)"/>
        <s v="Mahabubnagar (Area 2)"/>
        <s v="Mahabubnagar (Area 3)"/>
        <s v="Mahabubnagar (Area 4)"/>
        <s v="Mahabubnagar (Area 5)"/>
        <s v="Mahabubnagar (Area 6)"/>
        <s v="Mancherial"/>
        <s v="Mancherial (Area 1)"/>
        <s v="Mancherial (Area 2)"/>
        <s v="Mancherial (Area 3)"/>
        <s v="Mancherial (Area 4)"/>
        <s v="Mancherial (Area 5)"/>
        <s v="Mancherial (Area 6)"/>
        <s v="Medak"/>
        <s v="Medak (Area 1)"/>
        <s v="Medak (Area 2)"/>
        <s v="Medak (Area 3)"/>
        <s v="Medak (Area 4)"/>
        <s v="Medak (Area 5)"/>
        <s v="Medak (Area 6)"/>
        <s v="Medchal"/>
        <s v="Medchal (Area 1)"/>
        <s v="Medchal (Area 2)"/>
        <s v="Medchal (Area 3)"/>
        <s v="Medchal (Area 4)"/>
        <s v="Medchal (Area 5)"/>
        <s v="Medchal (Area 6)"/>
        <s v="Nagarkurnool"/>
        <s v="Nagarkurnool (Area 1)"/>
        <s v="Nagarkurnool (Area 2)"/>
        <s v="Nagarkurnool (Area 3)"/>
        <s v="Nagarkurnool (Area 4)"/>
        <s v="Nagarkurnool (Area 5)"/>
        <s v="Nagarkurnool (Area 6)"/>
        <s v="Nalgonda"/>
        <s v="Nalgonda (Area 1)"/>
        <s v="Nalgonda (Area 2)"/>
        <s v="Nalgonda (Area 3)"/>
        <s v="Nalgonda (Area 4)"/>
        <s v="Nalgonda (Area 5)"/>
        <s v="Nalgonda (Area 6)"/>
        <s v="Nirmal"/>
        <s v="Nirmal (Area 1)"/>
        <s v="Nirmal (Area 2)"/>
        <s v="Nirmal (Area 3)"/>
        <s v="Nirmal (Area 4)"/>
        <s v="Nirmal (Area 5)"/>
        <s v="Nirmal (Area 6)"/>
        <s v="Nizamabad"/>
        <s v="Nizamabad (Area 1)"/>
        <s v="Nizamabad (Area 2)"/>
        <s v="Nizamabad (Area 3)"/>
        <s v="Nizamabad (Area 4)"/>
        <s v="Nizamabad (Area 5)"/>
        <s v="Nizamabad (Area 6)"/>
        <s v="Peddapalli"/>
        <s v="Peddapalli (Area 1)"/>
        <s v="Peddapalli (Area 2)"/>
        <s v="Peddapalli (Area 3)"/>
        <s v="Peddapalli (Area 4)"/>
        <s v="Peddapalli (Area 5)"/>
        <s v="Peddapalli (Area 6)"/>
        <s v="Rajanna Sircilla"/>
        <s v="Rajanna Sircilla (Area 1)"/>
        <s v="Rajanna Sircilla (Area 2)"/>
        <s v="Rajanna Sircilla (Area 3)"/>
        <s v="Rajanna Sircilla (Area 4)"/>
        <s v="Rajanna Sircilla (Area 5)"/>
        <s v="Rajanna Sircilla (Area 6)"/>
        <s v="Rangareddy"/>
        <s v="Rangareddy (Area 1)"/>
        <s v="Rangareddy (Area 2)"/>
        <s v="Rangareddy (Area 3)"/>
        <s v="Rangareddy (Area 4)"/>
        <s v="Rangareddy (Area 5)"/>
        <s v="Rangareddy (Area 6)"/>
        <s v="Sangareddy"/>
        <s v="Sangareddy (Area 1)"/>
        <s v="Sangareddy (Area 2)"/>
        <s v="Sangareddy (Area 3)"/>
        <s v="Sangareddy (Area 4)"/>
        <s v="Sangareddy (Area 5)"/>
        <s v="Sangareddy (Area 6)"/>
        <s v="Siddipet"/>
        <s v="Siddipet (Area 1)"/>
        <s v="Siddipet (Area 2)"/>
        <s v="Siddipet (Area 3)"/>
        <s v="Siddipet (Area 4)"/>
        <s v="Siddipet (Area 5)"/>
        <s v="Siddipet (Area 6)"/>
        <s v="Suryapet"/>
        <s v="Suryapet (Area 1)"/>
        <s v="Suryapet (Area 2)"/>
        <s v="Suryapet (Area 3)"/>
        <s v="Suryapet (Area 4)"/>
        <s v="Suryapet (Area 5)"/>
        <s v="Suryapet (Area 6)"/>
        <s v="Vikarabad"/>
        <s v="Vikarabad (Area 1)"/>
        <s v="Vikarabad (Area 2)"/>
        <s v="Vikarabad (Area 3)"/>
        <s v="Vikarabad (Area 4)"/>
        <s v="Vikarabad (Area 5)"/>
        <s v="Vikarabad (Area 6)"/>
        <s v="Wanaparthy"/>
        <s v="Wanaparthy (Area 1)"/>
        <s v="Wanaparthy (Area 2)"/>
        <s v="Wanaparthy (Area 3)"/>
        <s v="Wanaparthy (Area 4)"/>
        <s v="Wanaparthy (Area 5)"/>
        <s v="Wanaparthy (Area 6)"/>
        <s v="Warangal (Rural)"/>
        <s v="Warangal (Rural) (Area 1)"/>
        <s v="Warangal (Rural) (Area 2)"/>
        <s v="Warangal (Rural) (Area 3)"/>
        <s v="Warangal (Rural) (Area 4)"/>
        <s v="Warangal (Rural) (Area 5)"/>
        <s v="Warangal (Rural) (Area 6)"/>
        <s v="Warangal (Urban)"/>
        <s v="Warangal (Urban) (Area 1)"/>
        <s v="Warangal (Urban) (Area 2)"/>
        <s v="Warangal (Urban) (Area 3)"/>
        <s v="Warangal (Urban) (Area 4)"/>
        <s v="Warangal (Urban) (Area 5)"/>
        <s v="Warangal (Urban) (Area 6)"/>
        <s v="Yadadri Bhuvanagiri"/>
        <s v="Yadadri Bhuvanagiri (Area 1)"/>
        <s v="Yadadri Bhuvanagiri (Area 2)"/>
        <s v="Yadadri Bhuvanagiri (Area 3)"/>
        <s v="Yadadri Bhuvanagiri (Area 4)"/>
        <s v="Yadadri Bhuvanagiri (Area 5)"/>
        <s v="Yadadri Bhuvanagiri (Area 6)"/>
        <s v="Dhalai"/>
        <s v="Dhalai (Area 1)"/>
        <s v="Dhalai (Area 2)"/>
        <s v="Dhalai (Area 3)"/>
        <s v="Dhalai (Area 4)"/>
        <s v="Dhalai (Area 5)"/>
        <s v="Dhalai (Area 6)"/>
        <s v="Gomati"/>
        <s v="Gomati (Area 1)"/>
        <s v="Gomati (Area 2)"/>
        <s v="Gomati (Area 3)"/>
        <s v="Gomati (Area 4)"/>
        <s v="Gomati (Area 5)"/>
        <s v="Gomati (Area 6)"/>
        <s v="Khowai"/>
        <s v="Khowai (Area 1)"/>
        <s v="Khowai (Area 2)"/>
        <s v="Khowai (Area 3)"/>
        <s v="Khowai (Area 4)"/>
        <s v="Khowai (Area 5)"/>
        <s v="Khowai (Area 6)"/>
        <s v="North Tripura"/>
        <s v="North Tripura (Area 1)"/>
        <s v="North Tripura (Area 2)"/>
        <s v="North Tripura (Area 3)"/>
        <s v="North Tripura (Area 4)"/>
        <s v="North Tripura (Area 5)"/>
        <s v="North Tripura (Area 6)"/>
        <s v="Sepahijala"/>
        <s v="Sepahijala (Area 1)"/>
        <s v="Sepahijala (Area 2)"/>
        <s v="Sepahijala (Area 3)"/>
        <s v="Sepahijala (Area 4)"/>
        <s v="Sepahijala (Area 5)"/>
        <s v="Sepahijala (Area 6)"/>
        <s v="South Tripura"/>
        <s v="South Tripura (Area 1)"/>
        <s v="South Tripura (Area 2)"/>
        <s v="South Tripura (Area 3)"/>
        <s v="South Tripura (Area 4)"/>
        <s v="South Tripura (Area 5)"/>
        <s v="South Tripura (Area 6)"/>
        <s v="Unakoti"/>
        <s v="Unakoti (Area 1)"/>
        <s v="Unakoti (Area 2)"/>
        <s v="Unakoti (Area 3)"/>
        <s v="Unakoti (Area 4)"/>
        <s v="Unakoti (Area 5)"/>
        <s v="Unakoti (Area 6)"/>
        <s v="West Tripura"/>
        <s v="West Tripura (Area 1)"/>
        <s v="West Tripura (Area 2)"/>
        <s v="West Tripura (Area 3)"/>
        <s v="West Tripura (Area 4)"/>
        <s v="West Tripura (Area 5)"/>
        <s v="West Tripura (Area 6)"/>
        <s v="Agra"/>
        <s v="Agra (Area 1)"/>
        <s v="Agra (Area 2)"/>
        <s v="Agra (Area 3)"/>
        <s v="Agra (Area 4)"/>
        <s v="Agra (Area 5)"/>
        <s v="Agra (Area 6)"/>
        <s v="Aligarh"/>
        <s v="Aligarh (Area 1)"/>
        <s v="Aligarh (Area 2)"/>
        <s v="Aligarh (Area 3)"/>
        <s v="Aligarh (Area 4)"/>
        <s v="Aligarh (Area 5)"/>
        <s v="Aligarh (Area 6)"/>
        <s v="Allahabad"/>
        <s v="Allahabad (Area 1)"/>
        <s v="Allahabad (Area 2)"/>
        <s v="Allahabad (Area 3)"/>
        <s v="Allahabad (Area 4)"/>
        <s v="Allahabad (Area 5)"/>
        <s v="Allahabad (Area 6)"/>
        <s v="Ambedkar Nagar"/>
        <s v="Ambedkar Nagar (Area 1)"/>
        <s v="Ambedkar Nagar (Area 2)"/>
        <s v="Ambedkar Nagar (Area 3)"/>
        <s v="Ambedkar Nagar (Area 4)"/>
        <s v="Ambedkar Nagar (Area 5)"/>
        <s v="Ambedkar Nagar (Area 6)"/>
        <s v="Amethi (Chatrapati Sahuji Mahraj Nagar)"/>
        <s v="Amethi (Chatrapati Sahuji Mahraj Nagar) (Area 1)"/>
        <s v="Amethi (Chatrapati Sahuji Mahraj Nagar) (Area 2)"/>
        <s v="Amethi (Chatrapati Sahuji Mahraj Nagar) (Area 3)"/>
        <s v="Amethi (Chatrapati Sahuji Mahraj Nagar) (Area 4)"/>
        <s v="Amethi (Chatrapati Sahuji Mahraj Nagar) (Area 5)"/>
        <s v="Amethi (Chatrapati Sahuji Mahraj Nagar) (Area 6)"/>
        <s v="Amroha (J.P. Nagar)"/>
        <s v="Amroha (J.P. Nagar) (Area 1)"/>
        <s v="Amroha (J.P. Nagar) (Area 2)"/>
        <s v="Amroha (J.P. Nagar) (Area 3)"/>
        <s v="Amroha (J.P. Nagar) (Area 4)"/>
        <s v="Amroha (J.P. Nagar) (Area 5)"/>
        <s v="Amroha (J.P. Nagar) (Area 6)"/>
        <s v="Auraiya"/>
        <s v="Auraiya (Area 1)"/>
        <s v="Auraiya (Area 2)"/>
        <s v="Auraiya (Area 3)"/>
        <s v="Auraiya (Area 4)"/>
        <s v="Auraiya (Area 5)"/>
        <s v="Auraiya (Area 6)"/>
        <s v="Azamgarh"/>
        <s v="Azamgarh (Area 1)"/>
        <s v="Azamgarh (Area 2)"/>
        <s v="Azamgarh (Area 3)"/>
        <s v="Azamgarh (Area 4)"/>
        <s v="Azamgarh (Area 5)"/>
        <s v="Azamgarh (Area 6)"/>
        <s v="Baghpat"/>
        <s v="Baghpat (Area 1)"/>
        <s v="Baghpat (Area 2)"/>
        <s v="Baghpat (Area 3)"/>
        <s v="Baghpat (Area 4)"/>
        <s v="Baghpat (Area 5)"/>
        <s v="Baghpat (Area 6)"/>
        <s v="Bahraich"/>
        <s v="Bahraich (Area 1)"/>
        <s v="Bahraich (Area 2)"/>
        <s v="Bahraich (Area 3)"/>
        <s v="Bahraich (Area 4)"/>
        <s v="Bahraich (Area 5)"/>
        <s v="Bahraich (Area 6)"/>
        <s v="Ballia"/>
        <s v="Ballia (Area 1)"/>
        <s v="Ballia (Area 2)"/>
        <s v="Ballia (Area 3)"/>
        <s v="Ballia (Area 4)"/>
        <s v="Ballia (Area 5)"/>
        <s v="Ballia (Area 6)"/>
        <s v="Banda"/>
        <s v="Banda (Area 1)"/>
        <s v="Banda (Area 2)"/>
        <s v="Banda (Area 3)"/>
        <s v="Banda (Area 4)"/>
        <s v="Banda (Area 5)"/>
        <s v="Banda (Area 6)"/>
        <s v="Barabanki"/>
        <s v="Barabanki (Area 1)"/>
        <s v="Barabanki (Area 2)"/>
        <s v="Barabanki (Area 3)"/>
        <s v="Barabanki (Area 4)"/>
        <s v="Barabanki (Area 5)"/>
        <s v="Barabanki (Area 6)"/>
        <s v="Bareilly"/>
        <s v="Bareilly (Area 1)"/>
        <s v="Bareilly (Area 2)"/>
        <s v="Bareilly (Area 3)"/>
        <s v="Bareilly (Area 4)"/>
        <s v="Bareilly (Area 5)"/>
        <s v="Bareilly (Area 6)"/>
        <s v="Basti"/>
        <s v="Basti (Area 1)"/>
        <s v="Basti (Area 2)"/>
        <s v="Basti (Area 3)"/>
        <s v="Basti (Area 4)"/>
        <s v="Basti (Area 5)"/>
        <s v="Basti (Area 6)"/>
        <s v="Bhadohi"/>
        <s v="Bhadohi (Area 1)"/>
        <s v="Bhadohi (Area 2)"/>
        <s v="Bhadohi (Area 3)"/>
        <s v="Bhadohi (Area 4)"/>
        <s v="Bhadohi (Area 5)"/>
        <s v="Bhadohi (Area 6)"/>
        <s v="Bijnor"/>
        <s v="Bijnor (Area 1)"/>
        <s v="Bijnor (Area 2)"/>
        <s v="Bijnor (Area 3)"/>
        <s v="Bijnor (Area 4)"/>
        <s v="Bijnor (Area 5)"/>
        <s v="Bijnor (Area 6)"/>
        <s v="Budaun"/>
        <s v="Budaun (Area 1)"/>
        <s v="Budaun (Area 2)"/>
        <s v="Budaun (Area 3)"/>
        <s v="Budaun (Area 4)"/>
        <s v="Budaun (Area 5)"/>
        <s v="Budaun (Area 6)"/>
        <s v="Bulandshahr"/>
        <s v="Bulandshahr (Area 1)"/>
        <s v="Bulandshahr (Area 2)"/>
        <s v="Bulandshahr (Area 3)"/>
        <s v="Bulandshahr (Area 4)"/>
        <s v="Bulandshahr (Area 5)"/>
        <s v="Bulandshahr (Area 6)"/>
        <s v="Chandauli"/>
        <s v="Chandauli (Area 1)"/>
        <s v="Chandauli (Area 2)"/>
        <s v="Chandauli (Area 3)"/>
        <s v="Chandauli (Area 4)"/>
        <s v="Chandauli (Area 5)"/>
        <s v="Chandauli (Area 6)"/>
        <s v="Chitrakoot"/>
        <s v="Chitrakoot (Area 1)"/>
        <s v="Chitrakoot (Area 2)"/>
        <s v="Chitrakoot (Area 3)"/>
        <s v="Chitrakoot (Area 4)"/>
        <s v="Chitrakoot (Area 5)"/>
        <s v="Chitrakoot (Area 6)"/>
        <s v="Deoria"/>
        <s v="Deoria (Area 1)"/>
        <s v="Deoria (Area 2)"/>
        <s v="Deoria (Area 3)"/>
        <s v="Deoria (Area 4)"/>
        <s v="Deoria (Area 5)"/>
        <s v="Deoria (Area 6)"/>
        <s v="Etah"/>
        <s v="Etah (Area 1)"/>
        <s v="Etah (Area 2)"/>
        <s v="Etah (Area 3)"/>
        <s v="Etah (Area 4)"/>
        <s v="Etah (Area 5)"/>
        <s v="Etah (Area 6)"/>
        <s v="Etawah"/>
        <s v="Etawah (Area 1)"/>
        <s v="Etawah (Area 2)"/>
        <s v="Etawah (Area 3)"/>
        <s v="Etawah (Area 4)"/>
        <s v="Etawah (Area 5)"/>
        <s v="Etawah (Area 6)"/>
        <s v="Faizabad"/>
        <s v="Faizabad (Area 1)"/>
        <s v="Faizabad (Area 2)"/>
        <s v="Faizabad (Area 3)"/>
        <s v="Faizabad (Area 4)"/>
        <s v="Faizabad (Area 5)"/>
        <s v="Faizabad (Area 6)"/>
        <s v="Farrukhabad"/>
        <s v="Farrukhabad (Area 1)"/>
        <s v="Farrukhabad (Area 2)"/>
        <s v="Farrukhabad (Area 3)"/>
        <s v="Farrukhabad (Area 4)"/>
        <s v="Farrukhabad (Area 5)"/>
        <s v="Farrukhabad (Area 6)"/>
        <s v="Fatehpur"/>
        <s v="Fatehpur (Area 1)"/>
        <s v="Fatehpur (Area 2)"/>
        <s v="Fatehpur (Area 3)"/>
        <s v="Fatehpur (Area 4)"/>
        <s v="Fatehpur (Area 5)"/>
        <s v="Fatehpur (Area 6)"/>
        <s v="Firozabad"/>
        <s v="Firozabad (Area 1)"/>
        <s v="Firozabad (Area 2)"/>
        <s v="Firozabad (Area 3)"/>
        <s v="Firozabad (Area 4)"/>
        <s v="Firozabad (Area 5)"/>
        <s v="Firozabad (Area 6)"/>
        <s v="Gautam Buddha Nagar"/>
        <s v="Gautam Buddha Nagar (Area 1)"/>
        <s v="Gautam Buddha Nagar (Area 2)"/>
        <s v="Gautam Buddha Nagar (Area 3)"/>
        <s v="Gautam Buddha Nagar (Area 4)"/>
        <s v="Gautam Buddha Nagar (Area 5)"/>
        <s v="Gautam Buddha Nagar (Area 6)"/>
        <s v="Ghaziabad"/>
        <s v="Ghaziabad (Area 1)"/>
        <s v="Ghaziabad (Area 2)"/>
        <s v="Ghaziabad (Area 3)"/>
        <s v="Ghaziabad (Area 4)"/>
        <s v="Ghaziabad (Area 5)"/>
        <s v="Ghaziabad (Area 6)"/>
        <s v="Ghazipur"/>
        <s v="Ghazipur (Area 1)"/>
        <s v="Ghazipur (Area 2)"/>
        <s v="Ghazipur (Area 3)"/>
        <s v="Ghazipur (Area 4)"/>
        <s v="Ghazipur (Area 5)"/>
        <s v="Ghazipur (Area 6)"/>
        <s v="Gonda"/>
        <s v="Gonda (Area 1)"/>
        <s v="Gonda (Area 2)"/>
        <s v="Gonda (Area 3)"/>
        <s v="Gonda (Area 4)"/>
        <s v="Gonda (Area 5)"/>
        <s v="Gonda (Area 6)"/>
        <s v="Gorakhpur"/>
        <s v="Gorakhpur (Area 1)"/>
        <s v="Gorakhpur (Area 2)"/>
        <s v="Gorakhpur (Area 3)"/>
        <s v="Gorakhpur (Area 4)"/>
        <s v="Gorakhpur (Area 5)"/>
        <s v="Gorakhpur (Area 6)"/>
        <s v="Hapur (Panchsheel Nagar)"/>
        <s v="Hapur (Panchsheel Nagar) (Area 1)"/>
        <s v="Hapur (Panchsheel Nagar) (Area 2)"/>
        <s v="Hapur (Panchsheel Nagar) (Area 3)"/>
        <s v="Hapur (Panchsheel Nagar) (Area 4)"/>
        <s v="Hapur (Panchsheel Nagar) (Area 5)"/>
        <s v="Hapur (Panchsheel Nagar) (Area 6)"/>
        <s v="Hardoi"/>
        <s v="Hardoi (Area 1)"/>
        <s v="Hardoi (Area 2)"/>
        <s v="Hardoi (Area 3)"/>
        <s v="Hardoi (Area 4)"/>
        <s v="Hardoi (Area 5)"/>
        <s v="Hardoi (Area 6)"/>
        <s v="Hathras"/>
        <s v="Hathras (Area 1)"/>
        <s v="Hathras (Area 2)"/>
        <s v="Hathras (Area 3)"/>
        <s v="Hathras (Area 4)"/>
        <s v="Hathras (Area 5)"/>
        <s v="Hathras (Area 6)"/>
        <s v="Jalaun"/>
        <s v="Jalaun (Area 1)"/>
        <s v="Jalaun (Area 2)"/>
        <s v="Jalaun (Area 3)"/>
        <s v="Jalaun (Area 4)"/>
        <s v="Jalaun (Area 5)"/>
        <s v="Jalaun (Area 6)"/>
        <s v="Jaunpur"/>
        <s v="Jaunpur (Area 1)"/>
        <s v="Jaunpur (Area 2)"/>
        <s v="Jaunpur (Area 3)"/>
        <s v="Jaunpur (Area 4)"/>
        <s v="Jaunpur (Area 5)"/>
        <s v="Jaunpur (Area 6)"/>
        <s v="Jhansi"/>
        <s v="Jhansi (Area 1)"/>
        <s v="Jhansi (Area 2)"/>
        <s v="Jhansi (Area 3)"/>
        <s v="Jhansi (Area 4)"/>
        <s v="Jhansi (Area 5)"/>
        <s v="Jhansi (Area 6)"/>
        <s v="Kannauj"/>
        <s v="Kannauj (Area 1)"/>
        <s v="Kannauj (Area 2)"/>
        <s v="Kannauj (Area 3)"/>
        <s v="Kannauj (Area 4)"/>
        <s v="Kannauj (Area 5)"/>
        <s v="Kannauj (Area 6)"/>
        <s v="Kanpur Dehat"/>
        <s v="Kanpur Dehat (Area 1)"/>
        <s v="Kanpur Dehat (Area 2)"/>
        <s v="Kanpur Dehat (Area 3)"/>
        <s v="Kanpur Dehat (Area 4)"/>
        <s v="Kanpur Dehat (Area 5)"/>
        <s v="Kanpur Dehat (Area 6)"/>
        <s v="Kanpur Nagar"/>
        <s v="Kanpur Nagar (Area 1)"/>
        <s v="Kanpur Nagar (Area 2)"/>
        <s v="Kanpur Nagar (Area 3)"/>
        <s v="Kanpur Nagar (Area 4)"/>
        <s v="Kanpur Nagar (Area 5)"/>
        <s v="Kanpur Nagar (Area 6)"/>
        <s v="Kanshiram Nagar (Kasganj)"/>
        <s v="Kanshiram Nagar (Kasganj) (Area 1)"/>
        <s v="Kanshiram Nagar (Kasganj) (Area 2)"/>
        <s v="Kanshiram Nagar (Kasganj) (Area 3)"/>
        <s v="Kanshiram Nagar (Kasganj) (Area 4)"/>
        <s v="Kanshiram Nagar (Kasganj) (Area 5)"/>
        <s v="Kanshiram Nagar (Kasganj) (Area 6)"/>
        <s v="Kaushambi"/>
        <s v="Kaushambi (Area 1)"/>
        <s v="Kaushambi (Area 2)"/>
        <s v="Kaushambi (Area 3)"/>
        <s v="Kaushambi (Area 4)"/>
        <s v="Kaushambi (Area 5)"/>
        <s v="Kaushambi (Area 6)"/>
        <s v="Kushinagar (Padrauna)"/>
        <s v="Kushinagar (Padrauna) (Area 1)"/>
        <s v="Kushinagar (Padrauna) (Area 2)"/>
        <s v="Kushinagar (Padrauna) (Area 3)"/>
        <s v="Kushinagar (Padrauna) (Area 4)"/>
        <s v="Kushinagar (Padrauna) (Area 5)"/>
        <s v="Kushinagar (Padrauna) (Area 6)"/>
        <s v="Lakhimpur - Kheri"/>
        <s v="Lakhimpur - Kheri (Area 1)"/>
        <s v="Lakhimpur - Kheri (Area 2)"/>
        <s v="Lakhimpur - Kheri (Area 3)"/>
        <s v="Lakhimpur - Kheri (Area 4)"/>
        <s v="Lakhimpur - Kheri (Area 5)"/>
        <s v="Lakhimpur - Kheri (Area 6)"/>
        <s v="Lalitpur"/>
        <s v="Lalitpur (Area 1)"/>
        <s v="Lalitpur (Area 2)"/>
        <s v="Lalitpur (Area 3)"/>
        <s v="Lalitpur (Area 4)"/>
        <s v="Lalitpur (Area 5)"/>
        <s v="Lalitpur (Area 6)"/>
        <s v="Lucknow"/>
        <s v="Lucknow (Area 1)"/>
        <s v="Lucknow (Area 2)"/>
        <s v="Lucknow (Area 3)"/>
        <s v="Lucknow (Area 4)"/>
        <s v="Lucknow (Area 5)"/>
        <s v="Lucknow (Area 6)"/>
        <s v="Maharajganj"/>
        <s v="Maharajganj (Area 1)"/>
        <s v="Maharajganj (Area 2)"/>
        <s v="Maharajganj (Area 3)"/>
        <s v="Maharajganj (Area 4)"/>
        <s v="Maharajganj (Area 5)"/>
        <s v="Maharajganj (Area 6)"/>
        <s v="Mahoba"/>
        <s v="Mahoba (Area 1)"/>
        <s v="Mahoba (Area 2)"/>
        <s v="Mahoba (Area 3)"/>
        <s v="Mahoba (Area 4)"/>
        <s v="Mahoba (Area 5)"/>
        <s v="Mahoba (Area 6)"/>
        <s v="Mainpuri"/>
        <s v="Mainpuri (Area 1)"/>
        <s v="Mainpuri (Area 2)"/>
        <s v="Mainpuri (Area 3)"/>
        <s v="Mainpuri (Area 4)"/>
        <s v="Mainpuri (Area 5)"/>
        <s v="Mainpuri (Area 6)"/>
        <s v="Mathura"/>
        <s v="Mathura (Area 1)"/>
        <s v="Mathura (Area 2)"/>
        <s v="Mathura (Area 3)"/>
        <s v="Mathura (Area 4)"/>
        <s v="Mathura (Area 5)"/>
        <s v="Mathura (Area 6)"/>
        <s v="Mau"/>
        <s v="Mau (Area 1)"/>
        <s v="Mau (Area 2)"/>
        <s v="Mau (Area 3)"/>
        <s v="Mau (Area 4)"/>
        <s v="Mau (Area 5)"/>
        <s v="Mau (Area 6)"/>
        <s v="Meerut"/>
        <s v="Meerut (Area 1)"/>
        <s v="Meerut (Area 2)"/>
        <s v="Meerut (Area 3)"/>
        <s v="Meerut (Area 4)"/>
        <s v="Meerut (Area 5)"/>
        <s v="Meerut (Area 6)"/>
        <s v="Mirzapur"/>
        <s v="Mirzapur (Area 1)"/>
        <s v="Mirzapur (Area 2)"/>
        <s v="Mirzapur (Area 3)"/>
        <s v="Mirzapur (Area 4)"/>
        <s v="Mirzapur (Area 5)"/>
        <s v="Mirzapur (Area 6)"/>
        <s v="Moradabad"/>
        <s v="Moradabad (Area 1)"/>
        <s v="Moradabad (Area 2)"/>
        <s v="Moradabad (Area 3)"/>
        <s v="Moradabad (Area 4)"/>
        <s v="Moradabad (Area 5)"/>
        <s v="Moradabad (Area 6)"/>
        <s v="Muzaffarnagar"/>
        <s v="Muzaffarnagar (Area 1)"/>
        <s v="Muzaffarnagar (Area 2)"/>
        <s v="Muzaffarnagar (Area 3)"/>
        <s v="Muzaffarnagar (Area 4)"/>
        <s v="Muzaffarnagar (Area 5)"/>
        <s v="Muzaffarnagar (Area 6)"/>
        <s v="Pilibhit"/>
        <s v="Pilibhit (Area 1)"/>
        <s v="Pilibhit (Area 2)"/>
        <s v="Pilibhit (Area 3)"/>
        <s v="Pilibhit (Area 4)"/>
        <s v="Pilibhit (Area 5)"/>
        <s v="Pilibhit (Area 6)"/>
        <s v="RaeBareli"/>
        <s v="RaeBareli (Area 1)"/>
        <s v="RaeBareli (Area 2)"/>
        <s v="RaeBareli (Area 3)"/>
        <s v="RaeBareli (Area 4)"/>
        <s v="RaeBareli (Area 5)"/>
        <s v="RaeBareli (Area 6)"/>
        <s v="Rampur"/>
        <s v="Rampur (Area 1)"/>
        <s v="Rampur (Area 2)"/>
        <s v="Rampur (Area 3)"/>
        <s v="Rampur (Area 4)"/>
        <s v="Rampur (Area 5)"/>
        <s v="Rampur (Area 6)"/>
        <s v="Saharanpur"/>
        <s v="Saharanpur (Area 1)"/>
        <s v="Saharanpur (Area 2)"/>
        <s v="Saharanpur (Area 3)"/>
        <s v="Saharanpur (Area 4)"/>
        <s v="Saharanpur (Area 5)"/>
        <s v="Saharanpur (Area 6)"/>
        <s v="Sambhal (Bhim Nagar)"/>
        <s v="Sambhal (Bhim Nagar) (Area 1)"/>
        <s v="Sambhal (Bhim Nagar) (Area 2)"/>
        <s v="Sambhal (Bhim Nagar) (Area 3)"/>
        <s v="Sambhal (Bhim Nagar) (Area 4)"/>
        <s v="Sambhal (Bhim Nagar) (Area 5)"/>
        <s v="Sambhal (Bhim Nagar) (Area 6)"/>
        <s v="Sant Kabir Nagar"/>
        <s v="Sant Kabir Nagar (Area 1)"/>
        <s v="Sant Kabir Nagar (Area 2)"/>
        <s v="Sant Kabir Nagar (Area 3)"/>
        <s v="Sant Kabir Nagar (Area 4)"/>
        <s v="Sant Kabir Nagar (Area 5)"/>
        <s v="Sant Kabir Nagar (Area 6)"/>
        <s v="Shahjahanpur"/>
        <s v="Shahjahanpur (Area 1)"/>
        <s v="Shahjahanpur (Area 2)"/>
        <s v="Shahjahanpur (Area 3)"/>
        <s v="Shahjahanpur (Area 4)"/>
        <s v="Shahjahanpur (Area 5)"/>
        <s v="Shahjahanpur (Area 6)"/>
        <s v="Shamali (Prabuddh Nagar)"/>
        <s v="Shamali (Prabuddh Nagar) (Area 1)"/>
        <s v="Shamali (Prabuddh Nagar) (Area 2)"/>
        <s v="Shamali (Prabuddh Nagar) (Area 3)"/>
        <s v="Shamali (Prabuddh Nagar) (Area 4)"/>
        <s v="Shamali (Prabuddh Nagar) (Area 5)"/>
        <s v="Shamali (Prabuddh Nagar) (Area 6)"/>
        <s v="Shravasti"/>
        <s v="Shravasti (Area 1)"/>
        <s v="Shravasti (Area 2)"/>
        <s v="Shravasti (Area 3)"/>
        <s v="Shravasti (Area 4)"/>
        <s v="Shravasti (Area 5)"/>
        <s v="Shravasti (Area 6)"/>
        <s v="Siddharth Nagar"/>
        <s v="Siddharth Nagar (Area 1)"/>
        <s v="Siddharth Nagar (Area 2)"/>
        <s v="Siddharth Nagar (Area 3)"/>
        <s v="Siddharth Nagar (Area 4)"/>
        <s v="Siddharth Nagar (Area 5)"/>
        <s v="Siddharth Nagar (Area 6)"/>
        <s v="Sitapur"/>
        <s v="Sitapur (Area 1)"/>
        <s v="Sitapur (Area 2)"/>
        <s v="Sitapur (Area 3)"/>
        <s v="Sitapur (Area 4)"/>
        <s v="Sitapur (Area 5)"/>
        <s v="Sitapur (Area 6)"/>
        <s v="Sonbhadra"/>
        <s v="Sonbhadra (Area 1)"/>
        <s v="Sonbhadra (Area 2)"/>
        <s v="Sonbhadra (Area 3)"/>
        <s v="Sonbhadra (Area 4)"/>
        <s v="Sonbhadra (Area 5)"/>
        <s v="Sonbhadra (Area 6)"/>
        <s v="Sultanpur"/>
        <s v="Sultanpur (Area 1)"/>
        <s v="Sultanpur (Area 2)"/>
        <s v="Sultanpur (Area 3)"/>
        <s v="Sultanpur (Area 4)"/>
        <s v="Sultanpur (Area 5)"/>
        <s v="Sultanpur (Area 6)"/>
        <s v="Unnao"/>
        <s v="Unnao (Area 1)"/>
        <s v="Unnao (Area 2)"/>
        <s v="Unnao (Area 3)"/>
        <s v="Unnao (Area 4)"/>
        <s v="Unnao (Area 5)"/>
        <s v="Unnao (Area 6)"/>
        <s v="Varanasi"/>
        <s v="Varanasi (Area 1)"/>
        <s v="Varanasi (Area 2)"/>
        <s v="Varanasi (Area 3)"/>
        <s v="Varanasi (Area 4)"/>
        <s v="Varanasi (Area 5)"/>
        <s v="Varanasi (Area 6)"/>
        <s v="Almora"/>
        <s v="Almora (Area 1)"/>
        <s v="Almora (Area 2)"/>
        <s v="Almora (Area 3)"/>
        <s v="Almora (Area 4)"/>
        <s v="Almora (Area 5)"/>
        <s v="Almora (Area 6)"/>
        <s v="Bageshwar"/>
        <s v="Bageshwar (Area 1)"/>
        <s v="Bageshwar (Area 2)"/>
        <s v="Bageshwar (Area 3)"/>
        <s v="Bageshwar (Area 4)"/>
        <s v="Bageshwar (Area 5)"/>
        <s v="Bageshwar (Area 6)"/>
        <s v="Chamoli"/>
        <s v="Chamoli (Area 1)"/>
        <s v="Chamoli (Area 2)"/>
        <s v="Chamoli (Area 3)"/>
        <s v="Chamoli (Area 4)"/>
        <s v="Chamoli (Area 5)"/>
        <s v="Chamoli (Area 6)"/>
        <s v="Champawat"/>
        <s v="Champawat (Area 1)"/>
        <s v="Champawat (Area 2)"/>
        <s v="Champawat (Area 3)"/>
        <s v="Champawat (Area 4)"/>
        <s v="Champawat (Area 5)"/>
        <s v="Champawat (Area 6)"/>
        <s v="Dehradun"/>
        <s v="Dehradun (Area 1)"/>
        <s v="Dehradun (Area 2)"/>
        <s v="Dehradun (Area 3)"/>
        <s v="Dehradun (Area 4)"/>
        <s v="Dehradun (Area 5)"/>
        <s v="Dehradun (Area 6)"/>
        <s v="Haridwar"/>
        <s v="Haridwar (Area 1)"/>
        <s v="Haridwar (Area 2)"/>
        <s v="Haridwar (Area 3)"/>
        <s v="Haridwar (Area 4)"/>
        <s v="Haridwar (Area 5)"/>
        <s v="Haridwar (Area 6)"/>
        <s v="Nainital"/>
        <s v="Nainital (Area 1)"/>
        <s v="Nainital (Area 2)"/>
        <s v="Nainital (Area 3)"/>
        <s v="Nainital (Area 4)"/>
        <s v="Nainital (Area 5)"/>
        <s v="Nainital (Area 6)"/>
        <s v="Pauri Garhwal"/>
        <s v="Pauri Garhwal (Area 1)"/>
        <s v="Pauri Garhwal (Area 2)"/>
        <s v="Pauri Garhwal (Area 3)"/>
        <s v="Pauri Garhwal (Area 4)"/>
        <s v="Pauri Garhwal (Area 5)"/>
        <s v="Pauri Garhwal (Area 6)"/>
        <s v="Pithoragarh"/>
        <s v="Pithoragarh (Area 1)"/>
        <s v="Pithoragarh (Area 2)"/>
        <s v="Pithoragarh (Area 3)"/>
        <s v="Pithoragarh (Area 4)"/>
        <s v="Pithoragarh (Area 5)"/>
        <s v="Pithoragarh (Area 6)"/>
        <s v="Rudraprayag"/>
        <s v="Rudraprayag (Area 1)"/>
        <s v="Rudraprayag (Area 2)"/>
        <s v="Rudraprayag (Area 3)"/>
        <s v="Rudraprayag (Area 4)"/>
        <s v="Rudraprayag (Area 5)"/>
        <s v="Rudraprayag (Area 6)"/>
        <s v="Tehri Garhwal"/>
        <s v="Tehri Garhwal (Area 1)"/>
        <s v="Tehri Garhwal (Area 2)"/>
        <s v="Tehri Garhwal (Area 3)"/>
        <s v="Tehri Garhwal (Area 4)"/>
        <s v="Tehri Garhwal (Area 5)"/>
        <s v="Tehri Garhwal (Area 6)"/>
        <s v="Udham Singh Nagar"/>
        <s v="Udham Singh Nagar (Area 1)"/>
        <s v="Udham Singh Nagar (Area 2)"/>
        <s v="Udham Singh Nagar (Area 3)"/>
        <s v="Udham Singh Nagar (Area 4)"/>
        <s v="Udham Singh Nagar (Area 5)"/>
        <s v="Udham Singh Nagar (Area 6)"/>
        <s v="Uttarkashi"/>
        <s v="Uttarkashi (Area 1)"/>
        <s v="Uttarkashi (Area 2)"/>
        <s v="Uttarkashi (Area 3)"/>
        <s v="Uttarkashi (Area 4)"/>
        <s v="Uttarkashi (Area 5)"/>
        <s v="Uttarkashi (Area 6)"/>
        <s v="Alipurduar"/>
        <s v="Alipurduar (Area 1)"/>
        <s v="Alipurduar (Area 2)"/>
        <s v="Alipurduar (Area 3)"/>
        <s v="Alipurduar (Area 4)"/>
        <s v="Alipurduar (Area 5)"/>
        <s v="Alipurduar (Area 6)"/>
        <s v="Bankura"/>
        <s v="Bankura (Area 1)"/>
        <s v="Bankura (Area 2)"/>
        <s v="Bankura (Area 3)"/>
        <s v="Bankura (Area 4)"/>
        <s v="Bankura (Area 5)"/>
        <s v="Bankura (Area 6)"/>
        <s v="Birbhum"/>
        <s v="Birbhum (Area 1)"/>
        <s v="Birbhum (Area 2)"/>
        <s v="Birbhum (Area 3)"/>
        <s v="Birbhum (Area 4)"/>
        <s v="Birbhum (Area 5)"/>
        <s v="Birbhum (Area 6)"/>
        <s v="Burdwan (Bardhaman)"/>
        <s v="Burdwan (Bardhaman) (Area 1)"/>
        <s v="Burdwan (Bardhaman) (Area 2)"/>
        <s v="Burdwan (Bardhaman) (Area 3)"/>
        <s v="Burdwan (Bardhaman) (Area 4)"/>
        <s v="Burdwan (Bardhaman) (Area 5)"/>
        <s v="Burdwan (Bardhaman) (Area 6)"/>
        <s v="Cooch Behar"/>
        <s v="Cooch Behar (Area 1)"/>
        <s v="Cooch Behar (Area 2)"/>
        <s v="Cooch Behar (Area 3)"/>
        <s v="Cooch Behar (Area 4)"/>
        <s v="Cooch Behar (Area 5)"/>
        <s v="Cooch Behar (Area 6)"/>
        <s v="Dakshin Dinajpur (South Dinajpur)"/>
        <s v="Dakshin Dinajpur (South Dinajpur) (Area 1)"/>
        <s v="Dakshin Dinajpur (South Dinajpur) (Area 2)"/>
        <s v="Dakshin Dinajpur (South Dinajpur) (Area 3)"/>
        <s v="Dakshin Dinajpur (South Dinajpur) (Area 4)"/>
        <s v="Dakshin Dinajpur (South Dinajpur) (Area 5)"/>
        <s v="Dakshin Dinajpur (South Dinajpur) (Area 6)"/>
        <s v="Darjeeling"/>
        <s v="Darjeeling (Area 1)"/>
        <s v="Darjeeling (Area 2)"/>
        <s v="Darjeeling (Area 3)"/>
        <s v="Darjeeling (Area 4)"/>
        <s v="Darjeeling (Area 5)"/>
        <s v="Darjeeling (Area 6)"/>
        <s v="Hooghly"/>
        <s v="Hooghly (Area 1)"/>
        <s v="Hooghly (Area 2)"/>
        <s v="Hooghly (Area 3)"/>
        <s v="Hooghly (Area 4)"/>
        <s v="Hooghly (Area 5)"/>
        <s v="Hooghly (Area 6)"/>
        <s v="Howrah"/>
        <s v="Howrah (Area 1)"/>
        <s v="Howrah (Area 2)"/>
        <s v="Howrah (Area 3)"/>
        <s v="Howrah (Area 4)"/>
        <s v="Howrah (Area 5)"/>
        <s v="Howrah (Area 6)"/>
        <s v="Jalpaiguri"/>
        <s v="Jalpaiguri (Area 1)"/>
        <s v="Jalpaiguri (Area 2)"/>
        <s v="Jalpaiguri (Area 3)"/>
        <s v="Jalpaiguri (Area 4)"/>
        <s v="Jalpaiguri (Area 5)"/>
        <s v="Jalpaiguri (Area 6)"/>
        <s v="Kalimpong"/>
        <s v="Kalimpong (Area 1)"/>
        <s v="Kalimpong (Area 2)"/>
        <s v="Kalimpong (Area 3)"/>
        <s v="Kalimpong (Area 4)"/>
        <s v="Kalimpong (Area 5)"/>
        <s v="Kalimpong (Area 6)"/>
        <s v="Kolkata"/>
        <s v="Kolkata (Area 1)"/>
        <s v="Kolkata (Area 2)"/>
        <s v="Kolkata (Area 3)"/>
        <s v="Kolkata (Area 4)"/>
        <s v="Kolkata (Area 5)"/>
        <s v="Kolkata (Area 6)"/>
        <s v="Malda"/>
        <s v="Malda (Area 1)"/>
        <s v="Malda (Area 2)"/>
        <s v="Malda (Area 3)"/>
        <s v="Malda (Area 4)"/>
        <s v="Malda (Area 5)"/>
        <s v="Malda (Area 6)"/>
        <s v="Murshidabad"/>
        <s v="Murshidabad (Area 1)"/>
        <s v="Murshidabad (Area 2)"/>
        <s v="Murshidabad (Area 3)"/>
        <s v="Murshidabad (Area 4)"/>
        <s v="Murshidabad (Area 5)"/>
        <s v="Murshidabad (Area 6)"/>
        <s v="Nadia"/>
        <s v="Nadia (Area 1)"/>
        <s v="Nadia (Area 2)"/>
        <s v="Nadia (Area 3)"/>
        <s v="Nadia (Area 4)"/>
        <s v="Nadia (Area 5)"/>
        <s v="Nadia (Area 6)"/>
        <s v="North 24 Parganas"/>
        <s v="North 24 Parganas (Area 1)"/>
        <s v="North 24 Parganas (Area 2)"/>
        <s v="North 24 Parganas (Area 3)"/>
        <s v="North 24 Parganas (Area 4)"/>
        <s v="North 24 Parganas (Area 5)"/>
        <s v="North 24 Parganas (Area 6)"/>
        <s v="Paschim Medinipur (West Medinipur)"/>
        <s v="Paschim Medinipur (West Medinipur) (Area 1)"/>
        <s v="Paschim Medinipur (West Medinipur) (Area 2)"/>
        <s v="Paschim Medinipur (West Medinipur) (Area 3)"/>
        <s v="Paschim Medinipur (West Medinipur) (Area 4)"/>
        <s v="Paschim Medinipur (West Medinipur) (Area 5)"/>
        <s v="Paschim Medinipur (West Medinipur) (Area 6)"/>
        <s v="Purba Medinipur (East Medinipur)"/>
        <s v="Purba Medinipur (East Medinipur) (Area 1)"/>
        <s v="Purba Medinipur (East Medinipur) (Area 2)"/>
        <s v="Purba Medinipur (East Medinipur) (Area 3)"/>
        <s v="Purba Medinipur (East Medinipur) (Area 4)"/>
        <s v="Purba Medinipur (East Medinipur) (Area 5)"/>
        <s v="Purba Medinipur (East Medinipur) (Area 6)"/>
        <s v="Purulia"/>
        <s v="Purulia (Area 1)"/>
        <s v="Purulia (Area 2)"/>
        <s v="Purulia (Area 3)"/>
        <s v="Purulia (Area 4)"/>
        <s v="Purulia (Area 5)"/>
        <s v="Purulia (Area 6)"/>
        <s v="South 24 Parganas"/>
        <s v="South 24 Parganas (Area 1)"/>
        <s v="South 24 Parganas (Area 2)"/>
        <s v="South 24 Parganas (Area 3)"/>
        <s v="South 24 Parganas (Area 4)"/>
        <s v="South 24 Parganas (Area 5)"/>
        <s v="South 24 Parganas (Area 6)"/>
        <s v="Uttar Dinajpur (North Dinajpur)"/>
        <s v="Uttar Dinajpur (North Dinajpur) (Area 1)"/>
        <s v="Uttar Dinajpur (North Dinajpur) (Area 2)"/>
        <s v="Uttar Dinajpur (North Dinajpur) (Area 3)"/>
        <s v="Uttar Dinajpur (North Dinajpur) (Area 4)"/>
        <s v="Uttar Dinajpur (North Dinajpur) (Area 5)"/>
        <s v="Uttar Dinajpur (North Dinajpur) (Area 6)"/>
      </sharedItems>
    </cacheField>
    <cacheField name="Most AQI Reached" numFmtId="0">
      <sharedItems containsSemiMixedTypes="0" containsString="0" containsNumber="1" containsInteger="1" minValue="35" maxValue="500"/>
    </cacheField>
    <cacheField name="Current AQI" numFmtId="0">
      <sharedItems containsSemiMixedTypes="0" containsString="0" containsNumber="1" containsInteger="1" minValue="30" maxValue="480"/>
    </cacheField>
    <cacheField name="Major Source of Pollution" numFmtId="0">
      <sharedItems count="7">
        <s v="Vehicle"/>
        <s v="Industrial Emissions"/>
        <s v="Road Dust"/>
        <s v="Domestic Fuel"/>
        <s v="Crop Burning"/>
        <s v="Construction Dust"/>
        <s v="Waste Burning"/>
      </sharedItems>
    </cacheField>
    <cacheField name="AQI_Difference" numFmtId="0">
      <sharedItems containsSemiMixedTypes="0" containsString="0" containsNumber="1" containsInteger="1" minValue="0" maxValue="348"/>
    </cacheField>
    <cacheField name="Category" numFmtId="0">
      <sharedItems count="6">
        <s v="Moderate"/>
        <s v="Satisfactory"/>
        <s v="Good"/>
        <s v="Very Poor"/>
        <s v="Poor"/>
        <s v="Severe"/>
      </sharedItems>
    </cacheField>
    <cacheField name="Pollution_Intensity_Score" numFmtId="164">
      <sharedItems containsSemiMixedTypes="0" containsString="0" containsNumber="1" minValue="6.25E-2" maxValue="1"/>
    </cacheField>
    <cacheField name="Rank" numFmtId="0">
      <sharedItems containsSemiMixedTypes="0" containsString="0" containsNumber="1" containsInteger="1" minValue="1" maxValue="50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4">
  <r>
    <x v="0"/>
    <x v="0"/>
    <n v="272"/>
    <n v="190"/>
    <x v="0"/>
    <n v="82"/>
    <x v="0"/>
    <n v="0.39583333333333331"/>
    <n v="1355"/>
  </r>
  <r>
    <x v="0"/>
    <x v="1"/>
    <n v="280"/>
    <n v="155"/>
    <x v="1"/>
    <n v="125"/>
    <x v="0"/>
    <n v="0.32291666666666669"/>
    <n v="2275"/>
  </r>
  <r>
    <x v="0"/>
    <x v="2"/>
    <n v="258"/>
    <n v="64"/>
    <x v="2"/>
    <n v="194"/>
    <x v="1"/>
    <n v="0.13333333333333333"/>
    <n v="4293"/>
  </r>
  <r>
    <x v="0"/>
    <x v="3"/>
    <n v="133"/>
    <n v="120"/>
    <x v="2"/>
    <n v="13"/>
    <x v="0"/>
    <n v="0.25"/>
    <n v="3066"/>
  </r>
  <r>
    <x v="0"/>
    <x v="4"/>
    <n v="221"/>
    <n v="57"/>
    <x v="1"/>
    <n v="164"/>
    <x v="1"/>
    <n v="0.11874999999999999"/>
    <n v="4452"/>
  </r>
  <r>
    <x v="0"/>
    <x v="5"/>
    <n v="224"/>
    <n v="39"/>
    <x v="3"/>
    <n v="185"/>
    <x v="2"/>
    <n v="8.1250000000000003E-2"/>
    <n v="4829"/>
  </r>
  <r>
    <x v="0"/>
    <x v="6"/>
    <n v="81"/>
    <n v="34"/>
    <x v="4"/>
    <n v="47"/>
    <x v="2"/>
    <n v="7.0833333333333331E-2"/>
    <n v="4944"/>
  </r>
  <r>
    <x v="0"/>
    <x v="7"/>
    <n v="211"/>
    <n v="57"/>
    <x v="1"/>
    <n v="154"/>
    <x v="1"/>
    <n v="0.11874999999999999"/>
    <n v="4452"/>
  </r>
  <r>
    <x v="0"/>
    <x v="8"/>
    <n v="91"/>
    <n v="58"/>
    <x v="4"/>
    <n v="33"/>
    <x v="1"/>
    <n v="0.12083333333333333"/>
    <n v="4431"/>
  </r>
  <r>
    <x v="0"/>
    <x v="9"/>
    <n v="226"/>
    <n v="164"/>
    <x v="5"/>
    <n v="62"/>
    <x v="0"/>
    <n v="0.34166666666666667"/>
    <n v="2049"/>
  </r>
  <r>
    <x v="0"/>
    <x v="10"/>
    <n v="219"/>
    <n v="70"/>
    <x v="0"/>
    <n v="149"/>
    <x v="1"/>
    <n v="0.14583333333333334"/>
    <n v="4153"/>
  </r>
  <r>
    <x v="0"/>
    <x v="11"/>
    <n v="254"/>
    <n v="133"/>
    <x v="3"/>
    <n v="121"/>
    <x v="0"/>
    <n v="0.27708333333333335"/>
    <n v="2758"/>
  </r>
  <r>
    <x v="0"/>
    <x v="12"/>
    <n v="237"/>
    <n v="152"/>
    <x v="1"/>
    <n v="85"/>
    <x v="0"/>
    <n v="0.31666666666666665"/>
    <n v="2349"/>
  </r>
  <r>
    <x v="0"/>
    <x v="13"/>
    <n v="78"/>
    <n v="64"/>
    <x v="5"/>
    <n v="14"/>
    <x v="1"/>
    <n v="0.13333333333333333"/>
    <n v="4293"/>
  </r>
  <r>
    <x v="0"/>
    <x v="14"/>
    <n v="227"/>
    <n v="144"/>
    <x v="5"/>
    <n v="83"/>
    <x v="0"/>
    <n v="0.3"/>
    <n v="2550"/>
  </r>
  <r>
    <x v="0"/>
    <x v="15"/>
    <n v="84"/>
    <n v="62"/>
    <x v="4"/>
    <n v="22"/>
    <x v="1"/>
    <n v="0.12916666666666668"/>
    <n v="4343"/>
  </r>
  <r>
    <x v="0"/>
    <x v="16"/>
    <n v="94"/>
    <n v="45"/>
    <x v="3"/>
    <n v="49"/>
    <x v="2"/>
    <n v="9.375E-2"/>
    <n v="4702"/>
  </r>
  <r>
    <x v="0"/>
    <x v="17"/>
    <n v="289"/>
    <n v="181"/>
    <x v="2"/>
    <n v="108"/>
    <x v="0"/>
    <n v="0.37708333333333333"/>
    <n v="1609"/>
  </r>
  <r>
    <x v="0"/>
    <x v="18"/>
    <n v="247"/>
    <n v="164"/>
    <x v="4"/>
    <n v="83"/>
    <x v="0"/>
    <n v="0.34166666666666667"/>
    <n v="2049"/>
  </r>
  <r>
    <x v="0"/>
    <x v="19"/>
    <n v="168"/>
    <n v="163"/>
    <x v="4"/>
    <n v="5"/>
    <x v="0"/>
    <n v="0.33958333333333335"/>
    <n v="2075"/>
  </r>
  <r>
    <x v="0"/>
    <x v="20"/>
    <n v="291"/>
    <n v="93"/>
    <x v="6"/>
    <n v="198"/>
    <x v="1"/>
    <n v="0.19375000000000001"/>
    <n v="3678"/>
  </r>
  <r>
    <x v="0"/>
    <x v="21"/>
    <n v="263"/>
    <n v="85"/>
    <x v="5"/>
    <n v="178"/>
    <x v="1"/>
    <n v="0.17708333333333334"/>
    <n v="3852"/>
  </r>
  <r>
    <x v="0"/>
    <x v="22"/>
    <n v="142"/>
    <n v="129"/>
    <x v="4"/>
    <n v="13"/>
    <x v="0"/>
    <n v="0.26874999999999999"/>
    <n v="2852"/>
  </r>
  <r>
    <x v="0"/>
    <x v="23"/>
    <n v="241"/>
    <n v="123"/>
    <x v="4"/>
    <n v="118"/>
    <x v="0"/>
    <n v="0.25624999999999998"/>
    <n v="2983"/>
  </r>
  <r>
    <x v="0"/>
    <x v="24"/>
    <n v="296"/>
    <n v="134"/>
    <x v="4"/>
    <n v="162"/>
    <x v="0"/>
    <n v="0.27916666666666667"/>
    <n v="2740"/>
  </r>
  <r>
    <x v="0"/>
    <x v="25"/>
    <n v="298"/>
    <n v="47"/>
    <x v="5"/>
    <n v="251"/>
    <x v="2"/>
    <n v="9.7916666666666666E-2"/>
    <n v="4656"/>
  </r>
  <r>
    <x v="0"/>
    <x v="26"/>
    <n v="150"/>
    <n v="132"/>
    <x v="3"/>
    <n v="18"/>
    <x v="0"/>
    <n v="0.27500000000000002"/>
    <n v="2792"/>
  </r>
  <r>
    <x v="0"/>
    <x v="27"/>
    <n v="150"/>
    <n v="148"/>
    <x v="0"/>
    <n v="2"/>
    <x v="0"/>
    <n v="0.30833333333333335"/>
    <n v="2446"/>
  </r>
  <r>
    <x v="0"/>
    <x v="28"/>
    <n v="315"/>
    <n v="163"/>
    <x v="5"/>
    <n v="152"/>
    <x v="0"/>
    <n v="0.33958333333333335"/>
    <n v="2075"/>
  </r>
  <r>
    <x v="0"/>
    <x v="29"/>
    <n v="249"/>
    <n v="183"/>
    <x v="1"/>
    <n v="66"/>
    <x v="0"/>
    <n v="0.38124999999999998"/>
    <n v="1572"/>
  </r>
  <r>
    <x v="0"/>
    <x v="30"/>
    <n v="135"/>
    <n v="110"/>
    <x v="1"/>
    <n v="25"/>
    <x v="0"/>
    <n v="0.22916666666666666"/>
    <n v="3302"/>
  </r>
  <r>
    <x v="0"/>
    <x v="31"/>
    <n v="206"/>
    <n v="56"/>
    <x v="2"/>
    <n v="150"/>
    <x v="1"/>
    <n v="0.11666666666666667"/>
    <n v="4474"/>
  </r>
  <r>
    <x v="0"/>
    <x v="32"/>
    <n v="69"/>
    <n v="38"/>
    <x v="3"/>
    <n v="31"/>
    <x v="2"/>
    <n v="7.9166666666666663E-2"/>
    <n v="4845"/>
  </r>
  <r>
    <x v="0"/>
    <x v="33"/>
    <n v="200"/>
    <n v="169"/>
    <x v="3"/>
    <n v="31"/>
    <x v="0"/>
    <n v="0.35208333333333336"/>
    <n v="1925"/>
  </r>
  <r>
    <x v="0"/>
    <x v="34"/>
    <n v="315"/>
    <n v="182"/>
    <x v="5"/>
    <n v="133"/>
    <x v="0"/>
    <n v="0.37916666666666665"/>
    <n v="1593"/>
  </r>
  <r>
    <x v="0"/>
    <x v="35"/>
    <n v="259"/>
    <n v="176"/>
    <x v="2"/>
    <n v="83"/>
    <x v="0"/>
    <n v="0.36666666666666664"/>
    <n v="1754"/>
  </r>
  <r>
    <x v="0"/>
    <x v="36"/>
    <n v="159"/>
    <n v="60"/>
    <x v="4"/>
    <n v="99"/>
    <x v="1"/>
    <n v="0.125"/>
    <n v="4390"/>
  </r>
  <r>
    <x v="0"/>
    <x v="37"/>
    <n v="129"/>
    <n v="111"/>
    <x v="1"/>
    <n v="18"/>
    <x v="0"/>
    <n v="0.23125000000000001"/>
    <n v="3285"/>
  </r>
  <r>
    <x v="0"/>
    <x v="38"/>
    <n v="182"/>
    <n v="108"/>
    <x v="4"/>
    <n v="74"/>
    <x v="0"/>
    <n v="0.22500000000000001"/>
    <n v="3362"/>
  </r>
  <r>
    <x v="0"/>
    <x v="39"/>
    <n v="127"/>
    <n v="74"/>
    <x v="5"/>
    <n v="53"/>
    <x v="1"/>
    <n v="0.15416666666666667"/>
    <n v="4064"/>
  </r>
  <r>
    <x v="0"/>
    <x v="40"/>
    <n v="273"/>
    <n v="110"/>
    <x v="0"/>
    <n v="163"/>
    <x v="0"/>
    <n v="0.22916666666666666"/>
    <n v="3302"/>
  </r>
  <r>
    <x v="0"/>
    <x v="41"/>
    <n v="199"/>
    <n v="165"/>
    <x v="0"/>
    <n v="34"/>
    <x v="0"/>
    <n v="0.34375"/>
    <n v="2028"/>
  </r>
  <r>
    <x v="0"/>
    <x v="42"/>
    <n v="288"/>
    <n v="75"/>
    <x v="4"/>
    <n v="213"/>
    <x v="1"/>
    <n v="0.15625"/>
    <n v="4041"/>
  </r>
  <r>
    <x v="0"/>
    <x v="43"/>
    <n v="302"/>
    <n v="75"/>
    <x v="4"/>
    <n v="227"/>
    <x v="1"/>
    <n v="0.15625"/>
    <n v="4041"/>
  </r>
  <r>
    <x v="0"/>
    <x v="44"/>
    <n v="202"/>
    <n v="67"/>
    <x v="3"/>
    <n v="135"/>
    <x v="1"/>
    <n v="0.13958333333333334"/>
    <n v="4225"/>
  </r>
  <r>
    <x v="0"/>
    <x v="45"/>
    <n v="316"/>
    <n v="38"/>
    <x v="1"/>
    <n v="278"/>
    <x v="2"/>
    <n v="7.9166666666666663E-2"/>
    <n v="4845"/>
  </r>
  <r>
    <x v="0"/>
    <x v="46"/>
    <n v="227"/>
    <n v="32"/>
    <x v="3"/>
    <n v="195"/>
    <x v="2"/>
    <n v="6.6666666666666666E-2"/>
    <n v="4983"/>
  </r>
  <r>
    <x v="0"/>
    <x v="47"/>
    <n v="302"/>
    <n v="188"/>
    <x v="5"/>
    <n v="114"/>
    <x v="0"/>
    <n v="0.39166666666666666"/>
    <n v="1423"/>
  </r>
  <r>
    <x v="0"/>
    <x v="48"/>
    <n v="192"/>
    <n v="143"/>
    <x v="0"/>
    <n v="49"/>
    <x v="0"/>
    <n v="0.29791666666666666"/>
    <n v="2567"/>
  </r>
  <r>
    <x v="0"/>
    <x v="49"/>
    <n v="187"/>
    <n v="50"/>
    <x v="2"/>
    <n v="137"/>
    <x v="2"/>
    <n v="0.10416666666666667"/>
    <n v="4596"/>
  </r>
  <r>
    <x v="0"/>
    <x v="50"/>
    <n v="282"/>
    <n v="108"/>
    <x v="1"/>
    <n v="174"/>
    <x v="0"/>
    <n v="0.22500000000000001"/>
    <n v="3362"/>
  </r>
  <r>
    <x v="0"/>
    <x v="51"/>
    <n v="289"/>
    <n v="118"/>
    <x v="5"/>
    <n v="171"/>
    <x v="0"/>
    <n v="0.24583333333333332"/>
    <n v="3122"/>
  </r>
  <r>
    <x v="0"/>
    <x v="52"/>
    <n v="149"/>
    <n v="55"/>
    <x v="6"/>
    <n v="94"/>
    <x v="1"/>
    <n v="0.11458333333333333"/>
    <n v="4497"/>
  </r>
  <r>
    <x v="0"/>
    <x v="53"/>
    <n v="80"/>
    <n v="68"/>
    <x v="2"/>
    <n v="12"/>
    <x v="1"/>
    <n v="0.14166666666666666"/>
    <n v="4204"/>
  </r>
  <r>
    <x v="0"/>
    <x v="54"/>
    <n v="266"/>
    <n v="51"/>
    <x v="3"/>
    <n v="215"/>
    <x v="1"/>
    <n v="0.10625"/>
    <n v="4578"/>
  </r>
  <r>
    <x v="0"/>
    <x v="55"/>
    <n v="131"/>
    <n v="121"/>
    <x v="5"/>
    <n v="10"/>
    <x v="0"/>
    <n v="0.25208333333333333"/>
    <n v="3037"/>
  </r>
  <r>
    <x v="0"/>
    <x v="56"/>
    <n v="223"/>
    <n v="72"/>
    <x v="1"/>
    <n v="151"/>
    <x v="1"/>
    <n v="0.15"/>
    <n v="4100"/>
  </r>
  <r>
    <x v="0"/>
    <x v="57"/>
    <n v="226"/>
    <n v="160"/>
    <x v="3"/>
    <n v="66"/>
    <x v="0"/>
    <n v="0.33333333333333331"/>
    <n v="2154"/>
  </r>
  <r>
    <x v="0"/>
    <x v="58"/>
    <n v="85"/>
    <n v="84"/>
    <x v="3"/>
    <n v="1"/>
    <x v="1"/>
    <n v="0.17499999999999999"/>
    <n v="3872"/>
  </r>
  <r>
    <x v="0"/>
    <x v="59"/>
    <n v="142"/>
    <n v="93"/>
    <x v="6"/>
    <n v="49"/>
    <x v="1"/>
    <n v="0.19375000000000001"/>
    <n v="3678"/>
  </r>
  <r>
    <x v="0"/>
    <x v="60"/>
    <n v="116"/>
    <n v="110"/>
    <x v="5"/>
    <n v="6"/>
    <x v="0"/>
    <n v="0.22916666666666666"/>
    <n v="3302"/>
  </r>
  <r>
    <x v="0"/>
    <x v="61"/>
    <n v="281"/>
    <n v="156"/>
    <x v="0"/>
    <n v="125"/>
    <x v="0"/>
    <n v="0.32500000000000001"/>
    <n v="2251"/>
  </r>
  <r>
    <x v="0"/>
    <x v="62"/>
    <n v="138"/>
    <n v="136"/>
    <x v="4"/>
    <n v="2"/>
    <x v="0"/>
    <n v="0.28333333333333333"/>
    <n v="2692"/>
  </r>
  <r>
    <x v="0"/>
    <x v="63"/>
    <n v="313"/>
    <n v="40"/>
    <x v="0"/>
    <n v="273"/>
    <x v="2"/>
    <n v="8.3333333333333329E-2"/>
    <n v="4808"/>
  </r>
  <r>
    <x v="0"/>
    <x v="64"/>
    <n v="277"/>
    <n v="93"/>
    <x v="1"/>
    <n v="184"/>
    <x v="1"/>
    <n v="0.19375000000000001"/>
    <n v="3678"/>
  </r>
  <r>
    <x v="0"/>
    <x v="65"/>
    <n v="131"/>
    <n v="79"/>
    <x v="4"/>
    <n v="52"/>
    <x v="1"/>
    <n v="0.16458333333333333"/>
    <n v="3967"/>
  </r>
  <r>
    <x v="0"/>
    <x v="66"/>
    <n v="320"/>
    <n v="135"/>
    <x v="0"/>
    <n v="185"/>
    <x v="0"/>
    <n v="0.28125"/>
    <n v="2714"/>
  </r>
  <r>
    <x v="0"/>
    <x v="67"/>
    <n v="186"/>
    <n v="39"/>
    <x v="3"/>
    <n v="147"/>
    <x v="2"/>
    <n v="8.1250000000000003E-2"/>
    <n v="4829"/>
  </r>
  <r>
    <x v="0"/>
    <x v="68"/>
    <n v="83"/>
    <n v="83"/>
    <x v="2"/>
    <n v="0"/>
    <x v="1"/>
    <n v="0.17291666666666666"/>
    <n v="3892"/>
  </r>
  <r>
    <x v="0"/>
    <x v="69"/>
    <n v="238"/>
    <n v="49"/>
    <x v="4"/>
    <n v="189"/>
    <x v="2"/>
    <n v="0.10208333333333333"/>
    <n v="4614"/>
  </r>
  <r>
    <x v="0"/>
    <x v="70"/>
    <n v="292"/>
    <n v="112"/>
    <x v="0"/>
    <n v="180"/>
    <x v="0"/>
    <n v="0.23333333333333334"/>
    <n v="3267"/>
  </r>
  <r>
    <x v="0"/>
    <x v="71"/>
    <n v="188"/>
    <n v="175"/>
    <x v="5"/>
    <n v="13"/>
    <x v="0"/>
    <n v="0.36458333333333331"/>
    <n v="1780"/>
  </r>
  <r>
    <x v="0"/>
    <x v="72"/>
    <n v="270"/>
    <n v="65"/>
    <x v="3"/>
    <n v="205"/>
    <x v="1"/>
    <n v="0.13541666666666666"/>
    <n v="4267"/>
  </r>
  <r>
    <x v="0"/>
    <x v="73"/>
    <n v="238"/>
    <n v="41"/>
    <x v="5"/>
    <n v="197"/>
    <x v="2"/>
    <n v="8.5416666666666669E-2"/>
    <n v="4789"/>
  </r>
  <r>
    <x v="0"/>
    <x v="74"/>
    <n v="178"/>
    <n v="156"/>
    <x v="0"/>
    <n v="22"/>
    <x v="0"/>
    <n v="0.32500000000000001"/>
    <n v="2251"/>
  </r>
  <r>
    <x v="0"/>
    <x v="75"/>
    <n v="221"/>
    <n v="155"/>
    <x v="0"/>
    <n v="66"/>
    <x v="0"/>
    <n v="0.32291666666666669"/>
    <n v="2275"/>
  </r>
  <r>
    <x v="0"/>
    <x v="76"/>
    <n v="304"/>
    <n v="48"/>
    <x v="2"/>
    <n v="256"/>
    <x v="2"/>
    <n v="0.1"/>
    <n v="4638"/>
  </r>
  <r>
    <x v="0"/>
    <x v="77"/>
    <n v="238"/>
    <n v="175"/>
    <x v="3"/>
    <n v="63"/>
    <x v="0"/>
    <n v="0.36458333333333331"/>
    <n v="1780"/>
  </r>
  <r>
    <x v="0"/>
    <x v="78"/>
    <n v="113"/>
    <n v="95"/>
    <x v="0"/>
    <n v="18"/>
    <x v="1"/>
    <n v="0.19791666666666666"/>
    <n v="3634"/>
  </r>
  <r>
    <x v="0"/>
    <x v="79"/>
    <n v="261"/>
    <n v="140"/>
    <x v="6"/>
    <n v="121"/>
    <x v="0"/>
    <n v="0.29166666666666669"/>
    <n v="2627"/>
  </r>
  <r>
    <x v="0"/>
    <x v="80"/>
    <n v="192"/>
    <n v="189"/>
    <x v="4"/>
    <n v="3"/>
    <x v="0"/>
    <n v="0.39374999999999999"/>
    <n v="1395"/>
  </r>
  <r>
    <x v="0"/>
    <x v="81"/>
    <n v="300"/>
    <n v="118"/>
    <x v="5"/>
    <n v="182"/>
    <x v="0"/>
    <n v="0.24583333333333332"/>
    <n v="3122"/>
  </r>
  <r>
    <x v="0"/>
    <x v="82"/>
    <n v="229"/>
    <n v="79"/>
    <x v="6"/>
    <n v="150"/>
    <x v="1"/>
    <n v="0.16458333333333333"/>
    <n v="3967"/>
  </r>
  <r>
    <x v="0"/>
    <x v="83"/>
    <n v="222"/>
    <n v="104"/>
    <x v="3"/>
    <n v="118"/>
    <x v="0"/>
    <n v="0.21666666666666667"/>
    <n v="3454"/>
  </r>
  <r>
    <x v="0"/>
    <x v="84"/>
    <n v="266"/>
    <n v="173"/>
    <x v="3"/>
    <n v="93"/>
    <x v="0"/>
    <n v="0.36041666666666666"/>
    <n v="1826"/>
  </r>
  <r>
    <x v="0"/>
    <x v="85"/>
    <n v="135"/>
    <n v="80"/>
    <x v="4"/>
    <n v="55"/>
    <x v="1"/>
    <n v="0.16666666666666666"/>
    <n v="3948"/>
  </r>
  <r>
    <x v="0"/>
    <x v="86"/>
    <n v="166"/>
    <n v="155"/>
    <x v="0"/>
    <n v="11"/>
    <x v="0"/>
    <n v="0.32291666666666669"/>
    <n v="2275"/>
  </r>
  <r>
    <x v="0"/>
    <x v="87"/>
    <n v="156"/>
    <n v="84"/>
    <x v="4"/>
    <n v="72"/>
    <x v="1"/>
    <n v="0.17499999999999999"/>
    <n v="3872"/>
  </r>
  <r>
    <x v="0"/>
    <x v="88"/>
    <n v="257"/>
    <n v="179"/>
    <x v="0"/>
    <n v="78"/>
    <x v="0"/>
    <n v="0.37291666666666667"/>
    <n v="1667"/>
  </r>
  <r>
    <x v="0"/>
    <x v="89"/>
    <n v="133"/>
    <n v="48"/>
    <x v="3"/>
    <n v="85"/>
    <x v="2"/>
    <n v="0.1"/>
    <n v="4638"/>
  </r>
  <r>
    <x v="0"/>
    <x v="90"/>
    <n v="177"/>
    <n v="145"/>
    <x v="4"/>
    <n v="32"/>
    <x v="0"/>
    <n v="0.30208333333333331"/>
    <n v="2526"/>
  </r>
  <r>
    <x v="1"/>
    <x v="91"/>
    <n v="290"/>
    <n v="166"/>
    <x v="2"/>
    <n v="124"/>
    <x v="0"/>
    <n v="0.34583333333333333"/>
    <n v="2007"/>
  </r>
  <r>
    <x v="1"/>
    <x v="92"/>
    <n v="223"/>
    <n v="83"/>
    <x v="4"/>
    <n v="140"/>
    <x v="1"/>
    <n v="0.17291666666666666"/>
    <n v="3892"/>
  </r>
  <r>
    <x v="1"/>
    <x v="93"/>
    <n v="130"/>
    <n v="101"/>
    <x v="0"/>
    <n v="29"/>
    <x v="0"/>
    <n v="0.21041666666666667"/>
    <n v="3515"/>
  </r>
  <r>
    <x v="1"/>
    <x v="94"/>
    <n v="131"/>
    <n v="64"/>
    <x v="4"/>
    <n v="67"/>
    <x v="1"/>
    <n v="0.13333333333333333"/>
    <n v="4293"/>
  </r>
  <r>
    <x v="1"/>
    <x v="95"/>
    <n v="294"/>
    <n v="121"/>
    <x v="6"/>
    <n v="173"/>
    <x v="0"/>
    <n v="0.25208333333333333"/>
    <n v="3037"/>
  </r>
  <r>
    <x v="1"/>
    <x v="96"/>
    <n v="196"/>
    <n v="121"/>
    <x v="5"/>
    <n v="75"/>
    <x v="0"/>
    <n v="0.25208333333333333"/>
    <n v="3037"/>
  </r>
  <r>
    <x v="1"/>
    <x v="97"/>
    <n v="121"/>
    <n v="33"/>
    <x v="4"/>
    <n v="88"/>
    <x v="2"/>
    <n v="6.8750000000000006E-2"/>
    <n v="4964"/>
  </r>
  <r>
    <x v="1"/>
    <x v="98"/>
    <n v="275"/>
    <n v="50"/>
    <x v="6"/>
    <n v="225"/>
    <x v="2"/>
    <n v="0.10416666666666667"/>
    <n v="4596"/>
  </r>
  <r>
    <x v="1"/>
    <x v="99"/>
    <n v="311"/>
    <n v="36"/>
    <x v="6"/>
    <n v="275"/>
    <x v="2"/>
    <n v="7.4999999999999997E-2"/>
    <n v="4893"/>
  </r>
  <r>
    <x v="1"/>
    <x v="100"/>
    <n v="260"/>
    <n v="99"/>
    <x v="4"/>
    <n v="161"/>
    <x v="1"/>
    <n v="0.20624999999999999"/>
    <n v="3553"/>
  </r>
  <r>
    <x v="1"/>
    <x v="101"/>
    <n v="124"/>
    <n v="90"/>
    <x v="2"/>
    <n v="34"/>
    <x v="1"/>
    <n v="0.1875"/>
    <n v="3750"/>
  </r>
  <r>
    <x v="1"/>
    <x v="102"/>
    <n v="201"/>
    <n v="159"/>
    <x v="4"/>
    <n v="42"/>
    <x v="0"/>
    <n v="0.33124999999999999"/>
    <n v="2183"/>
  </r>
  <r>
    <x v="1"/>
    <x v="103"/>
    <n v="277"/>
    <n v="97"/>
    <x v="6"/>
    <n v="180"/>
    <x v="1"/>
    <n v="0.20208333333333334"/>
    <n v="3593"/>
  </r>
  <r>
    <x v="1"/>
    <x v="104"/>
    <n v="222"/>
    <n v="44"/>
    <x v="5"/>
    <n v="178"/>
    <x v="2"/>
    <n v="9.166666666666666E-2"/>
    <n v="4732"/>
  </r>
  <r>
    <x v="1"/>
    <x v="105"/>
    <n v="224"/>
    <n v="140"/>
    <x v="0"/>
    <n v="84"/>
    <x v="0"/>
    <n v="0.29166666666666669"/>
    <n v="2627"/>
  </r>
  <r>
    <x v="1"/>
    <x v="106"/>
    <n v="285"/>
    <n v="81"/>
    <x v="5"/>
    <n v="204"/>
    <x v="1"/>
    <n v="0.16875000000000001"/>
    <n v="3923"/>
  </r>
  <r>
    <x v="1"/>
    <x v="107"/>
    <n v="284"/>
    <n v="62"/>
    <x v="1"/>
    <n v="222"/>
    <x v="1"/>
    <n v="0.12916666666666668"/>
    <n v="4343"/>
  </r>
  <r>
    <x v="1"/>
    <x v="108"/>
    <n v="296"/>
    <n v="186"/>
    <x v="1"/>
    <n v="110"/>
    <x v="0"/>
    <n v="0.38750000000000001"/>
    <n v="1478"/>
  </r>
  <r>
    <x v="1"/>
    <x v="109"/>
    <n v="101"/>
    <n v="35"/>
    <x v="4"/>
    <n v="66"/>
    <x v="2"/>
    <n v="7.2916666666666671E-2"/>
    <n v="4916"/>
  </r>
  <r>
    <x v="1"/>
    <x v="110"/>
    <n v="317"/>
    <n v="149"/>
    <x v="0"/>
    <n v="168"/>
    <x v="0"/>
    <n v="0.31041666666666667"/>
    <n v="2426"/>
  </r>
  <r>
    <x v="1"/>
    <x v="111"/>
    <n v="196"/>
    <n v="157"/>
    <x v="2"/>
    <n v="39"/>
    <x v="0"/>
    <n v="0.32708333333333334"/>
    <n v="2239"/>
  </r>
  <r>
    <x v="1"/>
    <x v="112"/>
    <n v="68"/>
    <n v="61"/>
    <x v="2"/>
    <n v="7"/>
    <x v="1"/>
    <n v="0.12708333333333333"/>
    <n v="4368"/>
  </r>
  <r>
    <x v="1"/>
    <x v="113"/>
    <n v="236"/>
    <n v="163"/>
    <x v="5"/>
    <n v="73"/>
    <x v="0"/>
    <n v="0.33958333333333335"/>
    <n v="2075"/>
  </r>
  <r>
    <x v="1"/>
    <x v="114"/>
    <n v="292"/>
    <n v="54"/>
    <x v="5"/>
    <n v="238"/>
    <x v="1"/>
    <n v="0.1125"/>
    <n v="4523"/>
  </r>
  <r>
    <x v="1"/>
    <x v="115"/>
    <n v="207"/>
    <n v="46"/>
    <x v="0"/>
    <n v="161"/>
    <x v="2"/>
    <n v="9.583333333333334E-2"/>
    <n v="4680"/>
  </r>
  <r>
    <x v="1"/>
    <x v="116"/>
    <n v="118"/>
    <n v="104"/>
    <x v="4"/>
    <n v="14"/>
    <x v="0"/>
    <n v="0.21666666666666667"/>
    <n v="3454"/>
  </r>
  <r>
    <x v="1"/>
    <x v="117"/>
    <n v="162"/>
    <n v="129"/>
    <x v="0"/>
    <n v="33"/>
    <x v="0"/>
    <n v="0.26874999999999999"/>
    <n v="2852"/>
  </r>
  <r>
    <x v="1"/>
    <x v="118"/>
    <n v="244"/>
    <n v="93"/>
    <x v="1"/>
    <n v="151"/>
    <x v="1"/>
    <n v="0.19375000000000001"/>
    <n v="3678"/>
  </r>
  <r>
    <x v="1"/>
    <x v="119"/>
    <n v="237"/>
    <n v="169"/>
    <x v="1"/>
    <n v="68"/>
    <x v="0"/>
    <n v="0.35208333333333336"/>
    <n v="1925"/>
  </r>
  <r>
    <x v="1"/>
    <x v="120"/>
    <n v="258"/>
    <n v="92"/>
    <x v="2"/>
    <n v="166"/>
    <x v="1"/>
    <n v="0.19166666666666668"/>
    <n v="3706"/>
  </r>
  <r>
    <x v="1"/>
    <x v="121"/>
    <n v="229"/>
    <n v="190"/>
    <x v="3"/>
    <n v="39"/>
    <x v="0"/>
    <n v="0.39583333333333331"/>
    <n v="1355"/>
  </r>
  <r>
    <x v="1"/>
    <x v="122"/>
    <n v="243"/>
    <n v="181"/>
    <x v="0"/>
    <n v="62"/>
    <x v="0"/>
    <n v="0.37708333333333333"/>
    <n v="1609"/>
  </r>
  <r>
    <x v="1"/>
    <x v="123"/>
    <n v="232"/>
    <n v="106"/>
    <x v="3"/>
    <n v="126"/>
    <x v="0"/>
    <n v="0.22083333333333333"/>
    <n v="3413"/>
  </r>
  <r>
    <x v="1"/>
    <x v="124"/>
    <n v="306"/>
    <n v="190"/>
    <x v="0"/>
    <n v="116"/>
    <x v="0"/>
    <n v="0.39583333333333331"/>
    <n v="1355"/>
  </r>
  <r>
    <x v="1"/>
    <x v="125"/>
    <n v="277"/>
    <n v="163"/>
    <x v="4"/>
    <n v="114"/>
    <x v="0"/>
    <n v="0.33958333333333335"/>
    <n v="2075"/>
  </r>
  <r>
    <x v="1"/>
    <x v="126"/>
    <n v="179"/>
    <n v="32"/>
    <x v="5"/>
    <n v="147"/>
    <x v="2"/>
    <n v="6.6666666666666666E-2"/>
    <n v="4983"/>
  </r>
  <r>
    <x v="1"/>
    <x v="127"/>
    <n v="201"/>
    <n v="74"/>
    <x v="5"/>
    <n v="127"/>
    <x v="1"/>
    <n v="0.15416666666666667"/>
    <n v="4064"/>
  </r>
  <r>
    <x v="1"/>
    <x v="128"/>
    <n v="265"/>
    <n v="148"/>
    <x v="1"/>
    <n v="117"/>
    <x v="0"/>
    <n v="0.30833333333333335"/>
    <n v="2446"/>
  </r>
  <r>
    <x v="1"/>
    <x v="129"/>
    <n v="317"/>
    <n v="116"/>
    <x v="6"/>
    <n v="201"/>
    <x v="0"/>
    <n v="0.24166666666666667"/>
    <n v="3173"/>
  </r>
  <r>
    <x v="1"/>
    <x v="130"/>
    <n v="118"/>
    <n v="53"/>
    <x v="6"/>
    <n v="65"/>
    <x v="1"/>
    <n v="0.11041666666666666"/>
    <n v="4544"/>
  </r>
  <r>
    <x v="1"/>
    <x v="131"/>
    <n v="154"/>
    <n v="35"/>
    <x v="3"/>
    <n v="119"/>
    <x v="2"/>
    <n v="7.2916666666666671E-2"/>
    <n v="4916"/>
  </r>
  <r>
    <x v="1"/>
    <x v="132"/>
    <n v="83"/>
    <n v="61"/>
    <x v="5"/>
    <n v="22"/>
    <x v="1"/>
    <n v="0.12708333333333333"/>
    <n v="4368"/>
  </r>
  <r>
    <x v="1"/>
    <x v="133"/>
    <n v="305"/>
    <n v="170"/>
    <x v="6"/>
    <n v="135"/>
    <x v="0"/>
    <n v="0.35416666666666669"/>
    <n v="1898"/>
  </r>
  <r>
    <x v="1"/>
    <x v="134"/>
    <n v="254"/>
    <n v="119"/>
    <x v="5"/>
    <n v="135"/>
    <x v="0"/>
    <n v="0.24791666666666667"/>
    <n v="3093"/>
  </r>
  <r>
    <x v="1"/>
    <x v="135"/>
    <n v="142"/>
    <n v="109"/>
    <x v="6"/>
    <n v="33"/>
    <x v="0"/>
    <n v="0.22708333333333333"/>
    <n v="3338"/>
  </r>
  <r>
    <x v="1"/>
    <x v="136"/>
    <n v="123"/>
    <n v="99"/>
    <x v="3"/>
    <n v="24"/>
    <x v="1"/>
    <n v="0.20624999999999999"/>
    <n v="3553"/>
  </r>
  <r>
    <x v="1"/>
    <x v="137"/>
    <n v="177"/>
    <n v="133"/>
    <x v="6"/>
    <n v="44"/>
    <x v="0"/>
    <n v="0.27708333333333335"/>
    <n v="2758"/>
  </r>
  <r>
    <x v="1"/>
    <x v="138"/>
    <n v="316"/>
    <n v="70"/>
    <x v="0"/>
    <n v="246"/>
    <x v="1"/>
    <n v="0.14583333333333334"/>
    <n v="4153"/>
  </r>
  <r>
    <x v="1"/>
    <x v="139"/>
    <n v="239"/>
    <n v="48"/>
    <x v="2"/>
    <n v="191"/>
    <x v="2"/>
    <n v="0.1"/>
    <n v="4638"/>
  </r>
  <r>
    <x v="1"/>
    <x v="140"/>
    <n v="201"/>
    <n v="59"/>
    <x v="3"/>
    <n v="142"/>
    <x v="1"/>
    <n v="0.12291666666666666"/>
    <n v="4416"/>
  </r>
  <r>
    <x v="1"/>
    <x v="141"/>
    <n v="258"/>
    <n v="155"/>
    <x v="4"/>
    <n v="103"/>
    <x v="0"/>
    <n v="0.32291666666666669"/>
    <n v="2275"/>
  </r>
  <r>
    <x v="1"/>
    <x v="142"/>
    <n v="210"/>
    <n v="46"/>
    <x v="4"/>
    <n v="164"/>
    <x v="2"/>
    <n v="9.583333333333334E-2"/>
    <n v="4680"/>
  </r>
  <r>
    <x v="1"/>
    <x v="143"/>
    <n v="303"/>
    <n v="137"/>
    <x v="5"/>
    <n v="166"/>
    <x v="0"/>
    <n v="0.28541666666666665"/>
    <n v="2677"/>
  </r>
  <r>
    <x v="1"/>
    <x v="144"/>
    <n v="265"/>
    <n v="141"/>
    <x v="2"/>
    <n v="124"/>
    <x v="0"/>
    <n v="0.29375000000000001"/>
    <n v="2609"/>
  </r>
  <r>
    <x v="1"/>
    <x v="145"/>
    <n v="279"/>
    <n v="174"/>
    <x v="6"/>
    <n v="105"/>
    <x v="0"/>
    <n v="0.36249999999999999"/>
    <n v="1803"/>
  </r>
  <r>
    <x v="1"/>
    <x v="146"/>
    <n v="268"/>
    <n v="157"/>
    <x v="6"/>
    <n v="111"/>
    <x v="0"/>
    <n v="0.32708333333333334"/>
    <n v="2239"/>
  </r>
  <r>
    <x v="1"/>
    <x v="147"/>
    <n v="208"/>
    <n v="121"/>
    <x v="2"/>
    <n v="87"/>
    <x v="0"/>
    <n v="0.25208333333333333"/>
    <n v="3037"/>
  </r>
  <r>
    <x v="1"/>
    <x v="148"/>
    <n v="289"/>
    <n v="155"/>
    <x v="3"/>
    <n v="134"/>
    <x v="0"/>
    <n v="0.32291666666666669"/>
    <n v="2275"/>
  </r>
  <r>
    <x v="1"/>
    <x v="149"/>
    <n v="305"/>
    <n v="102"/>
    <x v="2"/>
    <n v="203"/>
    <x v="0"/>
    <n v="0.21249999999999999"/>
    <n v="3493"/>
  </r>
  <r>
    <x v="1"/>
    <x v="150"/>
    <n v="287"/>
    <n v="158"/>
    <x v="0"/>
    <n v="129"/>
    <x v="0"/>
    <n v="0.32916666666666666"/>
    <n v="2207"/>
  </r>
  <r>
    <x v="1"/>
    <x v="151"/>
    <n v="216"/>
    <n v="103"/>
    <x v="6"/>
    <n v="113"/>
    <x v="0"/>
    <n v="0.21458333333333332"/>
    <n v="3474"/>
  </r>
  <r>
    <x v="1"/>
    <x v="152"/>
    <n v="285"/>
    <n v="76"/>
    <x v="6"/>
    <n v="209"/>
    <x v="1"/>
    <n v="0.15833333333333333"/>
    <n v="4023"/>
  </r>
  <r>
    <x v="1"/>
    <x v="153"/>
    <n v="69"/>
    <n v="33"/>
    <x v="4"/>
    <n v="36"/>
    <x v="2"/>
    <n v="6.8750000000000006E-2"/>
    <n v="4964"/>
  </r>
  <r>
    <x v="1"/>
    <x v="154"/>
    <n v="283"/>
    <n v="139"/>
    <x v="1"/>
    <n v="144"/>
    <x v="0"/>
    <n v="0.28958333333333336"/>
    <n v="2647"/>
  </r>
  <r>
    <x v="1"/>
    <x v="155"/>
    <n v="272"/>
    <n v="43"/>
    <x v="0"/>
    <n v="229"/>
    <x v="2"/>
    <n v="8.9583333333333334E-2"/>
    <n v="4752"/>
  </r>
  <r>
    <x v="1"/>
    <x v="156"/>
    <n v="91"/>
    <n v="35"/>
    <x v="3"/>
    <n v="56"/>
    <x v="2"/>
    <n v="7.2916666666666671E-2"/>
    <n v="4916"/>
  </r>
  <r>
    <x v="1"/>
    <x v="157"/>
    <n v="238"/>
    <n v="122"/>
    <x v="0"/>
    <n v="116"/>
    <x v="0"/>
    <n v="0.25416666666666665"/>
    <n v="3013"/>
  </r>
  <r>
    <x v="1"/>
    <x v="158"/>
    <n v="197"/>
    <n v="163"/>
    <x v="3"/>
    <n v="34"/>
    <x v="0"/>
    <n v="0.33958333333333335"/>
    <n v="2075"/>
  </r>
  <r>
    <x v="1"/>
    <x v="159"/>
    <n v="208"/>
    <n v="104"/>
    <x v="5"/>
    <n v="104"/>
    <x v="0"/>
    <n v="0.21666666666666667"/>
    <n v="3454"/>
  </r>
  <r>
    <x v="1"/>
    <x v="160"/>
    <n v="298"/>
    <n v="117"/>
    <x v="1"/>
    <n v="181"/>
    <x v="0"/>
    <n v="0.24374999999999999"/>
    <n v="3144"/>
  </r>
  <r>
    <x v="1"/>
    <x v="161"/>
    <n v="293"/>
    <n v="155"/>
    <x v="6"/>
    <n v="138"/>
    <x v="0"/>
    <n v="0.32291666666666669"/>
    <n v="2275"/>
  </r>
  <r>
    <x v="1"/>
    <x v="162"/>
    <n v="241"/>
    <n v="106"/>
    <x v="6"/>
    <n v="135"/>
    <x v="0"/>
    <n v="0.22083333333333333"/>
    <n v="3413"/>
  </r>
  <r>
    <x v="1"/>
    <x v="163"/>
    <n v="272"/>
    <n v="169"/>
    <x v="1"/>
    <n v="103"/>
    <x v="0"/>
    <n v="0.35208333333333336"/>
    <n v="1925"/>
  </r>
  <r>
    <x v="1"/>
    <x v="164"/>
    <n v="83"/>
    <n v="34"/>
    <x v="1"/>
    <n v="49"/>
    <x v="2"/>
    <n v="7.0833333333333331E-2"/>
    <n v="4944"/>
  </r>
  <r>
    <x v="1"/>
    <x v="165"/>
    <n v="183"/>
    <n v="120"/>
    <x v="5"/>
    <n v="63"/>
    <x v="0"/>
    <n v="0.25"/>
    <n v="3066"/>
  </r>
  <r>
    <x v="1"/>
    <x v="166"/>
    <n v="320"/>
    <n v="166"/>
    <x v="6"/>
    <n v="154"/>
    <x v="0"/>
    <n v="0.34583333333333333"/>
    <n v="2007"/>
  </r>
  <r>
    <x v="1"/>
    <x v="167"/>
    <n v="162"/>
    <n v="53"/>
    <x v="0"/>
    <n v="109"/>
    <x v="1"/>
    <n v="0.11041666666666666"/>
    <n v="4544"/>
  </r>
  <r>
    <x v="1"/>
    <x v="168"/>
    <n v="267"/>
    <n v="153"/>
    <x v="2"/>
    <n v="114"/>
    <x v="0"/>
    <n v="0.31874999999999998"/>
    <n v="2329"/>
  </r>
  <r>
    <x v="1"/>
    <x v="169"/>
    <n v="172"/>
    <n v="106"/>
    <x v="1"/>
    <n v="66"/>
    <x v="0"/>
    <n v="0.22083333333333333"/>
    <n v="3413"/>
  </r>
  <r>
    <x v="1"/>
    <x v="170"/>
    <n v="231"/>
    <n v="35"/>
    <x v="4"/>
    <n v="196"/>
    <x v="2"/>
    <n v="7.2916666666666671E-2"/>
    <n v="4916"/>
  </r>
  <r>
    <x v="1"/>
    <x v="171"/>
    <n v="234"/>
    <n v="125"/>
    <x v="4"/>
    <n v="109"/>
    <x v="0"/>
    <n v="0.26041666666666669"/>
    <n v="2951"/>
  </r>
  <r>
    <x v="1"/>
    <x v="172"/>
    <n v="302"/>
    <n v="127"/>
    <x v="6"/>
    <n v="175"/>
    <x v="0"/>
    <n v="0.26458333333333334"/>
    <n v="2909"/>
  </r>
  <r>
    <x v="1"/>
    <x v="173"/>
    <n v="280"/>
    <n v="122"/>
    <x v="1"/>
    <n v="158"/>
    <x v="0"/>
    <n v="0.25416666666666665"/>
    <n v="3013"/>
  </r>
  <r>
    <x v="1"/>
    <x v="174"/>
    <n v="201"/>
    <n v="105"/>
    <x v="1"/>
    <n v="96"/>
    <x v="0"/>
    <n v="0.21875"/>
    <n v="3436"/>
  </r>
  <r>
    <x v="1"/>
    <x v="175"/>
    <n v="262"/>
    <n v="120"/>
    <x v="2"/>
    <n v="142"/>
    <x v="0"/>
    <n v="0.25"/>
    <n v="3066"/>
  </r>
  <r>
    <x v="1"/>
    <x v="176"/>
    <n v="208"/>
    <n v="187"/>
    <x v="4"/>
    <n v="21"/>
    <x v="0"/>
    <n v="0.38958333333333334"/>
    <n v="1455"/>
  </r>
  <r>
    <x v="1"/>
    <x v="177"/>
    <n v="248"/>
    <n v="127"/>
    <x v="0"/>
    <n v="121"/>
    <x v="0"/>
    <n v="0.26458333333333334"/>
    <n v="2909"/>
  </r>
  <r>
    <x v="1"/>
    <x v="178"/>
    <n v="219"/>
    <n v="124"/>
    <x v="5"/>
    <n v="95"/>
    <x v="0"/>
    <n v="0.25833333333333336"/>
    <n v="2971"/>
  </r>
  <r>
    <x v="1"/>
    <x v="179"/>
    <n v="181"/>
    <n v="93"/>
    <x v="1"/>
    <n v="88"/>
    <x v="1"/>
    <n v="0.19375000000000001"/>
    <n v="3678"/>
  </r>
  <r>
    <x v="1"/>
    <x v="180"/>
    <n v="217"/>
    <n v="180"/>
    <x v="3"/>
    <n v="37"/>
    <x v="0"/>
    <n v="0.375"/>
    <n v="1635"/>
  </r>
  <r>
    <x v="1"/>
    <x v="181"/>
    <n v="159"/>
    <n v="112"/>
    <x v="3"/>
    <n v="47"/>
    <x v="0"/>
    <n v="0.23333333333333334"/>
    <n v="3267"/>
  </r>
  <r>
    <x v="1"/>
    <x v="182"/>
    <n v="245"/>
    <n v="145"/>
    <x v="0"/>
    <n v="100"/>
    <x v="0"/>
    <n v="0.30208333333333331"/>
    <n v="2526"/>
  </r>
  <r>
    <x v="1"/>
    <x v="183"/>
    <n v="319"/>
    <n v="147"/>
    <x v="4"/>
    <n v="172"/>
    <x v="0"/>
    <n v="0.30625000000000002"/>
    <n v="2478"/>
  </r>
  <r>
    <x v="1"/>
    <x v="184"/>
    <n v="297"/>
    <n v="188"/>
    <x v="6"/>
    <n v="109"/>
    <x v="0"/>
    <n v="0.39166666666666666"/>
    <n v="1423"/>
  </r>
  <r>
    <x v="1"/>
    <x v="185"/>
    <n v="281"/>
    <n v="134"/>
    <x v="1"/>
    <n v="147"/>
    <x v="0"/>
    <n v="0.27916666666666667"/>
    <n v="2740"/>
  </r>
  <r>
    <x v="1"/>
    <x v="186"/>
    <n v="106"/>
    <n v="37"/>
    <x v="6"/>
    <n v="69"/>
    <x v="2"/>
    <n v="7.7083333333333337E-2"/>
    <n v="4863"/>
  </r>
  <r>
    <x v="1"/>
    <x v="187"/>
    <n v="254"/>
    <n v="148"/>
    <x v="6"/>
    <n v="106"/>
    <x v="0"/>
    <n v="0.30833333333333335"/>
    <n v="2446"/>
  </r>
  <r>
    <x v="1"/>
    <x v="188"/>
    <n v="203"/>
    <n v="53"/>
    <x v="1"/>
    <n v="150"/>
    <x v="1"/>
    <n v="0.11041666666666666"/>
    <n v="4544"/>
  </r>
  <r>
    <x v="1"/>
    <x v="189"/>
    <n v="319"/>
    <n v="115"/>
    <x v="0"/>
    <n v="204"/>
    <x v="0"/>
    <n v="0.23958333333333334"/>
    <n v="3206"/>
  </r>
  <r>
    <x v="1"/>
    <x v="190"/>
    <n v="294"/>
    <n v="186"/>
    <x v="4"/>
    <n v="108"/>
    <x v="0"/>
    <n v="0.38750000000000001"/>
    <n v="1478"/>
  </r>
  <r>
    <x v="1"/>
    <x v="191"/>
    <n v="291"/>
    <n v="166"/>
    <x v="4"/>
    <n v="125"/>
    <x v="0"/>
    <n v="0.34583333333333333"/>
    <n v="2007"/>
  </r>
  <r>
    <x v="1"/>
    <x v="192"/>
    <n v="220"/>
    <n v="111"/>
    <x v="3"/>
    <n v="109"/>
    <x v="0"/>
    <n v="0.23125000000000001"/>
    <n v="3285"/>
  </r>
  <r>
    <x v="1"/>
    <x v="193"/>
    <n v="200"/>
    <n v="134"/>
    <x v="0"/>
    <n v="66"/>
    <x v="0"/>
    <n v="0.27916666666666667"/>
    <n v="2740"/>
  </r>
  <r>
    <x v="1"/>
    <x v="194"/>
    <n v="297"/>
    <n v="105"/>
    <x v="3"/>
    <n v="192"/>
    <x v="0"/>
    <n v="0.21875"/>
    <n v="3436"/>
  </r>
  <r>
    <x v="1"/>
    <x v="195"/>
    <n v="218"/>
    <n v="149"/>
    <x v="5"/>
    <n v="69"/>
    <x v="0"/>
    <n v="0.31041666666666667"/>
    <n v="2426"/>
  </r>
  <r>
    <x v="1"/>
    <x v="196"/>
    <n v="161"/>
    <n v="116"/>
    <x v="1"/>
    <n v="45"/>
    <x v="0"/>
    <n v="0.24166666666666667"/>
    <n v="3173"/>
  </r>
  <r>
    <x v="1"/>
    <x v="197"/>
    <n v="260"/>
    <n v="113"/>
    <x v="0"/>
    <n v="147"/>
    <x v="0"/>
    <n v="0.23541666666666666"/>
    <n v="3243"/>
  </r>
  <r>
    <x v="1"/>
    <x v="198"/>
    <n v="317"/>
    <n v="143"/>
    <x v="0"/>
    <n v="174"/>
    <x v="0"/>
    <n v="0.29791666666666666"/>
    <n v="2567"/>
  </r>
  <r>
    <x v="1"/>
    <x v="199"/>
    <n v="311"/>
    <n v="125"/>
    <x v="5"/>
    <n v="186"/>
    <x v="0"/>
    <n v="0.26041666666666669"/>
    <n v="2951"/>
  </r>
  <r>
    <x v="1"/>
    <x v="200"/>
    <n v="163"/>
    <n v="154"/>
    <x v="5"/>
    <n v="9"/>
    <x v="0"/>
    <n v="0.32083333333333336"/>
    <n v="2307"/>
  </r>
  <r>
    <x v="1"/>
    <x v="201"/>
    <n v="300"/>
    <n v="112"/>
    <x v="3"/>
    <n v="188"/>
    <x v="0"/>
    <n v="0.23333333333333334"/>
    <n v="3267"/>
  </r>
  <r>
    <x v="1"/>
    <x v="202"/>
    <n v="111"/>
    <n v="48"/>
    <x v="5"/>
    <n v="63"/>
    <x v="2"/>
    <n v="0.1"/>
    <n v="4638"/>
  </r>
  <r>
    <x v="1"/>
    <x v="203"/>
    <n v="221"/>
    <n v="149"/>
    <x v="0"/>
    <n v="72"/>
    <x v="0"/>
    <n v="0.31041666666666667"/>
    <n v="2426"/>
  </r>
  <r>
    <x v="1"/>
    <x v="204"/>
    <n v="315"/>
    <n v="181"/>
    <x v="0"/>
    <n v="134"/>
    <x v="0"/>
    <n v="0.37708333333333333"/>
    <n v="1609"/>
  </r>
  <r>
    <x v="1"/>
    <x v="205"/>
    <n v="207"/>
    <n v="121"/>
    <x v="2"/>
    <n v="86"/>
    <x v="0"/>
    <n v="0.25208333333333333"/>
    <n v="3037"/>
  </r>
  <r>
    <x v="1"/>
    <x v="206"/>
    <n v="264"/>
    <n v="131"/>
    <x v="2"/>
    <n v="133"/>
    <x v="0"/>
    <n v="0.27291666666666664"/>
    <n v="2815"/>
  </r>
  <r>
    <x v="1"/>
    <x v="207"/>
    <n v="290"/>
    <n v="185"/>
    <x v="6"/>
    <n v="105"/>
    <x v="0"/>
    <n v="0.38541666666666669"/>
    <n v="1517"/>
  </r>
  <r>
    <x v="1"/>
    <x v="208"/>
    <n v="239"/>
    <n v="155"/>
    <x v="3"/>
    <n v="84"/>
    <x v="0"/>
    <n v="0.32291666666666669"/>
    <n v="2275"/>
  </r>
  <r>
    <x v="1"/>
    <x v="209"/>
    <n v="138"/>
    <n v="94"/>
    <x v="3"/>
    <n v="44"/>
    <x v="1"/>
    <n v="0.19583333333333333"/>
    <n v="3654"/>
  </r>
  <r>
    <x v="1"/>
    <x v="210"/>
    <n v="205"/>
    <n v="184"/>
    <x v="1"/>
    <n v="21"/>
    <x v="0"/>
    <n v="0.38333333333333336"/>
    <n v="1544"/>
  </r>
  <r>
    <x v="1"/>
    <x v="211"/>
    <n v="194"/>
    <n v="80"/>
    <x v="2"/>
    <n v="114"/>
    <x v="1"/>
    <n v="0.16666666666666666"/>
    <n v="3948"/>
  </r>
  <r>
    <x v="1"/>
    <x v="212"/>
    <n v="247"/>
    <n v="139"/>
    <x v="3"/>
    <n v="108"/>
    <x v="0"/>
    <n v="0.28958333333333336"/>
    <n v="2647"/>
  </r>
  <r>
    <x v="1"/>
    <x v="213"/>
    <n v="290"/>
    <n v="76"/>
    <x v="6"/>
    <n v="214"/>
    <x v="1"/>
    <n v="0.15833333333333333"/>
    <n v="4023"/>
  </r>
  <r>
    <x v="1"/>
    <x v="214"/>
    <n v="252"/>
    <n v="61"/>
    <x v="0"/>
    <n v="191"/>
    <x v="1"/>
    <n v="0.12708333333333333"/>
    <n v="4368"/>
  </r>
  <r>
    <x v="1"/>
    <x v="215"/>
    <n v="308"/>
    <n v="31"/>
    <x v="5"/>
    <n v="277"/>
    <x v="2"/>
    <n v="6.458333333333334E-2"/>
    <n v="5016"/>
  </r>
  <r>
    <x v="1"/>
    <x v="216"/>
    <n v="129"/>
    <n v="79"/>
    <x v="3"/>
    <n v="50"/>
    <x v="1"/>
    <n v="0.16458333333333333"/>
    <n v="3967"/>
  </r>
  <r>
    <x v="1"/>
    <x v="217"/>
    <n v="251"/>
    <n v="87"/>
    <x v="1"/>
    <n v="164"/>
    <x v="1"/>
    <n v="0.18124999999999999"/>
    <n v="3813"/>
  </r>
  <r>
    <x v="1"/>
    <x v="218"/>
    <n v="159"/>
    <n v="134"/>
    <x v="1"/>
    <n v="25"/>
    <x v="0"/>
    <n v="0.27916666666666667"/>
    <n v="2740"/>
  </r>
  <r>
    <x v="1"/>
    <x v="219"/>
    <n v="205"/>
    <n v="103"/>
    <x v="4"/>
    <n v="102"/>
    <x v="0"/>
    <n v="0.21458333333333332"/>
    <n v="3474"/>
  </r>
  <r>
    <x v="1"/>
    <x v="220"/>
    <n v="70"/>
    <n v="52"/>
    <x v="1"/>
    <n v="18"/>
    <x v="1"/>
    <n v="0.10833333333333334"/>
    <n v="4564"/>
  </r>
  <r>
    <x v="1"/>
    <x v="221"/>
    <n v="178"/>
    <n v="44"/>
    <x v="6"/>
    <n v="134"/>
    <x v="2"/>
    <n v="9.166666666666666E-2"/>
    <n v="4732"/>
  </r>
  <r>
    <x v="1"/>
    <x v="222"/>
    <n v="287"/>
    <n v="93"/>
    <x v="2"/>
    <n v="194"/>
    <x v="1"/>
    <n v="0.19375000000000001"/>
    <n v="3678"/>
  </r>
  <r>
    <x v="1"/>
    <x v="223"/>
    <n v="242"/>
    <n v="60"/>
    <x v="6"/>
    <n v="182"/>
    <x v="1"/>
    <n v="0.125"/>
    <n v="4390"/>
  </r>
  <r>
    <x v="1"/>
    <x v="224"/>
    <n v="232"/>
    <n v="117"/>
    <x v="1"/>
    <n v="115"/>
    <x v="0"/>
    <n v="0.24374999999999999"/>
    <n v="3144"/>
  </r>
  <r>
    <x v="1"/>
    <x v="225"/>
    <n v="222"/>
    <n v="55"/>
    <x v="3"/>
    <n v="167"/>
    <x v="1"/>
    <n v="0.11458333333333333"/>
    <n v="4497"/>
  </r>
  <r>
    <x v="1"/>
    <x v="226"/>
    <n v="173"/>
    <n v="48"/>
    <x v="6"/>
    <n v="125"/>
    <x v="2"/>
    <n v="0.1"/>
    <n v="4638"/>
  </r>
  <r>
    <x v="1"/>
    <x v="227"/>
    <n v="90"/>
    <n v="60"/>
    <x v="0"/>
    <n v="30"/>
    <x v="1"/>
    <n v="0.125"/>
    <n v="4390"/>
  </r>
  <r>
    <x v="1"/>
    <x v="228"/>
    <n v="268"/>
    <n v="133"/>
    <x v="3"/>
    <n v="135"/>
    <x v="0"/>
    <n v="0.27708333333333335"/>
    <n v="2758"/>
  </r>
  <r>
    <x v="1"/>
    <x v="229"/>
    <n v="219"/>
    <n v="175"/>
    <x v="5"/>
    <n v="44"/>
    <x v="0"/>
    <n v="0.36458333333333331"/>
    <n v="1780"/>
  </r>
  <r>
    <x v="1"/>
    <x v="230"/>
    <n v="296"/>
    <n v="180"/>
    <x v="0"/>
    <n v="116"/>
    <x v="0"/>
    <n v="0.375"/>
    <n v="1635"/>
  </r>
  <r>
    <x v="1"/>
    <x v="231"/>
    <n v="273"/>
    <n v="56"/>
    <x v="5"/>
    <n v="217"/>
    <x v="1"/>
    <n v="0.11666666666666667"/>
    <n v="4474"/>
  </r>
  <r>
    <x v="1"/>
    <x v="232"/>
    <n v="310"/>
    <n v="184"/>
    <x v="2"/>
    <n v="126"/>
    <x v="0"/>
    <n v="0.38333333333333336"/>
    <n v="1544"/>
  </r>
  <r>
    <x v="1"/>
    <x v="233"/>
    <n v="96"/>
    <n v="84"/>
    <x v="1"/>
    <n v="12"/>
    <x v="1"/>
    <n v="0.17499999999999999"/>
    <n v="3872"/>
  </r>
  <r>
    <x v="1"/>
    <x v="234"/>
    <n v="184"/>
    <n v="104"/>
    <x v="2"/>
    <n v="80"/>
    <x v="0"/>
    <n v="0.21666666666666667"/>
    <n v="3454"/>
  </r>
  <r>
    <x v="1"/>
    <x v="235"/>
    <n v="298"/>
    <n v="178"/>
    <x v="4"/>
    <n v="120"/>
    <x v="0"/>
    <n v="0.37083333333333335"/>
    <n v="1702"/>
  </r>
  <r>
    <x v="1"/>
    <x v="236"/>
    <n v="271"/>
    <n v="107"/>
    <x v="4"/>
    <n v="164"/>
    <x v="0"/>
    <n v="0.22291666666666668"/>
    <n v="3387"/>
  </r>
  <r>
    <x v="1"/>
    <x v="237"/>
    <n v="267"/>
    <n v="45"/>
    <x v="4"/>
    <n v="222"/>
    <x v="2"/>
    <n v="9.375E-2"/>
    <n v="4702"/>
  </r>
  <r>
    <x v="2"/>
    <x v="238"/>
    <n v="141"/>
    <n v="109"/>
    <x v="6"/>
    <n v="32"/>
    <x v="0"/>
    <n v="0.22708333333333333"/>
    <n v="3338"/>
  </r>
  <r>
    <x v="2"/>
    <x v="239"/>
    <n v="235"/>
    <n v="31"/>
    <x v="0"/>
    <n v="204"/>
    <x v="2"/>
    <n v="6.458333333333334E-2"/>
    <n v="5016"/>
  </r>
  <r>
    <x v="2"/>
    <x v="240"/>
    <n v="267"/>
    <n v="56"/>
    <x v="1"/>
    <n v="211"/>
    <x v="1"/>
    <n v="0.11666666666666667"/>
    <n v="4474"/>
  </r>
  <r>
    <x v="2"/>
    <x v="241"/>
    <n v="132"/>
    <n v="37"/>
    <x v="3"/>
    <n v="95"/>
    <x v="2"/>
    <n v="7.7083333333333337E-2"/>
    <n v="4863"/>
  </r>
  <r>
    <x v="2"/>
    <x v="242"/>
    <n v="254"/>
    <n v="146"/>
    <x v="4"/>
    <n v="108"/>
    <x v="0"/>
    <n v="0.30416666666666664"/>
    <n v="2499"/>
  </r>
  <r>
    <x v="2"/>
    <x v="243"/>
    <n v="269"/>
    <n v="161"/>
    <x v="6"/>
    <n v="108"/>
    <x v="0"/>
    <n v="0.33541666666666664"/>
    <n v="2129"/>
  </r>
  <r>
    <x v="2"/>
    <x v="244"/>
    <n v="308"/>
    <n v="47"/>
    <x v="5"/>
    <n v="261"/>
    <x v="2"/>
    <n v="9.7916666666666666E-2"/>
    <n v="4656"/>
  </r>
  <r>
    <x v="2"/>
    <x v="245"/>
    <n v="247"/>
    <n v="108"/>
    <x v="1"/>
    <n v="139"/>
    <x v="0"/>
    <n v="0.22500000000000001"/>
    <n v="3362"/>
  </r>
  <r>
    <x v="2"/>
    <x v="246"/>
    <n v="113"/>
    <n v="51"/>
    <x v="1"/>
    <n v="62"/>
    <x v="1"/>
    <n v="0.10625"/>
    <n v="4578"/>
  </r>
  <r>
    <x v="2"/>
    <x v="247"/>
    <n v="103"/>
    <n v="72"/>
    <x v="3"/>
    <n v="31"/>
    <x v="1"/>
    <n v="0.15"/>
    <n v="4100"/>
  </r>
  <r>
    <x v="2"/>
    <x v="248"/>
    <n v="307"/>
    <n v="88"/>
    <x v="3"/>
    <n v="219"/>
    <x v="1"/>
    <n v="0.18333333333333332"/>
    <n v="3792"/>
  </r>
  <r>
    <x v="2"/>
    <x v="249"/>
    <n v="293"/>
    <n v="128"/>
    <x v="4"/>
    <n v="165"/>
    <x v="0"/>
    <n v="0.26666666666666666"/>
    <n v="2872"/>
  </r>
  <r>
    <x v="2"/>
    <x v="250"/>
    <n v="145"/>
    <n v="47"/>
    <x v="3"/>
    <n v="98"/>
    <x v="2"/>
    <n v="9.7916666666666666E-2"/>
    <n v="4656"/>
  </r>
  <r>
    <x v="2"/>
    <x v="251"/>
    <n v="221"/>
    <n v="39"/>
    <x v="1"/>
    <n v="182"/>
    <x v="2"/>
    <n v="8.1250000000000003E-2"/>
    <n v="4829"/>
  </r>
  <r>
    <x v="2"/>
    <x v="252"/>
    <n v="230"/>
    <n v="113"/>
    <x v="4"/>
    <n v="117"/>
    <x v="0"/>
    <n v="0.23541666666666666"/>
    <n v="3243"/>
  </r>
  <r>
    <x v="2"/>
    <x v="253"/>
    <n v="238"/>
    <n v="189"/>
    <x v="4"/>
    <n v="49"/>
    <x v="0"/>
    <n v="0.39374999999999999"/>
    <n v="1395"/>
  </r>
  <r>
    <x v="2"/>
    <x v="254"/>
    <n v="317"/>
    <n v="93"/>
    <x v="4"/>
    <n v="224"/>
    <x v="1"/>
    <n v="0.19375000000000001"/>
    <n v="3678"/>
  </r>
  <r>
    <x v="2"/>
    <x v="255"/>
    <n v="214"/>
    <n v="134"/>
    <x v="2"/>
    <n v="80"/>
    <x v="0"/>
    <n v="0.27916666666666667"/>
    <n v="2740"/>
  </r>
  <r>
    <x v="2"/>
    <x v="256"/>
    <n v="70"/>
    <n v="66"/>
    <x v="1"/>
    <n v="4"/>
    <x v="1"/>
    <n v="0.13750000000000001"/>
    <n v="4247"/>
  </r>
  <r>
    <x v="2"/>
    <x v="257"/>
    <n v="215"/>
    <n v="70"/>
    <x v="0"/>
    <n v="145"/>
    <x v="1"/>
    <n v="0.14583333333333334"/>
    <n v="4153"/>
  </r>
  <r>
    <x v="2"/>
    <x v="258"/>
    <n v="189"/>
    <n v="118"/>
    <x v="1"/>
    <n v="71"/>
    <x v="0"/>
    <n v="0.24583333333333332"/>
    <n v="3122"/>
  </r>
  <r>
    <x v="2"/>
    <x v="259"/>
    <n v="303"/>
    <n v="47"/>
    <x v="5"/>
    <n v="256"/>
    <x v="2"/>
    <n v="9.7916666666666666E-2"/>
    <n v="4656"/>
  </r>
  <r>
    <x v="2"/>
    <x v="260"/>
    <n v="219"/>
    <n v="63"/>
    <x v="5"/>
    <n v="156"/>
    <x v="1"/>
    <n v="0.13125000000000001"/>
    <n v="4322"/>
  </r>
  <r>
    <x v="2"/>
    <x v="261"/>
    <n v="144"/>
    <n v="82"/>
    <x v="2"/>
    <n v="62"/>
    <x v="1"/>
    <n v="0.17083333333333334"/>
    <n v="3904"/>
  </r>
  <r>
    <x v="2"/>
    <x v="262"/>
    <n v="190"/>
    <n v="58"/>
    <x v="4"/>
    <n v="132"/>
    <x v="1"/>
    <n v="0.12083333333333333"/>
    <n v="4431"/>
  </r>
  <r>
    <x v="2"/>
    <x v="263"/>
    <n v="134"/>
    <n v="83"/>
    <x v="1"/>
    <n v="51"/>
    <x v="1"/>
    <n v="0.17291666666666666"/>
    <n v="3892"/>
  </r>
  <r>
    <x v="2"/>
    <x v="264"/>
    <n v="301"/>
    <n v="102"/>
    <x v="1"/>
    <n v="199"/>
    <x v="0"/>
    <n v="0.21249999999999999"/>
    <n v="3493"/>
  </r>
  <r>
    <x v="2"/>
    <x v="265"/>
    <n v="306"/>
    <n v="113"/>
    <x v="6"/>
    <n v="193"/>
    <x v="0"/>
    <n v="0.23541666666666666"/>
    <n v="3243"/>
  </r>
  <r>
    <x v="2"/>
    <x v="266"/>
    <n v="197"/>
    <n v="161"/>
    <x v="2"/>
    <n v="36"/>
    <x v="0"/>
    <n v="0.33541666666666664"/>
    <n v="2129"/>
  </r>
  <r>
    <x v="2"/>
    <x v="267"/>
    <n v="176"/>
    <n v="102"/>
    <x v="0"/>
    <n v="74"/>
    <x v="0"/>
    <n v="0.21249999999999999"/>
    <n v="3493"/>
  </r>
  <r>
    <x v="2"/>
    <x v="268"/>
    <n v="117"/>
    <n v="31"/>
    <x v="0"/>
    <n v="86"/>
    <x v="2"/>
    <n v="6.458333333333334E-2"/>
    <n v="5016"/>
  </r>
  <r>
    <x v="2"/>
    <x v="269"/>
    <n v="206"/>
    <n v="157"/>
    <x v="0"/>
    <n v="49"/>
    <x v="0"/>
    <n v="0.32708333333333334"/>
    <n v="2239"/>
  </r>
  <r>
    <x v="2"/>
    <x v="270"/>
    <n v="65"/>
    <n v="43"/>
    <x v="4"/>
    <n v="22"/>
    <x v="2"/>
    <n v="8.9583333333333334E-2"/>
    <n v="4752"/>
  </r>
  <r>
    <x v="2"/>
    <x v="271"/>
    <n v="149"/>
    <n v="95"/>
    <x v="2"/>
    <n v="54"/>
    <x v="1"/>
    <n v="0.19791666666666666"/>
    <n v="3634"/>
  </r>
  <r>
    <x v="2"/>
    <x v="272"/>
    <n v="226"/>
    <n v="34"/>
    <x v="3"/>
    <n v="192"/>
    <x v="2"/>
    <n v="7.0833333333333331E-2"/>
    <n v="4944"/>
  </r>
  <r>
    <x v="2"/>
    <x v="273"/>
    <n v="194"/>
    <n v="144"/>
    <x v="6"/>
    <n v="50"/>
    <x v="0"/>
    <n v="0.3"/>
    <n v="2550"/>
  </r>
  <r>
    <x v="2"/>
    <x v="274"/>
    <n v="243"/>
    <n v="102"/>
    <x v="2"/>
    <n v="141"/>
    <x v="0"/>
    <n v="0.21249999999999999"/>
    <n v="3493"/>
  </r>
  <r>
    <x v="2"/>
    <x v="275"/>
    <n v="237"/>
    <n v="146"/>
    <x v="6"/>
    <n v="91"/>
    <x v="0"/>
    <n v="0.30416666666666664"/>
    <n v="2499"/>
  </r>
  <r>
    <x v="2"/>
    <x v="276"/>
    <n v="285"/>
    <n v="84"/>
    <x v="0"/>
    <n v="201"/>
    <x v="1"/>
    <n v="0.17499999999999999"/>
    <n v="3872"/>
  </r>
  <r>
    <x v="2"/>
    <x v="277"/>
    <n v="164"/>
    <n v="112"/>
    <x v="4"/>
    <n v="52"/>
    <x v="0"/>
    <n v="0.23333333333333334"/>
    <n v="3267"/>
  </r>
  <r>
    <x v="2"/>
    <x v="278"/>
    <n v="169"/>
    <n v="118"/>
    <x v="3"/>
    <n v="51"/>
    <x v="0"/>
    <n v="0.24583333333333332"/>
    <n v="3122"/>
  </r>
  <r>
    <x v="2"/>
    <x v="279"/>
    <n v="200"/>
    <n v="70"/>
    <x v="2"/>
    <n v="130"/>
    <x v="1"/>
    <n v="0.14583333333333334"/>
    <n v="4153"/>
  </r>
  <r>
    <x v="2"/>
    <x v="280"/>
    <n v="271"/>
    <n v="102"/>
    <x v="3"/>
    <n v="169"/>
    <x v="0"/>
    <n v="0.21249999999999999"/>
    <n v="3493"/>
  </r>
  <r>
    <x v="2"/>
    <x v="281"/>
    <n v="194"/>
    <n v="134"/>
    <x v="2"/>
    <n v="60"/>
    <x v="0"/>
    <n v="0.27916666666666667"/>
    <n v="2740"/>
  </r>
  <r>
    <x v="2"/>
    <x v="282"/>
    <n v="155"/>
    <n v="154"/>
    <x v="6"/>
    <n v="1"/>
    <x v="0"/>
    <n v="0.32083333333333336"/>
    <n v="2307"/>
  </r>
  <r>
    <x v="2"/>
    <x v="283"/>
    <n v="185"/>
    <n v="98"/>
    <x v="5"/>
    <n v="87"/>
    <x v="1"/>
    <n v="0.20416666666666666"/>
    <n v="3574"/>
  </r>
  <r>
    <x v="2"/>
    <x v="284"/>
    <n v="290"/>
    <n v="47"/>
    <x v="6"/>
    <n v="243"/>
    <x v="2"/>
    <n v="9.7916666666666666E-2"/>
    <n v="4656"/>
  </r>
  <r>
    <x v="2"/>
    <x v="285"/>
    <n v="148"/>
    <n v="86"/>
    <x v="1"/>
    <n v="62"/>
    <x v="1"/>
    <n v="0.17916666666666667"/>
    <n v="3830"/>
  </r>
  <r>
    <x v="2"/>
    <x v="286"/>
    <n v="297"/>
    <n v="117"/>
    <x v="0"/>
    <n v="180"/>
    <x v="0"/>
    <n v="0.24374999999999999"/>
    <n v="3144"/>
  </r>
  <r>
    <x v="2"/>
    <x v="287"/>
    <n v="302"/>
    <n v="164"/>
    <x v="1"/>
    <n v="138"/>
    <x v="0"/>
    <n v="0.34166666666666667"/>
    <n v="2049"/>
  </r>
  <r>
    <x v="2"/>
    <x v="288"/>
    <n v="216"/>
    <n v="71"/>
    <x v="6"/>
    <n v="145"/>
    <x v="1"/>
    <n v="0.14791666666666667"/>
    <n v="4129"/>
  </r>
  <r>
    <x v="2"/>
    <x v="289"/>
    <n v="169"/>
    <n v="109"/>
    <x v="2"/>
    <n v="60"/>
    <x v="0"/>
    <n v="0.22708333333333333"/>
    <n v="3338"/>
  </r>
  <r>
    <x v="2"/>
    <x v="290"/>
    <n v="278"/>
    <n v="107"/>
    <x v="4"/>
    <n v="171"/>
    <x v="0"/>
    <n v="0.22291666666666668"/>
    <n v="3387"/>
  </r>
  <r>
    <x v="2"/>
    <x v="291"/>
    <n v="132"/>
    <n v="66"/>
    <x v="6"/>
    <n v="66"/>
    <x v="1"/>
    <n v="0.13750000000000001"/>
    <n v="4247"/>
  </r>
  <r>
    <x v="2"/>
    <x v="292"/>
    <n v="144"/>
    <n v="53"/>
    <x v="3"/>
    <n v="91"/>
    <x v="1"/>
    <n v="0.11041666666666666"/>
    <n v="4544"/>
  </r>
  <r>
    <x v="2"/>
    <x v="293"/>
    <n v="270"/>
    <n v="141"/>
    <x v="4"/>
    <n v="129"/>
    <x v="0"/>
    <n v="0.29375000000000001"/>
    <n v="2609"/>
  </r>
  <r>
    <x v="2"/>
    <x v="294"/>
    <n v="200"/>
    <n v="71"/>
    <x v="2"/>
    <n v="129"/>
    <x v="1"/>
    <n v="0.14791666666666667"/>
    <n v="4129"/>
  </r>
  <r>
    <x v="2"/>
    <x v="295"/>
    <n v="283"/>
    <n v="141"/>
    <x v="6"/>
    <n v="142"/>
    <x v="0"/>
    <n v="0.29375000000000001"/>
    <n v="2609"/>
  </r>
  <r>
    <x v="2"/>
    <x v="296"/>
    <n v="271"/>
    <n v="163"/>
    <x v="2"/>
    <n v="108"/>
    <x v="0"/>
    <n v="0.33958333333333335"/>
    <n v="2075"/>
  </r>
  <r>
    <x v="2"/>
    <x v="297"/>
    <n v="261"/>
    <n v="151"/>
    <x v="5"/>
    <n v="110"/>
    <x v="0"/>
    <n v="0.31458333333333333"/>
    <n v="2376"/>
  </r>
  <r>
    <x v="2"/>
    <x v="298"/>
    <n v="175"/>
    <n v="161"/>
    <x v="3"/>
    <n v="14"/>
    <x v="0"/>
    <n v="0.33541666666666664"/>
    <n v="2129"/>
  </r>
  <r>
    <x v="2"/>
    <x v="299"/>
    <n v="312"/>
    <n v="189"/>
    <x v="5"/>
    <n v="123"/>
    <x v="0"/>
    <n v="0.39374999999999999"/>
    <n v="1395"/>
  </r>
  <r>
    <x v="2"/>
    <x v="300"/>
    <n v="89"/>
    <n v="31"/>
    <x v="6"/>
    <n v="58"/>
    <x v="2"/>
    <n v="6.458333333333334E-2"/>
    <n v="5016"/>
  </r>
  <r>
    <x v="2"/>
    <x v="301"/>
    <n v="306"/>
    <n v="128"/>
    <x v="3"/>
    <n v="178"/>
    <x v="0"/>
    <n v="0.26666666666666666"/>
    <n v="2872"/>
  </r>
  <r>
    <x v="2"/>
    <x v="302"/>
    <n v="201"/>
    <n v="55"/>
    <x v="4"/>
    <n v="146"/>
    <x v="1"/>
    <n v="0.11458333333333333"/>
    <n v="4497"/>
  </r>
  <r>
    <x v="2"/>
    <x v="303"/>
    <n v="185"/>
    <n v="114"/>
    <x v="5"/>
    <n v="71"/>
    <x v="0"/>
    <n v="0.23749999999999999"/>
    <n v="3226"/>
  </r>
  <r>
    <x v="2"/>
    <x v="304"/>
    <n v="243"/>
    <n v="178"/>
    <x v="1"/>
    <n v="65"/>
    <x v="0"/>
    <n v="0.37083333333333335"/>
    <n v="1702"/>
  </r>
  <r>
    <x v="2"/>
    <x v="305"/>
    <n v="292"/>
    <n v="120"/>
    <x v="3"/>
    <n v="172"/>
    <x v="0"/>
    <n v="0.25"/>
    <n v="3066"/>
  </r>
  <r>
    <x v="2"/>
    <x v="306"/>
    <n v="85"/>
    <n v="81"/>
    <x v="2"/>
    <n v="4"/>
    <x v="1"/>
    <n v="0.16875000000000001"/>
    <n v="3923"/>
  </r>
  <r>
    <x v="2"/>
    <x v="307"/>
    <n v="291"/>
    <n v="188"/>
    <x v="1"/>
    <n v="103"/>
    <x v="0"/>
    <n v="0.39166666666666666"/>
    <n v="1423"/>
  </r>
  <r>
    <x v="2"/>
    <x v="308"/>
    <n v="81"/>
    <n v="63"/>
    <x v="3"/>
    <n v="18"/>
    <x v="1"/>
    <n v="0.13125000000000001"/>
    <n v="4322"/>
  </r>
  <r>
    <x v="2"/>
    <x v="309"/>
    <n v="215"/>
    <n v="128"/>
    <x v="5"/>
    <n v="87"/>
    <x v="0"/>
    <n v="0.26666666666666666"/>
    <n v="2872"/>
  </r>
  <r>
    <x v="2"/>
    <x v="310"/>
    <n v="83"/>
    <n v="67"/>
    <x v="1"/>
    <n v="16"/>
    <x v="1"/>
    <n v="0.13958333333333334"/>
    <n v="4225"/>
  </r>
  <r>
    <x v="2"/>
    <x v="311"/>
    <n v="267"/>
    <n v="179"/>
    <x v="1"/>
    <n v="88"/>
    <x v="0"/>
    <n v="0.37291666666666667"/>
    <n v="1667"/>
  </r>
  <r>
    <x v="2"/>
    <x v="312"/>
    <n v="64"/>
    <n v="45"/>
    <x v="1"/>
    <n v="19"/>
    <x v="2"/>
    <n v="9.375E-2"/>
    <n v="4702"/>
  </r>
  <r>
    <x v="2"/>
    <x v="313"/>
    <n v="228"/>
    <n v="158"/>
    <x v="1"/>
    <n v="70"/>
    <x v="0"/>
    <n v="0.32916666666666666"/>
    <n v="2207"/>
  </r>
  <r>
    <x v="2"/>
    <x v="314"/>
    <n v="294"/>
    <n v="145"/>
    <x v="0"/>
    <n v="149"/>
    <x v="0"/>
    <n v="0.30208333333333331"/>
    <n v="2526"/>
  </r>
  <r>
    <x v="2"/>
    <x v="315"/>
    <n v="156"/>
    <n v="122"/>
    <x v="3"/>
    <n v="34"/>
    <x v="0"/>
    <n v="0.25416666666666665"/>
    <n v="3013"/>
  </r>
  <r>
    <x v="2"/>
    <x v="316"/>
    <n v="202"/>
    <n v="162"/>
    <x v="0"/>
    <n v="40"/>
    <x v="0"/>
    <n v="0.33750000000000002"/>
    <n v="2106"/>
  </r>
  <r>
    <x v="2"/>
    <x v="317"/>
    <n v="278"/>
    <n v="35"/>
    <x v="5"/>
    <n v="243"/>
    <x v="2"/>
    <n v="7.2916666666666671E-2"/>
    <n v="4916"/>
  </r>
  <r>
    <x v="2"/>
    <x v="318"/>
    <n v="87"/>
    <n v="73"/>
    <x v="3"/>
    <n v="14"/>
    <x v="1"/>
    <n v="0.15208333333333332"/>
    <n v="4083"/>
  </r>
  <r>
    <x v="2"/>
    <x v="319"/>
    <n v="217"/>
    <n v="41"/>
    <x v="5"/>
    <n v="176"/>
    <x v="2"/>
    <n v="8.5416666666666669E-2"/>
    <n v="4789"/>
  </r>
  <r>
    <x v="2"/>
    <x v="320"/>
    <n v="253"/>
    <n v="133"/>
    <x v="0"/>
    <n v="120"/>
    <x v="0"/>
    <n v="0.27708333333333335"/>
    <n v="2758"/>
  </r>
  <r>
    <x v="2"/>
    <x v="321"/>
    <n v="247"/>
    <n v="158"/>
    <x v="0"/>
    <n v="89"/>
    <x v="0"/>
    <n v="0.32916666666666666"/>
    <n v="2207"/>
  </r>
  <r>
    <x v="2"/>
    <x v="322"/>
    <n v="268"/>
    <n v="169"/>
    <x v="0"/>
    <n v="99"/>
    <x v="0"/>
    <n v="0.35208333333333336"/>
    <n v="1925"/>
  </r>
  <r>
    <x v="2"/>
    <x v="323"/>
    <n v="231"/>
    <n v="189"/>
    <x v="2"/>
    <n v="42"/>
    <x v="0"/>
    <n v="0.39374999999999999"/>
    <n v="1395"/>
  </r>
  <r>
    <x v="2"/>
    <x v="324"/>
    <n v="58"/>
    <n v="45"/>
    <x v="0"/>
    <n v="13"/>
    <x v="2"/>
    <n v="9.375E-2"/>
    <n v="4702"/>
  </r>
  <r>
    <x v="2"/>
    <x v="325"/>
    <n v="87"/>
    <n v="48"/>
    <x v="6"/>
    <n v="39"/>
    <x v="2"/>
    <n v="0.1"/>
    <n v="4638"/>
  </r>
  <r>
    <x v="2"/>
    <x v="326"/>
    <n v="315"/>
    <n v="169"/>
    <x v="5"/>
    <n v="146"/>
    <x v="0"/>
    <n v="0.35208333333333336"/>
    <n v="1925"/>
  </r>
  <r>
    <x v="2"/>
    <x v="327"/>
    <n v="155"/>
    <n v="96"/>
    <x v="1"/>
    <n v="59"/>
    <x v="1"/>
    <n v="0.2"/>
    <n v="3616"/>
  </r>
  <r>
    <x v="2"/>
    <x v="328"/>
    <n v="295"/>
    <n v="31"/>
    <x v="1"/>
    <n v="264"/>
    <x v="2"/>
    <n v="6.458333333333334E-2"/>
    <n v="5016"/>
  </r>
  <r>
    <x v="2"/>
    <x v="329"/>
    <n v="315"/>
    <n v="94"/>
    <x v="1"/>
    <n v="221"/>
    <x v="1"/>
    <n v="0.19583333333333333"/>
    <n v="3654"/>
  </r>
  <r>
    <x v="2"/>
    <x v="330"/>
    <n v="256"/>
    <n v="121"/>
    <x v="3"/>
    <n v="135"/>
    <x v="0"/>
    <n v="0.25208333333333333"/>
    <n v="3037"/>
  </r>
  <r>
    <x v="2"/>
    <x v="331"/>
    <n v="316"/>
    <n v="64"/>
    <x v="4"/>
    <n v="252"/>
    <x v="1"/>
    <n v="0.13333333333333333"/>
    <n v="4293"/>
  </r>
  <r>
    <x v="2"/>
    <x v="332"/>
    <n v="210"/>
    <n v="89"/>
    <x v="1"/>
    <n v="121"/>
    <x v="1"/>
    <n v="0.18541666666666667"/>
    <n v="3772"/>
  </r>
  <r>
    <x v="2"/>
    <x v="333"/>
    <n v="184"/>
    <n v="163"/>
    <x v="4"/>
    <n v="21"/>
    <x v="0"/>
    <n v="0.33958333333333335"/>
    <n v="2075"/>
  </r>
  <r>
    <x v="2"/>
    <x v="334"/>
    <n v="175"/>
    <n v="140"/>
    <x v="6"/>
    <n v="35"/>
    <x v="0"/>
    <n v="0.29166666666666669"/>
    <n v="2627"/>
  </r>
  <r>
    <x v="2"/>
    <x v="335"/>
    <n v="287"/>
    <n v="54"/>
    <x v="4"/>
    <n v="233"/>
    <x v="1"/>
    <n v="0.1125"/>
    <n v="4523"/>
  </r>
  <r>
    <x v="2"/>
    <x v="336"/>
    <n v="218"/>
    <n v="91"/>
    <x v="6"/>
    <n v="127"/>
    <x v="1"/>
    <n v="0.18958333333333333"/>
    <n v="3726"/>
  </r>
  <r>
    <x v="2"/>
    <x v="337"/>
    <n v="236"/>
    <n v="120"/>
    <x v="1"/>
    <n v="116"/>
    <x v="0"/>
    <n v="0.25"/>
    <n v="3066"/>
  </r>
  <r>
    <x v="2"/>
    <x v="338"/>
    <n v="224"/>
    <n v="76"/>
    <x v="3"/>
    <n v="148"/>
    <x v="1"/>
    <n v="0.15833333333333333"/>
    <n v="4023"/>
  </r>
  <r>
    <x v="2"/>
    <x v="339"/>
    <n v="316"/>
    <n v="149"/>
    <x v="5"/>
    <n v="167"/>
    <x v="0"/>
    <n v="0.31041666666666667"/>
    <n v="2426"/>
  </r>
  <r>
    <x v="2"/>
    <x v="340"/>
    <n v="153"/>
    <n v="69"/>
    <x v="3"/>
    <n v="84"/>
    <x v="1"/>
    <n v="0.14374999999999999"/>
    <n v="4186"/>
  </r>
  <r>
    <x v="2"/>
    <x v="341"/>
    <n v="164"/>
    <n v="61"/>
    <x v="2"/>
    <n v="103"/>
    <x v="1"/>
    <n v="0.12708333333333333"/>
    <n v="4368"/>
  </r>
  <r>
    <x v="2"/>
    <x v="342"/>
    <n v="189"/>
    <n v="47"/>
    <x v="3"/>
    <n v="142"/>
    <x v="2"/>
    <n v="9.7916666666666666E-2"/>
    <n v="4656"/>
  </r>
  <r>
    <x v="2"/>
    <x v="343"/>
    <n v="192"/>
    <n v="101"/>
    <x v="1"/>
    <n v="91"/>
    <x v="0"/>
    <n v="0.21041666666666667"/>
    <n v="3515"/>
  </r>
  <r>
    <x v="2"/>
    <x v="344"/>
    <n v="81"/>
    <n v="76"/>
    <x v="2"/>
    <n v="5"/>
    <x v="1"/>
    <n v="0.15833333333333333"/>
    <n v="4023"/>
  </r>
  <r>
    <x v="2"/>
    <x v="345"/>
    <n v="283"/>
    <n v="188"/>
    <x v="2"/>
    <n v="95"/>
    <x v="0"/>
    <n v="0.39166666666666666"/>
    <n v="1423"/>
  </r>
  <r>
    <x v="2"/>
    <x v="346"/>
    <n v="260"/>
    <n v="118"/>
    <x v="5"/>
    <n v="142"/>
    <x v="0"/>
    <n v="0.24583333333333332"/>
    <n v="3122"/>
  </r>
  <r>
    <x v="2"/>
    <x v="347"/>
    <n v="217"/>
    <n v="69"/>
    <x v="6"/>
    <n v="148"/>
    <x v="1"/>
    <n v="0.14374999999999999"/>
    <n v="4186"/>
  </r>
  <r>
    <x v="2"/>
    <x v="348"/>
    <n v="250"/>
    <n v="35"/>
    <x v="6"/>
    <n v="215"/>
    <x v="2"/>
    <n v="7.2916666666666671E-2"/>
    <n v="4916"/>
  </r>
  <r>
    <x v="2"/>
    <x v="349"/>
    <n v="100"/>
    <n v="61"/>
    <x v="0"/>
    <n v="39"/>
    <x v="1"/>
    <n v="0.12708333333333333"/>
    <n v="4368"/>
  </r>
  <r>
    <x v="2"/>
    <x v="350"/>
    <n v="309"/>
    <n v="133"/>
    <x v="0"/>
    <n v="176"/>
    <x v="0"/>
    <n v="0.27708333333333335"/>
    <n v="2758"/>
  </r>
  <r>
    <x v="2"/>
    <x v="351"/>
    <n v="216"/>
    <n v="120"/>
    <x v="3"/>
    <n v="96"/>
    <x v="0"/>
    <n v="0.25"/>
    <n v="3066"/>
  </r>
  <r>
    <x v="2"/>
    <x v="352"/>
    <n v="97"/>
    <n v="43"/>
    <x v="0"/>
    <n v="54"/>
    <x v="2"/>
    <n v="8.9583333333333334E-2"/>
    <n v="4752"/>
  </r>
  <r>
    <x v="2"/>
    <x v="353"/>
    <n v="278"/>
    <n v="71"/>
    <x v="5"/>
    <n v="207"/>
    <x v="1"/>
    <n v="0.14791666666666667"/>
    <n v="4129"/>
  </r>
  <r>
    <x v="2"/>
    <x v="354"/>
    <n v="285"/>
    <n v="128"/>
    <x v="2"/>
    <n v="157"/>
    <x v="0"/>
    <n v="0.26666666666666666"/>
    <n v="2872"/>
  </r>
  <r>
    <x v="2"/>
    <x v="355"/>
    <n v="198"/>
    <n v="75"/>
    <x v="5"/>
    <n v="123"/>
    <x v="1"/>
    <n v="0.15625"/>
    <n v="4041"/>
  </r>
  <r>
    <x v="2"/>
    <x v="356"/>
    <n v="251"/>
    <n v="37"/>
    <x v="1"/>
    <n v="214"/>
    <x v="2"/>
    <n v="7.7083333333333337E-2"/>
    <n v="4863"/>
  </r>
  <r>
    <x v="2"/>
    <x v="357"/>
    <n v="247"/>
    <n v="77"/>
    <x v="2"/>
    <n v="170"/>
    <x v="1"/>
    <n v="0.16041666666666668"/>
    <n v="4006"/>
  </r>
  <r>
    <x v="2"/>
    <x v="358"/>
    <n v="110"/>
    <n v="51"/>
    <x v="5"/>
    <n v="59"/>
    <x v="1"/>
    <n v="0.10625"/>
    <n v="4578"/>
  </r>
  <r>
    <x v="2"/>
    <x v="359"/>
    <n v="248"/>
    <n v="179"/>
    <x v="3"/>
    <n v="69"/>
    <x v="0"/>
    <n v="0.37291666666666667"/>
    <n v="1667"/>
  </r>
  <r>
    <x v="2"/>
    <x v="360"/>
    <n v="225"/>
    <n v="180"/>
    <x v="4"/>
    <n v="45"/>
    <x v="0"/>
    <n v="0.375"/>
    <n v="1635"/>
  </r>
  <r>
    <x v="2"/>
    <x v="361"/>
    <n v="227"/>
    <n v="189"/>
    <x v="2"/>
    <n v="38"/>
    <x v="0"/>
    <n v="0.39374999999999999"/>
    <n v="1395"/>
  </r>
  <r>
    <x v="2"/>
    <x v="362"/>
    <n v="282"/>
    <n v="158"/>
    <x v="1"/>
    <n v="124"/>
    <x v="0"/>
    <n v="0.32916666666666666"/>
    <n v="2207"/>
  </r>
  <r>
    <x v="2"/>
    <x v="363"/>
    <n v="275"/>
    <n v="119"/>
    <x v="1"/>
    <n v="156"/>
    <x v="0"/>
    <n v="0.24791666666666667"/>
    <n v="3093"/>
  </r>
  <r>
    <x v="2"/>
    <x v="364"/>
    <n v="148"/>
    <n v="118"/>
    <x v="6"/>
    <n v="30"/>
    <x v="0"/>
    <n v="0.24583333333333332"/>
    <n v="3122"/>
  </r>
  <r>
    <x v="2"/>
    <x v="365"/>
    <n v="272"/>
    <n v="85"/>
    <x v="1"/>
    <n v="187"/>
    <x v="1"/>
    <n v="0.17708333333333334"/>
    <n v="3852"/>
  </r>
  <r>
    <x v="2"/>
    <x v="366"/>
    <n v="178"/>
    <n v="69"/>
    <x v="3"/>
    <n v="109"/>
    <x v="1"/>
    <n v="0.14374999999999999"/>
    <n v="4186"/>
  </r>
  <r>
    <x v="2"/>
    <x v="367"/>
    <n v="203"/>
    <n v="115"/>
    <x v="0"/>
    <n v="88"/>
    <x v="0"/>
    <n v="0.23958333333333334"/>
    <n v="3206"/>
  </r>
  <r>
    <x v="2"/>
    <x v="368"/>
    <n v="243"/>
    <n v="185"/>
    <x v="5"/>
    <n v="58"/>
    <x v="0"/>
    <n v="0.38541666666666669"/>
    <n v="1517"/>
  </r>
  <r>
    <x v="2"/>
    <x v="369"/>
    <n v="104"/>
    <n v="94"/>
    <x v="5"/>
    <n v="10"/>
    <x v="1"/>
    <n v="0.19583333333333333"/>
    <n v="3654"/>
  </r>
  <r>
    <x v="2"/>
    <x v="370"/>
    <n v="162"/>
    <n v="154"/>
    <x v="1"/>
    <n v="8"/>
    <x v="0"/>
    <n v="0.32083333333333336"/>
    <n v="2307"/>
  </r>
  <r>
    <x v="2"/>
    <x v="371"/>
    <n v="319"/>
    <n v="86"/>
    <x v="6"/>
    <n v="233"/>
    <x v="1"/>
    <n v="0.17916666666666667"/>
    <n v="3830"/>
  </r>
  <r>
    <x v="2"/>
    <x v="372"/>
    <n v="79"/>
    <n v="60"/>
    <x v="0"/>
    <n v="19"/>
    <x v="1"/>
    <n v="0.125"/>
    <n v="4390"/>
  </r>
  <r>
    <x v="2"/>
    <x v="373"/>
    <n v="251"/>
    <n v="174"/>
    <x v="5"/>
    <n v="77"/>
    <x v="0"/>
    <n v="0.36249999999999999"/>
    <n v="1803"/>
  </r>
  <r>
    <x v="2"/>
    <x v="374"/>
    <n v="312"/>
    <n v="88"/>
    <x v="5"/>
    <n v="224"/>
    <x v="1"/>
    <n v="0.18333333333333332"/>
    <n v="3792"/>
  </r>
  <r>
    <x v="2"/>
    <x v="375"/>
    <n v="244"/>
    <n v="122"/>
    <x v="6"/>
    <n v="122"/>
    <x v="0"/>
    <n v="0.25416666666666665"/>
    <n v="3013"/>
  </r>
  <r>
    <x v="2"/>
    <x v="376"/>
    <n v="139"/>
    <n v="37"/>
    <x v="5"/>
    <n v="102"/>
    <x v="2"/>
    <n v="7.7083333333333337E-2"/>
    <n v="4863"/>
  </r>
  <r>
    <x v="2"/>
    <x v="377"/>
    <n v="183"/>
    <n v="87"/>
    <x v="6"/>
    <n v="96"/>
    <x v="1"/>
    <n v="0.18124999999999999"/>
    <n v="3813"/>
  </r>
  <r>
    <x v="2"/>
    <x v="378"/>
    <n v="254"/>
    <n v="53"/>
    <x v="3"/>
    <n v="201"/>
    <x v="1"/>
    <n v="0.11041666666666666"/>
    <n v="4544"/>
  </r>
  <r>
    <x v="2"/>
    <x v="379"/>
    <n v="273"/>
    <n v="150"/>
    <x v="1"/>
    <n v="123"/>
    <x v="0"/>
    <n v="0.3125"/>
    <n v="2400"/>
  </r>
  <r>
    <x v="2"/>
    <x v="380"/>
    <n v="293"/>
    <n v="41"/>
    <x v="4"/>
    <n v="252"/>
    <x v="2"/>
    <n v="8.5416666666666669E-2"/>
    <n v="4789"/>
  </r>
  <r>
    <x v="2"/>
    <x v="381"/>
    <n v="272"/>
    <n v="147"/>
    <x v="3"/>
    <n v="125"/>
    <x v="0"/>
    <n v="0.30625000000000002"/>
    <n v="2478"/>
  </r>
  <r>
    <x v="2"/>
    <x v="382"/>
    <n v="206"/>
    <n v="127"/>
    <x v="0"/>
    <n v="79"/>
    <x v="0"/>
    <n v="0.26458333333333334"/>
    <n v="2909"/>
  </r>
  <r>
    <x v="2"/>
    <x v="383"/>
    <n v="55"/>
    <n v="33"/>
    <x v="4"/>
    <n v="22"/>
    <x v="2"/>
    <n v="6.8750000000000006E-2"/>
    <n v="4964"/>
  </r>
  <r>
    <x v="2"/>
    <x v="384"/>
    <n v="308"/>
    <n v="46"/>
    <x v="2"/>
    <n v="262"/>
    <x v="2"/>
    <n v="9.583333333333334E-2"/>
    <n v="4680"/>
  </r>
  <r>
    <x v="2"/>
    <x v="385"/>
    <n v="162"/>
    <n v="148"/>
    <x v="4"/>
    <n v="14"/>
    <x v="0"/>
    <n v="0.30833333333333335"/>
    <n v="2446"/>
  </r>
  <r>
    <x v="2"/>
    <x v="386"/>
    <n v="187"/>
    <n v="152"/>
    <x v="5"/>
    <n v="35"/>
    <x v="0"/>
    <n v="0.31666666666666665"/>
    <n v="2349"/>
  </r>
  <r>
    <x v="2"/>
    <x v="387"/>
    <n v="263"/>
    <n v="169"/>
    <x v="2"/>
    <n v="94"/>
    <x v="0"/>
    <n v="0.35208333333333336"/>
    <n v="1925"/>
  </r>
  <r>
    <x v="2"/>
    <x v="388"/>
    <n v="212"/>
    <n v="177"/>
    <x v="0"/>
    <n v="35"/>
    <x v="0"/>
    <n v="0.36875000000000002"/>
    <n v="1733"/>
  </r>
  <r>
    <x v="2"/>
    <x v="389"/>
    <n v="182"/>
    <n v="113"/>
    <x v="0"/>
    <n v="69"/>
    <x v="0"/>
    <n v="0.23541666666666666"/>
    <n v="3243"/>
  </r>
  <r>
    <x v="2"/>
    <x v="390"/>
    <n v="302"/>
    <n v="130"/>
    <x v="4"/>
    <n v="172"/>
    <x v="0"/>
    <n v="0.27083333333333331"/>
    <n v="2832"/>
  </r>
  <r>
    <x v="2"/>
    <x v="391"/>
    <n v="66"/>
    <n v="64"/>
    <x v="6"/>
    <n v="2"/>
    <x v="1"/>
    <n v="0.13333333333333333"/>
    <n v="4293"/>
  </r>
  <r>
    <x v="2"/>
    <x v="392"/>
    <n v="245"/>
    <n v="32"/>
    <x v="3"/>
    <n v="213"/>
    <x v="2"/>
    <n v="6.6666666666666666E-2"/>
    <n v="4983"/>
  </r>
  <r>
    <x v="2"/>
    <x v="393"/>
    <n v="289"/>
    <n v="30"/>
    <x v="0"/>
    <n v="259"/>
    <x v="2"/>
    <n v="6.25E-2"/>
    <n v="5042"/>
  </r>
  <r>
    <x v="2"/>
    <x v="394"/>
    <n v="220"/>
    <n v="136"/>
    <x v="1"/>
    <n v="84"/>
    <x v="0"/>
    <n v="0.28333333333333333"/>
    <n v="2692"/>
  </r>
  <r>
    <x v="2"/>
    <x v="395"/>
    <n v="197"/>
    <n v="103"/>
    <x v="2"/>
    <n v="94"/>
    <x v="0"/>
    <n v="0.21458333333333332"/>
    <n v="3474"/>
  </r>
  <r>
    <x v="2"/>
    <x v="396"/>
    <n v="74"/>
    <n v="54"/>
    <x v="3"/>
    <n v="20"/>
    <x v="1"/>
    <n v="0.1125"/>
    <n v="4523"/>
  </r>
  <r>
    <x v="2"/>
    <x v="397"/>
    <n v="230"/>
    <n v="188"/>
    <x v="5"/>
    <n v="42"/>
    <x v="0"/>
    <n v="0.39166666666666666"/>
    <n v="1423"/>
  </r>
  <r>
    <x v="2"/>
    <x v="398"/>
    <n v="206"/>
    <n v="133"/>
    <x v="2"/>
    <n v="73"/>
    <x v="0"/>
    <n v="0.27708333333333335"/>
    <n v="2758"/>
  </r>
  <r>
    <x v="2"/>
    <x v="399"/>
    <n v="320"/>
    <n v="127"/>
    <x v="3"/>
    <n v="193"/>
    <x v="0"/>
    <n v="0.26458333333333334"/>
    <n v="2909"/>
  </r>
  <r>
    <x v="2"/>
    <x v="400"/>
    <n v="238"/>
    <n v="79"/>
    <x v="4"/>
    <n v="159"/>
    <x v="1"/>
    <n v="0.16458333333333333"/>
    <n v="3967"/>
  </r>
  <r>
    <x v="2"/>
    <x v="401"/>
    <n v="209"/>
    <n v="109"/>
    <x v="1"/>
    <n v="100"/>
    <x v="0"/>
    <n v="0.22708333333333333"/>
    <n v="3338"/>
  </r>
  <r>
    <x v="2"/>
    <x v="402"/>
    <n v="98"/>
    <n v="91"/>
    <x v="0"/>
    <n v="7"/>
    <x v="1"/>
    <n v="0.18958333333333333"/>
    <n v="3726"/>
  </r>
  <r>
    <x v="2"/>
    <x v="403"/>
    <n v="176"/>
    <n v="106"/>
    <x v="2"/>
    <n v="70"/>
    <x v="0"/>
    <n v="0.22083333333333333"/>
    <n v="3413"/>
  </r>
  <r>
    <x v="2"/>
    <x v="404"/>
    <n v="220"/>
    <n v="151"/>
    <x v="3"/>
    <n v="69"/>
    <x v="0"/>
    <n v="0.31458333333333333"/>
    <n v="2376"/>
  </r>
  <r>
    <x v="2"/>
    <x v="405"/>
    <n v="251"/>
    <n v="149"/>
    <x v="2"/>
    <n v="102"/>
    <x v="0"/>
    <n v="0.31041666666666667"/>
    <n v="2426"/>
  </r>
  <r>
    <x v="2"/>
    <x v="406"/>
    <n v="181"/>
    <n v="172"/>
    <x v="6"/>
    <n v="9"/>
    <x v="0"/>
    <n v="0.35833333333333334"/>
    <n v="1852"/>
  </r>
  <r>
    <x v="2"/>
    <x v="407"/>
    <n v="269"/>
    <n v="184"/>
    <x v="2"/>
    <n v="85"/>
    <x v="0"/>
    <n v="0.38333333333333336"/>
    <n v="1544"/>
  </r>
  <r>
    <x v="2"/>
    <x v="408"/>
    <n v="264"/>
    <n v="78"/>
    <x v="0"/>
    <n v="186"/>
    <x v="1"/>
    <n v="0.16250000000000001"/>
    <n v="3989"/>
  </r>
  <r>
    <x v="2"/>
    <x v="409"/>
    <n v="161"/>
    <n v="58"/>
    <x v="4"/>
    <n v="103"/>
    <x v="1"/>
    <n v="0.12083333333333333"/>
    <n v="4431"/>
  </r>
  <r>
    <x v="2"/>
    <x v="410"/>
    <n v="297"/>
    <n v="162"/>
    <x v="2"/>
    <n v="135"/>
    <x v="0"/>
    <n v="0.33750000000000002"/>
    <n v="2106"/>
  </r>
  <r>
    <x v="2"/>
    <x v="411"/>
    <n v="165"/>
    <n v="117"/>
    <x v="0"/>
    <n v="48"/>
    <x v="0"/>
    <n v="0.24374999999999999"/>
    <n v="3144"/>
  </r>
  <r>
    <x v="2"/>
    <x v="412"/>
    <n v="287"/>
    <n v="167"/>
    <x v="5"/>
    <n v="120"/>
    <x v="0"/>
    <n v="0.34791666666666665"/>
    <n v="1979"/>
  </r>
  <r>
    <x v="2"/>
    <x v="413"/>
    <n v="247"/>
    <n v="62"/>
    <x v="2"/>
    <n v="185"/>
    <x v="1"/>
    <n v="0.12916666666666668"/>
    <n v="4343"/>
  </r>
  <r>
    <x v="2"/>
    <x v="414"/>
    <n v="232"/>
    <n v="169"/>
    <x v="6"/>
    <n v="63"/>
    <x v="0"/>
    <n v="0.35208333333333336"/>
    <n v="1925"/>
  </r>
  <r>
    <x v="2"/>
    <x v="415"/>
    <n v="111"/>
    <n v="32"/>
    <x v="6"/>
    <n v="79"/>
    <x v="2"/>
    <n v="6.6666666666666666E-2"/>
    <n v="4983"/>
  </r>
  <r>
    <x v="2"/>
    <x v="416"/>
    <n v="83"/>
    <n v="80"/>
    <x v="2"/>
    <n v="3"/>
    <x v="1"/>
    <n v="0.16666666666666666"/>
    <n v="3948"/>
  </r>
  <r>
    <x v="2"/>
    <x v="417"/>
    <n v="297"/>
    <n v="123"/>
    <x v="1"/>
    <n v="174"/>
    <x v="0"/>
    <n v="0.25624999999999998"/>
    <n v="2983"/>
  </r>
  <r>
    <x v="2"/>
    <x v="418"/>
    <n v="306"/>
    <n v="156"/>
    <x v="5"/>
    <n v="150"/>
    <x v="0"/>
    <n v="0.32500000000000001"/>
    <n v="2251"/>
  </r>
  <r>
    <x v="2"/>
    <x v="419"/>
    <n v="210"/>
    <n v="101"/>
    <x v="1"/>
    <n v="109"/>
    <x v="0"/>
    <n v="0.21041666666666667"/>
    <n v="3515"/>
  </r>
  <r>
    <x v="2"/>
    <x v="420"/>
    <n v="179"/>
    <n v="171"/>
    <x v="0"/>
    <n v="8"/>
    <x v="0"/>
    <n v="0.35625000000000001"/>
    <n v="1866"/>
  </r>
  <r>
    <x v="2"/>
    <x v="421"/>
    <n v="274"/>
    <n v="65"/>
    <x v="4"/>
    <n v="209"/>
    <x v="1"/>
    <n v="0.13541666666666666"/>
    <n v="4267"/>
  </r>
  <r>
    <x v="2"/>
    <x v="422"/>
    <n v="289"/>
    <n v="144"/>
    <x v="2"/>
    <n v="145"/>
    <x v="0"/>
    <n v="0.3"/>
    <n v="2550"/>
  </r>
  <r>
    <x v="2"/>
    <x v="423"/>
    <n v="299"/>
    <n v="75"/>
    <x v="0"/>
    <n v="224"/>
    <x v="1"/>
    <n v="0.15625"/>
    <n v="4041"/>
  </r>
  <r>
    <x v="2"/>
    <x v="424"/>
    <n v="146"/>
    <n v="85"/>
    <x v="0"/>
    <n v="61"/>
    <x v="1"/>
    <n v="0.17708333333333334"/>
    <n v="3852"/>
  </r>
  <r>
    <x v="2"/>
    <x v="425"/>
    <n v="269"/>
    <n v="187"/>
    <x v="2"/>
    <n v="82"/>
    <x v="0"/>
    <n v="0.38958333333333334"/>
    <n v="1455"/>
  </r>
  <r>
    <x v="2"/>
    <x v="426"/>
    <n v="200"/>
    <n v="141"/>
    <x v="5"/>
    <n v="59"/>
    <x v="0"/>
    <n v="0.29375000000000001"/>
    <n v="2609"/>
  </r>
  <r>
    <x v="2"/>
    <x v="427"/>
    <n v="303"/>
    <n v="149"/>
    <x v="1"/>
    <n v="154"/>
    <x v="0"/>
    <n v="0.31041666666666667"/>
    <n v="2426"/>
  </r>
  <r>
    <x v="2"/>
    <x v="428"/>
    <n v="218"/>
    <n v="51"/>
    <x v="0"/>
    <n v="167"/>
    <x v="1"/>
    <n v="0.10625"/>
    <n v="4578"/>
  </r>
  <r>
    <x v="2"/>
    <x v="429"/>
    <n v="236"/>
    <n v="56"/>
    <x v="3"/>
    <n v="180"/>
    <x v="1"/>
    <n v="0.11666666666666667"/>
    <n v="4474"/>
  </r>
  <r>
    <x v="2"/>
    <x v="430"/>
    <n v="219"/>
    <n v="170"/>
    <x v="0"/>
    <n v="49"/>
    <x v="0"/>
    <n v="0.35416666666666669"/>
    <n v="1898"/>
  </r>
  <r>
    <x v="2"/>
    <x v="431"/>
    <n v="239"/>
    <n v="161"/>
    <x v="6"/>
    <n v="78"/>
    <x v="0"/>
    <n v="0.33541666666666664"/>
    <n v="2129"/>
  </r>
  <r>
    <x v="2"/>
    <x v="432"/>
    <n v="159"/>
    <n v="121"/>
    <x v="0"/>
    <n v="38"/>
    <x v="0"/>
    <n v="0.25208333333333333"/>
    <n v="3037"/>
  </r>
  <r>
    <x v="2"/>
    <x v="433"/>
    <n v="258"/>
    <n v="93"/>
    <x v="4"/>
    <n v="165"/>
    <x v="1"/>
    <n v="0.19375000000000001"/>
    <n v="3678"/>
  </r>
  <r>
    <x v="2"/>
    <x v="434"/>
    <n v="121"/>
    <n v="86"/>
    <x v="2"/>
    <n v="35"/>
    <x v="1"/>
    <n v="0.17916666666666667"/>
    <n v="3830"/>
  </r>
  <r>
    <x v="2"/>
    <x v="435"/>
    <n v="205"/>
    <n v="154"/>
    <x v="0"/>
    <n v="51"/>
    <x v="0"/>
    <n v="0.32083333333333336"/>
    <n v="2307"/>
  </r>
  <r>
    <x v="2"/>
    <x v="436"/>
    <n v="305"/>
    <n v="149"/>
    <x v="4"/>
    <n v="156"/>
    <x v="0"/>
    <n v="0.31041666666666667"/>
    <n v="2426"/>
  </r>
  <r>
    <x v="2"/>
    <x v="437"/>
    <n v="243"/>
    <n v="66"/>
    <x v="4"/>
    <n v="177"/>
    <x v="1"/>
    <n v="0.13750000000000001"/>
    <n v="4247"/>
  </r>
  <r>
    <x v="2"/>
    <x v="438"/>
    <n v="58"/>
    <n v="32"/>
    <x v="2"/>
    <n v="26"/>
    <x v="2"/>
    <n v="6.6666666666666666E-2"/>
    <n v="4983"/>
  </r>
  <r>
    <x v="2"/>
    <x v="439"/>
    <n v="257"/>
    <n v="108"/>
    <x v="2"/>
    <n v="149"/>
    <x v="0"/>
    <n v="0.22500000000000001"/>
    <n v="3362"/>
  </r>
  <r>
    <x v="2"/>
    <x v="440"/>
    <n v="247"/>
    <n v="177"/>
    <x v="5"/>
    <n v="70"/>
    <x v="0"/>
    <n v="0.36875000000000002"/>
    <n v="1733"/>
  </r>
  <r>
    <x v="2"/>
    <x v="441"/>
    <n v="261"/>
    <n v="112"/>
    <x v="1"/>
    <n v="149"/>
    <x v="0"/>
    <n v="0.23333333333333334"/>
    <n v="3267"/>
  </r>
  <r>
    <x v="2"/>
    <x v="442"/>
    <n v="227"/>
    <n v="56"/>
    <x v="5"/>
    <n v="171"/>
    <x v="1"/>
    <n v="0.11666666666666667"/>
    <n v="4474"/>
  </r>
  <r>
    <x v="2"/>
    <x v="443"/>
    <n v="141"/>
    <n v="93"/>
    <x v="1"/>
    <n v="48"/>
    <x v="1"/>
    <n v="0.19375000000000001"/>
    <n v="3678"/>
  </r>
  <r>
    <x v="2"/>
    <x v="444"/>
    <n v="62"/>
    <n v="35"/>
    <x v="1"/>
    <n v="27"/>
    <x v="2"/>
    <n v="7.2916666666666671E-2"/>
    <n v="4916"/>
  </r>
  <r>
    <x v="2"/>
    <x v="445"/>
    <n v="165"/>
    <n v="123"/>
    <x v="5"/>
    <n v="42"/>
    <x v="0"/>
    <n v="0.25624999999999998"/>
    <n v="2983"/>
  </r>
  <r>
    <x v="2"/>
    <x v="446"/>
    <n v="164"/>
    <n v="111"/>
    <x v="0"/>
    <n v="53"/>
    <x v="0"/>
    <n v="0.23125000000000001"/>
    <n v="3285"/>
  </r>
  <r>
    <x v="2"/>
    <x v="447"/>
    <n v="288"/>
    <n v="167"/>
    <x v="6"/>
    <n v="121"/>
    <x v="0"/>
    <n v="0.34791666666666665"/>
    <n v="1979"/>
  </r>
  <r>
    <x v="2"/>
    <x v="448"/>
    <n v="271"/>
    <n v="44"/>
    <x v="3"/>
    <n v="227"/>
    <x v="2"/>
    <n v="9.166666666666666E-2"/>
    <n v="4732"/>
  </r>
  <r>
    <x v="2"/>
    <x v="449"/>
    <n v="232"/>
    <n v="93"/>
    <x v="6"/>
    <n v="139"/>
    <x v="1"/>
    <n v="0.19375000000000001"/>
    <n v="3678"/>
  </r>
  <r>
    <x v="2"/>
    <x v="450"/>
    <n v="165"/>
    <n v="43"/>
    <x v="3"/>
    <n v="122"/>
    <x v="2"/>
    <n v="8.9583333333333334E-2"/>
    <n v="4752"/>
  </r>
  <r>
    <x v="2"/>
    <x v="451"/>
    <n v="123"/>
    <n v="119"/>
    <x v="1"/>
    <n v="4"/>
    <x v="0"/>
    <n v="0.24791666666666667"/>
    <n v="3093"/>
  </r>
  <r>
    <x v="2"/>
    <x v="452"/>
    <n v="233"/>
    <n v="120"/>
    <x v="6"/>
    <n v="113"/>
    <x v="0"/>
    <n v="0.25"/>
    <n v="3066"/>
  </r>
  <r>
    <x v="2"/>
    <x v="453"/>
    <n v="260"/>
    <n v="81"/>
    <x v="6"/>
    <n v="179"/>
    <x v="1"/>
    <n v="0.16875000000000001"/>
    <n v="3923"/>
  </r>
  <r>
    <x v="2"/>
    <x v="454"/>
    <n v="259"/>
    <n v="158"/>
    <x v="1"/>
    <n v="101"/>
    <x v="0"/>
    <n v="0.32916666666666666"/>
    <n v="2207"/>
  </r>
  <r>
    <x v="2"/>
    <x v="455"/>
    <n v="250"/>
    <n v="63"/>
    <x v="4"/>
    <n v="187"/>
    <x v="1"/>
    <n v="0.13125000000000001"/>
    <n v="4322"/>
  </r>
  <r>
    <x v="2"/>
    <x v="456"/>
    <n v="135"/>
    <n v="96"/>
    <x v="3"/>
    <n v="39"/>
    <x v="1"/>
    <n v="0.2"/>
    <n v="3616"/>
  </r>
  <r>
    <x v="2"/>
    <x v="457"/>
    <n v="306"/>
    <n v="179"/>
    <x v="1"/>
    <n v="127"/>
    <x v="0"/>
    <n v="0.37291666666666667"/>
    <n v="1667"/>
  </r>
  <r>
    <x v="2"/>
    <x v="458"/>
    <n v="297"/>
    <n v="60"/>
    <x v="6"/>
    <n v="237"/>
    <x v="1"/>
    <n v="0.125"/>
    <n v="4390"/>
  </r>
  <r>
    <x v="2"/>
    <x v="459"/>
    <n v="177"/>
    <n v="93"/>
    <x v="3"/>
    <n v="84"/>
    <x v="1"/>
    <n v="0.19375000000000001"/>
    <n v="3678"/>
  </r>
  <r>
    <x v="2"/>
    <x v="460"/>
    <n v="275"/>
    <n v="158"/>
    <x v="1"/>
    <n v="117"/>
    <x v="0"/>
    <n v="0.32916666666666666"/>
    <n v="2207"/>
  </r>
  <r>
    <x v="2"/>
    <x v="461"/>
    <n v="257"/>
    <n v="144"/>
    <x v="2"/>
    <n v="113"/>
    <x v="0"/>
    <n v="0.3"/>
    <n v="2550"/>
  </r>
  <r>
    <x v="2"/>
    <x v="462"/>
    <n v="221"/>
    <n v="126"/>
    <x v="3"/>
    <n v="95"/>
    <x v="0"/>
    <n v="0.26250000000000001"/>
    <n v="2934"/>
  </r>
  <r>
    <x v="2"/>
    <x v="463"/>
    <n v="188"/>
    <n v="95"/>
    <x v="0"/>
    <n v="93"/>
    <x v="1"/>
    <n v="0.19791666666666666"/>
    <n v="3634"/>
  </r>
  <r>
    <x v="2"/>
    <x v="464"/>
    <n v="100"/>
    <n v="50"/>
    <x v="1"/>
    <n v="50"/>
    <x v="2"/>
    <n v="0.10416666666666667"/>
    <n v="4596"/>
  </r>
  <r>
    <x v="2"/>
    <x v="465"/>
    <n v="300"/>
    <n v="187"/>
    <x v="5"/>
    <n v="113"/>
    <x v="0"/>
    <n v="0.38958333333333334"/>
    <n v="1455"/>
  </r>
  <r>
    <x v="2"/>
    <x v="466"/>
    <n v="277"/>
    <n v="49"/>
    <x v="5"/>
    <n v="228"/>
    <x v="2"/>
    <n v="0.10208333333333333"/>
    <n v="4614"/>
  </r>
  <r>
    <x v="2"/>
    <x v="467"/>
    <n v="271"/>
    <n v="123"/>
    <x v="3"/>
    <n v="148"/>
    <x v="0"/>
    <n v="0.25624999999999998"/>
    <n v="2983"/>
  </r>
  <r>
    <x v="2"/>
    <x v="468"/>
    <n v="275"/>
    <n v="147"/>
    <x v="6"/>
    <n v="128"/>
    <x v="0"/>
    <n v="0.30625000000000002"/>
    <n v="2478"/>
  </r>
  <r>
    <x v="3"/>
    <x v="469"/>
    <n v="389"/>
    <n v="382"/>
    <x v="1"/>
    <n v="7"/>
    <x v="3"/>
    <n v="0.79583333333333328"/>
    <n v="471"/>
  </r>
  <r>
    <x v="3"/>
    <x v="470"/>
    <n v="392"/>
    <n v="247"/>
    <x v="4"/>
    <n v="145"/>
    <x v="4"/>
    <n v="0.51458333333333328"/>
    <n v="1112"/>
  </r>
  <r>
    <x v="3"/>
    <x v="471"/>
    <n v="392"/>
    <n v="387"/>
    <x v="1"/>
    <n v="5"/>
    <x v="3"/>
    <n v="0.80625000000000002"/>
    <n v="451"/>
  </r>
  <r>
    <x v="3"/>
    <x v="472"/>
    <n v="422"/>
    <n v="282"/>
    <x v="3"/>
    <n v="140"/>
    <x v="4"/>
    <n v="0.58750000000000002"/>
    <n v="938"/>
  </r>
  <r>
    <x v="3"/>
    <x v="473"/>
    <n v="305"/>
    <n v="278"/>
    <x v="4"/>
    <n v="27"/>
    <x v="4"/>
    <n v="0.57916666666666672"/>
    <n v="964"/>
  </r>
  <r>
    <x v="3"/>
    <x v="474"/>
    <n v="400"/>
    <n v="292"/>
    <x v="0"/>
    <n v="108"/>
    <x v="4"/>
    <n v="0.60833333333333328"/>
    <n v="892"/>
  </r>
  <r>
    <x v="3"/>
    <x v="475"/>
    <n v="455"/>
    <n v="312"/>
    <x v="5"/>
    <n v="143"/>
    <x v="3"/>
    <n v="0.65"/>
    <n v="812"/>
  </r>
  <r>
    <x v="3"/>
    <x v="476"/>
    <n v="374"/>
    <n v="220"/>
    <x v="1"/>
    <n v="154"/>
    <x v="4"/>
    <n v="0.45833333333333331"/>
    <n v="1227"/>
  </r>
  <r>
    <x v="3"/>
    <x v="477"/>
    <n v="475"/>
    <n v="453"/>
    <x v="5"/>
    <n v="22"/>
    <x v="5"/>
    <n v="0.94374999999999998"/>
    <n v="141"/>
  </r>
  <r>
    <x v="3"/>
    <x v="478"/>
    <n v="489"/>
    <n v="440"/>
    <x v="1"/>
    <n v="49"/>
    <x v="5"/>
    <n v="0.91666666666666663"/>
    <n v="208"/>
  </r>
  <r>
    <x v="3"/>
    <x v="479"/>
    <n v="373"/>
    <n v="186"/>
    <x v="4"/>
    <n v="187"/>
    <x v="0"/>
    <n v="0.38750000000000001"/>
    <n v="1478"/>
  </r>
  <r>
    <x v="3"/>
    <x v="480"/>
    <n v="370"/>
    <n v="164"/>
    <x v="4"/>
    <n v="206"/>
    <x v="0"/>
    <n v="0.34166666666666667"/>
    <n v="2049"/>
  </r>
  <r>
    <x v="3"/>
    <x v="481"/>
    <n v="437"/>
    <n v="417"/>
    <x v="5"/>
    <n v="20"/>
    <x v="5"/>
    <n v="0.86875000000000002"/>
    <n v="316"/>
  </r>
  <r>
    <x v="3"/>
    <x v="482"/>
    <n v="441"/>
    <n v="223"/>
    <x v="5"/>
    <n v="218"/>
    <x v="4"/>
    <n v="0.46458333333333335"/>
    <n v="1220"/>
  </r>
  <r>
    <x v="3"/>
    <x v="483"/>
    <n v="460"/>
    <n v="320"/>
    <x v="0"/>
    <n v="140"/>
    <x v="3"/>
    <n v="0.66666666666666663"/>
    <n v="778"/>
  </r>
  <r>
    <x v="3"/>
    <x v="484"/>
    <n v="315"/>
    <n v="174"/>
    <x v="6"/>
    <n v="141"/>
    <x v="0"/>
    <n v="0.36249999999999999"/>
    <n v="1803"/>
  </r>
  <r>
    <x v="3"/>
    <x v="485"/>
    <n v="489"/>
    <n v="266"/>
    <x v="5"/>
    <n v="223"/>
    <x v="4"/>
    <n v="0.5541666666666667"/>
    <n v="1018"/>
  </r>
  <r>
    <x v="3"/>
    <x v="486"/>
    <n v="404"/>
    <n v="215"/>
    <x v="3"/>
    <n v="189"/>
    <x v="4"/>
    <n v="0.44791666666666669"/>
    <n v="1251"/>
  </r>
  <r>
    <x v="3"/>
    <x v="487"/>
    <n v="408"/>
    <n v="213"/>
    <x v="4"/>
    <n v="195"/>
    <x v="4"/>
    <n v="0.44374999999999998"/>
    <n v="1260"/>
  </r>
  <r>
    <x v="3"/>
    <x v="488"/>
    <n v="498"/>
    <n v="448"/>
    <x v="0"/>
    <n v="50"/>
    <x v="5"/>
    <n v="0.93333333333333335"/>
    <n v="166"/>
  </r>
  <r>
    <x v="3"/>
    <x v="489"/>
    <n v="427"/>
    <n v="377"/>
    <x v="1"/>
    <n v="50"/>
    <x v="3"/>
    <n v="0.78541666666666665"/>
    <n v="500"/>
  </r>
  <r>
    <x v="3"/>
    <x v="490"/>
    <n v="452"/>
    <n v="414"/>
    <x v="5"/>
    <n v="38"/>
    <x v="5"/>
    <n v="0.86250000000000004"/>
    <n v="329"/>
  </r>
  <r>
    <x v="3"/>
    <x v="491"/>
    <n v="411"/>
    <n v="399"/>
    <x v="0"/>
    <n v="12"/>
    <x v="3"/>
    <n v="0.83125000000000004"/>
    <n v="399"/>
  </r>
  <r>
    <x v="3"/>
    <x v="492"/>
    <n v="488"/>
    <n v="255"/>
    <x v="1"/>
    <n v="233"/>
    <x v="4"/>
    <n v="0.53125"/>
    <n v="1070"/>
  </r>
  <r>
    <x v="3"/>
    <x v="493"/>
    <n v="477"/>
    <n v="403"/>
    <x v="1"/>
    <n v="74"/>
    <x v="5"/>
    <n v="0.83958333333333335"/>
    <n v="378"/>
  </r>
  <r>
    <x v="3"/>
    <x v="494"/>
    <n v="299"/>
    <n v="279"/>
    <x v="4"/>
    <n v="20"/>
    <x v="4"/>
    <n v="0.58125000000000004"/>
    <n v="957"/>
  </r>
  <r>
    <x v="3"/>
    <x v="495"/>
    <n v="166"/>
    <n v="155"/>
    <x v="6"/>
    <n v="11"/>
    <x v="0"/>
    <n v="0.32291666666666669"/>
    <n v="2275"/>
  </r>
  <r>
    <x v="3"/>
    <x v="496"/>
    <n v="373"/>
    <n v="360"/>
    <x v="1"/>
    <n v="13"/>
    <x v="3"/>
    <n v="0.75"/>
    <n v="574"/>
  </r>
  <r>
    <x v="3"/>
    <x v="497"/>
    <n v="336"/>
    <n v="229"/>
    <x v="1"/>
    <n v="107"/>
    <x v="4"/>
    <n v="0.47708333333333336"/>
    <n v="1190"/>
  </r>
  <r>
    <x v="3"/>
    <x v="498"/>
    <n v="486"/>
    <n v="268"/>
    <x v="6"/>
    <n v="218"/>
    <x v="4"/>
    <n v="0.55833333333333335"/>
    <n v="1008"/>
  </r>
  <r>
    <x v="3"/>
    <x v="499"/>
    <n v="302"/>
    <n v="299"/>
    <x v="2"/>
    <n v="3"/>
    <x v="4"/>
    <n v="0.62291666666666667"/>
    <n v="860"/>
  </r>
  <r>
    <x v="3"/>
    <x v="500"/>
    <n v="459"/>
    <n v="224"/>
    <x v="6"/>
    <n v="235"/>
    <x v="4"/>
    <n v="0.46666666666666667"/>
    <n v="1211"/>
  </r>
  <r>
    <x v="3"/>
    <x v="501"/>
    <n v="452"/>
    <n v="229"/>
    <x v="5"/>
    <n v="223"/>
    <x v="4"/>
    <n v="0.47708333333333336"/>
    <n v="1190"/>
  </r>
  <r>
    <x v="3"/>
    <x v="502"/>
    <n v="260"/>
    <n v="168"/>
    <x v="3"/>
    <n v="92"/>
    <x v="0"/>
    <n v="0.35"/>
    <n v="1954"/>
  </r>
  <r>
    <x v="3"/>
    <x v="503"/>
    <n v="498"/>
    <n v="436"/>
    <x v="0"/>
    <n v="62"/>
    <x v="5"/>
    <n v="0.90833333333333333"/>
    <n v="230"/>
  </r>
  <r>
    <x v="3"/>
    <x v="504"/>
    <n v="343"/>
    <n v="254"/>
    <x v="3"/>
    <n v="89"/>
    <x v="4"/>
    <n v="0.52916666666666667"/>
    <n v="1073"/>
  </r>
  <r>
    <x v="3"/>
    <x v="505"/>
    <n v="438"/>
    <n v="393"/>
    <x v="5"/>
    <n v="45"/>
    <x v="3"/>
    <n v="0.81874999999999998"/>
    <n v="428"/>
  </r>
  <r>
    <x v="3"/>
    <x v="506"/>
    <n v="427"/>
    <n v="287"/>
    <x v="3"/>
    <n v="140"/>
    <x v="4"/>
    <n v="0.59791666666666665"/>
    <n v="920"/>
  </r>
  <r>
    <x v="3"/>
    <x v="507"/>
    <n v="446"/>
    <n v="440"/>
    <x v="0"/>
    <n v="6"/>
    <x v="5"/>
    <n v="0.91666666666666663"/>
    <n v="208"/>
  </r>
  <r>
    <x v="3"/>
    <x v="508"/>
    <n v="257"/>
    <n v="219"/>
    <x v="6"/>
    <n v="38"/>
    <x v="4"/>
    <n v="0.45624999999999999"/>
    <n v="1232"/>
  </r>
  <r>
    <x v="3"/>
    <x v="509"/>
    <n v="459"/>
    <n v="390"/>
    <x v="1"/>
    <n v="69"/>
    <x v="3"/>
    <n v="0.8125"/>
    <n v="441"/>
  </r>
  <r>
    <x v="3"/>
    <x v="510"/>
    <n v="439"/>
    <n v="336"/>
    <x v="3"/>
    <n v="103"/>
    <x v="3"/>
    <n v="0.7"/>
    <n v="700"/>
  </r>
  <r>
    <x v="3"/>
    <x v="511"/>
    <n v="277"/>
    <n v="192"/>
    <x v="1"/>
    <n v="85"/>
    <x v="0"/>
    <n v="0.4"/>
    <n v="1347"/>
  </r>
  <r>
    <x v="3"/>
    <x v="512"/>
    <n v="433"/>
    <n v="421"/>
    <x v="1"/>
    <n v="12"/>
    <x v="5"/>
    <n v="0.87708333333333333"/>
    <n v="301"/>
  </r>
  <r>
    <x v="3"/>
    <x v="513"/>
    <n v="462"/>
    <n v="448"/>
    <x v="1"/>
    <n v="14"/>
    <x v="5"/>
    <n v="0.93333333333333335"/>
    <n v="166"/>
  </r>
  <r>
    <x v="3"/>
    <x v="514"/>
    <n v="430"/>
    <n v="349"/>
    <x v="1"/>
    <n v="81"/>
    <x v="3"/>
    <n v="0.7270833333333333"/>
    <n v="631"/>
  </r>
  <r>
    <x v="3"/>
    <x v="515"/>
    <n v="289"/>
    <n v="180"/>
    <x v="3"/>
    <n v="109"/>
    <x v="0"/>
    <n v="0.375"/>
    <n v="1635"/>
  </r>
  <r>
    <x v="3"/>
    <x v="516"/>
    <n v="393"/>
    <n v="341"/>
    <x v="0"/>
    <n v="52"/>
    <x v="3"/>
    <n v="0.7104166666666667"/>
    <n v="674"/>
  </r>
  <r>
    <x v="3"/>
    <x v="517"/>
    <n v="419"/>
    <n v="412"/>
    <x v="5"/>
    <n v="7"/>
    <x v="5"/>
    <n v="0.85833333333333328"/>
    <n v="336"/>
  </r>
  <r>
    <x v="3"/>
    <x v="518"/>
    <n v="318"/>
    <n v="258"/>
    <x v="5"/>
    <n v="60"/>
    <x v="4"/>
    <n v="0.53749999999999998"/>
    <n v="1052"/>
  </r>
  <r>
    <x v="3"/>
    <x v="519"/>
    <n v="389"/>
    <n v="171"/>
    <x v="4"/>
    <n v="218"/>
    <x v="0"/>
    <n v="0.35625000000000001"/>
    <n v="1866"/>
  </r>
  <r>
    <x v="3"/>
    <x v="520"/>
    <n v="434"/>
    <n v="396"/>
    <x v="5"/>
    <n v="38"/>
    <x v="3"/>
    <n v="0.82499999999999996"/>
    <n v="415"/>
  </r>
  <r>
    <x v="3"/>
    <x v="521"/>
    <n v="499"/>
    <n v="248"/>
    <x v="3"/>
    <n v="251"/>
    <x v="4"/>
    <n v="0.51666666666666672"/>
    <n v="1104"/>
  </r>
  <r>
    <x v="3"/>
    <x v="522"/>
    <n v="352"/>
    <n v="251"/>
    <x v="3"/>
    <n v="101"/>
    <x v="4"/>
    <n v="0.5229166666666667"/>
    <n v="1087"/>
  </r>
  <r>
    <x v="3"/>
    <x v="523"/>
    <n v="326"/>
    <n v="160"/>
    <x v="4"/>
    <n v="166"/>
    <x v="0"/>
    <n v="0.33333333333333331"/>
    <n v="2154"/>
  </r>
  <r>
    <x v="3"/>
    <x v="524"/>
    <n v="386"/>
    <n v="153"/>
    <x v="3"/>
    <n v="233"/>
    <x v="0"/>
    <n v="0.31874999999999998"/>
    <n v="2329"/>
  </r>
  <r>
    <x v="3"/>
    <x v="525"/>
    <n v="326"/>
    <n v="300"/>
    <x v="0"/>
    <n v="26"/>
    <x v="4"/>
    <n v="0.625"/>
    <n v="851"/>
  </r>
  <r>
    <x v="3"/>
    <x v="526"/>
    <n v="494"/>
    <n v="391"/>
    <x v="0"/>
    <n v="103"/>
    <x v="3"/>
    <n v="0.81458333333333333"/>
    <n v="437"/>
  </r>
  <r>
    <x v="3"/>
    <x v="527"/>
    <n v="354"/>
    <n v="184"/>
    <x v="4"/>
    <n v="170"/>
    <x v="0"/>
    <n v="0.38333333333333336"/>
    <n v="1544"/>
  </r>
  <r>
    <x v="3"/>
    <x v="528"/>
    <n v="407"/>
    <n v="327"/>
    <x v="0"/>
    <n v="80"/>
    <x v="3"/>
    <n v="0.68125000000000002"/>
    <n v="744"/>
  </r>
  <r>
    <x v="3"/>
    <x v="529"/>
    <n v="295"/>
    <n v="217"/>
    <x v="3"/>
    <n v="78"/>
    <x v="4"/>
    <n v="0.45208333333333334"/>
    <n v="1242"/>
  </r>
  <r>
    <x v="3"/>
    <x v="530"/>
    <n v="351"/>
    <n v="151"/>
    <x v="2"/>
    <n v="200"/>
    <x v="0"/>
    <n v="0.31458333333333333"/>
    <n v="2376"/>
  </r>
  <r>
    <x v="3"/>
    <x v="531"/>
    <n v="476"/>
    <n v="302"/>
    <x v="2"/>
    <n v="174"/>
    <x v="3"/>
    <n v="0.62916666666666665"/>
    <n v="839"/>
  </r>
  <r>
    <x v="3"/>
    <x v="532"/>
    <n v="457"/>
    <n v="443"/>
    <x v="1"/>
    <n v="14"/>
    <x v="5"/>
    <n v="0.92291666666666672"/>
    <n v="188"/>
  </r>
  <r>
    <x v="3"/>
    <x v="533"/>
    <n v="483"/>
    <n v="462"/>
    <x v="1"/>
    <n v="21"/>
    <x v="5"/>
    <n v="0.96250000000000002"/>
    <n v="92"/>
  </r>
  <r>
    <x v="3"/>
    <x v="534"/>
    <n v="437"/>
    <n v="395"/>
    <x v="0"/>
    <n v="42"/>
    <x v="3"/>
    <n v="0.82291666666666663"/>
    <n v="420"/>
  </r>
  <r>
    <x v="3"/>
    <x v="535"/>
    <n v="354"/>
    <n v="321"/>
    <x v="1"/>
    <n v="33"/>
    <x v="3"/>
    <n v="0.66874999999999996"/>
    <n v="770"/>
  </r>
  <r>
    <x v="3"/>
    <x v="536"/>
    <n v="498"/>
    <n v="152"/>
    <x v="4"/>
    <n v="346"/>
    <x v="0"/>
    <n v="0.31666666666666665"/>
    <n v="2349"/>
  </r>
  <r>
    <x v="3"/>
    <x v="537"/>
    <n v="451"/>
    <n v="297"/>
    <x v="6"/>
    <n v="154"/>
    <x v="4"/>
    <n v="0.61875000000000002"/>
    <n v="868"/>
  </r>
  <r>
    <x v="3"/>
    <x v="538"/>
    <n v="493"/>
    <n v="306"/>
    <x v="1"/>
    <n v="187"/>
    <x v="3"/>
    <n v="0.63749999999999996"/>
    <n v="829"/>
  </r>
  <r>
    <x v="3"/>
    <x v="539"/>
    <n v="413"/>
    <n v="330"/>
    <x v="1"/>
    <n v="83"/>
    <x v="3"/>
    <n v="0.6875"/>
    <n v="734"/>
  </r>
  <r>
    <x v="3"/>
    <x v="540"/>
    <n v="460"/>
    <n v="365"/>
    <x v="0"/>
    <n v="95"/>
    <x v="3"/>
    <n v="0.76041666666666663"/>
    <n v="556"/>
  </r>
  <r>
    <x v="3"/>
    <x v="541"/>
    <n v="370"/>
    <n v="281"/>
    <x v="5"/>
    <n v="89"/>
    <x v="4"/>
    <n v="0.5854166666666667"/>
    <n v="946"/>
  </r>
  <r>
    <x v="3"/>
    <x v="542"/>
    <n v="245"/>
    <n v="176"/>
    <x v="3"/>
    <n v="69"/>
    <x v="0"/>
    <n v="0.36666666666666664"/>
    <n v="1754"/>
  </r>
  <r>
    <x v="3"/>
    <x v="543"/>
    <n v="206"/>
    <n v="194"/>
    <x v="3"/>
    <n v="12"/>
    <x v="0"/>
    <n v="0.40416666666666667"/>
    <n v="1334"/>
  </r>
  <r>
    <x v="3"/>
    <x v="544"/>
    <n v="426"/>
    <n v="387"/>
    <x v="5"/>
    <n v="39"/>
    <x v="3"/>
    <n v="0.80625000000000002"/>
    <n v="451"/>
  </r>
  <r>
    <x v="3"/>
    <x v="545"/>
    <n v="405"/>
    <n v="224"/>
    <x v="5"/>
    <n v="181"/>
    <x v="4"/>
    <n v="0.46666666666666667"/>
    <n v="1211"/>
  </r>
  <r>
    <x v="3"/>
    <x v="546"/>
    <n v="349"/>
    <n v="194"/>
    <x v="6"/>
    <n v="155"/>
    <x v="0"/>
    <n v="0.40416666666666667"/>
    <n v="1334"/>
  </r>
  <r>
    <x v="3"/>
    <x v="547"/>
    <n v="402"/>
    <n v="198"/>
    <x v="0"/>
    <n v="204"/>
    <x v="0"/>
    <n v="0.41249999999999998"/>
    <n v="1319"/>
  </r>
  <r>
    <x v="3"/>
    <x v="548"/>
    <n v="395"/>
    <n v="281"/>
    <x v="4"/>
    <n v="114"/>
    <x v="4"/>
    <n v="0.5854166666666667"/>
    <n v="946"/>
  </r>
  <r>
    <x v="3"/>
    <x v="549"/>
    <n v="400"/>
    <n v="302"/>
    <x v="2"/>
    <n v="98"/>
    <x v="3"/>
    <n v="0.62916666666666665"/>
    <n v="839"/>
  </r>
  <r>
    <x v="3"/>
    <x v="550"/>
    <n v="448"/>
    <n v="398"/>
    <x v="5"/>
    <n v="50"/>
    <x v="3"/>
    <n v="0.82916666666666672"/>
    <n v="404"/>
  </r>
  <r>
    <x v="3"/>
    <x v="551"/>
    <n v="472"/>
    <n v="461"/>
    <x v="5"/>
    <n v="11"/>
    <x v="5"/>
    <n v="0.9604166666666667"/>
    <n v="102"/>
  </r>
  <r>
    <x v="3"/>
    <x v="552"/>
    <n v="267"/>
    <n v="229"/>
    <x v="3"/>
    <n v="38"/>
    <x v="4"/>
    <n v="0.47708333333333336"/>
    <n v="1190"/>
  </r>
  <r>
    <x v="3"/>
    <x v="553"/>
    <n v="318"/>
    <n v="192"/>
    <x v="3"/>
    <n v="126"/>
    <x v="0"/>
    <n v="0.4"/>
    <n v="1347"/>
  </r>
  <r>
    <x v="3"/>
    <x v="554"/>
    <n v="448"/>
    <n v="436"/>
    <x v="1"/>
    <n v="12"/>
    <x v="5"/>
    <n v="0.90833333333333333"/>
    <n v="230"/>
  </r>
  <r>
    <x v="3"/>
    <x v="555"/>
    <n v="166"/>
    <n v="159"/>
    <x v="6"/>
    <n v="7"/>
    <x v="0"/>
    <n v="0.33124999999999999"/>
    <n v="2183"/>
  </r>
  <r>
    <x v="3"/>
    <x v="556"/>
    <n v="477"/>
    <n v="370"/>
    <x v="1"/>
    <n v="107"/>
    <x v="3"/>
    <n v="0.77083333333333337"/>
    <n v="538"/>
  </r>
  <r>
    <x v="3"/>
    <x v="557"/>
    <n v="464"/>
    <n v="288"/>
    <x v="4"/>
    <n v="176"/>
    <x v="4"/>
    <n v="0.6"/>
    <n v="916"/>
  </r>
  <r>
    <x v="3"/>
    <x v="558"/>
    <n v="229"/>
    <n v="182"/>
    <x v="3"/>
    <n v="47"/>
    <x v="0"/>
    <n v="0.37916666666666665"/>
    <n v="1593"/>
  </r>
  <r>
    <x v="3"/>
    <x v="559"/>
    <n v="476"/>
    <n v="385"/>
    <x v="0"/>
    <n v="91"/>
    <x v="3"/>
    <n v="0.80208333333333337"/>
    <n v="459"/>
  </r>
  <r>
    <x v="3"/>
    <x v="560"/>
    <n v="463"/>
    <n v="404"/>
    <x v="1"/>
    <n v="59"/>
    <x v="5"/>
    <n v="0.84166666666666667"/>
    <n v="374"/>
  </r>
  <r>
    <x v="3"/>
    <x v="561"/>
    <n v="388"/>
    <n v="371"/>
    <x v="0"/>
    <n v="17"/>
    <x v="3"/>
    <n v="0.7729166666666667"/>
    <n v="533"/>
  </r>
  <r>
    <x v="3"/>
    <x v="562"/>
    <n v="232"/>
    <n v="190"/>
    <x v="4"/>
    <n v="42"/>
    <x v="0"/>
    <n v="0.39583333333333331"/>
    <n v="1355"/>
  </r>
  <r>
    <x v="3"/>
    <x v="563"/>
    <n v="320"/>
    <n v="288"/>
    <x v="1"/>
    <n v="32"/>
    <x v="4"/>
    <n v="0.6"/>
    <n v="916"/>
  </r>
  <r>
    <x v="3"/>
    <x v="564"/>
    <n v="423"/>
    <n v="304"/>
    <x v="2"/>
    <n v="119"/>
    <x v="3"/>
    <n v="0.6333333333333333"/>
    <n v="835"/>
  </r>
  <r>
    <x v="3"/>
    <x v="565"/>
    <n v="465"/>
    <n v="454"/>
    <x v="1"/>
    <n v="11"/>
    <x v="5"/>
    <n v="0.9458333333333333"/>
    <n v="131"/>
  </r>
  <r>
    <x v="3"/>
    <x v="566"/>
    <n v="483"/>
    <n v="463"/>
    <x v="0"/>
    <n v="20"/>
    <x v="5"/>
    <n v="0.96458333333333335"/>
    <n v="90"/>
  </r>
  <r>
    <x v="3"/>
    <x v="567"/>
    <n v="451"/>
    <n v="178"/>
    <x v="5"/>
    <n v="273"/>
    <x v="0"/>
    <n v="0.37083333333333335"/>
    <n v="1702"/>
  </r>
  <r>
    <x v="3"/>
    <x v="568"/>
    <n v="490"/>
    <n v="359"/>
    <x v="5"/>
    <n v="131"/>
    <x v="3"/>
    <n v="0.74791666666666667"/>
    <n v="582"/>
  </r>
  <r>
    <x v="3"/>
    <x v="569"/>
    <n v="210"/>
    <n v="174"/>
    <x v="5"/>
    <n v="36"/>
    <x v="0"/>
    <n v="0.36249999999999999"/>
    <n v="1803"/>
  </r>
  <r>
    <x v="3"/>
    <x v="570"/>
    <n v="262"/>
    <n v="208"/>
    <x v="2"/>
    <n v="54"/>
    <x v="4"/>
    <n v="0.43333333333333335"/>
    <n v="1282"/>
  </r>
  <r>
    <x v="3"/>
    <x v="571"/>
    <n v="486"/>
    <n v="229"/>
    <x v="3"/>
    <n v="257"/>
    <x v="4"/>
    <n v="0.47708333333333336"/>
    <n v="1190"/>
  </r>
  <r>
    <x v="3"/>
    <x v="572"/>
    <n v="326"/>
    <n v="163"/>
    <x v="4"/>
    <n v="163"/>
    <x v="0"/>
    <n v="0.33958333333333335"/>
    <n v="2075"/>
  </r>
  <r>
    <x v="3"/>
    <x v="573"/>
    <n v="498"/>
    <n v="475"/>
    <x v="1"/>
    <n v="23"/>
    <x v="5"/>
    <n v="0.98958333333333337"/>
    <n v="22"/>
  </r>
  <r>
    <x v="3"/>
    <x v="574"/>
    <n v="437"/>
    <n v="159"/>
    <x v="5"/>
    <n v="278"/>
    <x v="0"/>
    <n v="0.33124999999999999"/>
    <n v="2183"/>
  </r>
  <r>
    <x v="3"/>
    <x v="575"/>
    <n v="472"/>
    <n v="443"/>
    <x v="1"/>
    <n v="29"/>
    <x v="5"/>
    <n v="0.92291666666666672"/>
    <n v="188"/>
  </r>
  <r>
    <x v="3"/>
    <x v="576"/>
    <n v="236"/>
    <n v="156"/>
    <x v="0"/>
    <n v="80"/>
    <x v="0"/>
    <n v="0.32500000000000001"/>
    <n v="2251"/>
  </r>
  <r>
    <x v="3"/>
    <x v="577"/>
    <n v="221"/>
    <n v="216"/>
    <x v="6"/>
    <n v="5"/>
    <x v="4"/>
    <n v="0.45"/>
    <n v="1246"/>
  </r>
  <r>
    <x v="3"/>
    <x v="578"/>
    <n v="267"/>
    <n v="208"/>
    <x v="2"/>
    <n v="59"/>
    <x v="4"/>
    <n v="0.43333333333333335"/>
    <n v="1282"/>
  </r>
  <r>
    <x v="3"/>
    <x v="579"/>
    <n v="439"/>
    <n v="219"/>
    <x v="6"/>
    <n v="220"/>
    <x v="4"/>
    <n v="0.45624999999999999"/>
    <n v="1232"/>
  </r>
  <r>
    <x v="3"/>
    <x v="580"/>
    <n v="409"/>
    <n v="249"/>
    <x v="4"/>
    <n v="160"/>
    <x v="4"/>
    <n v="0.51875000000000004"/>
    <n v="1096"/>
  </r>
  <r>
    <x v="3"/>
    <x v="581"/>
    <n v="377"/>
    <n v="342"/>
    <x v="0"/>
    <n v="35"/>
    <x v="3"/>
    <n v="0.71250000000000002"/>
    <n v="670"/>
  </r>
  <r>
    <x v="3"/>
    <x v="582"/>
    <n v="447"/>
    <n v="320"/>
    <x v="6"/>
    <n v="127"/>
    <x v="3"/>
    <n v="0.66666666666666663"/>
    <n v="778"/>
  </r>
  <r>
    <x v="3"/>
    <x v="583"/>
    <n v="318"/>
    <n v="289"/>
    <x v="3"/>
    <n v="29"/>
    <x v="4"/>
    <n v="0.6020833333333333"/>
    <n v="910"/>
  </r>
  <r>
    <x v="3"/>
    <x v="584"/>
    <n v="236"/>
    <n v="201"/>
    <x v="1"/>
    <n v="35"/>
    <x v="4"/>
    <n v="0.41875000000000001"/>
    <n v="1305"/>
  </r>
  <r>
    <x v="3"/>
    <x v="585"/>
    <n v="295"/>
    <n v="176"/>
    <x v="4"/>
    <n v="119"/>
    <x v="0"/>
    <n v="0.36666666666666664"/>
    <n v="1754"/>
  </r>
  <r>
    <x v="3"/>
    <x v="586"/>
    <n v="443"/>
    <n v="410"/>
    <x v="5"/>
    <n v="33"/>
    <x v="5"/>
    <n v="0.85416666666666663"/>
    <n v="341"/>
  </r>
  <r>
    <x v="3"/>
    <x v="587"/>
    <n v="466"/>
    <n v="439"/>
    <x v="1"/>
    <n v="27"/>
    <x v="5"/>
    <n v="0.9145833333333333"/>
    <n v="215"/>
  </r>
  <r>
    <x v="3"/>
    <x v="588"/>
    <n v="432"/>
    <n v="422"/>
    <x v="0"/>
    <n v="10"/>
    <x v="5"/>
    <n v="0.87916666666666665"/>
    <n v="299"/>
  </r>
  <r>
    <x v="3"/>
    <x v="589"/>
    <n v="500"/>
    <n v="446"/>
    <x v="0"/>
    <n v="54"/>
    <x v="5"/>
    <n v="0.9291666666666667"/>
    <n v="180"/>
  </r>
  <r>
    <x v="3"/>
    <x v="590"/>
    <n v="465"/>
    <n v="333"/>
    <x v="3"/>
    <n v="132"/>
    <x v="3"/>
    <n v="0.69374999999999998"/>
    <n v="721"/>
  </r>
  <r>
    <x v="3"/>
    <x v="591"/>
    <n v="485"/>
    <n v="377"/>
    <x v="1"/>
    <n v="108"/>
    <x v="3"/>
    <n v="0.78541666666666665"/>
    <n v="500"/>
  </r>
  <r>
    <x v="3"/>
    <x v="592"/>
    <n v="462"/>
    <n v="425"/>
    <x v="0"/>
    <n v="37"/>
    <x v="5"/>
    <n v="0.88541666666666663"/>
    <n v="292"/>
  </r>
  <r>
    <x v="3"/>
    <x v="593"/>
    <n v="396"/>
    <n v="169"/>
    <x v="1"/>
    <n v="227"/>
    <x v="0"/>
    <n v="0.35208333333333336"/>
    <n v="1925"/>
  </r>
  <r>
    <x v="3"/>
    <x v="594"/>
    <n v="416"/>
    <n v="404"/>
    <x v="0"/>
    <n v="12"/>
    <x v="5"/>
    <n v="0.84166666666666667"/>
    <n v="374"/>
  </r>
  <r>
    <x v="3"/>
    <x v="595"/>
    <n v="497"/>
    <n v="403"/>
    <x v="5"/>
    <n v="94"/>
    <x v="5"/>
    <n v="0.83958333333333335"/>
    <n v="378"/>
  </r>
  <r>
    <x v="3"/>
    <x v="596"/>
    <n v="467"/>
    <n v="244"/>
    <x v="2"/>
    <n v="223"/>
    <x v="4"/>
    <n v="0.5083333333333333"/>
    <n v="1127"/>
  </r>
  <r>
    <x v="3"/>
    <x v="597"/>
    <n v="469"/>
    <n v="316"/>
    <x v="0"/>
    <n v="153"/>
    <x v="3"/>
    <n v="0.65833333333333333"/>
    <n v="799"/>
  </r>
  <r>
    <x v="3"/>
    <x v="598"/>
    <n v="460"/>
    <n v="243"/>
    <x v="4"/>
    <n v="217"/>
    <x v="4"/>
    <n v="0.50624999999999998"/>
    <n v="1132"/>
  </r>
  <r>
    <x v="3"/>
    <x v="599"/>
    <n v="470"/>
    <n v="231"/>
    <x v="5"/>
    <n v="239"/>
    <x v="4"/>
    <n v="0.48125000000000001"/>
    <n v="1179"/>
  </r>
  <r>
    <x v="3"/>
    <x v="600"/>
    <n v="474"/>
    <n v="207"/>
    <x v="0"/>
    <n v="267"/>
    <x v="4"/>
    <n v="0.43125000000000002"/>
    <n v="1287"/>
  </r>
  <r>
    <x v="3"/>
    <x v="601"/>
    <n v="498"/>
    <n v="404"/>
    <x v="0"/>
    <n v="94"/>
    <x v="5"/>
    <n v="0.84166666666666667"/>
    <n v="374"/>
  </r>
  <r>
    <x v="3"/>
    <x v="602"/>
    <n v="472"/>
    <n v="301"/>
    <x v="4"/>
    <n v="171"/>
    <x v="3"/>
    <n v="0.62708333333333333"/>
    <n v="844"/>
  </r>
  <r>
    <x v="3"/>
    <x v="603"/>
    <n v="486"/>
    <n v="465"/>
    <x v="0"/>
    <n v="21"/>
    <x v="5"/>
    <n v="0.96875"/>
    <n v="78"/>
  </r>
  <r>
    <x v="3"/>
    <x v="604"/>
    <n v="485"/>
    <n v="343"/>
    <x v="2"/>
    <n v="142"/>
    <x v="3"/>
    <n v="0.71458333333333335"/>
    <n v="662"/>
  </r>
  <r>
    <x v="3"/>
    <x v="605"/>
    <n v="486"/>
    <n v="178"/>
    <x v="2"/>
    <n v="308"/>
    <x v="0"/>
    <n v="0.37083333333333335"/>
    <n v="1702"/>
  </r>
  <r>
    <x v="3"/>
    <x v="606"/>
    <n v="387"/>
    <n v="339"/>
    <x v="6"/>
    <n v="48"/>
    <x v="3"/>
    <n v="0.70625000000000004"/>
    <n v="681"/>
  </r>
  <r>
    <x v="3"/>
    <x v="607"/>
    <n v="466"/>
    <n v="301"/>
    <x v="1"/>
    <n v="165"/>
    <x v="3"/>
    <n v="0.62708333333333333"/>
    <n v="844"/>
  </r>
  <r>
    <x v="3"/>
    <x v="608"/>
    <n v="378"/>
    <n v="354"/>
    <x v="5"/>
    <n v="24"/>
    <x v="3"/>
    <n v="0.73750000000000004"/>
    <n v="602"/>
  </r>
  <r>
    <x v="3"/>
    <x v="609"/>
    <n v="359"/>
    <n v="352"/>
    <x v="0"/>
    <n v="7"/>
    <x v="3"/>
    <n v="0.73333333333333328"/>
    <n v="614"/>
  </r>
  <r>
    <x v="3"/>
    <x v="610"/>
    <n v="462"/>
    <n v="333"/>
    <x v="3"/>
    <n v="129"/>
    <x v="3"/>
    <n v="0.69374999999999998"/>
    <n v="721"/>
  </r>
  <r>
    <x v="3"/>
    <x v="611"/>
    <n v="453"/>
    <n v="158"/>
    <x v="6"/>
    <n v="295"/>
    <x v="0"/>
    <n v="0.32916666666666666"/>
    <n v="2207"/>
  </r>
  <r>
    <x v="3"/>
    <x v="612"/>
    <n v="499"/>
    <n v="440"/>
    <x v="1"/>
    <n v="59"/>
    <x v="5"/>
    <n v="0.91666666666666663"/>
    <n v="208"/>
  </r>
  <r>
    <x v="3"/>
    <x v="613"/>
    <n v="448"/>
    <n v="357"/>
    <x v="0"/>
    <n v="91"/>
    <x v="3"/>
    <n v="0.74375000000000002"/>
    <n v="592"/>
  </r>
  <r>
    <x v="3"/>
    <x v="614"/>
    <n v="404"/>
    <n v="298"/>
    <x v="1"/>
    <n v="106"/>
    <x v="4"/>
    <n v="0.62083333333333335"/>
    <n v="866"/>
  </r>
  <r>
    <x v="3"/>
    <x v="615"/>
    <n v="353"/>
    <n v="281"/>
    <x v="2"/>
    <n v="72"/>
    <x v="4"/>
    <n v="0.5854166666666667"/>
    <n v="946"/>
  </r>
  <r>
    <x v="3"/>
    <x v="616"/>
    <n v="492"/>
    <n v="317"/>
    <x v="1"/>
    <n v="175"/>
    <x v="3"/>
    <n v="0.66041666666666665"/>
    <n v="791"/>
  </r>
  <r>
    <x v="3"/>
    <x v="617"/>
    <n v="315"/>
    <n v="259"/>
    <x v="3"/>
    <n v="56"/>
    <x v="4"/>
    <n v="0.5395833333333333"/>
    <n v="1046"/>
  </r>
  <r>
    <x v="3"/>
    <x v="618"/>
    <n v="446"/>
    <n v="162"/>
    <x v="1"/>
    <n v="284"/>
    <x v="0"/>
    <n v="0.33750000000000002"/>
    <n v="2106"/>
  </r>
  <r>
    <x v="3"/>
    <x v="619"/>
    <n v="463"/>
    <n v="448"/>
    <x v="1"/>
    <n v="15"/>
    <x v="5"/>
    <n v="0.93333333333333335"/>
    <n v="166"/>
  </r>
  <r>
    <x v="3"/>
    <x v="620"/>
    <n v="493"/>
    <n v="396"/>
    <x v="5"/>
    <n v="97"/>
    <x v="3"/>
    <n v="0.82499999999999996"/>
    <n v="415"/>
  </r>
  <r>
    <x v="3"/>
    <x v="621"/>
    <n v="498"/>
    <n v="453"/>
    <x v="1"/>
    <n v="45"/>
    <x v="5"/>
    <n v="0.94374999999999998"/>
    <n v="141"/>
  </r>
  <r>
    <x v="3"/>
    <x v="622"/>
    <n v="442"/>
    <n v="355"/>
    <x v="5"/>
    <n v="87"/>
    <x v="3"/>
    <n v="0.73958333333333337"/>
    <n v="600"/>
  </r>
  <r>
    <x v="3"/>
    <x v="623"/>
    <n v="424"/>
    <n v="389"/>
    <x v="0"/>
    <n v="35"/>
    <x v="3"/>
    <n v="0.81041666666666667"/>
    <n v="446"/>
  </r>
  <r>
    <x v="3"/>
    <x v="624"/>
    <n v="446"/>
    <n v="344"/>
    <x v="3"/>
    <n v="102"/>
    <x v="3"/>
    <n v="0.71666666666666667"/>
    <n v="656"/>
  </r>
  <r>
    <x v="3"/>
    <x v="625"/>
    <n v="491"/>
    <n v="473"/>
    <x v="0"/>
    <n v="18"/>
    <x v="5"/>
    <n v="0.98541666666666672"/>
    <n v="33"/>
  </r>
  <r>
    <x v="3"/>
    <x v="626"/>
    <n v="329"/>
    <n v="247"/>
    <x v="3"/>
    <n v="82"/>
    <x v="4"/>
    <n v="0.51458333333333328"/>
    <n v="1112"/>
  </r>
  <r>
    <x v="3"/>
    <x v="627"/>
    <n v="288"/>
    <n v="156"/>
    <x v="6"/>
    <n v="132"/>
    <x v="0"/>
    <n v="0.32500000000000001"/>
    <n v="2251"/>
  </r>
  <r>
    <x v="3"/>
    <x v="628"/>
    <n v="486"/>
    <n v="415"/>
    <x v="5"/>
    <n v="71"/>
    <x v="5"/>
    <n v="0.86458333333333337"/>
    <n v="325"/>
  </r>
  <r>
    <x v="3"/>
    <x v="629"/>
    <n v="380"/>
    <n v="185"/>
    <x v="4"/>
    <n v="195"/>
    <x v="0"/>
    <n v="0.38541666666666669"/>
    <n v="1517"/>
  </r>
  <r>
    <x v="3"/>
    <x v="630"/>
    <n v="406"/>
    <n v="173"/>
    <x v="3"/>
    <n v="233"/>
    <x v="0"/>
    <n v="0.36041666666666666"/>
    <n v="1826"/>
  </r>
  <r>
    <x v="3"/>
    <x v="631"/>
    <n v="489"/>
    <n v="311"/>
    <x v="0"/>
    <n v="178"/>
    <x v="3"/>
    <n v="0.6479166666666667"/>
    <n v="815"/>
  </r>
  <r>
    <x v="3"/>
    <x v="632"/>
    <n v="463"/>
    <n v="440"/>
    <x v="1"/>
    <n v="23"/>
    <x v="5"/>
    <n v="0.91666666666666663"/>
    <n v="208"/>
  </r>
  <r>
    <x v="3"/>
    <x v="633"/>
    <n v="475"/>
    <n v="472"/>
    <x v="1"/>
    <n v="3"/>
    <x v="5"/>
    <n v="0.98333333333333328"/>
    <n v="43"/>
  </r>
  <r>
    <x v="3"/>
    <x v="634"/>
    <n v="437"/>
    <n v="435"/>
    <x v="5"/>
    <n v="2"/>
    <x v="5"/>
    <n v="0.90625"/>
    <n v="238"/>
  </r>
  <r>
    <x v="3"/>
    <x v="635"/>
    <n v="331"/>
    <n v="174"/>
    <x v="5"/>
    <n v="157"/>
    <x v="0"/>
    <n v="0.36249999999999999"/>
    <n v="1803"/>
  </r>
  <r>
    <x v="3"/>
    <x v="636"/>
    <n v="494"/>
    <n v="474"/>
    <x v="1"/>
    <n v="20"/>
    <x v="5"/>
    <n v="0.98750000000000004"/>
    <n v="28"/>
  </r>
  <r>
    <x v="3"/>
    <x v="637"/>
    <n v="455"/>
    <n v="446"/>
    <x v="0"/>
    <n v="9"/>
    <x v="5"/>
    <n v="0.9291666666666667"/>
    <n v="180"/>
  </r>
  <r>
    <x v="3"/>
    <x v="638"/>
    <n v="469"/>
    <n v="276"/>
    <x v="1"/>
    <n v="193"/>
    <x v="4"/>
    <n v="0.57499999999999996"/>
    <n v="974"/>
  </r>
  <r>
    <x v="3"/>
    <x v="639"/>
    <n v="467"/>
    <n v="455"/>
    <x v="5"/>
    <n v="12"/>
    <x v="5"/>
    <n v="0.94791666666666663"/>
    <n v="126"/>
  </r>
  <r>
    <x v="3"/>
    <x v="640"/>
    <n v="304"/>
    <n v="225"/>
    <x v="1"/>
    <n v="79"/>
    <x v="4"/>
    <n v="0.46875"/>
    <n v="1204"/>
  </r>
  <r>
    <x v="3"/>
    <x v="641"/>
    <n v="267"/>
    <n v="158"/>
    <x v="5"/>
    <n v="109"/>
    <x v="0"/>
    <n v="0.32916666666666666"/>
    <n v="2207"/>
  </r>
  <r>
    <x v="3"/>
    <x v="642"/>
    <n v="476"/>
    <n v="459"/>
    <x v="5"/>
    <n v="17"/>
    <x v="5"/>
    <n v="0.95625000000000004"/>
    <n v="112"/>
  </r>
  <r>
    <x v="3"/>
    <x v="643"/>
    <n v="285"/>
    <n v="166"/>
    <x v="2"/>
    <n v="119"/>
    <x v="0"/>
    <n v="0.34583333333333333"/>
    <n v="2007"/>
  </r>
  <r>
    <x v="3"/>
    <x v="644"/>
    <n v="386"/>
    <n v="354"/>
    <x v="1"/>
    <n v="32"/>
    <x v="3"/>
    <n v="0.73750000000000004"/>
    <n v="602"/>
  </r>
  <r>
    <x v="3"/>
    <x v="645"/>
    <n v="386"/>
    <n v="369"/>
    <x v="5"/>
    <n v="17"/>
    <x v="3"/>
    <n v="0.76875000000000004"/>
    <n v="543"/>
  </r>
  <r>
    <x v="3"/>
    <x v="646"/>
    <n v="484"/>
    <n v="383"/>
    <x v="1"/>
    <n v="101"/>
    <x v="3"/>
    <n v="0.79791666666666672"/>
    <n v="468"/>
  </r>
  <r>
    <x v="3"/>
    <x v="647"/>
    <n v="217"/>
    <n v="216"/>
    <x v="1"/>
    <n v="1"/>
    <x v="4"/>
    <n v="0.45"/>
    <n v="1246"/>
  </r>
  <r>
    <x v="3"/>
    <x v="648"/>
    <n v="222"/>
    <n v="203"/>
    <x v="3"/>
    <n v="19"/>
    <x v="4"/>
    <n v="0.42291666666666666"/>
    <n v="1299"/>
  </r>
  <r>
    <x v="3"/>
    <x v="649"/>
    <n v="422"/>
    <n v="350"/>
    <x v="5"/>
    <n v="72"/>
    <x v="3"/>
    <n v="0.72916666666666663"/>
    <n v="621"/>
  </r>
  <r>
    <x v="3"/>
    <x v="650"/>
    <n v="488"/>
    <n v="310"/>
    <x v="0"/>
    <n v="178"/>
    <x v="3"/>
    <n v="0.64583333333333337"/>
    <n v="818"/>
  </r>
  <r>
    <x v="3"/>
    <x v="651"/>
    <n v="465"/>
    <n v="317"/>
    <x v="0"/>
    <n v="148"/>
    <x v="3"/>
    <n v="0.66041666666666665"/>
    <n v="791"/>
  </r>
  <r>
    <x v="3"/>
    <x v="652"/>
    <n v="498"/>
    <n v="478"/>
    <x v="5"/>
    <n v="20"/>
    <x v="5"/>
    <n v="0.99583333333333335"/>
    <n v="11"/>
  </r>
  <r>
    <x v="3"/>
    <x v="653"/>
    <n v="448"/>
    <n v="332"/>
    <x v="2"/>
    <n v="116"/>
    <x v="3"/>
    <n v="0.69166666666666665"/>
    <n v="725"/>
  </r>
  <r>
    <x v="3"/>
    <x v="654"/>
    <n v="332"/>
    <n v="321"/>
    <x v="5"/>
    <n v="11"/>
    <x v="3"/>
    <n v="0.66874999999999996"/>
    <n v="770"/>
  </r>
  <r>
    <x v="3"/>
    <x v="655"/>
    <n v="447"/>
    <n v="336"/>
    <x v="5"/>
    <n v="111"/>
    <x v="3"/>
    <n v="0.7"/>
    <n v="700"/>
  </r>
  <r>
    <x v="3"/>
    <x v="656"/>
    <n v="498"/>
    <n v="472"/>
    <x v="1"/>
    <n v="26"/>
    <x v="5"/>
    <n v="0.98333333333333328"/>
    <n v="43"/>
  </r>
  <r>
    <x v="3"/>
    <x v="657"/>
    <n v="453"/>
    <n v="452"/>
    <x v="1"/>
    <n v="1"/>
    <x v="5"/>
    <n v="0.94166666666666665"/>
    <n v="150"/>
  </r>
  <r>
    <x v="3"/>
    <x v="658"/>
    <n v="434"/>
    <n v="391"/>
    <x v="1"/>
    <n v="43"/>
    <x v="3"/>
    <n v="0.81458333333333333"/>
    <n v="437"/>
  </r>
  <r>
    <x v="3"/>
    <x v="659"/>
    <n v="294"/>
    <n v="269"/>
    <x v="6"/>
    <n v="25"/>
    <x v="4"/>
    <n v="0.56041666666666667"/>
    <n v="1004"/>
  </r>
  <r>
    <x v="3"/>
    <x v="660"/>
    <n v="364"/>
    <n v="269"/>
    <x v="1"/>
    <n v="95"/>
    <x v="4"/>
    <n v="0.56041666666666667"/>
    <n v="1004"/>
  </r>
  <r>
    <x v="3"/>
    <x v="661"/>
    <n v="457"/>
    <n v="449"/>
    <x v="1"/>
    <n v="8"/>
    <x v="5"/>
    <n v="0.93541666666666667"/>
    <n v="161"/>
  </r>
  <r>
    <x v="3"/>
    <x v="662"/>
    <n v="403"/>
    <n v="201"/>
    <x v="4"/>
    <n v="202"/>
    <x v="4"/>
    <n v="0.41875000000000001"/>
    <n v="1305"/>
  </r>
  <r>
    <x v="3"/>
    <x v="663"/>
    <n v="416"/>
    <n v="200"/>
    <x v="6"/>
    <n v="216"/>
    <x v="0"/>
    <n v="0.41666666666666669"/>
    <n v="1311"/>
  </r>
  <r>
    <x v="3"/>
    <x v="664"/>
    <n v="492"/>
    <n v="465"/>
    <x v="1"/>
    <n v="27"/>
    <x v="5"/>
    <n v="0.96875"/>
    <n v="78"/>
  </r>
  <r>
    <x v="3"/>
    <x v="665"/>
    <n v="395"/>
    <n v="379"/>
    <x v="1"/>
    <n v="16"/>
    <x v="3"/>
    <n v="0.7895833333333333"/>
    <n v="485"/>
  </r>
  <r>
    <x v="3"/>
    <x v="666"/>
    <n v="387"/>
    <n v="274"/>
    <x v="2"/>
    <n v="113"/>
    <x v="4"/>
    <n v="0.5708333333333333"/>
    <n v="984"/>
  </r>
  <r>
    <x v="3"/>
    <x v="667"/>
    <n v="455"/>
    <n v="433"/>
    <x v="1"/>
    <n v="22"/>
    <x v="5"/>
    <n v="0.90208333333333335"/>
    <n v="250"/>
  </r>
  <r>
    <x v="3"/>
    <x v="668"/>
    <n v="306"/>
    <n v="262"/>
    <x v="4"/>
    <n v="44"/>
    <x v="4"/>
    <n v="0.54583333333333328"/>
    <n v="1035"/>
  </r>
  <r>
    <x v="3"/>
    <x v="669"/>
    <n v="435"/>
    <n v="428"/>
    <x v="1"/>
    <n v="7"/>
    <x v="5"/>
    <n v="0.89166666666666672"/>
    <n v="273"/>
  </r>
  <r>
    <x v="3"/>
    <x v="670"/>
    <n v="454"/>
    <n v="214"/>
    <x v="1"/>
    <n v="240"/>
    <x v="4"/>
    <n v="0.44583333333333336"/>
    <n v="1257"/>
  </r>
  <r>
    <x v="3"/>
    <x v="671"/>
    <n v="246"/>
    <n v="189"/>
    <x v="1"/>
    <n v="57"/>
    <x v="0"/>
    <n v="0.39374999999999999"/>
    <n v="1395"/>
  </r>
  <r>
    <x v="3"/>
    <x v="672"/>
    <n v="409"/>
    <n v="350"/>
    <x v="6"/>
    <n v="59"/>
    <x v="3"/>
    <n v="0.72916666666666663"/>
    <n v="621"/>
  </r>
  <r>
    <x v="3"/>
    <x v="673"/>
    <n v="496"/>
    <n v="152"/>
    <x v="0"/>
    <n v="344"/>
    <x v="0"/>
    <n v="0.31666666666666665"/>
    <n v="2349"/>
  </r>
  <r>
    <x v="3"/>
    <x v="674"/>
    <n v="499"/>
    <n v="468"/>
    <x v="0"/>
    <n v="31"/>
    <x v="5"/>
    <n v="0.97499999999999998"/>
    <n v="66"/>
  </r>
  <r>
    <x v="3"/>
    <x v="675"/>
    <n v="295"/>
    <n v="184"/>
    <x v="4"/>
    <n v="111"/>
    <x v="0"/>
    <n v="0.38333333333333336"/>
    <n v="1544"/>
  </r>
  <r>
    <x v="3"/>
    <x v="676"/>
    <n v="496"/>
    <n v="199"/>
    <x v="0"/>
    <n v="297"/>
    <x v="0"/>
    <n v="0.41458333333333336"/>
    <n v="1314"/>
  </r>
  <r>
    <x v="3"/>
    <x v="677"/>
    <n v="472"/>
    <n v="419"/>
    <x v="0"/>
    <n v="53"/>
    <x v="5"/>
    <n v="0.87291666666666667"/>
    <n v="311"/>
  </r>
  <r>
    <x v="3"/>
    <x v="678"/>
    <n v="443"/>
    <n v="254"/>
    <x v="3"/>
    <n v="189"/>
    <x v="4"/>
    <n v="0.52916666666666667"/>
    <n v="1073"/>
  </r>
  <r>
    <x v="3"/>
    <x v="679"/>
    <n v="428"/>
    <n v="420"/>
    <x v="1"/>
    <n v="8"/>
    <x v="5"/>
    <n v="0.875"/>
    <n v="307"/>
  </r>
  <r>
    <x v="3"/>
    <x v="680"/>
    <n v="374"/>
    <n v="357"/>
    <x v="5"/>
    <n v="17"/>
    <x v="3"/>
    <n v="0.74375000000000002"/>
    <n v="592"/>
  </r>
  <r>
    <x v="3"/>
    <x v="681"/>
    <n v="386"/>
    <n v="384"/>
    <x v="5"/>
    <n v="2"/>
    <x v="3"/>
    <n v="0.8"/>
    <n v="463"/>
  </r>
  <r>
    <x v="3"/>
    <x v="682"/>
    <n v="238"/>
    <n v="169"/>
    <x v="6"/>
    <n v="69"/>
    <x v="0"/>
    <n v="0.35208333333333336"/>
    <n v="1925"/>
  </r>
  <r>
    <x v="3"/>
    <x v="683"/>
    <n v="310"/>
    <n v="200"/>
    <x v="2"/>
    <n v="110"/>
    <x v="0"/>
    <n v="0.41666666666666669"/>
    <n v="1311"/>
  </r>
  <r>
    <x v="3"/>
    <x v="684"/>
    <n v="493"/>
    <n v="377"/>
    <x v="0"/>
    <n v="116"/>
    <x v="3"/>
    <n v="0.78541666666666665"/>
    <n v="500"/>
  </r>
  <r>
    <x v="3"/>
    <x v="685"/>
    <n v="416"/>
    <n v="328"/>
    <x v="4"/>
    <n v="88"/>
    <x v="3"/>
    <n v="0.68333333333333335"/>
    <n v="741"/>
  </r>
  <r>
    <x v="3"/>
    <x v="686"/>
    <n v="396"/>
    <n v="363"/>
    <x v="0"/>
    <n v="33"/>
    <x v="3"/>
    <n v="0.75624999999999998"/>
    <n v="564"/>
  </r>
  <r>
    <x v="3"/>
    <x v="687"/>
    <n v="386"/>
    <n v="245"/>
    <x v="6"/>
    <n v="141"/>
    <x v="4"/>
    <n v="0.51041666666666663"/>
    <n v="1121"/>
  </r>
  <r>
    <x v="3"/>
    <x v="688"/>
    <n v="366"/>
    <n v="361"/>
    <x v="0"/>
    <n v="5"/>
    <x v="3"/>
    <n v="0.75208333333333333"/>
    <n v="570"/>
  </r>
  <r>
    <x v="3"/>
    <x v="689"/>
    <n v="294"/>
    <n v="260"/>
    <x v="1"/>
    <n v="34"/>
    <x v="4"/>
    <n v="0.54166666666666663"/>
    <n v="1040"/>
  </r>
  <r>
    <x v="3"/>
    <x v="690"/>
    <n v="493"/>
    <n v="478"/>
    <x v="5"/>
    <n v="15"/>
    <x v="5"/>
    <n v="0.99583333333333335"/>
    <n v="11"/>
  </r>
  <r>
    <x v="3"/>
    <x v="691"/>
    <n v="186"/>
    <n v="155"/>
    <x v="6"/>
    <n v="31"/>
    <x v="0"/>
    <n v="0.32291666666666669"/>
    <n v="2275"/>
  </r>
  <r>
    <x v="3"/>
    <x v="692"/>
    <n v="402"/>
    <n v="289"/>
    <x v="1"/>
    <n v="113"/>
    <x v="4"/>
    <n v="0.6020833333333333"/>
    <n v="910"/>
  </r>
  <r>
    <x v="3"/>
    <x v="693"/>
    <n v="404"/>
    <n v="382"/>
    <x v="0"/>
    <n v="22"/>
    <x v="3"/>
    <n v="0.79583333333333328"/>
    <n v="471"/>
  </r>
  <r>
    <x v="3"/>
    <x v="694"/>
    <n v="498"/>
    <n v="405"/>
    <x v="0"/>
    <n v="93"/>
    <x v="5"/>
    <n v="0.84375"/>
    <n v="370"/>
  </r>
  <r>
    <x v="3"/>
    <x v="695"/>
    <n v="159"/>
    <n v="152"/>
    <x v="4"/>
    <n v="7"/>
    <x v="0"/>
    <n v="0.31666666666666665"/>
    <n v="2349"/>
  </r>
  <r>
    <x v="3"/>
    <x v="696"/>
    <n v="343"/>
    <n v="287"/>
    <x v="3"/>
    <n v="56"/>
    <x v="4"/>
    <n v="0.59791666666666665"/>
    <n v="920"/>
  </r>
  <r>
    <x v="3"/>
    <x v="697"/>
    <n v="463"/>
    <n v="375"/>
    <x v="0"/>
    <n v="88"/>
    <x v="3"/>
    <n v="0.78125"/>
    <n v="514"/>
  </r>
  <r>
    <x v="3"/>
    <x v="698"/>
    <n v="419"/>
    <n v="263"/>
    <x v="3"/>
    <n v="156"/>
    <x v="4"/>
    <n v="0.54791666666666672"/>
    <n v="1031"/>
  </r>
  <r>
    <x v="3"/>
    <x v="699"/>
    <n v="479"/>
    <n v="454"/>
    <x v="1"/>
    <n v="25"/>
    <x v="5"/>
    <n v="0.9458333333333333"/>
    <n v="131"/>
  </r>
  <r>
    <x v="3"/>
    <x v="700"/>
    <n v="299"/>
    <n v="218"/>
    <x v="3"/>
    <n v="81"/>
    <x v="4"/>
    <n v="0.45416666666666666"/>
    <n v="1238"/>
  </r>
  <r>
    <x v="3"/>
    <x v="701"/>
    <n v="297"/>
    <n v="277"/>
    <x v="1"/>
    <n v="20"/>
    <x v="4"/>
    <n v="0.57708333333333328"/>
    <n v="968"/>
  </r>
  <r>
    <x v="3"/>
    <x v="702"/>
    <n v="486"/>
    <n v="474"/>
    <x v="1"/>
    <n v="12"/>
    <x v="5"/>
    <n v="0.98750000000000004"/>
    <n v="28"/>
  </r>
  <r>
    <x v="3"/>
    <x v="703"/>
    <n v="470"/>
    <n v="470"/>
    <x v="0"/>
    <n v="0"/>
    <x v="5"/>
    <n v="0.97916666666666663"/>
    <n v="53"/>
  </r>
  <r>
    <x v="3"/>
    <x v="704"/>
    <n v="294"/>
    <n v="239"/>
    <x v="6"/>
    <n v="55"/>
    <x v="4"/>
    <n v="0.49791666666666667"/>
    <n v="1145"/>
  </r>
  <r>
    <x v="3"/>
    <x v="705"/>
    <n v="419"/>
    <n v="244"/>
    <x v="2"/>
    <n v="175"/>
    <x v="4"/>
    <n v="0.5083333333333333"/>
    <n v="1127"/>
  </r>
  <r>
    <x v="3"/>
    <x v="706"/>
    <n v="425"/>
    <n v="379"/>
    <x v="1"/>
    <n v="46"/>
    <x v="3"/>
    <n v="0.7895833333333333"/>
    <n v="485"/>
  </r>
  <r>
    <x v="3"/>
    <x v="707"/>
    <n v="488"/>
    <n v="228"/>
    <x v="5"/>
    <n v="260"/>
    <x v="4"/>
    <n v="0.47499999999999998"/>
    <n v="1195"/>
  </r>
  <r>
    <x v="3"/>
    <x v="708"/>
    <n v="477"/>
    <n v="321"/>
    <x v="5"/>
    <n v="156"/>
    <x v="3"/>
    <n v="0.66874999999999996"/>
    <n v="770"/>
  </r>
  <r>
    <x v="3"/>
    <x v="709"/>
    <n v="402"/>
    <n v="318"/>
    <x v="6"/>
    <n v="84"/>
    <x v="3"/>
    <n v="0.66249999999999998"/>
    <n v="786"/>
  </r>
  <r>
    <x v="3"/>
    <x v="710"/>
    <n v="457"/>
    <n v="420"/>
    <x v="0"/>
    <n v="37"/>
    <x v="5"/>
    <n v="0.875"/>
    <n v="307"/>
  </r>
  <r>
    <x v="3"/>
    <x v="711"/>
    <n v="373"/>
    <n v="367"/>
    <x v="5"/>
    <n v="6"/>
    <x v="3"/>
    <n v="0.76458333333333328"/>
    <n v="551"/>
  </r>
  <r>
    <x v="3"/>
    <x v="712"/>
    <n v="436"/>
    <n v="313"/>
    <x v="6"/>
    <n v="123"/>
    <x v="3"/>
    <n v="0.65208333333333335"/>
    <n v="809"/>
  </r>
  <r>
    <x v="3"/>
    <x v="713"/>
    <n v="389"/>
    <n v="295"/>
    <x v="2"/>
    <n v="94"/>
    <x v="4"/>
    <n v="0.61458333333333337"/>
    <n v="881"/>
  </r>
  <r>
    <x v="3"/>
    <x v="714"/>
    <n v="376"/>
    <n v="290"/>
    <x v="0"/>
    <n v="86"/>
    <x v="4"/>
    <n v="0.60416666666666663"/>
    <n v="905"/>
  </r>
  <r>
    <x v="3"/>
    <x v="715"/>
    <n v="491"/>
    <n v="476"/>
    <x v="1"/>
    <n v="15"/>
    <x v="5"/>
    <n v="0.9916666666666667"/>
    <n v="18"/>
  </r>
  <r>
    <x v="3"/>
    <x v="716"/>
    <n v="495"/>
    <n v="423"/>
    <x v="5"/>
    <n v="72"/>
    <x v="5"/>
    <n v="0.88124999999999998"/>
    <n v="295"/>
  </r>
  <r>
    <x v="3"/>
    <x v="717"/>
    <n v="414"/>
    <n v="303"/>
    <x v="1"/>
    <n v="111"/>
    <x v="3"/>
    <n v="0.63124999999999998"/>
    <n v="838"/>
  </r>
  <r>
    <x v="3"/>
    <x v="718"/>
    <n v="490"/>
    <n v="462"/>
    <x v="0"/>
    <n v="28"/>
    <x v="5"/>
    <n v="0.96250000000000002"/>
    <n v="92"/>
  </r>
  <r>
    <x v="3"/>
    <x v="719"/>
    <n v="485"/>
    <n v="454"/>
    <x v="1"/>
    <n v="31"/>
    <x v="5"/>
    <n v="0.9458333333333333"/>
    <n v="131"/>
  </r>
  <r>
    <x v="3"/>
    <x v="720"/>
    <n v="394"/>
    <n v="220"/>
    <x v="3"/>
    <n v="174"/>
    <x v="4"/>
    <n v="0.45833333333333331"/>
    <n v="1227"/>
  </r>
  <r>
    <x v="3"/>
    <x v="721"/>
    <n v="429"/>
    <n v="332"/>
    <x v="5"/>
    <n v="97"/>
    <x v="3"/>
    <n v="0.69166666666666665"/>
    <n v="725"/>
  </r>
  <r>
    <x v="3"/>
    <x v="722"/>
    <n v="467"/>
    <n v="441"/>
    <x v="1"/>
    <n v="26"/>
    <x v="5"/>
    <n v="0.91874999999999996"/>
    <n v="203"/>
  </r>
  <r>
    <x v="3"/>
    <x v="723"/>
    <n v="280"/>
    <n v="256"/>
    <x v="4"/>
    <n v="24"/>
    <x v="4"/>
    <n v="0.53333333333333333"/>
    <n v="1063"/>
  </r>
  <r>
    <x v="3"/>
    <x v="724"/>
    <n v="345"/>
    <n v="338"/>
    <x v="4"/>
    <n v="7"/>
    <x v="3"/>
    <n v="0.70416666666666672"/>
    <n v="687"/>
  </r>
  <r>
    <x v="3"/>
    <x v="725"/>
    <n v="466"/>
    <n v="385"/>
    <x v="0"/>
    <n v="81"/>
    <x v="3"/>
    <n v="0.80208333333333337"/>
    <n v="459"/>
  </r>
  <r>
    <x v="3"/>
    <x v="726"/>
    <n v="485"/>
    <n v="378"/>
    <x v="1"/>
    <n v="107"/>
    <x v="3"/>
    <n v="0.78749999999999998"/>
    <n v="493"/>
  </r>
  <r>
    <x v="3"/>
    <x v="727"/>
    <n v="445"/>
    <n v="413"/>
    <x v="5"/>
    <n v="32"/>
    <x v="5"/>
    <n v="0.86041666666666672"/>
    <n v="332"/>
  </r>
  <r>
    <x v="3"/>
    <x v="728"/>
    <n v="483"/>
    <n v="446"/>
    <x v="0"/>
    <n v="37"/>
    <x v="5"/>
    <n v="0.9291666666666667"/>
    <n v="180"/>
  </r>
  <r>
    <x v="3"/>
    <x v="729"/>
    <n v="490"/>
    <n v="369"/>
    <x v="1"/>
    <n v="121"/>
    <x v="3"/>
    <n v="0.76875000000000004"/>
    <n v="543"/>
  </r>
  <r>
    <x v="3"/>
    <x v="730"/>
    <n v="483"/>
    <n v="465"/>
    <x v="5"/>
    <n v="18"/>
    <x v="5"/>
    <n v="0.96875"/>
    <n v="78"/>
  </r>
  <r>
    <x v="3"/>
    <x v="731"/>
    <n v="235"/>
    <n v="219"/>
    <x v="3"/>
    <n v="16"/>
    <x v="4"/>
    <n v="0.45624999999999999"/>
    <n v="1232"/>
  </r>
  <r>
    <x v="3"/>
    <x v="732"/>
    <n v="243"/>
    <n v="225"/>
    <x v="1"/>
    <n v="18"/>
    <x v="4"/>
    <n v="0.46875"/>
    <n v="1204"/>
  </r>
  <r>
    <x v="3"/>
    <x v="733"/>
    <n v="465"/>
    <n v="403"/>
    <x v="5"/>
    <n v="62"/>
    <x v="5"/>
    <n v="0.83958333333333335"/>
    <n v="378"/>
  </r>
  <r>
    <x v="3"/>
    <x v="734"/>
    <n v="364"/>
    <n v="252"/>
    <x v="5"/>
    <n v="112"/>
    <x v="4"/>
    <n v="0.52500000000000002"/>
    <n v="1084"/>
  </r>
  <r>
    <x v="4"/>
    <x v="735"/>
    <n v="226"/>
    <n v="154"/>
    <x v="4"/>
    <n v="72"/>
    <x v="0"/>
    <n v="0.32083333333333336"/>
    <n v="2307"/>
  </r>
  <r>
    <x v="4"/>
    <x v="736"/>
    <n v="123"/>
    <n v="60"/>
    <x v="4"/>
    <n v="63"/>
    <x v="1"/>
    <n v="0.125"/>
    <n v="4390"/>
  </r>
  <r>
    <x v="4"/>
    <x v="737"/>
    <n v="176"/>
    <n v="86"/>
    <x v="4"/>
    <n v="90"/>
    <x v="1"/>
    <n v="0.17916666666666667"/>
    <n v="3830"/>
  </r>
  <r>
    <x v="4"/>
    <x v="738"/>
    <n v="289"/>
    <n v="189"/>
    <x v="1"/>
    <n v="100"/>
    <x v="0"/>
    <n v="0.39374999999999999"/>
    <n v="1395"/>
  </r>
  <r>
    <x v="4"/>
    <x v="739"/>
    <n v="238"/>
    <n v="186"/>
    <x v="6"/>
    <n v="52"/>
    <x v="0"/>
    <n v="0.38750000000000001"/>
    <n v="1478"/>
  </r>
  <r>
    <x v="4"/>
    <x v="740"/>
    <n v="281"/>
    <n v="128"/>
    <x v="1"/>
    <n v="153"/>
    <x v="0"/>
    <n v="0.26666666666666666"/>
    <n v="2872"/>
  </r>
  <r>
    <x v="4"/>
    <x v="741"/>
    <n v="140"/>
    <n v="135"/>
    <x v="0"/>
    <n v="5"/>
    <x v="0"/>
    <n v="0.28125"/>
    <n v="2714"/>
  </r>
  <r>
    <x v="5"/>
    <x v="742"/>
    <n v="312"/>
    <n v="177"/>
    <x v="2"/>
    <n v="135"/>
    <x v="0"/>
    <n v="0.36875000000000002"/>
    <n v="1733"/>
  </r>
  <r>
    <x v="5"/>
    <x v="743"/>
    <n v="275"/>
    <n v="169"/>
    <x v="4"/>
    <n v="106"/>
    <x v="0"/>
    <n v="0.35208333333333336"/>
    <n v="1925"/>
  </r>
  <r>
    <x v="5"/>
    <x v="744"/>
    <n v="259"/>
    <n v="146"/>
    <x v="2"/>
    <n v="113"/>
    <x v="0"/>
    <n v="0.30416666666666664"/>
    <n v="2499"/>
  </r>
  <r>
    <x v="5"/>
    <x v="745"/>
    <n v="308"/>
    <n v="110"/>
    <x v="0"/>
    <n v="198"/>
    <x v="0"/>
    <n v="0.22916666666666666"/>
    <n v="3302"/>
  </r>
  <r>
    <x v="5"/>
    <x v="746"/>
    <n v="185"/>
    <n v="107"/>
    <x v="0"/>
    <n v="78"/>
    <x v="0"/>
    <n v="0.22291666666666668"/>
    <n v="3387"/>
  </r>
  <r>
    <x v="5"/>
    <x v="747"/>
    <n v="119"/>
    <n v="58"/>
    <x v="2"/>
    <n v="61"/>
    <x v="1"/>
    <n v="0.12083333333333333"/>
    <n v="4431"/>
  </r>
  <r>
    <x v="5"/>
    <x v="748"/>
    <n v="274"/>
    <n v="95"/>
    <x v="1"/>
    <n v="179"/>
    <x v="1"/>
    <n v="0.19791666666666666"/>
    <n v="3634"/>
  </r>
  <r>
    <x v="5"/>
    <x v="749"/>
    <n v="89"/>
    <n v="32"/>
    <x v="4"/>
    <n v="57"/>
    <x v="2"/>
    <n v="6.6666666666666666E-2"/>
    <n v="4983"/>
  </r>
  <r>
    <x v="5"/>
    <x v="750"/>
    <n v="267"/>
    <n v="173"/>
    <x v="0"/>
    <n v="94"/>
    <x v="0"/>
    <n v="0.36041666666666666"/>
    <n v="1826"/>
  </r>
  <r>
    <x v="5"/>
    <x v="751"/>
    <n v="172"/>
    <n v="160"/>
    <x v="2"/>
    <n v="12"/>
    <x v="0"/>
    <n v="0.33333333333333331"/>
    <n v="2154"/>
  </r>
  <r>
    <x v="5"/>
    <x v="752"/>
    <n v="252"/>
    <n v="115"/>
    <x v="6"/>
    <n v="137"/>
    <x v="0"/>
    <n v="0.23958333333333334"/>
    <n v="3206"/>
  </r>
  <r>
    <x v="5"/>
    <x v="753"/>
    <n v="235"/>
    <n v="183"/>
    <x v="3"/>
    <n v="52"/>
    <x v="0"/>
    <n v="0.38124999999999998"/>
    <n v="1572"/>
  </r>
  <r>
    <x v="5"/>
    <x v="754"/>
    <n v="314"/>
    <n v="111"/>
    <x v="1"/>
    <n v="203"/>
    <x v="0"/>
    <n v="0.23125000000000001"/>
    <n v="3285"/>
  </r>
  <r>
    <x v="5"/>
    <x v="755"/>
    <n v="263"/>
    <n v="161"/>
    <x v="4"/>
    <n v="102"/>
    <x v="0"/>
    <n v="0.33541666666666664"/>
    <n v="2129"/>
  </r>
  <r>
    <x v="5"/>
    <x v="756"/>
    <n v="244"/>
    <n v="140"/>
    <x v="4"/>
    <n v="104"/>
    <x v="0"/>
    <n v="0.29166666666666669"/>
    <n v="2627"/>
  </r>
  <r>
    <x v="5"/>
    <x v="757"/>
    <n v="254"/>
    <n v="150"/>
    <x v="0"/>
    <n v="104"/>
    <x v="0"/>
    <n v="0.3125"/>
    <n v="2400"/>
  </r>
  <r>
    <x v="5"/>
    <x v="758"/>
    <n v="200"/>
    <n v="88"/>
    <x v="2"/>
    <n v="112"/>
    <x v="1"/>
    <n v="0.18333333333333332"/>
    <n v="3792"/>
  </r>
  <r>
    <x v="5"/>
    <x v="759"/>
    <n v="250"/>
    <n v="99"/>
    <x v="2"/>
    <n v="151"/>
    <x v="1"/>
    <n v="0.20624999999999999"/>
    <n v="3553"/>
  </r>
  <r>
    <x v="5"/>
    <x v="760"/>
    <n v="80"/>
    <n v="30"/>
    <x v="3"/>
    <n v="50"/>
    <x v="2"/>
    <n v="6.25E-2"/>
    <n v="5042"/>
  </r>
  <r>
    <x v="5"/>
    <x v="761"/>
    <n v="91"/>
    <n v="46"/>
    <x v="0"/>
    <n v="45"/>
    <x v="2"/>
    <n v="9.583333333333334E-2"/>
    <n v="4680"/>
  </r>
  <r>
    <x v="5"/>
    <x v="762"/>
    <n v="281"/>
    <n v="109"/>
    <x v="2"/>
    <n v="172"/>
    <x v="0"/>
    <n v="0.22708333333333333"/>
    <n v="3338"/>
  </r>
  <r>
    <x v="5"/>
    <x v="763"/>
    <n v="247"/>
    <n v="94"/>
    <x v="5"/>
    <n v="153"/>
    <x v="1"/>
    <n v="0.19583333333333333"/>
    <n v="3654"/>
  </r>
  <r>
    <x v="5"/>
    <x v="764"/>
    <n v="291"/>
    <n v="60"/>
    <x v="6"/>
    <n v="231"/>
    <x v="1"/>
    <n v="0.125"/>
    <n v="4390"/>
  </r>
  <r>
    <x v="5"/>
    <x v="765"/>
    <n v="225"/>
    <n v="166"/>
    <x v="1"/>
    <n v="59"/>
    <x v="0"/>
    <n v="0.34583333333333333"/>
    <n v="2007"/>
  </r>
  <r>
    <x v="5"/>
    <x v="766"/>
    <n v="113"/>
    <n v="107"/>
    <x v="5"/>
    <n v="6"/>
    <x v="0"/>
    <n v="0.22291666666666668"/>
    <n v="3387"/>
  </r>
  <r>
    <x v="5"/>
    <x v="767"/>
    <n v="180"/>
    <n v="174"/>
    <x v="5"/>
    <n v="6"/>
    <x v="0"/>
    <n v="0.36249999999999999"/>
    <n v="1803"/>
  </r>
  <r>
    <x v="5"/>
    <x v="768"/>
    <n v="258"/>
    <n v="159"/>
    <x v="3"/>
    <n v="99"/>
    <x v="0"/>
    <n v="0.33124999999999999"/>
    <n v="2183"/>
  </r>
  <r>
    <x v="5"/>
    <x v="769"/>
    <n v="56"/>
    <n v="43"/>
    <x v="0"/>
    <n v="13"/>
    <x v="2"/>
    <n v="8.9583333333333334E-2"/>
    <n v="4752"/>
  </r>
  <r>
    <x v="5"/>
    <x v="770"/>
    <n v="315"/>
    <n v="65"/>
    <x v="0"/>
    <n v="250"/>
    <x v="1"/>
    <n v="0.13541666666666666"/>
    <n v="4267"/>
  </r>
  <r>
    <x v="5"/>
    <x v="771"/>
    <n v="116"/>
    <n v="41"/>
    <x v="5"/>
    <n v="75"/>
    <x v="2"/>
    <n v="8.5416666666666669E-2"/>
    <n v="4789"/>
  </r>
  <r>
    <x v="5"/>
    <x v="772"/>
    <n v="174"/>
    <n v="168"/>
    <x v="6"/>
    <n v="6"/>
    <x v="0"/>
    <n v="0.35"/>
    <n v="1954"/>
  </r>
  <r>
    <x v="5"/>
    <x v="773"/>
    <n v="185"/>
    <n v="68"/>
    <x v="1"/>
    <n v="117"/>
    <x v="1"/>
    <n v="0.14166666666666666"/>
    <n v="4204"/>
  </r>
  <r>
    <x v="5"/>
    <x v="774"/>
    <n v="247"/>
    <n v="35"/>
    <x v="1"/>
    <n v="212"/>
    <x v="2"/>
    <n v="7.2916666666666671E-2"/>
    <n v="4916"/>
  </r>
  <r>
    <x v="5"/>
    <x v="775"/>
    <n v="189"/>
    <n v="145"/>
    <x v="6"/>
    <n v="44"/>
    <x v="0"/>
    <n v="0.30208333333333331"/>
    <n v="2526"/>
  </r>
  <r>
    <x v="5"/>
    <x v="776"/>
    <n v="287"/>
    <n v="82"/>
    <x v="3"/>
    <n v="205"/>
    <x v="1"/>
    <n v="0.17083333333333334"/>
    <n v="3904"/>
  </r>
  <r>
    <x v="5"/>
    <x v="777"/>
    <n v="206"/>
    <n v="115"/>
    <x v="5"/>
    <n v="91"/>
    <x v="0"/>
    <n v="0.23958333333333334"/>
    <n v="3206"/>
  </r>
  <r>
    <x v="5"/>
    <x v="778"/>
    <n v="289"/>
    <n v="171"/>
    <x v="0"/>
    <n v="118"/>
    <x v="0"/>
    <n v="0.35625000000000001"/>
    <n v="1866"/>
  </r>
  <r>
    <x v="5"/>
    <x v="779"/>
    <n v="301"/>
    <n v="92"/>
    <x v="5"/>
    <n v="209"/>
    <x v="1"/>
    <n v="0.19166666666666668"/>
    <n v="3706"/>
  </r>
  <r>
    <x v="5"/>
    <x v="780"/>
    <n v="279"/>
    <n v="188"/>
    <x v="0"/>
    <n v="91"/>
    <x v="0"/>
    <n v="0.39166666666666666"/>
    <n v="1423"/>
  </r>
  <r>
    <x v="5"/>
    <x v="781"/>
    <n v="193"/>
    <n v="127"/>
    <x v="0"/>
    <n v="66"/>
    <x v="0"/>
    <n v="0.26458333333333334"/>
    <n v="2909"/>
  </r>
  <r>
    <x v="5"/>
    <x v="782"/>
    <n v="67"/>
    <n v="58"/>
    <x v="4"/>
    <n v="9"/>
    <x v="1"/>
    <n v="0.12083333333333333"/>
    <n v="4431"/>
  </r>
  <r>
    <x v="5"/>
    <x v="783"/>
    <n v="253"/>
    <n v="128"/>
    <x v="3"/>
    <n v="125"/>
    <x v="0"/>
    <n v="0.26666666666666666"/>
    <n v="2872"/>
  </r>
  <r>
    <x v="5"/>
    <x v="784"/>
    <n v="254"/>
    <n v="167"/>
    <x v="5"/>
    <n v="87"/>
    <x v="0"/>
    <n v="0.34791666666666665"/>
    <n v="1979"/>
  </r>
  <r>
    <x v="5"/>
    <x v="785"/>
    <n v="209"/>
    <n v="155"/>
    <x v="3"/>
    <n v="54"/>
    <x v="0"/>
    <n v="0.32291666666666669"/>
    <n v="2275"/>
  </r>
  <r>
    <x v="5"/>
    <x v="786"/>
    <n v="233"/>
    <n v="177"/>
    <x v="3"/>
    <n v="56"/>
    <x v="0"/>
    <n v="0.36875000000000002"/>
    <n v="1733"/>
  </r>
  <r>
    <x v="5"/>
    <x v="787"/>
    <n v="237"/>
    <n v="174"/>
    <x v="6"/>
    <n v="63"/>
    <x v="0"/>
    <n v="0.36249999999999999"/>
    <n v="1803"/>
  </r>
  <r>
    <x v="5"/>
    <x v="788"/>
    <n v="308"/>
    <n v="144"/>
    <x v="6"/>
    <n v="164"/>
    <x v="0"/>
    <n v="0.3"/>
    <n v="2550"/>
  </r>
  <r>
    <x v="5"/>
    <x v="789"/>
    <n v="304"/>
    <n v="97"/>
    <x v="2"/>
    <n v="207"/>
    <x v="1"/>
    <n v="0.20208333333333334"/>
    <n v="3593"/>
  </r>
  <r>
    <x v="5"/>
    <x v="790"/>
    <n v="310"/>
    <n v="149"/>
    <x v="6"/>
    <n v="161"/>
    <x v="0"/>
    <n v="0.31041666666666667"/>
    <n v="2426"/>
  </r>
  <r>
    <x v="5"/>
    <x v="791"/>
    <n v="183"/>
    <n v="59"/>
    <x v="4"/>
    <n v="124"/>
    <x v="1"/>
    <n v="0.12291666666666666"/>
    <n v="4416"/>
  </r>
  <r>
    <x v="5"/>
    <x v="792"/>
    <n v="267"/>
    <n v="66"/>
    <x v="4"/>
    <n v="201"/>
    <x v="1"/>
    <n v="0.13750000000000001"/>
    <n v="4247"/>
  </r>
  <r>
    <x v="5"/>
    <x v="793"/>
    <n v="154"/>
    <n v="49"/>
    <x v="0"/>
    <n v="105"/>
    <x v="2"/>
    <n v="0.10208333333333333"/>
    <n v="4614"/>
  </r>
  <r>
    <x v="5"/>
    <x v="794"/>
    <n v="249"/>
    <n v="166"/>
    <x v="3"/>
    <n v="83"/>
    <x v="0"/>
    <n v="0.34583333333333333"/>
    <n v="2007"/>
  </r>
  <r>
    <x v="5"/>
    <x v="795"/>
    <n v="292"/>
    <n v="114"/>
    <x v="3"/>
    <n v="178"/>
    <x v="0"/>
    <n v="0.23749999999999999"/>
    <n v="3226"/>
  </r>
  <r>
    <x v="5"/>
    <x v="796"/>
    <n v="302"/>
    <n v="78"/>
    <x v="6"/>
    <n v="224"/>
    <x v="1"/>
    <n v="0.16250000000000001"/>
    <n v="3989"/>
  </r>
  <r>
    <x v="5"/>
    <x v="797"/>
    <n v="187"/>
    <n v="122"/>
    <x v="6"/>
    <n v="65"/>
    <x v="0"/>
    <n v="0.25416666666666665"/>
    <n v="3013"/>
  </r>
  <r>
    <x v="5"/>
    <x v="798"/>
    <n v="56"/>
    <n v="48"/>
    <x v="0"/>
    <n v="8"/>
    <x v="2"/>
    <n v="0.1"/>
    <n v="4638"/>
  </r>
  <r>
    <x v="5"/>
    <x v="799"/>
    <n v="144"/>
    <n v="100"/>
    <x v="6"/>
    <n v="44"/>
    <x v="1"/>
    <n v="0.20833333333333334"/>
    <n v="3535"/>
  </r>
  <r>
    <x v="5"/>
    <x v="800"/>
    <n v="290"/>
    <n v="164"/>
    <x v="2"/>
    <n v="126"/>
    <x v="0"/>
    <n v="0.34166666666666667"/>
    <n v="2049"/>
  </r>
  <r>
    <x v="5"/>
    <x v="801"/>
    <n v="54"/>
    <n v="32"/>
    <x v="3"/>
    <n v="22"/>
    <x v="2"/>
    <n v="6.6666666666666666E-2"/>
    <n v="4983"/>
  </r>
  <r>
    <x v="5"/>
    <x v="802"/>
    <n v="123"/>
    <n v="47"/>
    <x v="0"/>
    <n v="76"/>
    <x v="2"/>
    <n v="9.7916666666666666E-2"/>
    <n v="4656"/>
  </r>
  <r>
    <x v="5"/>
    <x v="803"/>
    <n v="159"/>
    <n v="158"/>
    <x v="4"/>
    <n v="1"/>
    <x v="0"/>
    <n v="0.32916666666666666"/>
    <n v="2207"/>
  </r>
  <r>
    <x v="5"/>
    <x v="804"/>
    <n v="200"/>
    <n v="121"/>
    <x v="2"/>
    <n v="79"/>
    <x v="0"/>
    <n v="0.25208333333333333"/>
    <n v="3037"/>
  </r>
  <r>
    <x v="5"/>
    <x v="805"/>
    <n v="283"/>
    <n v="116"/>
    <x v="2"/>
    <n v="167"/>
    <x v="0"/>
    <n v="0.24166666666666667"/>
    <n v="3173"/>
  </r>
  <r>
    <x v="5"/>
    <x v="806"/>
    <n v="97"/>
    <n v="61"/>
    <x v="3"/>
    <n v="36"/>
    <x v="1"/>
    <n v="0.12708333333333333"/>
    <n v="4368"/>
  </r>
  <r>
    <x v="5"/>
    <x v="807"/>
    <n v="212"/>
    <n v="178"/>
    <x v="4"/>
    <n v="34"/>
    <x v="0"/>
    <n v="0.37083333333333335"/>
    <n v="1702"/>
  </r>
  <r>
    <x v="5"/>
    <x v="808"/>
    <n v="212"/>
    <n v="170"/>
    <x v="4"/>
    <n v="42"/>
    <x v="0"/>
    <n v="0.35416666666666669"/>
    <n v="1898"/>
  </r>
  <r>
    <x v="5"/>
    <x v="809"/>
    <n v="224"/>
    <n v="151"/>
    <x v="3"/>
    <n v="73"/>
    <x v="0"/>
    <n v="0.31458333333333333"/>
    <n v="2376"/>
  </r>
  <r>
    <x v="5"/>
    <x v="810"/>
    <n v="251"/>
    <n v="106"/>
    <x v="0"/>
    <n v="145"/>
    <x v="0"/>
    <n v="0.22083333333333333"/>
    <n v="3413"/>
  </r>
  <r>
    <x v="5"/>
    <x v="811"/>
    <n v="142"/>
    <n v="45"/>
    <x v="1"/>
    <n v="97"/>
    <x v="2"/>
    <n v="9.375E-2"/>
    <n v="4702"/>
  </r>
  <r>
    <x v="5"/>
    <x v="812"/>
    <n v="204"/>
    <n v="156"/>
    <x v="5"/>
    <n v="48"/>
    <x v="0"/>
    <n v="0.32500000000000001"/>
    <n v="2251"/>
  </r>
  <r>
    <x v="5"/>
    <x v="813"/>
    <n v="72"/>
    <n v="41"/>
    <x v="0"/>
    <n v="31"/>
    <x v="2"/>
    <n v="8.5416666666666669E-2"/>
    <n v="4789"/>
  </r>
  <r>
    <x v="5"/>
    <x v="814"/>
    <n v="259"/>
    <n v="135"/>
    <x v="6"/>
    <n v="124"/>
    <x v="0"/>
    <n v="0.28125"/>
    <n v="2714"/>
  </r>
  <r>
    <x v="5"/>
    <x v="815"/>
    <n v="196"/>
    <n v="71"/>
    <x v="1"/>
    <n v="125"/>
    <x v="1"/>
    <n v="0.14791666666666667"/>
    <n v="4129"/>
  </r>
  <r>
    <x v="5"/>
    <x v="816"/>
    <n v="287"/>
    <n v="53"/>
    <x v="1"/>
    <n v="234"/>
    <x v="1"/>
    <n v="0.11041666666666666"/>
    <n v="4544"/>
  </r>
  <r>
    <x v="5"/>
    <x v="817"/>
    <n v="47"/>
    <n v="40"/>
    <x v="2"/>
    <n v="7"/>
    <x v="2"/>
    <n v="8.3333333333333329E-2"/>
    <n v="4808"/>
  </r>
  <r>
    <x v="5"/>
    <x v="818"/>
    <n v="259"/>
    <n v="74"/>
    <x v="2"/>
    <n v="185"/>
    <x v="1"/>
    <n v="0.15416666666666667"/>
    <n v="4064"/>
  </r>
  <r>
    <x v="5"/>
    <x v="819"/>
    <n v="157"/>
    <n v="102"/>
    <x v="3"/>
    <n v="55"/>
    <x v="0"/>
    <n v="0.21249999999999999"/>
    <n v="3493"/>
  </r>
  <r>
    <x v="5"/>
    <x v="820"/>
    <n v="183"/>
    <n v="143"/>
    <x v="0"/>
    <n v="40"/>
    <x v="0"/>
    <n v="0.29791666666666666"/>
    <n v="2567"/>
  </r>
  <r>
    <x v="5"/>
    <x v="821"/>
    <n v="148"/>
    <n v="119"/>
    <x v="6"/>
    <n v="29"/>
    <x v="0"/>
    <n v="0.24791666666666667"/>
    <n v="3093"/>
  </r>
  <r>
    <x v="5"/>
    <x v="822"/>
    <n v="161"/>
    <n v="135"/>
    <x v="5"/>
    <n v="26"/>
    <x v="0"/>
    <n v="0.28125"/>
    <n v="2714"/>
  </r>
  <r>
    <x v="5"/>
    <x v="823"/>
    <n v="125"/>
    <n v="92"/>
    <x v="1"/>
    <n v="33"/>
    <x v="1"/>
    <n v="0.19166666666666668"/>
    <n v="3706"/>
  </r>
  <r>
    <x v="5"/>
    <x v="824"/>
    <n v="164"/>
    <n v="40"/>
    <x v="5"/>
    <n v="124"/>
    <x v="2"/>
    <n v="8.3333333333333329E-2"/>
    <n v="4808"/>
  </r>
  <r>
    <x v="5"/>
    <x v="825"/>
    <n v="226"/>
    <n v="128"/>
    <x v="1"/>
    <n v="98"/>
    <x v="0"/>
    <n v="0.26666666666666666"/>
    <n v="2872"/>
  </r>
  <r>
    <x v="5"/>
    <x v="826"/>
    <n v="57"/>
    <n v="55"/>
    <x v="5"/>
    <n v="2"/>
    <x v="1"/>
    <n v="0.11458333333333333"/>
    <n v="4497"/>
  </r>
  <r>
    <x v="5"/>
    <x v="827"/>
    <n v="302"/>
    <n v="163"/>
    <x v="6"/>
    <n v="139"/>
    <x v="0"/>
    <n v="0.33958333333333335"/>
    <n v="2075"/>
  </r>
  <r>
    <x v="5"/>
    <x v="828"/>
    <n v="221"/>
    <n v="121"/>
    <x v="3"/>
    <n v="100"/>
    <x v="0"/>
    <n v="0.25208333333333333"/>
    <n v="3037"/>
  </r>
  <r>
    <x v="5"/>
    <x v="829"/>
    <n v="125"/>
    <n v="67"/>
    <x v="4"/>
    <n v="58"/>
    <x v="1"/>
    <n v="0.13958333333333334"/>
    <n v="4225"/>
  </r>
  <r>
    <x v="5"/>
    <x v="830"/>
    <n v="319"/>
    <n v="61"/>
    <x v="2"/>
    <n v="258"/>
    <x v="1"/>
    <n v="0.12708333333333333"/>
    <n v="4368"/>
  </r>
  <r>
    <x v="5"/>
    <x v="831"/>
    <n v="268"/>
    <n v="74"/>
    <x v="6"/>
    <n v="194"/>
    <x v="1"/>
    <n v="0.15416666666666667"/>
    <n v="4064"/>
  </r>
  <r>
    <x v="5"/>
    <x v="832"/>
    <n v="166"/>
    <n v="85"/>
    <x v="1"/>
    <n v="81"/>
    <x v="1"/>
    <n v="0.17708333333333334"/>
    <n v="3852"/>
  </r>
  <r>
    <x v="5"/>
    <x v="833"/>
    <n v="278"/>
    <n v="110"/>
    <x v="0"/>
    <n v="168"/>
    <x v="0"/>
    <n v="0.22916666666666666"/>
    <n v="3302"/>
  </r>
  <r>
    <x v="5"/>
    <x v="834"/>
    <n v="258"/>
    <n v="153"/>
    <x v="2"/>
    <n v="105"/>
    <x v="0"/>
    <n v="0.31874999999999998"/>
    <n v="2329"/>
  </r>
  <r>
    <x v="5"/>
    <x v="835"/>
    <n v="273"/>
    <n v="182"/>
    <x v="0"/>
    <n v="91"/>
    <x v="0"/>
    <n v="0.37916666666666665"/>
    <n v="1593"/>
  </r>
  <r>
    <x v="5"/>
    <x v="836"/>
    <n v="294"/>
    <n v="129"/>
    <x v="6"/>
    <n v="165"/>
    <x v="0"/>
    <n v="0.26874999999999999"/>
    <n v="2852"/>
  </r>
  <r>
    <x v="5"/>
    <x v="837"/>
    <n v="260"/>
    <n v="184"/>
    <x v="2"/>
    <n v="76"/>
    <x v="0"/>
    <n v="0.38333333333333336"/>
    <n v="1544"/>
  </r>
  <r>
    <x v="5"/>
    <x v="838"/>
    <n v="102"/>
    <n v="38"/>
    <x v="1"/>
    <n v="64"/>
    <x v="2"/>
    <n v="7.9166666666666663E-2"/>
    <n v="4845"/>
  </r>
  <r>
    <x v="5"/>
    <x v="839"/>
    <n v="312"/>
    <n v="126"/>
    <x v="4"/>
    <n v="186"/>
    <x v="0"/>
    <n v="0.26250000000000001"/>
    <n v="2934"/>
  </r>
  <r>
    <x v="5"/>
    <x v="840"/>
    <n v="172"/>
    <n v="104"/>
    <x v="2"/>
    <n v="68"/>
    <x v="0"/>
    <n v="0.21666666666666667"/>
    <n v="3454"/>
  </r>
  <r>
    <x v="5"/>
    <x v="841"/>
    <n v="212"/>
    <n v="184"/>
    <x v="4"/>
    <n v="28"/>
    <x v="0"/>
    <n v="0.38333333333333336"/>
    <n v="1544"/>
  </r>
  <r>
    <x v="5"/>
    <x v="842"/>
    <n v="46"/>
    <n v="43"/>
    <x v="1"/>
    <n v="3"/>
    <x v="2"/>
    <n v="8.9583333333333334E-2"/>
    <n v="4752"/>
  </r>
  <r>
    <x v="5"/>
    <x v="843"/>
    <n v="214"/>
    <n v="72"/>
    <x v="2"/>
    <n v="142"/>
    <x v="1"/>
    <n v="0.15"/>
    <n v="4100"/>
  </r>
  <r>
    <x v="5"/>
    <x v="844"/>
    <n v="260"/>
    <n v="49"/>
    <x v="6"/>
    <n v="211"/>
    <x v="2"/>
    <n v="0.10208333333333333"/>
    <n v="4614"/>
  </r>
  <r>
    <x v="5"/>
    <x v="845"/>
    <n v="186"/>
    <n v="141"/>
    <x v="3"/>
    <n v="45"/>
    <x v="0"/>
    <n v="0.29375000000000001"/>
    <n v="2609"/>
  </r>
  <r>
    <x v="5"/>
    <x v="846"/>
    <n v="266"/>
    <n v="72"/>
    <x v="0"/>
    <n v="194"/>
    <x v="1"/>
    <n v="0.15"/>
    <n v="4100"/>
  </r>
  <r>
    <x v="5"/>
    <x v="847"/>
    <n v="194"/>
    <n v="153"/>
    <x v="5"/>
    <n v="41"/>
    <x v="0"/>
    <n v="0.31874999999999998"/>
    <n v="2329"/>
  </r>
  <r>
    <x v="5"/>
    <x v="848"/>
    <n v="310"/>
    <n v="79"/>
    <x v="1"/>
    <n v="231"/>
    <x v="1"/>
    <n v="0.16458333333333333"/>
    <n v="3967"/>
  </r>
  <r>
    <x v="5"/>
    <x v="849"/>
    <n v="275"/>
    <n v="162"/>
    <x v="6"/>
    <n v="113"/>
    <x v="0"/>
    <n v="0.33750000000000002"/>
    <n v="2106"/>
  </r>
  <r>
    <x v="5"/>
    <x v="850"/>
    <n v="200"/>
    <n v="95"/>
    <x v="5"/>
    <n v="105"/>
    <x v="1"/>
    <n v="0.19791666666666666"/>
    <n v="3634"/>
  </r>
  <r>
    <x v="5"/>
    <x v="851"/>
    <n v="291"/>
    <n v="84"/>
    <x v="6"/>
    <n v="207"/>
    <x v="1"/>
    <n v="0.17499999999999999"/>
    <n v="3872"/>
  </r>
  <r>
    <x v="5"/>
    <x v="852"/>
    <n v="166"/>
    <n v="112"/>
    <x v="5"/>
    <n v="54"/>
    <x v="0"/>
    <n v="0.23333333333333334"/>
    <n v="3267"/>
  </r>
  <r>
    <x v="5"/>
    <x v="853"/>
    <n v="245"/>
    <n v="47"/>
    <x v="6"/>
    <n v="198"/>
    <x v="2"/>
    <n v="9.7916666666666666E-2"/>
    <n v="4656"/>
  </r>
  <r>
    <x v="5"/>
    <x v="854"/>
    <n v="35"/>
    <n v="34"/>
    <x v="1"/>
    <n v="1"/>
    <x v="2"/>
    <n v="7.0833333333333331E-2"/>
    <n v="4944"/>
  </r>
  <r>
    <x v="5"/>
    <x v="855"/>
    <n v="279"/>
    <n v="144"/>
    <x v="4"/>
    <n v="135"/>
    <x v="0"/>
    <n v="0.3"/>
    <n v="2550"/>
  </r>
  <r>
    <x v="5"/>
    <x v="856"/>
    <n v="278"/>
    <n v="66"/>
    <x v="4"/>
    <n v="212"/>
    <x v="1"/>
    <n v="0.13750000000000001"/>
    <n v="4247"/>
  </r>
  <r>
    <x v="5"/>
    <x v="857"/>
    <n v="239"/>
    <n v="90"/>
    <x v="2"/>
    <n v="149"/>
    <x v="1"/>
    <n v="0.1875"/>
    <n v="3750"/>
  </r>
  <r>
    <x v="5"/>
    <x v="858"/>
    <n v="174"/>
    <n v="86"/>
    <x v="5"/>
    <n v="88"/>
    <x v="1"/>
    <n v="0.17916666666666667"/>
    <n v="3830"/>
  </r>
  <r>
    <x v="5"/>
    <x v="859"/>
    <n v="186"/>
    <n v="80"/>
    <x v="4"/>
    <n v="106"/>
    <x v="1"/>
    <n v="0.16666666666666666"/>
    <n v="3948"/>
  </r>
  <r>
    <x v="5"/>
    <x v="860"/>
    <n v="251"/>
    <n v="142"/>
    <x v="4"/>
    <n v="109"/>
    <x v="0"/>
    <n v="0.29583333333333334"/>
    <n v="2585"/>
  </r>
  <r>
    <x v="5"/>
    <x v="861"/>
    <n v="275"/>
    <n v="91"/>
    <x v="1"/>
    <n v="184"/>
    <x v="1"/>
    <n v="0.18958333333333333"/>
    <n v="3726"/>
  </r>
  <r>
    <x v="5"/>
    <x v="862"/>
    <n v="257"/>
    <n v="183"/>
    <x v="6"/>
    <n v="74"/>
    <x v="0"/>
    <n v="0.38124999999999998"/>
    <n v="1572"/>
  </r>
  <r>
    <x v="5"/>
    <x v="863"/>
    <n v="154"/>
    <n v="83"/>
    <x v="6"/>
    <n v="71"/>
    <x v="1"/>
    <n v="0.17291666666666666"/>
    <n v="3892"/>
  </r>
  <r>
    <x v="5"/>
    <x v="864"/>
    <n v="182"/>
    <n v="43"/>
    <x v="3"/>
    <n v="139"/>
    <x v="2"/>
    <n v="8.9583333333333334E-2"/>
    <n v="4752"/>
  </r>
  <r>
    <x v="5"/>
    <x v="865"/>
    <n v="237"/>
    <n v="184"/>
    <x v="2"/>
    <n v="53"/>
    <x v="0"/>
    <n v="0.38333333333333336"/>
    <n v="1544"/>
  </r>
  <r>
    <x v="5"/>
    <x v="866"/>
    <n v="167"/>
    <n v="80"/>
    <x v="1"/>
    <n v="87"/>
    <x v="1"/>
    <n v="0.16666666666666666"/>
    <n v="3948"/>
  </r>
  <r>
    <x v="5"/>
    <x v="867"/>
    <n v="89"/>
    <n v="45"/>
    <x v="3"/>
    <n v="44"/>
    <x v="2"/>
    <n v="9.375E-2"/>
    <n v="4702"/>
  </r>
  <r>
    <x v="5"/>
    <x v="868"/>
    <n v="158"/>
    <n v="37"/>
    <x v="1"/>
    <n v="121"/>
    <x v="2"/>
    <n v="7.7083333333333337E-2"/>
    <n v="4863"/>
  </r>
  <r>
    <x v="5"/>
    <x v="869"/>
    <n v="61"/>
    <n v="45"/>
    <x v="3"/>
    <n v="16"/>
    <x v="2"/>
    <n v="9.375E-2"/>
    <n v="4702"/>
  </r>
  <r>
    <x v="5"/>
    <x v="870"/>
    <n v="101"/>
    <n v="100"/>
    <x v="5"/>
    <n v="1"/>
    <x v="1"/>
    <n v="0.20833333333333334"/>
    <n v="3535"/>
  </r>
  <r>
    <x v="5"/>
    <x v="871"/>
    <n v="105"/>
    <n v="105"/>
    <x v="3"/>
    <n v="0"/>
    <x v="0"/>
    <n v="0.21875"/>
    <n v="3436"/>
  </r>
  <r>
    <x v="5"/>
    <x v="872"/>
    <n v="191"/>
    <n v="100"/>
    <x v="4"/>
    <n v="91"/>
    <x v="1"/>
    <n v="0.20833333333333334"/>
    <n v="3535"/>
  </r>
  <r>
    <x v="5"/>
    <x v="873"/>
    <n v="293"/>
    <n v="123"/>
    <x v="3"/>
    <n v="170"/>
    <x v="0"/>
    <n v="0.25624999999999998"/>
    <n v="2983"/>
  </r>
  <r>
    <x v="5"/>
    <x v="874"/>
    <n v="99"/>
    <n v="73"/>
    <x v="6"/>
    <n v="26"/>
    <x v="1"/>
    <n v="0.15208333333333332"/>
    <n v="4083"/>
  </r>
  <r>
    <x v="5"/>
    <x v="875"/>
    <n v="307"/>
    <n v="115"/>
    <x v="2"/>
    <n v="192"/>
    <x v="0"/>
    <n v="0.23958333333333334"/>
    <n v="3206"/>
  </r>
  <r>
    <x v="5"/>
    <x v="876"/>
    <n v="203"/>
    <n v="106"/>
    <x v="1"/>
    <n v="97"/>
    <x v="0"/>
    <n v="0.22083333333333333"/>
    <n v="3413"/>
  </r>
  <r>
    <x v="5"/>
    <x v="877"/>
    <n v="122"/>
    <n v="87"/>
    <x v="3"/>
    <n v="35"/>
    <x v="1"/>
    <n v="0.18124999999999999"/>
    <n v="3813"/>
  </r>
  <r>
    <x v="5"/>
    <x v="878"/>
    <n v="183"/>
    <n v="156"/>
    <x v="1"/>
    <n v="27"/>
    <x v="0"/>
    <n v="0.32500000000000001"/>
    <n v="2251"/>
  </r>
  <r>
    <x v="5"/>
    <x v="879"/>
    <n v="127"/>
    <n v="101"/>
    <x v="4"/>
    <n v="26"/>
    <x v="0"/>
    <n v="0.21041666666666667"/>
    <n v="3515"/>
  </r>
  <r>
    <x v="5"/>
    <x v="880"/>
    <n v="255"/>
    <n v="139"/>
    <x v="6"/>
    <n v="116"/>
    <x v="0"/>
    <n v="0.28958333333333336"/>
    <n v="2647"/>
  </r>
  <r>
    <x v="5"/>
    <x v="881"/>
    <n v="133"/>
    <n v="42"/>
    <x v="5"/>
    <n v="91"/>
    <x v="2"/>
    <n v="8.7499999999999994E-2"/>
    <n v="4776"/>
  </r>
  <r>
    <x v="5"/>
    <x v="882"/>
    <n v="252"/>
    <n v="154"/>
    <x v="5"/>
    <n v="98"/>
    <x v="0"/>
    <n v="0.32083333333333336"/>
    <n v="2307"/>
  </r>
  <r>
    <x v="5"/>
    <x v="883"/>
    <n v="313"/>
    <n v="57"/>
    <x v="1"/>
    <n v="256"/>
    <x v="1"/>
    <n v="0.11874999999999999"/>
    <n v="4452"/>
  </r>
  <r>
    <x v="5"/>
    <x v="884"/>
    <n v="241"/>
    <n v="36"/>
    <x v="4"/>
    <n v="205"/>
    <x v="2"/>
    <n v="7.4999999999999997E-2"/>
    <n v="4893"/>
  </r>
  <r>
    <x v="5"/>
    <x v="885"/>
    <n v="221"/>
    <n v="52"/>
    <x v="5"/>
    <n v="169"/>
    <x v="1"/>
    <n v="0.10833333333333334"/>
    <n v="4564"/>
  </r>
  <r>
    <x v="5"/>
    <x v="886"/>
    <n v="258"/>
    <n v="163"/>
    <x v="1"/>
    <n v="95"/>
    <x v="0"/>
    <n v="0.33958333333333335"/>
    <n v="2075"/>
  </r>
  <r>
    <x v="5"/>
    <x v="887"/>
    <n v="306"/>
    <n v="152"/>
    <x v="6"/>
    <n v="154"/>
    <x v="0"/>
    <n v="0.31666666666666665"/>
    <n v="2349"/>
  </r>
  <r>
    <x v="5"/>
    <x v="888"/>
    <n v="224"/>
    <n v="133"/>
    <x v="6"/>
    <n v="91"/>
    <x v="0"/>
    <n v="0.27708333333333335"/>
    <n v="2758"/>
  </r>
  <r>
    <x v="5"/>
    <x v="889"/>
    <n v="276"/>
    <n v="119"/>
    <x v="6"/>
    <n v="157"/>
    <x v="0"/>
    <n v="0.24791666666666667"/>
    <n v="3093"/>
  </r>
  <r>
    <x v="5"/>
    <x v="890"/>
    <n v="303"/>
    <n v="116"/>
    <x v="4"/>
    <n v="187"/>
    <x v="0"/>
    <n v="0.24166666666666667"/>
    <n v="3173"/>
  </r>
  <r>
    <x v="5"/>
    <x v="891"/>
    <n v="173"/>
    <n v="161"/>
    <x v="0"/>
    <n v="12"/>
    <x v="0"/>
    <n v="0.33541666666666664"/>
    <n v="2129"/>
  </r>
  <r>
    <x v="5"/>
    <x v="892"/>
    <n v="255"/>
    <n v="186"/>
    <x v="4"/>
    <n v="69"/>
    <x v="0"/>
    <n v="0.38750000000000001"/>
    <n v="1478"/>
  </r>
  <r>
    <x v="5"/>
    <x v="893"/>
    <n v="221"/>
    <n v="167"/>
    <x v="2"/>
    <n v="54"/>
    <x v="0"/>
    <n v="0.34791666666666665"/>
    <n v="1979"/>
  </r>
  <r>
    <x v="5"/>
    <x v="894"/>
    <n v="176"/>
    <n v="65"/>
    <x v="1"/>
    <n v="111"/>
    <x v="1"/>
    <n v="0.13541666666666666"/>
    <n v="4267"/>
  </r>
  <r>
    <x v="5"/>
    <x v="895"/>
    <n v="212"/>
    <n v="190"/>
    <x v="3"/>
    <n v="22"/>
    <x v="0"/>
    <n v="0.39583333333333331"/>
    <n v="1355"/>
  </r>
  <r>
    <x v="5"/>
    <x v="896"/>
    <n v="316"/>
    <n v="88"/>
    <x v="2"/>
    <n v="228"/>
    <x v="1"/>
    <n v="0.18333333333333332"/>
    <n v="3792"/>
  </r>
  <r>
    <x v="5"/>
    <x v="897"/>
    <n v="203"/>
    <n v="164"/>
    <x v="6"/>
    <n v="39"/>
    <x v="0"/>
    <n v="0.34166666666666667"/>
    <n v="2049"/>
  </r>
  <r>
    <x v="5"/>
    <x v="898"/>
    <n v="129"/>
    <n v="129"/>
    <x v="3"/>
    <n v="0"/>
    <x v="0"/>
    <n v="0.26874999999999999"/>
    <n v="2852"/>
  </r>
  <r>
    <x v="5"/>
    <x v="899"/>
    <n v="120"/>
    <n v="58"/>
    <x v="5"/>
    <n v="62"/>
    <x v="1"/>
    <n v="0.12083333333333333"/>
    <n v="4431"/>
  </r>
  <r>
    <x v="5"/>
    <x v="900"/>
    <n v="320"/>
    <n v="182"/>
    <x v="3"/>
    <n v="138"/>
    <x v="0"/>
    <n v="0.37916666666666665"/>
    <n v="1593"/>
  </r>
  <r>
    <x v="5"/>
    <x v="901"/>
    <n v="126"/>
    <n v="38"/>
    <x v="1"/>
    <n v="88"/>
    <x v="2"/>
    <n v="7.9166666666666663E-2"/>
    <n v="4845"/>
  </r>
  <r>
    <x v="5"/>
    <x v="902"/>
    <n v="240"/>
    <n v="93"/>
    <x v="3"/>
    <n v="147"/>
    <x v="1"/>
    <n v="0.19375000000000001"/>
    <n v="3678"/>
  </r>
  <r>
    <x v="5"/>
    <x v="903"/>
    <n v="109"/>
    <n v="102"/>
    <x v="2"/>
    <n v="7"/>
    <x v="0"/>
    <n v="0.21249999999999999"/>
    <n v="3493"/>
  </r>
  <r>
    <x v="5"/>
    <x v="904"/>
    <n v="222"/>
    <n v="98"/>
    <x v="5"/>
    <n v="124"/>
    <x v="1"/>
    <n v="0.20416666666666666"/>
    <n v="3574"/>
  </r>
  <r>
    <x v="5"/>
    <x v="905"/>
    <n v="152"/>
    <n v="58"/>
    <x v="4"/>
    <n v="94"/>
    <x v="1"/>
    <n v="0.12083333333333333"/>
    <n v="4431"/>
  </r>
  <r>
    <x v="5"/>
    <x v="906"/>
    <n v="48"/>
    <n v="36"/>
    <x v="0"/>
    <n v="12"/>
    <x v="2"/>
    <n v="7.4999999999999997E-2"/>
    <n v="4893"/>
  </r>
  <r>
    <x v="5"/>
    <x v="907"/>
    <n v="205"/>
    <n v="42"/>
    <x v="4"/>
    <n v="163"/>
    <x v="2"/>
    <n v="8.7499999999999994E-2"/>
    <n v="4776"/>
  </r>
  <r>
    <x v="5"/>
    <x v="908"/>
    <n v="303"/>
    <n v="163"/>
    <x v="1"/>
    <n v="140"/>
    <x v="0"/>
    <n v="0.33958333333333335"/>
    <n v="2075"/>
  </r>
  <r>
    <x v="5"/>
    <x v="909"/>
    <n v="313"/>
    <n v="74"/>
    <x v="6"/>
    <n v="239"/>
    <x v="1"/>
    <n v="0.15416666666666667"/>
    <n v="4064"/>
  </r>
  <r>
    <x v="5"/>
    <x v="910"/>
    <n v="203"/>
    <n v="125"/>
    <x v="0"/>
    <n v="78"/>
    <x v="0"/>
    <n v="0.26041666666666669"/>
    <n v="2951"/>
  </r>
  <r>
    <x v="5"/>
    <x v="911"/>
    <n v="247"/>
    <n v="37"/>
    <x v="0"/>
    <n v="210"/>
    <x v="2"/>
    <n v="7.7083333333333337E-2"/>
    <n v="4863"/>
  </r>
  <r>
    <x v="5"/>
    <x v="912"/>
    <n v="284"/>
    <n v="86"/>
    <x v="5"/>
    <n v="198"/>
    <x v="1"/>
    <n v="0.17916666666666667"/>
    <n v="3830"/>
  </r>
  <r>
    <x v="5"/>
    <x v="913"/>
    <n v="178"/>
    <n v="107"/>
    <x v="1"/>
    <n v="71"/>
    <x v="0"/>
    <n v="0.22291666666666668"/>
    <n v="3387"/>
  </r>
  <r>
    <x v="5"/>
    <x v="914"/>
    <n v="151"/>
    <n v="35"/>
    <x v="0"/>
    <n v="116"/>
    <x v="2"/>
    <n v="7.2916666666666671E-2"/>
    <n v="4916"/>
  </r>
  <r>
    <x v="5"/>
    <x v="915"/>
    <n v="108"/>
    <n v="99"/>
    <x v="3"/>
    <n v="9"/>
    <x v="1"/>
    <n v="0.20624999999999999"/>
    <n v="3553"/>
  </r>
  <r>
    <x v="5"/>
    <x v="916"/>
    <n v="180"/>
    <n v="176"/>
    <x v="6"/>
    <n v="4"/>
    <x v="0"/>
    <n v="0.36666666666666664"/>
    <n v="1754"/>
  </r>
  <r>
    <x v="5"/>
    <x v="917"/>
    <n v="213"/>
    <n v="171"/>
    <x v="2"/>
    <n v="42"/>
    <x v="0"/>
    <n v="0.35625000000000001"/>
    <n v="1866"/>
  </r>
  <r>
    <x v="5"/>
    <x v="918"/>
    <n v="225"/>
    <n v="136"/>
    <x v="2"/>
    <n v="89"/>
    <x v="0"/>
    <n v="0.28333333333333333"/>
    <n v="2692"/>
  </r>
  <r>
    <x v="5"/>
    <x v="919"/>
    <n v="96"/>
    <n v="62"/>
    <x v="3"/>
    <n v="34"/>
    <x v="1"/>
    <n v="0.12916666666666668"/>
    <n v="4343"/>
  </r>
  <r>
    <x v="5"/>
    <x v="920"/>
    <n v="245"/>
    <n v="122"/>
    <x v="3"/>
    <n v="123"/>
    <x v="0"/>
    <n v="0.25416666666666665"/>
    <n v="3013"/>
  </r>
  <r>
    <x v="5"/>
    <x v="921"/>
    <n v="311"/>
    <n v="108"/>
    <x v="5"/>
    <n v="203"/>
    <x v="0"/>
    <n v="0.22500000000000001"/>
    <n v="3362"/>
  </r>
  <r>
    <x v="5"/>
    <x v="922"/>
    <n v="135"/>
    <n v="132"/>
    <x v="1"/>
    <n v="3"/>
    <x v="0"/>
    <n v="0.27500000000000002"/>
    <n v="2792"/>
  </r>
  <r>
    <x v="5"/>
    <x v="923"/>
    <n v="208"/>
    <n v="186"/>
    <x v="5"/>
    <n v="22"/>
    <x v="0"/>
    <n v="0.38750000000000001"/>
    <n v="1478"/>
  </r>
  <r>
    <x v="5"/>
    <x v="924"/>
    <n v="287"/>
    <n v="77"/>
    <x v="1"/>
    <n v="210"/>
    <x v="1"/>
    <n v="0.16041666666666668"/>
    <n v="4006"/>
  </r>
  <r>
    <x v="5"/>
    <x v="925"/>
    <n v="301"/>
    <n v="132"/>
    <x v="3"/>
    <n v="169"/>
    <x v="0"/>
    <n v="0.27500000000000002"/>
    <n v="2792"/>
  </r>
  <r>
    <x v="5"/>
    <x v="926"/>
    <n v="74"/>
    <n v="72"/>
    <x v="5"/>
    <n v="2"/>
    <x v="1"/>
    <n v="0.15"/>
    <n v="4100"/>
  </r>
  <r>
    <x v="5"/>
    <x v="927"/>
    <n v="262"/>
    <n v="79"/>
    <x v="5"/>
    <n v="183"/>
    <x v="1"/>
    <n v="0.16458333333333333"/>
    <n v="3967"/>
  </r>
  <r>
    <x v="5"/>
    <x v="928"/>
    <n v="242"/>
    <n v="153"/>
    <x v="4"/>
    <n v="89"/>
    <x v="0"/>
    <n v="0.31874999999999998"/>
    <n v="2329"/>
  </r>
  <r>
    <x v="5"/>
    <x v="929"/>
    <n v="254"/>
    <n v="97"/>
    <x v="0"/>
    <n v="157"/>
    <x v="1"/>
    <n v="0.20208333333333334"/>
    <n v="3593"/>
  </r>
  <r>
    <x v="5"/>
    <x v="930"/>
    <n v="192"/>
    <n v="178"/>
    <x v="1"/>
    <n v="14"/>
    <x v="0"/>
    <n v="0.37083333333333335"/>
    <n v="1702"/>
  </r>
  <r>
    <x v="6"/>
    <x v="931"/>
    <n v="80"/>
    <n v="37"/>
    <x v="5"/>
    <n v="43"/>
    <x v="2"/>
    <n v="7.7083333333333337E-2"/>
    <n v="4863"/>
  </r>
  <r>
    <x v="6"/>
    <x v="932"/>
    <n v="216"/>
    <n v="149"/>
    <x v="1"/>
    <n v="67"/>
    <x v="0"/>
    <n v="0.31041666666666667"/>
    <n v="2426"/>
  </r>
  <r>
    <x v="6"/>
    <x v="933"/>
    <n v="234"/>
    <n v="151"/>
    <x v="4"/>
    <n v="83"/>
    <x v="0"/>
    <n v="0.31458333333333333"/>
    <n v="2376"/>
  </r>
  <r>
    <x v="6"/>
    <x v="934"/>
    <n v="318"/>
    <n v="177"/>
    <x v="6"/>
    <n v="141"/>
    <x v="0"/>
    <n v="0.36875000000000002"/>
    <n v="1733"/>
  </r>
  <r>
    <x v="6"/>
    <x v="935"/>
    <n v="285"/>
    <n v="32"/>
    <x v="4"/>
    <n v="253"/>
    <x v="2"/>
    <n v="6.6666666666666666E-2"/>
    <n v="4983"/>
  </r>
  <r>
    <x v="6"/>
    <x v="936"/>
    <n v="186"/>
    <n v="183"/>
    <x v="6"/>
    <n v="3"/>
    <x v="0"/>
    <n v="0.38124999999999998"/>
    <n v="1572"/>
  </r>
  <r>
    <x v="6"/>
    <x v="937"/>
    <n v="189"/>
    <n v="160"/>
    <x v="5"/>
    <n v="29"/>
    <x v="0"/>
    <n v="0.33333333333333331"/>
    <n v="2154"/>
  </r>
  <r>
    <x v="7"/>
    <x v="938"/>
    <n v="320"/>
    <n v="55"/>
    <x v="1"/>
    <n v="265"/>
    <x v="1"/>
    <n v="0.11458333333333333"/>
    <n v="4497"/>
  </r>
  <r>
    <x v="7"/>
    <x v="939"/>
    <n v="285"/>
    <n v="165"/>
    <x v="3"/>
    <n v="120"/>
    <x v="0"/>
    <n v="0.34375"/>
    <n v="2028"/>
  </r>
  <r>
    <x v="7"/>
    <x v="940"/>
    <n v="153"/>
    <n v="68"/>
    <x v="6"/>
    <n v="85"/>
    <x v="1"/>
    <n v="0.14166666666666666"/>
    <n v="4204"/>
  </r>
  <r>
    <x v="7"/>
    <x v="941"/>
    <n v="274"/>
    <n v="117"/>
    <x v="6"/>
    <n v="157"/>
    <x v="0"/>
    <n v="0.24374999999999999"/>
    <n v="3144"/>
  </r>
  <r>
    <x v="7"/>
    <x v="942"/>
    <n v="98"/>
    <n v="41"/>
    <x v="2"/>
    <n v="57"/>
    <x v="2"/>
    <n v="8.5416666666666669E-2"/>
    <n v="4789"/>
  </r>
  <r>
    <x v="7"/>
    <x v="943"/>
    <n v="195"/>
    <n v="136"/>
    <x v="2"/>
    <n v="59"/>
    <x v="0"/>
    <n v="0.28333333333333333"/>
    <n v="2692"/>
  </r>
  <r>
    <x v="7"/>
    <x v="944"/>
    <n v="167"/>
    <n v="84"/>
    <x v="5"/>
    <n v="83"/>
    <x v="1"/>
    <n v="0.17499999999999999"/>
    <n v="3872"/>
  </r>
  <r>
    <x v="7"/>
    <x v="945"/>
    <n v="250"/>
    <n v="178"/>
    <x v="1"/>
    <n v="72"/>
    <x v="0"/>
    <n v="0.37083333333333335"/>
    <n v="1702"/>
  </r>
  <r>
    <x v="7"/>
    <x v="946"/>
    <n v="292"/>
    <n v="151"/>
    <x v="1"/>
    <n v="141"/>
    <x v="0"/>
    <n v="0.31458333333333333"/>
    <n v="2376"/>
  </r>
  <r>
    <x v="7"/>
    <x v="947"/>
    <n v="183"/>
    <n v="64"/>
    <x v="0"/>
    <n v="119"/>
    <x v="1"/>
    <n v="0.13333333333333333"/>
    <n v="4293"/>
  </r>
  <r>
    <x v="7"/>
    <x v="948"/>
    <n v="245"/>
    <n v="179"/>
    <x v="2"/>
    <n v="66"/>
    <x v="0"/>
    <n v="0.37291666666666667"/>
    <n v="1667"/>
  </r>
  <r>
    <x v="7"/>
    <x v="949"/>
    <n v="119"/>
    <n v="116"/>
    <x v="6"/>
    <n v="3"/>
    <x v="0"/>
    <n v="0.24166666666666667"/>
    <n v="3173"/>
  </r>
  <r>
    <x v="7"/>
    <x v="950"/>
    <n v="301"/>
    <n v="127"/>
    <x v="4"/>
    <n v="174"/>
    <x v="0"/>
    <n v="0.26458333333333334"/>
    <n v="2909"/>
  </r>
  <r>
    <x v="7"/>
    <x v="951"/>
    <n v="185"/>
    <n v="93"/>
    <x v="3"/>
    <n v="92"/>
    <x v="1"/>
    <n v="0.19375000000000001"/>
    <n v="3678"/>
  </r>
  <r>
    <x v="8"/>
    <x v="952"/>
    <n v="409"/>
    <n v="285"/>
    <x v="0"/>
    <n v="124"/>
    <x v="4"/>
    <n v="0.59375"/>
    <n v="928"/>
  </r>
  <r>
    <x v="8"/>
    <x v="953"/>
    <n v="483"/>
    <n v="467"/>
    <x v="5"/>
    <n v="16"/>
    <x v="5"/>
    <n v="0.97291666666666665"/>
    <n v="70"/>
  </r>
  <r>
    <x v="8"/>
    <x v="954"/>
    <n v="495"/>
    <n v="480"/>
    <x v="0"/>
    <n v="15"/>
    <x v="5"/>
    <n v="1"/>
    <n v="1"/>
  </r>
  <r>
    <x v="8"/>
    <x v="955"/>
    <n v="459"/>
    <n v="458"/>
    <x v="4"/>
    <n v="1"/>
    <x v="5"/>
    <n v="0.95416666666666672"/>
    <n v="115"/>
  </r>
  <r>
    <x v="8"/>
    <x v="956"/>
    <n v="316"/>
    <n v="159"/>
    <x v="4"/>
    <n v="157"/>
    <x v="0"/>
    <n v="0.33124999999999999"/>
    <n v="2183"/>
  </r>
  <r>
    <x v="8"/>
    <x v="957"/>
    <n v="466"/>
    <n v="462"/>
    <x v="1"/>
    <n v="4"/>
    <x v="5"/>
    <n v="0.96250000000000002"/>
    <n v="92"/>
  </r>
  <r>
    <x v="8"/>
    <x v="958"/>
    <n v="437"/>
    <n v="437"/>
    <x v="1"/>
    <n v="0"/>
    <x v="5"/>
    <n v="0.91041666666666665"/>
    <n v="225"/>
  </r>
  <r>
    <x v="8"/>
    <x v="959"/>
    <n v="487"/>
    <n v="471"/>
    <x v="5"/>
    <n v="16"/>
    <x v="5"/>
    <n v="0.98124999999999996"/>
    <n v="52"/>
  </r>
  <r>
    <x v="8"/>
    <x v="960"/>
    <n v="256"/>
    <n v="226"/>
    <x v="5"/>
    <n v="30"/>
    <x v="4"/>
    <n v="0.47083333333333333"/>
    <n v="1200"/>
  </r>
  <r>
    <x v="8"/>
    <x v="961"/>
    <n v="404"/>
    <n v="262"/>
    <x v="4"/>
    <n v="142"/>
    <x v="4"/>
    <n v="0.54583333333333328"/>
    <n v="1035"/>
  </r>
  <r>
    <x v="8"/>
    <x v="962"/>
    <n v="438"/>
    <n v="294"/>
    <x v="3"/>
    <n v="144"/>
    <x v="4"/>
    <n v="0.61250000000000004"/>
    <n v="884"/>
  </r>
  <r>
    <x v="8"/>
    <x v="963"/>
    <n v="449"/>
    <n v="326"/>
    <x v="4"/>
    <n v="123"/>
    <x v="3"/>
    <n v="0.6791666666666667"/>
    <n v="747"/>
  </r>
  <r>
    <x v="8"/>
    <x v="964"/>
    <n v="377"/>
    <n v="326"/>
    <x v="6"/>
    <n v="51"/>
    <x v="3"/>
    <n v="0.6791666666666667"/>
    <n v="747"/>
  </r>
  <r>
    <x v="8"/>
    <x v="965"/>
    <n v="409"/>
    <n v="406"/>
    <x v="5"/>
    <n v="3"/>
    <x v="5"/>
    <n v="0.84583333333333333"/>
    <n v="366"/>
  </r>
  <r>
    <x v="8"/>
    <x v="966"/>
    <n v="452"/>
    <n v="428"/>
    <x v="4"/>
    <n v="24"/>
    <x v="5"/>
    <n v="0.89166666666666672"/>
    <n v="273"/>
  </r>
  <r>
    <x v="8"/>
    <x v="967"/>
    <n v="451"/>
    <n v="158"/>
    <x v="0"/>
    <n v="293"/>
    <x v="0"/>
    <n v="0.32916666666666666"/>
    <n v="2207"/>
  </r>
  <r>
    <x v="8"/>
    <x v="968"/>
    <n v="459"/>
    <n v="190"/>
    <x v="0"/>
    <n v="269"/>
    <x v="0"/>
    <n v="0.39583333333333331"/>
    <n v="1355"/>
  </r>
  <r>
    <x v="8"/>
    <x v="969"/>
    <n v="376"/>
    <n v="372"/>
    <x v="5"/>
    <n v="4"/>
    <x v="3"/>
    <n v="0.77500000000000002"/>
    <n v="529"/>
  </r>
  <r>
    <x v="8"/>
    <x v="970"/>
    <n v="496"/>
    <n v="262"/>
    <x v="5"/>
    <n v="234"/>
    <x v="4"/>
    <n v="0.54583333333333328"/>
    <n v="1035"/>
  </r>
  <r>
    <x v="8"/>
    <x v="971"/>
    <n v="260"/>
    <n v="258"/>
    <x v="4"/>
    <n v="2"/>
    <x v="4"/>
    <n v="0.53749999999999998"/>
    <n v="1052"/>
  </r>
  <r>
    <x v="8"/>
    <x v="972"/>
    <n v="458"/>
    <n v="401"/>
    <x v="0"/>
    <n v="57"/>
    <x v="5"/>
    <n v="0.8354166666666667"/>
    <n v="388"/>
  </r>
  <r>
    <x v="8"/>
    <x v="973"/>
    <n v="439"/>
    <n v="399"/>
    <x v="4"/>
    <n v="40"/>
    <x v="3"/>
    <n v="0.83125000000000004"/>
    <n v="399"/>
  </r>
  <r>
    <x v="8"/>
    <x v="974"/>
    <n v="482"/>
    <n v="164"/>
    <x v="2"/>
    <n v="318"/>
    <x v="0"/>
    <n v="0.34166666666666667"/>
    <n v="2049"/>
  </r>
  <r>
    <x v="8"/>
    <x v="975"/>
    <n v="315"/>
    <n v="177"/>
    <x v="4"/>
    <n v="138"/>
    <x v="0"/>
    <n v="0.36875000000000002"/>
    <n v="1733"/>
  </r>
  <r>
    <x v="8"/>
    <x v="976"/>
    <n v="370"/>
    <n v="174"/>
    <x v="6"/>
    <n v="196"/>
    <x v="0"/>
    <n v="0.36249999999999999"/>
    <n v="1803"/>
  </r>
  <r>
    <x v="8"/>
    <x v="977"/>
    <n v="433"/>
    <n v="260"/>
    <x v="4"/>
    <n v="173"/>
    <x v="4"/>
    <n v="0.54166666666666663"/>
    <n v="1040"/>
  </r>
  <r>
    <x v="8"/>
    <x v="978"/>
    <n v="463"/>
    <n v="285"/>
    <x v="2"/>
    <n v="178"/>
    <x v="4"/>
    <n v="0.59375"/>
    <n v="928"/>
  </r>
  <r>
    <x v="8"/>
    <x v="979"/>
    <n v="391"/>
    <n v="326"/>
    <x v="0"/>
    <n v="65"/>
    <x v="3"/>
    <n v="0.6791666666666667"/>
    <n v="747"/>
  </r>
  <r>
    <x v="8"/>
    <x v="980"/>
    <n v="202"/>
    <n v="188"/>
    <x v="4"/>
    <n v="14"/>
    <x v="0"/>
    <n v="0.39166666666666666"/>
    <n v="1423"/>
  </r>
  <r>
    <x v="8"/>
    <x v="981"/>
    <n v="400"/>
    <n v="384"/>
    <x v="5"/>
    <n v="16"/>
    <x v="3"/>
    <n v="0.8"/>
    <n v="463"/>
  </r>
  <r>
    <x v="8"/>
    <x v="982"/>
    <n v="445"/>
    <n v="373"/>
    <x v="4"/>
    <n v="72"/>
    <x v="3"/>
    <n v="0.77708333333333335"/>
    <n v="526"/>
  </r>
  <r>
    <x v="8"/>
    <x v="983"/>
    <n v="462"/>
    <n v="427"/>
    <x v="4"/>
    <n v="35"/>
    <x v="5"/>
    <n v="0.88958333333333328"/>
    <n v="281"/>
  </r>
  <r>
    <x v="8"/>
    <x v="984"/>
    <n v="477"/>
    <n v="427"/>
    <x v="4"/>
    <n v="50"/>
    <x v="5"/>
    <n v="0.88958333333333328"/>
    <n v="281"/>
  </r>
  <r>
    <x v="8"/>
    <x v="985"/>
    <n v="460"/>
    <n v="392"/>
    <x v="0"/>
    <n v="68"/>
    <x v="3"/>
    <n v="0.81666666666666665"/>
    <n v="431"/>
  </r>
  <r>
    <x v="8"/>
    <x v="986"/>
    <n v="485"/>
    <n v="208"/>
    <x v="0"/>
    <n v="277"/>
    <x v="4"/>
    <n v="0.43333333333333335"/>
    <n v="1282"/>
  </r>
  <r>
    <x v="8"/>
    <x v="987"/>
    <n v="268"/>
    <n v="227"/>
    <x v="0"/>
    <n v="41"/>
    <x v="4"/>
    <n v="0.47291666666666665"/>
    <n v="1197"/>
  </r>
  <r>
    <x v="8"/>
    <x v="988"/>
    <n v="487"/>
    <n v="474"/>
    <x v="4"/>
    <n v="13"/>
    <x v="5"/>
    <n v="0.98750000000000004"/>
    <n v="28"/>
  </r>
  <r>
    <x v="8"/>
    <x v="989"/>
    <n v="246"/>
    <n v="234"/>
    <x v="1"/>
    <n v="12"/>
    <x v="4"/>
    <n v="0.48749999999999999"/>
    <n v="1172"/>
  </r>
  <r>
    <x v="8"/>
    <x v="990"/>
    <n v="316"/>
    <n v="306"/>
    <x v="5"/>
    <n v="10"/>
    <x v="3"/>
    <n v="0.63749999999999996"/>
    <n v="829"/>
  </r>
  <r>
    <x v="8"/>
    <x v="991"/>
    <n v="422"/>
    <n v="338"/>
    <x v="4"/>
    <n v="84"/>
    <x v="3"/>
    <n v="0.70416666666666672"/>
    <n v="687"/>
  </r>
  <r>
    <x v="8"/>
    <x v="992"/>
    <n v="332"/>
    <n v="292"/>
    <x v="4"/>
    <n v="40"/>
    <x v="4"/>
    <n v="0.60833333333333328"/>
    <n v="892"/>
  </r>
  <r>
    <x v="8"/>
    <x v="993"/>
    <n v="467"/>
    <n v="399"/>
    <x v="1"/>
    <n v="68"/>
    <x v="3"/>
    <n v="0.83125000000000004"/>
    <n v="399"/>
  </r>
  <r>
    <x v="8"/>
    <x v="994"/>
    <n v="440"/>
    <n v="363"/>
    <x v="1"/>
    <n v="77"/>
    <x v="3"/>
    <n v="0.75624999999999998"/>
    <n v="564"/>
  </r>
  <r>
    <x v="8"/>
    <x v="995"/>
    <n v="324"/>
    <n v="237"/>
    <x v="5"/>
    <n v="87"/>
    <x v="4"/>
    <n v="0.49375000000000002"/>
    <n v="1157"/>
  </r>
  <r>
    <x v="8"/>
    <x v="996"/>
    <n v="309"/>
    <n v="256"/>
    <x v="3"/>
    <n v="53"/>
    <x v="4"/>
    <n v="0.53333333333333333"/>
    <n v="1063"/>
  </r>
  <r>
    <x v="8"/>
    <x v="997"/>
    <n v="392"/>
    <n v="377"/>
    <x v="5"/>
    <n v="15"/>
    <x v="3"/>
    <n v="0.78541666666666665"/>
    <n v="500"/>
  </r>
  <r>
    <x v="8"/>
    <x v="998"/>
    <n v="488"/>
    <n v="394"/>
    <x v="1"/>
    <n v="94"/>
    <x v="3"/>
    <n v="0.8208333333333333"/>
    <n v="425"/>
  </r>
  <r>
    <x v="8"/>
    <x v="999"/>
    <n v="422"/>
    <n v="336"/>
    <x v="1"/>
    <n v="86"/>
    <x v="3"/>
    <n v="0.7"/>
    <n v="700"/>
  </r>
  <r>
    <x v="8"/>
    <x v="1000"/>
    <n v="200"/>
    <n v="175"/>
    <x v="4"/>
    <n v="25"/>
    <x v="0"/>
    <n v="0.36458333333333331"/>
    <n v="1780"/>
  </r>
  <r>
    <x v="8"/>
    <x v="1001"/>
    <n v="465"/>
    <n v="247"/>
    <x v="4"/>
    <n v="218"/>
    <x v="4"/>
    <n v="0.51458333333333328"/>
    <n v="1112"/>
  </r>
  <r>
    <x v="8"/>
    <x v="1002"/>
    <n v="388"/>
    <n v="378"/>
    <x v="4"/>
    <n v="10"/>
    <x v="3"/>
    <n v="0.78749999999999998"/>
    <n v="493"/>
  </r>
  <r>
    <x v="8"/>
    <x v="1003"/>
    <n v="421"/>
    <n v="243"/>
    <x v="4"/>
    <n v="178"/>
    <x v="4"/>
    <n v="0.50624999999999998"/>
    <n v="1132"/>
  </r>
  <r>
    <x v="8"/>
    <x v="1004"/>
    <n v="415"/>
    <n v="236"/>
    <x v="1"/>
    <n v="179"/>
    <x v="4"/>
    <n v="0.49166666666666664"/>
    <n v="1162"/>
  </r>
  <r>
    <x v="8"/>
    <x v="1005"/>
    <n v="462"/>
    <n v="290"/>
    <x v="4"/>
    <n v="172"/>
    <x v="4"/>
    <n v="0.60416666666666663"/>
    <n v="905"/>
  </r>
  <r>
    <x v="8"/>
    <x v="1006"/>
    <n v="449"/>
    <n v="220"/>
    <x v="4"/>
    <n v="229"/>
    <x v="4"/>
    <n v="0.45833333333333331"/>
    <n v="1227"/>
  </r>
  <r>
    <x v="8"/>
    <x v="1007"/>
    <n v="451"/>
    <n v="343"/>
    <x v="4"/>
    <n v="108"/>
    <x v="3"/>
    <n v="0.71458333333333335"/>
    <n v="662"/>
  </r>
  <r>
    <x v="8"/>
    <x v="1008"/>
    <n v="372"/>
    <n v="282"/>
    <x v="4"/>
    <n v="90"/>
    <x v="4"/>
    <n v="0.58750000000000002"/>
    <n v="938"/>
  </r>
  <r>
    <x v="8"/>
    <x v="1009"/>
    <n v="346"/>
    <n v="169"/>
    <x v="4"/>
    <n v="177"/>
    <x v="0"/>
    <n v="0.35208333333333336"/>
    <n v="1925"/>
  </r>
  <r>
    <x v="8"/>
    <x v="1010"/>
    <n v="452"/>
    <n v="380"/>
    <x v="1"/>
    <n v="72"/>
    <x v="3"/>
    <n v="0.79166666666666663"/>
    <n v="482"/>
  </r>
  <r>
    <x v="8"/>
    <x v="1011"/>
    <n v="298"/>
    <n v="261"/>
    <x v="4"/>
    <n v="37"/>
    <x v="4"/>
    <n v="0.54374999999999996"/>
    <n v="1039"/>
  </r>
  <r>
    <x v="8"/>
    <x v="1012"/>
    <n v="353"/>
    <n v="324"/>
    <x v="4"/>
    <n v="29"/>
    <x v="3"/>
    <n v="0.67500000000000004"/>
    <n v="760"/>
  </r>
  <r>
    <x v="8"/>
    <x v="1013"/>
    <n v="353"/>
    <n v="219"/>
    <x v="4"/>
    <n v="134"/>
    <x v="4"/>
    <n v="0.45624999999999999"/>
    <n v="1232"/>
  </r>
  <r>
    <x v="8"/>
    <x v="1014"/>
    <n v="224"/>
    <n v="150"/>
    <x v="3"/>
    <n v="74"/>
    <x v="0"/>
    <n v="0.3125"/>
    <n v="2400"/>
  </r>
  <r>
    <x v="8"/>
    <x v="1015"/>
    <n v="468"/>
    <n v="448"/>
    <x v="4"/>
    <n v="20"/>
    <x v="5"/>
    <n v="0.93333333333333335"/>
    <n v="166"/>
  </r>
  <r>
    <x v="8"/>
    <x v="1016"/>
    <n v="493"/>
    <n v="465"/>
    <x v="5"/>
    <n v="28"/>
    <x v="5"/>
    <n v="0.96875"/>
    <n v="78"/>
  </r>
  <r>
    <x v="8"/>
    <x v="1017"/>
    <n v="437"/>
    <n v="436"/>
    <x v="0"/>
    <n v="1"/>
    <x v="5"/>
    <n v="0.90833333333333333"/>
    <n v="230"/>
  </r>
  <r>
    <x v="8"/>
    <x v="1018"/>
    <n v="497"/>
    <n v="385"/>
    <x v="1"/>
    <n v="112"/>
    <x v="3"/>
    <n v="0.80208333333333337"/>
    <n v="459"/>
  </r>
  <r>
    <x v="8"/>
    <x v="1019"/>
    <n v="500"/>
    <n v="462"/>
    <x v="5"/>
    <n v="38"/>
    <x v="5"/>
    <n v="0.96250000000000002"/>
    <n v="92"/>
  </r>
  <r>
    <x v="8"/>
    <x v="1020"/>
    <n v="276"/>
    <n v="190"/>
    <x v="4"/>
    <n v="86"/>
    <x v="0"/>
    <n v="0.39583333333333331"/>
    <n v="1355"/>
  </r>
  <r>
    <x v="8"/>
    <x v="1021"/>
    <n v="372"/>
    <n v="358"/>
    <x v="0"/>
    <n v="14"/>
    <x v="3"/>
    <n v="0.74583333333333335"/>
    <n v="586"/>
  </r>
  <r>
    <x v="8"/>
    <x v="1022"/>
    <n v="373"/>
    <n v="321"/>
    <x v="6"/>
    <n v="52"/>
    <x v="3"/>
    <n v="0.66874999999999996"/>
    <n v="770"/>
  </r>
  <r>
    <x v="8"/>
    <x v="1023"/>
    <n v="216"/>
    <n v="159"/>
    <x v="6"/>
    <n v="57"/>
    <x v="0"/>
    <n v="0.33124999999999999"/>
    <n v="2183"/>
  </r>
  <r>
    <x v="8"/>
    <x v="1024"/>
    <n v="288"/>
    <n v="207"/>
    <x v="5"/>
    <n v="81"/>
    <x v="4"/>
    <n v="0.43125000000000002"/>
    <n v="1287"/>
  </r>
  <r>
    <x v="8"/>
    <x v="1025"/>
    <n v="491"/>
    <n v="349"/>
    <x v="4"/>
    <n v="142"/>
    <x v="3"/>
    <n v="0.7270833333333333"/>
    <n v="631"/>
  </r>
  <r>
    <x v="8"/>
    <x v="1026"/>
    <n v="484"/>
    <n v="155"/>
    <x v="4"/>
    <n v="329"/>
    <x v="0"/>
    <n v="0.32291666666666669"/>
    <n v="2275"/>
  </r>
  <r>
    <x v="8"/>
    <x v="1027"/>
    <n v="439"/>
    <n v="279"/>
    <x v="5"/>
    <n v="160"/>
    <x v="4"/>
    <n v="0.58125000000000004"/>
    <n v="957"/>
  </r>
  <r>
    <x v="8"/>
    <x v="1028"/>
    <n v="452"/>
    <n v="444"/>
    <x v="5"/>
    <n v="8"/>
    <x v="5"/>
    <n v="0.92500000000000004"/>
    <n v="187"/>
  </r>
  <r>
    <x v="9"/>
    <x v="1029"/>
    <n v="177"/>
    <n v="36"/>
    <x v="2"/>
    <n v="141"/>
    <x v="2"/>
    <n v="7.4999999999999997E-2"/>
    <n v="4893"/>
  </r>
  <r>
    <x v="9"/>
    <x v="1030"/>
    <n v="216"/>
    <n v="159"/>
    <x v="2"/>
    <n v="57"/>
    <x v="0"/>
    <n v="0.33124999999999999"/>
    <n v="2183"/>
  </r>
  <r>
    <x v="9"/>
    <x v="1031"/>
    <n v="259"/>
    <n v="91"/>
    <x v="6"/>
    <n v="168"/>
    <x v="1"/>
    <n v="0.18958333333333333"/>
    <n v="3726"/>
  </r>
  <r>
    <x v="9"/>
    <x v="1032"/>
    <n v="165"/>
    <n v="103"/>
    <x v="3"/>
    <n v="62"/>
    <x v="0"/>
    <n v="0.21458333333333332"/>
    <n v="3474"/>
  </r>
  <r>
    <x v="9"/>
    <x v="1033"/>
    <n v="99"/>
    <n v="94"/>
    <x v="3"/>
    <n v="5"/>
    <x v="1"/>
    <n v="0.19583333333333333"/>
    <n v="3654"/>
  </r>
  <r>
    <x v="9"/>
    <x v="1034"/>
    <n v="311"/>
    <n v="135"/>
    <x v="1"/>
    <n v="176"/>
    <x v="0"/>
    <n v="0.28125"/>
    <n v="2714"/>
  </r>
  <r>
    <x v="9"/>
    <x v="1035"/>
    <n v="167"/>
    <n v="156"/>
    <x v="3"/>
    <n v="11"/>
    <x v="0"/>
    <n v="0.32500000000000001"/>
    <n v="2251"/>
  </r>
  <r>
    <x v="9"/>
    <x v="1036"/>
    <n v="148"/>
    <n v="57"/>
    <x v="6"/>
    <n v="91"/>
    <x v="1"/>
    <n v="0.11874999999999999"/>
    <n v="4452"/>
  </r>
  <r>
    <x v="9"/>
    <x v="1037"/>
    <n v="228"/>
    <n v="147"/>
    <x v="2"/>
    <n v="81"/>
    <x v="0"/>
    <n v="0.30625000000000002"/>
    <n v="2478"/>
  </r>
  <r>
    <x v="9"/>
    <x v="1038"/>
    <n v="140"/>
    <n v="44"/>
    <x v="3"/>
    <n v="96"/>
    <x v="2"/>
    <n v="9.166666666666666E-2"/>
    <n v="4732"/>
  </r>
  <r>
    <x v="9"/>
    <x v="1039"/>
    <n v="289"/>
    <n v="51"/>
    <x v="3"/>
    <n v="238"/>
    <x v="1"/>
    <n v="0.10625"/>
    <n v="4578"/>
  </r>
  <r>
    <x v="9"/>
    <x v="1040"/>
    <n v="193"/>
    <n v="88"/>
    <x v="4"/>
    <n v="105"/>
    <x v="1"/>
    <n v="0.18333333333333332"/>
    <n v="3792"/>
  </r>
  <r>
    <x v="9"/>
    <x v="1041"/>
    <n v="225"/>
    <n v="93"/>
    <x v="5"/>
    <n v="132"/>
    <x v="1"/>
    <n v="0.19375000000000001"/>
    <n v="3678"/>
  </r>
  <r>
    <x v="9"/>
    <x v="1042"/>
    <n v="308"/>
    <n v="144"/>
    <x v="0"/>
    <n v="164"/>
    <x v="0"/>
    <n v="0.3"/>
    <n v="2550"/>
  </r>
  <r>
    <x v="10"/>
    <x v="1043"/>
    <n v="299"/>
    <n v="98"/>
    <x v="0"/>
    <n v="201"/>
    <x v="1"/>
    <n v="0.20416666666666666"/>
    <n v="3574"/>
  </r>
  <r>
    <x v="10"/>
    <x v="1044"/>
    <n v="304"/>
    <n v="120"/>
    <x v="5"/>
    <n v="184"/>
    <x v="0"/>
    <n v="0.25"/>
    <n v="3066"/>
  </r>
  <r>
    <x v="10"/>
    <x v="1045"/>
    <n v="88"/>
    <n v="64"/>
    <x v="0"/>
    <n v="24"/>
    <x v="1"/>
    <n v="0.13333333333333333"/>
    <n v="4293"/>
  </r>
  <r>
    <x v="10"/>
    <x v="1046"/>
    <n v="251"/>
    <n v="109"/>
    <x v="4"/>
    <n v="142"/>
    <x v="0"/>
    <n v="0.22708333333333333"/>
    <n v="3338"/>
  </r>
  <r>
    <x v="10"/>
    <x v="1047"/>
    <n v="220"/>
    <n v="179"/>
    <x v="3"/>
    <n v="41"/>
    <x v="0"/>
    <n v="0.37291666666666667"/>
    <n v="1667"/>
  </r>
  <r>
    <x v="10"/>
    <x v="1048"/>
    <n v="278"/>
    <n v="159"/>
    <x v="3"/>
    <n v="119"/>
    <x v="0"/>
    <n v="0.33124999999999999"/>
    <n v="2183"/>
  </r>
  <r>
    <x v="10"/>
    <x v="1049"/>
    <n v="187"/>
    <n v="111"/>
    <x v="5"/>
    <n v="76"/>
    <x v="0"/>
    <n v="0.23125000000000001"/>
    <n v="3285"/>
  </r>
  <r>
    <x v="10"/>
    <x v="1050"/>
    <n v="292"/>
    <n v="92"/>
    <x v="5"/>
    <n v="200"/>
    <x v="1"/>
    <n v="0.19166666666666668"/>
    <n v="3706"/>
  </r>
  <r>
    <x v="10"/>
    <x v="1051"/>
    <n v="226"/>
    <n v="170"/>
    <x v="2"/>
    <n v="56"/>
    <x v="0"/>
    <n v="0.35416666666666669"/>
    <n v="1898"/>
  </r>
  <r>
    <x v="10"/>
    <x v="1052"/>
    <n v="291"/>
    <n v="135"/>
    <x v="5"/>
    <n v="156"/>
    <x v="0"/>
    <n v="0.28125"/>
    <n v="2714"/>
  </r>
  <r>
    <x v="10"/>
    <x v="1053"/>
    <n v="320"/>
    <n v="176"/>
    <x v="3"/>
    <n v="144"/>
    <x v="0"/>
    <n v="0.36666666666666664"/>
    <n v="1754"/>
  </r>
  <r>
    <x v="10"/>
    <x v="1054"/>
    <n v="245"/>
    <n v="46"/>
    <x v="0"/>
    <n v="199"/>
    <x v="2"/>
    <n v="9.583333333333334E-2"/>
    <n v="4680"/>
  </r>
  <r>
    <x v="10"/>
    <x v="1055"/>
    <n v="222"/>
    <n v="62"/>
    <x v="5"/>
    <n v="160"/>
    <x v="1"/>
    <n v="0.12916666666666668"/>
    <n v="4343"/>
  </r>
  <r>
    <x v="10"/>
    <x v="1056"/>
    <n v="316"/>
    <n v="107"/>
    <x v="4"/>
    <n v="209"/>
    <x v="0"/>
    <n v="0.22291666666666668"/>
    <n v="3387"/>
  </r>
  <r>
    <x v="10"/>
    <x v="1057"/>
    <n v="260"/>
    <n v="81"/>
    <x v="6"/>
    <n v="179"/>
    <x v="1"/>
    <n v="0.16875000000000001"/>
    <n v="3923"/>
  </r>
  <r>
    <x v="10"/>
    <x v="1058"/>
    <n v="190"/>
    <n v="59"/>
    <x v="3"/>
    <n v="131"/>
    <x v="1"/>
    <n v="0.12291666666666666"/>
    <n v="4416"/>
  </r>
  <r>
    <x v="10"/>
    <x v="1059"/>
    <n v="275"/>
    <n v="178"/>
    <x v="0"/>
    <n v="97"/>
    <x v="0"/>
    <n v="0.37083333333333335"/>
    <n v="1702"/>
  </r>
  <r>
    <x v="10"/>
    <x v="1060"/>
    <n v="223"/>
    <n v="114"/>
    <x v="1"/>
    <n v="109"/>
    <x v="0"/>
    <n v="0.23749999999999999"/>
    <n v="3226"/>
  </r>
  <r>
    <x v="10"/>
    <x v="1061"/>
    <n v="138"/>
    <n v="71"/>
    <x v="5"/>
    <n v="67"/>
    <x v="1"/>
    <n v="0.14791666666666667"/>
    <n v="4129"/>
  </r>
  <r>
    <x v="10"/>
    <x v="1062"/>
    <n v="293"/>
    <n v="117"/>
    <x v="5"/>
    <n v="176"/>
    <x v="0"/>
    <n v="0.24374999999999999"/>
    <n v="3144"/>
  </r>
  <r>
    <x v="10"/>
    <x v="1063"/>
    <n v="121"/>
    <n v="100"/>
    <x v="2"/>
    <n v="21"/>
    <x v="1"/>
    <n v="0.20833333333333334"/>
    <n v="3535"/>
  </r>
  <r>
    <x v="10"/>
    <x v="1064"/>
    <n v="97"/>
    <n v="78"/>
    <x v="2"/>
    <n v="19"/>
    <x v="1"/>
    <n v="0.16250000000000001"/>
    <n v="3989"/>
  </r>
  <r>
    <x v="10"/>
    <x v="1065"/>
    <n v="289"/>
    <n v="151"/>
    <x v="6"/>
    <n v="138"/>
    <x v="0"/>
    <n v="0.31458333333333333"/>
    <n v="2376"/>
  </r>
  <r>
    <x v="10"/>
    <x v="1066"/>
    <n v="154"/>
    <n v="142"/>
    <x v="1"/>
    <n v="12"/>
    <x v="0"/>
    <n v="0.29583333333333334"/>
    <n v="2585"/>
  </r>
  <r>
    <x v="10"/>
    <x v="1067"/>
    <n v="220"/>
    <n v="35"/>
    <x v="1"/>
    <n v="185"/>
    <x v="2"/>
    <n v="7.2916666666666671E-2"/>
    <n v="4916"/>
  </r>
  <r>
    <x v="10"/>
    <x v="1068"/>
    <n v="198"/>
    <n v="65"/>
    <x v="0"/>
    <n v="133"/>
    <x v="1"/>
    <n v="0.13541666666666666"/>
    <n v="4267"/>
  </r>
  <r>
    <x v="10"/>
    <x v="1069"/>
    <n v="268"/>
    <n v="114"/>
    <x v="6"/>
    <n v="154"/>
    <x v="0"/>
    <n v="0.23749999999999999"/>
    <n v="3226"/>
  </r>
  <r>
    <x v="10"/>
    <x v="1070"/>
    <n v="225"/>
    <n v="172"/>
    <x v="0"/>
    <n v="53"/>
    <x v="0"/>
    <n v="0.35833333333333334"/>
    <n v="1852"/>
  </r>
  <r>
    <x v="10"/>
    <x v="1071"/>
    <n v="216"/>
    <n v="115"/>
    <x v="4"/>
    <n v="101"/>
    <x v="0"/>
    <n v="0.23958333333333334"/>
    <n v="3206"/>
  </r>
  <r>
    <x v="10"/>
    <x v="1072"/>
    <n v="214"/>
    <n v="116"/>
    <x v="4"/>
    <n v="98"/>
    <x v="0"/>
    <n v="0.24166666666666667"/>
    <n v="3173"/>
  </r>
  <r>
    <x v="10"/>
    <x v="1073"/>
    <n v="214"/>
    <n v="139"/>
    <x v="6"/>
    <n v="75"/>
    <x v="0"/>
    <n v="0.28958333333333336"/>
    <n v="2647"/>
  </r>
  <r>
    <x v="10"/>
    <x v="1074"/>
    <n v="222"/>
    <n v="144"/>
    <x v="1"/>
    <n v="78"/>
    <x v="0"/>
    <n v="0.3"/>
    <n v="2550"/>
  </r>
  <r>
    <x v="10"/>
    <x v="1075"/>
    <n v="156"/>
    <n v="128"/>
    <x v="0"/>
    <n v="28"/>
    <x v="0"/>
    <n v="0.26666666666666666"/>
    <n v="2872"/>
  </r>
  <r>
    <x v="10"/>
    <x v="1076"/>
    <n v="240"/>
    <n v="146"/>
    <x v="0"/>
    <n v="94"/>
    <x v="0"/>
    <n v="0.30416666666666664"/>
    <n v="2499"/>
  </r>
  <r>
    <x v="10"/>
    <x v="1077"/>
    <n v="311"/>
    <n v="135"/>
    <x v="2"/>
    <n v="176"/>
    <x v="0"/>
    <n v="0.28125"/>
    <n v="2714"/>
  </r>
  <r>
    <x v="10"/>
    <x v="1078"/>
    <n v="252"/>
    <n v="107"/>
    <x v="3"/>
    <n v="145"/>
    <x v="0"/>
    <n v="0.22291666666666668"/>
    <n v="3387"/>
  </r>
  <r>
    <x v="10"/>
    <x v="1079"/>
    <n v="291"/>
    <n v="113"/>
    <x v="4"/>
    <n v="178"/>
    <x v="0"/>
    <n v="0.23541666666666666"/>
    <n v="3243"/>
  </r>
  <r>
    <x v="10"/>
    <x v="1080"/>
    <n v="150"/>
    <n v="70"/>
    <x v="5"/>
    <n v="80"/>
    <x v="1"/>
    <n v="0.14583333333333334"/>
    <n v="4153"/>
  </r>
  <r>
    <x v="10"/>
    <x v="1081"/>
    <n v="246"/>
    <n v="138"/>
    <x v="3"/>
    <n v="108"/>
    <x v="0"/>
    <n v="0.28749999999999998"/>
    <n v="2660"/>
  </r>
  <r>
    <x v="10"/>
    <x v="1082"/>
    <n v="113"/>
    <n v="113"/>
    <x v="4"/>
    <n v="0"/>
    <x v="0"/>
    <n v="0.23541666666666666"/>
    <n v="3243"/>
  </r>
  <r>
    <x v="10"/>
    <x v="1083"/>
    <n v="269"/>
    <n v="100"/>
    <x v="2"/>
    <n v="169"/>
    <x v="1"/>
    <n v="0.20833333333333334"/>
    <n v="3535"/>
  </r>
  <r>
    <x v="10"/>
    <x v="1084"/>
    <n v="100"/>
    <n v="63"/>
    <x v="1"/>
    <n v="37"/>
    <x v="1"/>
    <n v="0.13125000000000001"/>
    <n v="4322"/>
  </r>
  <r>
    <x v="10"/>
    <x v="1085"/>
    <n v="87"/>
    <n v="74"/>
    <x v="0"/>
    <n v="13"/>
    <x v="1"/>
    <n v="0.15416666666666667"/>
    <n v="4064"/>
  </r>
  <r>
    <x v="10"/>
    <x v="1086"/>
    <n v="303"/>
    <n v="32"/>
    <x v="6"/>
    <n v="271"/>
    <x v="2"/>
    <n v="6.6666666666666666E-2"/>
    <n v="4983"/>
  </r>
  <r>
    <x v="10"/>
    <x v="1087"/>
    <n v="237"/>
    <n v="146"/>
    <x v="1"/>
    <n v="91"/>
    <x v="0"/>
    <n v="0.30416666666666664"/>
    <n v="2499"/>
  </r>
  <r>
    <x v="10"/>
    <x v="1088"/>
    <n v="302"/>
    <n v="176"/>
    <x v="1"/>
    <n v="126"/>
    <x v="0"/>
    <n v="0.36666666666666664"/>
    <n v="1754"/>
  </r>
  <r>
    <x v="10"/>
    <x v="1089"/>
    <n v="150"/>
    <n v="53"/>
    <x v="6"/>
    <n v="97"/>
    <x v="1"/>
    <n v="0.11041666666666666"/>
    <n v="4544"/>
  </r>
  <r>
    <x v="10"/>
    <x v="1090"/>
    <n v="241"/>
    <n v="83"/>
    <x v="1"/>
    <n v="158"/>
    <x v="1"/>
    <n v="0.17291666666666666"/>
    <n v="3892"/>
  </r>
  <r>
    <x v="10"/>
    <x v="1091"/>
    <n v="186"/>
    <n v="144"/>
    <x v="5"/>
    <n v="42"/>
    <x v="0"/>
    <n v="0.3"/>
    <n v="2550"/>
  </r>
  <r>
    <x v="10"/>
    <x v="1092"/>
    <n v="228"/>
    <n v="128"/>
    <x v="5"/>
    <n v="100"/>
    <x v="0"/>
    <n v="0.26666666666666666"/>
    <n v="2872"/>
  </r>
  <r>
    <x v="10"/>
    <x v="1093"/>
    <n v="254"/>
    <n v="103"/>
    <x v="3"/>
    <n v="151"/>
    <x v="0"/>
    <n v="0.21458333333333332"/>
    <n v="3474"/>
  </r>
  <r>
    <x v="10"/>
    <x v="1094"/>
    <n v="104"/>
    <n v="73"/>
    <x v="5"/>
    <n v="31"/>
    <x v="1"/>
    <n v="0.15208333333333332"/>
    <n v="4083"/>
  </r>
  <r>
    <x v="10"/>
    <x v="1095"/>
    <n v="209"/>
    <n v="175"/>
    <x v="1"/>
    <n v="34"/>
    <x v="0"/>
    <n v="0.36458333333333331"/>
    <n v="1780"/>
  </r>
  <r>
    <x v="10"/>
    <x v="1096"/>
    <n v="296"/>
    <n v="163"/>
    <x v="5"/>
    <n v="133"/>
    <x v="0"/>
    <n v="0.33958333333333335"/>
    <n v="2075"/>
  </r>
  <r>
    <x v="10"/>
    <x v="1097"/>
    <n v="114"/>
    <n v="58"/>
    <x v="3"/>
    <n v="56"/>
    <x v="1"/>
    <n v="0.12083333333333333"/>
    <n v="4431"/>
  </r>
  <r>
    <x v="10"/>
    <x v="1098"/>
    <n v="185"/>
    <n v="82"/>
    <x v="2"/>
    <n v="103"/>
    <x v="1"/>
    <n v="0.17083333333333334"/>
    <n v="3904"/>
  </r>
  <r>
    <x v="10"/>
    <x v="1099"/>
    <n v="157"/>
    <n v="65"/>
    <x v="5"/>
    <n v="92"/>
    <x v="1"/>
    <n v="0.13541666666666666"/>
    <n v="4267"/>
  </r>
  <r>
    <x v="10"/>
    <x v="1100"/>
    <n v="159"/>
    <n v="120"/>
    <x v="0"/>
    <n v="39"/>
    <x v="0"/>
    <n v="0.25"/>
    <n v="3066"/>
  </r>
  <r>
    <x v="10"/>
    <x v="1101"/>
    <n v="225"/>
    <n v="75"/>
    <x v="4"/>
    <n v="150"/>
    <x v="1"/>
    <n v="0.15625"/>
    <n v="4041"/>
  </r>
  <r>
    <x v="10"/>
    <x v="1102"/>
    <n v="46"/>
    <n v="39"/>
    <x v="2"/>
    <n v="7"/>
    <x v="2"/>
    <n v="8.1250000000000003E-2"/>
    <n v="4829"/>
  </r>
  <r>
    <x v="10"/>
    <x v="1103"/>
    <n v="152"/>
    <n v="94"/>
    <x v="6"/>
    <n v="58"/>
    <x v="1"/>
    <n v="0.19583333333333333"/>
    <n v="3654"/>
  </r>
  <r>
    <x v="10"/>
    <x v="1104"/>
    <n v="157"/>
    <n v="110"/>
    <x v="4"/>
    <n v="47"/>
    <x v="0"/>
    <n v="0.22916666666666666"/>
    <n v="3302"/>
  </r>
  <r>
    <x v="10"/>
    <x v="1105"/>
    <n v="272"/>
    <n v="190"/>
    <x v="1"/>
    <n v="82"/>
    <x v="0"/>
    <n v="0.39583333333333331"/>
    <n v="1355"/>
  </r>
  <r>
    <x v="10"/>
    <x v="1106"/>
    <n v="244"/>
    <n v="45"/>
    <x v="2"/>
    <n v="199"/>
    <x v="2"/>
    <n v="9.375E-2"/>
    <n v="4702"/>
  </r>
  <r>
    <x v="10"/>
    <x v="1107"/>
    <n v="183"/>
    <n v="113"/>
    <x v="3"/>
    <n v="70"/>
    <x v="0"/>
    <n v="0.23541666666666666"/>
    <n v="3243"/>
  </r>
  <r>
    <x v="10"/>
    <x v="1108"/>
    <n v="174"/>
    <n v="173"/>
    <x v="3"/>
    <n v="1"/>
    <x v="0"/>
    <n v="0.36041666666666666"/>
    <n v="1826"/>
  </r>
  <r>
    <x v="10"/>
    <x v="1109"/>
    <n v="120"/>
    <n v="78"/>
    <x v="2"/>
    <n v="42"/>
    <x v="1"/>
    <n v="0.16250000000000001"/>
    <n v="3989"/>
  </r>
  <r>
    <x v="10"/>
    <x v="1110"/>
    <n v="282"/>
    <n v="137"/>
    <x v="5"/>
    <n v="145"/>
    <x v="0"/>
    <n v="0.28541666666666665"/>
    <n v="2677"/>
  </r>
  <r>
    <x v="10"/>
    <x v="1111"/>
    <n v="202"/>
    <n v="38"/>
    <x v="0"/>
    <n v="164"/>
    <x v="2"/>
    <n v="7.9166666666666663E-2"/>
    <n v="4845"/>
  </r>
  <r>
    <x v="10"/>
    <x v="1112"/>
    <n v="234"/>
    <n v="127"/>
    <x v="3"/>
    <n v="107"/>
    <x v="0"/>
    <n v="0.26458333333333334"/>
    <n v="2909"/>
  </r>
  <r>
    <x v="10"/>
    <x v="1113"/>
    <n v="217"/>
    <n v="70"/>
    <x v="2"/>
    <n v="147"/>
    <x v="1"/>
    <n v="0.14583333333333334"/>
    <n v="4153"/>
  </r>
  <r>
    <x v="10"/>
    <x v="1114"/>
    <n v="82"/>
    <n v="38"/>
    <x v="1"/>
    <n v="44"/>
    <x v="2"/>
    <n v="7.9166666666666663E-2"/>
    <n v="4845"/>
  </r>
  <r>
    <x v="10"/>
    <x v="1115"/>
    <n v="128"/>
    <n v="120"/>
    <x v="2"/>
    <n v="8"/>
    <x v="0"/>
    <n v="0.25"/>
    <n v="3066"/>
  </r>
  <r>
    <x v="10"/>
    <x v="1116"/>
    <n v="301"/>
    <n v="31"/>
    <x v="5"/>
    <n v="270"/>
    <x v="2"/>
    <n v="6.458333333333334E-2"/>
    <n v="5016"/>
  </r>
  <r>
    <x v="10"/>
    <x v="1117"/>
    <n v="157"/>
    <n v="92"/>
    <x v="2"/>
    <n v="65"/>
    <x v="1"/>
    <n v="0.19166666666666668"/>
    <n v="3706"/>
  </r>
  <r>
    <x v="10"/>
    <x v="1118"/>
    <n v="244"/>
    <n v="45"/>
    <x v="4"/>
    <n v="199"/>
    <x v="2"/>
    <n v="9.375E-2"/>
    <n v="4702"/>
  </r>
  <r>
    <x v="10"/>
    <x v="1119"/>
    <n v="46"/>
    <n v="31"/>
    <x v="3"/>
    <n v="15"/>
    <x v="2"/>
    <n v="6.458333333333334E-2"/>
    <n v="5016"/>
  </r>
  <r>
    <x v="10"/>
    <x v="1120"/>
    <n v="246"/>
    <n v="159"/>
    <x v="6"/>
    <n v="87"/>
    <x v="0"/>
    <n v="0.33124999999999999"/>
    <n v="2183"/>
  </r>
  <r>
    <x v="10"/>
    <x v="1121"/>
    <n v="185"/>
    <n v="93"/>
    <x v="1"/>
    <n v="92"/>
    <x v="1"/>
    <n v="0.19375000000000001"/>
    <n v="3678"/>
  </r>
  <r>
    <x v="10"/>
    <x v="1122"/>
    <n v="215"/>
    <n v="130"/>
    <x v="1"/>
    <n v="85"/>
    <x v="0"/>
    <n v="0.27083333333333331"/>
    <n v="2832"/>
  </r>
  <r>
    <x v="10"/>
    <x v="1123"/>
    <n v="165"/>
    <n v="60"/>
    <x v="3"/>
    <n v="105"/>
    <x v="1"/>
    <n v="0.125"/>
    <n v="4390"/>
  </r>
  <r>
    <x v="10"/>
    <x v="1124"/>
    <n v="228"/>
    <n v="163"/>
    <x v="6"/>
    <n v="65"/>
    <x v="0"/>
    <n v="0.33958333333333335"/>
    <n v="2075"/>
  </r>
  <r>
    <x v="10"/>
    <x v="1125"/>
    <n v="177"/>
    <n v="112"/>
    <x v="6"/>
    <n v="65"/>
    <x v="0"/>
    <n v="0.23333333333333334"/>
    <n v="3267"/>
  </r>
  <r>
    <x v="10"/>
    <x v="1126"/>
    <n v="163"/>
    <n v="145"/>
    <x v="4"/>
    <n v="18"/>
    <x v="0"/>
    <n v="0.30208333333333331"/>
    <n v="2526"/>
  </r>
  <r>
    <x v="10"/>
    <x v="1127"/>
    <n v="306"/>
    <n v="178"/>
    <x v="4"/>
    <n v="128"/>
    <x v="0"/>
    <n v="0.37083333333333335"/>
    <n v="1702"/>
  </r>
  <r>
    <x v="10"/>
    <x v="1128"/>
    <n v="91"/>
    <n v="31"/>
    <x v="6"/>
    <n v="60"/>
    <x v="2"/>
    <n v="6.458333333333334E-2"/>
    <n v="5016"/>
  </r>
  <r>
    <x v="10"/>
    <x v="1129"/>
    <n v="109"/>
    <n v="99"/>
    <x v="4"/>
    <n v="10"/>
    <x v="1"/>
    <n v="0.20624999999999999"/>
    <n v="3553"/>
  </r>
  <r>
    <x v="10"/>
    <x v="1130"/>
    <n v="301"/>
    <n v="110"/>
    <x v="1"/>
    <n v="191"/>
    <x v="0"/>
    <n v="0.22916666666666666"/>
    <n v="3302"/>
  </r>
  <r>
    <x v="10"/>
    <x v="1131"/>
    <n v="189"/>
    <n v="165"/>
    <x v="5"/>
    <n v="24"/>
    <x v="0"/>
    <n v="0.34375"/>
    <n v="2028"/>
  </r>
  <r>
    <x v="10"/>
    <x v="1132"/>
    <n v="275"/>
    <n v="91"/>
    <x v="5"/>
    <n v="184"/>
    <x v="1"/>
    <n v="0.18958333333333333"/>
    <n v="3726"/>
  </r>
  <r>
    <x v="10"/>
    <x v="1133"/>
    <n v="192"/>
    <n v="127"/>
    <x v="0"/>
    <n v="65"/>
    <x v="0"/>
    <n v="0.26458333333333334"/>
    <n v="2909"/>
  </r>
  <r>
    <x v="10"/>
    <x v="1134"/>
    <n v="262"/>
    <n v="190"/>
    <x v="4"/>
    <n v="72"/>
    <x v="0"/>
    <n v="0.39583333333333331"/>
    <n v="1355"/>
  </r>
  <r>
    <x v="10"/>
    <x v="1135"/>
    <n v="313"/>
    <n v="66"/>
    <x v="4"/>
    <n v="247"/>
    <x v="1"/>
    <n v="0.13750000000000001"/>
    <n v="4247"/>
  </r>
  <r>
    <x v="10"/>
    <x v="1136"/>
    <n v="287"/>
    <n v="91"/>
    <x v="2"/>
    <n v="196"/>
    <x v="1"/>
    <n v="0.18958333333333333"/>
    <n v="3726"/>
  </r>
  <r>
    <x v="10"/>
    <x v="1137"/>
    <n v="221"/>
    <n v="142"/>
    <x v="6"/>
    <n v="79"/>
    <x v="0"/>
    <n v="0.29583333333333334"/>
    <n v="2585"/>
  </r>
  <r>
    <x v="10"/>
    <x v="1138"/>
    <n v="252"/>
    <n v="160"/>
    <x v="1"/>
    <n v="92"/>
    <x v="0"/>
    <n v="0.33333333333333331"/>
    <n v="2154"/>
  </r>
  <r>
    <x v="10"/>
    <x v="1139"/>
    <n v="189"/>
    <n v="138"/>
    <x v="2"/>
    <n v="51"/>
    <x v="0"/>
    <n v="0.28749999999999998"/>
    <n v="2660"/>
  </r>
  <r>
    <x v="10"/>
    <x v="1140"/>
    <n v="187"/>
    <n v="127"/>
    <x v="6"/>
    <n v="60"/>
    <x v="0"/>
    <n v="0.26458333333333334"/>
    <n v="2909"/>
  </r>
  <r>
    <x v="10"/>
    <x v="1141"/>
    <n v="248"/>
    <n v="32"/>
    <x v="2"/>
    <n v="216"/>
    <x v="2"/>
    <n v="6.6666666666666666E-2"/>
    <n v="4983"/>
  </r>
  <r>
    <x v="10"/>
    <x v="1142"/>
    <n v="180"/>
    <n v="89"/>
    <x v="2"/>
    <n v="91"/>
    <x v="1"/>
    <n v="0.18541666666666667"/>
    <n v="3772"/>
  </r>
  <r>
    <x v="10"/>
    <x v="1143"/>
    <n v="98"/>
    <n v="51"/>
    <x v="1"/>
    <n v="47"/>
    <x v="1"/>
    <n v="0.10625"/>
    <n v="4578"/>
  </r>
  <r>
    <x v="10"/>
    <x v="1144"/>
    <n v="123"/>
    <n v="97"/>
    <x v="1"/>
    <n v="26"/>
    <x v="1"/>
    <n v="0.20208333333333334"/>
    <n v="3593"/>
  </r>
  <r>
    <x v="10"/>
    <x v="1145"/>
    <n v="234"/>
    <n v="76"/>
    <x v="1"/>
    <n v="158"/>
    <x v="1"/>
    <n v="0.15833333333333333"/>
    <n v="4023"/>
  </r>
  <r>
    <x v="10"/>
    <x v="1146"/>
    <n v="132"/>
    <n v="86"/>
    <x v="4"/>
    <n v="46"/>
    <x v="1"/>
    <n v="0.17916666666666667"/>
    <n v="3830"/>
  </r>
  <r>
    <x v="10"/>
    <x v="1147"/>
    <n v="280"/>
    <n v="114"/>
    <x v="6"/>
    <n v="166"/>
    <x v="0"/>
    <n v="0.23749999999999999"/>
    <n v="3226"/>
  </r>
  <r>
    <x v="10"/>
    <x v="1148"/>
    <n v="274"/>
    <n v="42"/>
    <x v="4"/>
    <n v="232"/>
    <x v="2"/>
    <n v="8.7499999999999994E-2"/>
    <n v="4776"/>
  </r>
  <r>
    <x v="10"/>
    <x v="1149"/>
    <n v="211"/>
    <n v="60"/>
    <x v="2"/>
    <n v="151"/>
    <x v="1"/>
    <n v="0.125"/>
    <n v="4390"/>
  </r>
  <r>
    <x v="10"/>
    <x v="1150"/>
    <n v="81"/>
    <n v="74"/>
    <x v="6"/>
    <n v="7"/>
    <x v="1"/>
    <n v="0.15416666666666667"/>
    <n v="4064"/>
  </r>
  <r>
    <x v="10"/>
    <x v="1151"/>
    <n v="283"/>
    <n v="190"/>
    <x v="0"/>
    <n v="93"/>
    <x v="0"/>
    <n v="0.39583333333333331"/>
    <n v="1355"/>
  </r>
  <r>
    <x v="10"/>
    <x v="1152"/>
    <n v="245"/>
    <n v="166"/>
    <x v="2"/>
    <n v="79"/>
    <x v="0"/>
    <n v="0.34583333333333333"/>
    <n v="2007"/>
  </r>
  <r>
    <x v="10"/>
    <x v="1153"/>
    <n v="288"/>
    <n v="88"/>
    <x v="3"/>
    <n v="200"/>
    <x v="1"/>
    <n v="0.18333333333333332"/>
    <n v="3792"/>
  </r>
  <r>
    <x v="10"/>
    <x v="1154"/>
    <n v="96"/>
    <n v="84"/>
    <x v="2"/>
    <n v="12"/>
    <x v="1"/>
    <n v="0.17499999999999999"/>
    <n v="3872"/>
  </r>
  <r>
    <x v="10"/>
    <x v="1155"/>
    <n v="254"/>
    <n v="143"/>
    <x v="4"/>
    <n v="111"/>
    <x v="0"/>
    <n v="0.29791666666666666"/>
    <n v="2567"/>
  </r>
  <r>
    <x v="10"/>
    <x v="1156"/>
    <n v="257"/>
    <n v="62"/>
    <x v="2"/>
    <n v="195"/>
    <x v="1"/>
    <n v="0.12916666666666668"/>
    <n v="4343"/>
  </r>
  <r>
    <x v="10"/>
    <x v="1157"/>
    <n v="221"/>
    <n v="153"/>
    <x v="6"/>
    <n v="68"/>
    <x v="0"/>
    <n v="0.31874999999999998"/>
    <n v="2329"/>
  </r>
  <r>
    <x v="10"/>
    <x v="1158"/>
    <n v="315"/>
    <n v="47"/>
    <x v="2"/>
    <n v="268"/>
    <x v="2"/>
    <n v="9.7916666666666666E-2"/>
    <n v="4656"/>
  </r>
  <r>
    <x v="10"/>
    <x v="1159"/>
    <n v="258"/>
    <n v="104"/>
    <x v="4"/>
    <n v="154"/>
    <x v="0"/>
    <n v="0.21666666666666667"/>
    <n v="3454"/>
  </r>
  <r>
    <x v="10"/>
    <x v="1160"/>
    <n v="235"/>
    <n v="172"/>
    <x v="4"/>
    <n v="63"/>
    <x v="0"/>
    <n v="0.35833333333333334"/>
    <n v="1852"/>
  </r>
  <r>
    <x v="10"/>
    <x v="1161"/>
    <n v="136"/>
    <n v="59"/>
    <x v="0"/>
    <n v="77"/>
    <x v="1"/>
    <n v="0.12291666666666666"/>
    <n v="4416"/>
  </r>
  <r>
    <x v="10"/>
    <x v="1162"/>
    <n v="307"/>
    <n v="137"/>
    <x v="1"/>
    <n v="170"/>
    <x v="0"/>
    <n v="0.28541666666666665"/>
    <n v="2677"/>
  </r>
  <r>
    <x v="10"/>
    <x v="1163"/>
    <n v="225"/>
    <n v="185"/>
    <x v="4"/>
    <n v="40"/>
    <x v="0"/>
    <n v="0.38541666666666669"/>
    <n v="1517"/>
  </r>
  <r>
    <x v="10"/>
    <x v="1164"/>
    <n v="184"/>
    <n v="113"/>
    <x v="4"/>
    <n v="71"/>
    <x v="0"/>
    <n v="0.23541666666666666"/>
    <n v="3243"/>
  </r>
  <r>
    <x v="10"/>
    <x v="1165"/>
    <n v="101"/>
    <n v="34"/>
    <x v="5"/>
    <n v="67"/>
    <x v="2"/>
    <n v="7.0833333333333331E-2"/>
    <n v="4944"/>
  </r>
  <r>
    <x v="10"/>
    <x v="1166"/>
    <n v="202"/>
    <n v="70"/>
    <x v="1"/>
    <n v="132"/>
    <x v="1"/>
    <n v="0.14583333333333334"/>
    <n v="4153"/>
  </r>
  <r>
    <x v="10"/>
    <x v="1167"/>
    <n v="244"/>
    <n v="98"/>
    <x v="5"/>
    <n v="146"/>
    <x v="1"/>
    <n v="0.20416666666666666"/>
    <n v="3574"/>
  </r>
  <r>
    <x v="10"/>
    <x v="1168"/>
    <n v="284"/>
    <n v="127"/>
    <x v="5"/>
    <n v="157"/>
    <x v="0"/>
    <n v="0.26458333333333334"/>
    <n v="2909"/>
  </r>
  <r>
    <x v="10"/>
    <x v="1169"/>
    <n v="195"/>
    <n v="64"/>
    <x v="6"/>
    <n v="131"/>
    <x v="1"/>
    <n v="0.13333333333333333"/>
    <n v="4293"/>
  </r>
  <r>
    <x v="10"/>
    <x v="1170"/>
    <n v="164"/>
    <n v="158"/>
    <x v="5"/>
    <n v="6"/>
    <x v="0"/>
    <n v="0.32916666666666666"/>
    <n v="2207"/>
  </r>
  <r>
    <x v="10"/>
    <x v="1171"/>
    <n v="190"/>
    <n v="163"/>
    <x v="1"/>
    <n v="27"/>
    <x v="0"/>
    <n v="0.33958333333333335"/>
    <n v="2075"/>
  </r>
  <r>
    <x v="10"/>
    <x v="1172"/>
    <n v="230"/>
    <n v="123"/>
    <x v="4"/>
    <n v="107"/>
    <x v="0"/>
    <n v="0.25624999999999998"/>
    <n v="2983"/>
  </r>
  <r>
    <x v="10"/>
    <x v="1173"/>
    <n v="303"/>
    <n v="159"/>
    <x v="6"/>
    <n v="144"/>
    <x v="0"/>
    <n v="0.33124999999999999"/>
    <n v="2183"/>
  </r>
  <r>
    <x v="10"/>
    <x v="1174"/>
    <n v="172"/>
    <n v="146"/>
    <x v="6"/>
    <n v="26"/>
    <x v="0"/>
    <n v="0.30416666666666664"/>
    <n v="2499"/>
  </r>
  <r>
    <x v="10"/>
    <x v="1175"/>
    <n v="295"/>
    <n v="190"/>
    <x v="2"/>
    <n v="105"/>
    <x v="0"/>
    <n v="0.39583333333333331"/>
    <n v="1355"/>
  </r>
  <r>
    <x v="10"/>
    <x v="1176"/>
    <n v="110"/>
    <n v="81"/>
    <x v="2"/>
    <n v="29"/>
    <x v="1"/>
    <n v="0.16875000000000001"/>
    <n v="3923"/>
  </r>
  <r>
    <x v="10"/>
    <x v="1177"/>
    <n v="129"/>
    <n v="100"/>
    <x v="6"/>
    <n v="29"/>
    <x v="1"/>
    <n v="0.20833333333333334"/>
    <n v="3535"/>
  </r>
  <r>
    <x v="10"/>
    <x v="1178"/>
    <n v="284"/>
    <n v="98"/>
    <x v="3"/>
    <n v="186"/>
    <x v="1"/>
    <n v="0.20416666666666666"/>
    <n v="3574"/>
  </r>
  <r>
    <x v="10"/>
    <x v="1179"/>
    <n v="201"/>
    <n v="59"/>
    <x v="2"/>
    <n v="142"/>
    <x v="1"/>
    <n v="0.12291666666666666"/>
    <n v="4416"/>
  </r>
  <r>
    <x v="10"/>
    <x v="1180"/>
    <n v="181"/>
    <n v="170"/>
    <x v="2"/>
    <n v="11"/>
    <x v="0"/>
    <n v="0.35416666666666669"/>
    <n v="1898"/>
  </r>
  <r>
    <x v="10"/>
    <x v="1181"/>
    <n v="250"/>
    <n v="134"/>
    <x v="6"/>
    <n v="116"/>
    <x v="0"/>
    <n v="0.27916666666666667"/>
    <n v="2740"/>
  </r>
  <r>
    <x v="10"/>
    <x v="1182"/>
    <n v="280"/>
    <n v="98"/>
    <x v="0"/>
    <n v="182"/>
    <x v="1"/>
    <n v="0.20416666666666666"/>
    <n v="3574"/>
  </r>
  <r>
    <x v="10"/>
    <x v="1183"/>
    <n v="207"/>
    <n v="135"/>
    <x v="0"/>
    <n v="72"/>
    <x v="0"/>
    <n v="0.28125"/>
    <n v="2714"/>
  </r>
  <r>
    <x v="10"/>
    <x v="1184"/>
    <n v="290"/>
    <n v="117"/>
    <x v="1"/>
    <n v="173"/>
    <x v="0"/>
    <n v="0.24374999999999999"/>
    <n v="3144"/>
  </r>
  <r>
    <x v="10"/>
    <x v="1185"/>
    <n v="283"/>
    <n v="184"/>
    <x v="4"/>
    <n v="99"/>
    <x v="0"/>
    <n v="0.38333333333333336"/>
    <n v="1544"/>
  </r>
  <r>
    <x v="10"/>
    <x v="1186"/>
    <n v="260"/>
    <n v="34"/>
    <x v="5"/>
    <n v="226"/>
    <x v="2"/>
    <n v="7.0833333333333331E-2"/>
    <n v="4944"/>
  </r>
  <r>
    <x v="10"/>
    <x v="1187"/>
    <n v="237"/>
    <n v="110"/>
    <x v="0"/>
    <n v="127"/>
    <x v="0"/>
    <n v="0.22916666666666666"/>
    <n v="3302"/>
  </r>
  <r>
    <x v="10"/>
    <x v="1188"/>
    <n v="303"/>
    <n v="137"/>
    <x v="3"/>
    <n v="166"/>
    <x v="0"/>
    <n v="0.28541666666666665"/>
    <n v="2677"/>
  </r>
  <r>
    <x v="10"/>
    <x v="1189"/>
    <n v="220"/>
    <n v="157"/>
    <x v="0"/>
    <n v="63"/>
    <x v="0"/>
    <n v="0.32708333333333334"/>
    <n v="2239"/>
  </r>
  <r>
    <x v="10"/>
    <x v="1190"/>
    <n v="240"/>
    <n v="185"/>
    <x v="4"/>
    <n v="55"/>
    <x v="0"/>
    <n v="0.38541666666666669"/>
    <n v="1517"/>
  </r>
  <r>
    <x v="10"/>
    <x v="1191"/>
    <n v="184"/>
    <n v="116"/>
    <x v="2"/>
    <n v="68"/>
    <x v="0"/>
    <n v="0.24166666666666667"/>
    <n v="3173"/>
  </r>
  <r>
    <x v="10"/>
    <x v="1192"/>
    <n v="133"/>
    <n v="48"/>
    <x v="2"/>
    <n v="85"/>
    <x v="2"/>
    <n v="0.1"/>
    <n v="4638"/>
  </r>
  <r>
    <x v="10"/>
    <x v="1193"/>
    <n v="243"/>
    <n v="55"/>
    <x v="6"/>
    <n v="188"/>
    <x v="1"/>
    <n v="0.11458333333333333"/>
    <n v="4497"/>
  </r>
  <r>
    <x v="10"/>
    <x v="1194"/>
    <n v="208"/>
    <n v="135"/>
    <x v="4"/>
    <n v="73"/>
    <x v="0"/>
    <n v="0.28125"/>
    <n v="2714"/>
  </r>
  <r>
    <x v="10"/>
    <x v="1195"/>
    <n v="282"/>
    <n v="123"/>
    <x v="5"/>
    <n v="159"/>
    <x v="0"/>
    <n v="0.25624999999999998"/>
    <n v="2983"/>
  </r>
  <r>
    <x v="10"/>
    <x v="1196"/>
    <n v="77"/>
    <n v="44"/>
    <x v="5"/>
    <n v="33"/>
    <x v="2"/>
    <n v="9.166666666666666E-2"/>
    <n v="4732"/>
  </r>
  <r>
    <x v="10"/>
    <x v="1197"/>
    <n v="184"/>
    <n v="176"/>
    <x v="2"/>
    <n v="8"/>
    <x v="0"/>
    <n v="0.36666666666666664"/>
    <n v="1754"/>
  </r>
  <r>
    <x v="10"/>
    <x v="1198"/>
    <n v="302"/>
    <n v="70"/>
    <x v="2"/>
    <n v="232"/>
    <x v="1"/>
    <n v="0.14583333333333334"/>
    <n v="4153"/>
  </r>
  <r>
    <x v="10"/>
    <x v="1199"/>
    <n v="219"/>
    <n v="121"/>
    <x v="1"/>
    <n v="98"/>
    <x v="0"/>
    <n v="0.25208333333333333"/>
    <n v="3037"/>
  </r>
  <r>
    <x v="10"/>
    <x v="1200"/>
    <n v="180"/>
    <n v="97"/>
    <x v="6"/>
    <n v="83"/>
    <x v="1"/>
    <n v="0.20208333333333334"/>
    <n v="3593"/>
  </r>
  <r>
    <x v="10"/>
    <x v="1201"/>
    <n v="262"/>
    <n v="147"/>
    <x v="2"/>
    <n v="115"/>
    <x v="0"/>
    <n v="0.30625000000000002"/>
    <n v="2478"/>
  </r>
  <r>
    <x v="10"/>
    <x v="1202"/>
    <n v="191"/>
    <n v="170"/>
    <x v="6"/>
    <n v="21"/>
    <x v="0"/>
    <n v="0.35416666666666669"/>
    <n v="1898"/>
  </r>
  <r>
    <x v="10"/>
    <x v="1203"/>
    <n v="296"/>
    <n v="61"/>
    <x v="6"/>
    <n v="235"/>
    <x v="1"/>
    <n v="0.12708333333333333"/>
    <n v="4368"/>
  </r>
  <r>
    <x v="10"/>
    <x v="1204"/>
    <n v="136"/>
    <n v="66"/>
    <x v="1"/>
    <n v="70"/>
    <x v="1"/>
    <n v="0.13750000000000001"/>
    <n v="4247"/>
  </r>
  <r>
    <x v="10"/>
    <x v="1205"/>
    <n v="231"/>
    <n v="136"/>
    <x v="1"/>
    <n v="95"/>
    <x v="0"/>
    <n v="0.28333333333333333"/>
    <n v="2692"/>
  </r>
  <r>
    <x v="10"/>
    <x v="1206"/>
    <n v="183"/>
    <n v="128"/>
    <x v="3"/>
    <n v="55"/>
    <x v="0"/>
    <n v="0.26666666666666666"/>
    <n v="2872"/>
  </r>
  <r>
    <x v="10"/>
    <x v="1207"/>
    <n v="112"/>
    <n v="96"/>
    <x v="1"/>
    <n v="16"/>
    <x v="1"/>
    <n v="0.2"/>
    <n v="3616"/>
  </r>
  <r>
    <x v="10"/>
    <x v="1208"/>
    <n v="254"/>
    <n v="116"/>
    <x v="6"/>
    <n v="138"/>
    <x v="0"/>
    <n v="0.24166666666666667"/>
    <n v="3173"/>
  </r>
  <r>
    <x v="10"/>
    <x v="1209"/>
    <n v="176"/>
    <n v="152"/>
    <x v="1"/>
    <n v="24"/>
    <x v="0"/>
    <n v="0.31666666666666665"/>
    <n v="2349"/>
  </r>
  <r>
    <x v="10"/>
    <x v="1210"/>
    <n v="265"/>
    <n v="187"/>
    <x v="4"/>
    <n v="78"/>
    <x v="0"/>
    <n v="0.38958333333333334"/>
    <n v="1455"/>
  </r>
  <r>
    <x v="10"/>
    <x v="1211"/>
    <n v="296"/>
    <n v="109"/>
    <x v="6"/>
    <n v="187"/>
    <x v="0"/>
    <n v="0.22708333333333333"/>
    <n v="3338"/>
  </r>
  <r>
    <x v="10"/>
    <x v="1212"/>
    <n v="212"/>
    <n v="76"/>
    <x v="5"/>
    <n v="136"/>
    <x v="1"/>
    <n v="0.15833333333333333"/>
    <n v="4023"/>
  </r>
  <r>
    <x v="10"/>
    <x v="1213"/>
    <n v="130"/>
    <n v="102"/>
    <x v="4"/>
    <n v="28"/>
    <x v="0"/>
    <n v="0.21249999999999999"/>
    <n v="3493"/>
  </r>
  <r>
    <x v="10"/>
    <x v="1214"/>
    <n v="222"/>
    <n v="73"/>
    <x v="4"/>
    <n v="149"/>
    <x v="1"/>
    <n v="0.15208333333333332"/>
    <n v="4083"/>
  </r>
  <r>
    <x v="10"/>
    <x v="1215"/>
    <n v="319"/>
    <n v="101"/>
    <x v="2"/>
    <n v="218"/>
    <x v="0"/>
    <n v="0.21041666666666667"/>
    <n v="3515"/>
  </r>
  <r>
    <x v="10"/>
    <x v="1216"/>
    <n v="221"/>
    <n v="155"/>
    <x v="6"/>
    <n v="66"/>
    <x v="0"/>
    <n v="0.32291666666666669"/>
    <n v="2275"/>
  </r>
  <r>
    <x v="10"/>
    <x v="1217"/>
    <n v="107"/>
    <n v="106"/>
    <x v="3"/>
    <n v="1"/>
    <x v="0"/>
    <n v="0.22083333333333333"/>
    <n v="3413"/>
  </r>
  <r>
    <x v="10"/>
    <x v="1218"/>
    <n v="242"/>
    <n v="92"/>
    <x v="3"/>
    <n v="150"/>
    <x v="1"/>
    <n v="0.19166666666666668"/>
    <n v="3706"/>
  </r>
  <r>
    <x v="10"/>
    <x v="1219"/>
    <n v="200"/>
    <n v="101"/>
    <x v="5"/>
    <n v="99"/>
    <x v="0"/>
    <n v="0.21041666666666667"/>
    <n v="3515"/>
  </r>
  <r>
    <x v="10"/>
    <x v="1220"/>
    <n v="293"/>
    <n v="122"/>
    <x v="4"/>
    <n v="171"/>
    <x v="0"/>
    <n v="0.25416666666666665"/>
    <n v="3013"/>
  </r>
  <r>
    <x v="10"/>
    <x v="1221"/>
    <n v="137"/>
    <n v="133"/>
    <x v="0"/>
    <n v="4"/>
    <x v="0"/>
    <n v="0.27708333333333335"/>
    <n v="2758"/>
  </r>
  <r>
    <x v="10"/>
    <x v="1222"/>
    <n v="149"/>
    <n v="71"/>
    <x v="3"/>
    <n v="78"/>
    <x v="1"/>
    <n v="0.14791666666666667"/>
    <n v="4129"/>
  </r>
  <r>
    <x v="10"/>
    <x v="1223"/>
    <n v="221"/>
    <n v="82"/>
    <x v="1"/>
    <n v="139"/>
    <x v="1"/>
    <n v="0.17083333333333334"/>
    <n v="3904"/>
  </r>
  <r>
    <x v="10"/>
    <x v="1224"/>
    <n v="221"/>
    <n v="188"/>
    <x v="5"/>
    <n v="33"/>
    <x v="0"/>
    <n v="0.39166666666666666"/>
    <n v="1423"/>
  </r>
  <r>
    <x v="10"/>
    <x v="1225"/>
    <n v="182"/>
    <n v="50"/>
    <x v="1"/>
    <n v="132"/>
    <x v="2"/>
    <n v="0.10416666666666667"/>
    <n v="4596"/>
  </r>
  <r>
    <x v="10"/>
    <x v="1226"/>
    <n v="129"/>
    <n v="32"/>
    <x v="5"/>
    <n v="97"/>
    <x v="2"/>
    <n v="6.6666666666666666E-2"/>
    <n v="4983"/>
  </r>
  <r>
    <x v="10"/>
    <x v="1227"/>
    <n v="149"/>
    <n v="132"/>
    <x v="6"/>
    <n v="17"/>
    <x v="0"/>
    <n v="0.27500000000000002"/>
    <n v="2792"/>
  </r>
  <r>
    <x v="10"/>
    <x v="1228"/>
    <n v="288"/>
    <n v="78"/>
    <x v="3"/>
    <n v="210"/>
    <x v="1"/>
    <n v="0.16250000000000001"/>
    <n v="3989"/>
  </r>
  <r>
    <x v="10"/>
    <x v="1229"/>
    <n v="304"/>
    <n v="162"/>
    <x v="0"/>
    <n v="142"/>
    <x v="0"/>
    <n v="0.33750000000000002"/>
    <n v="2106"/>
  </r>
  <r>
    <x v="10"/>
    <x v="1230"/>
    <n v="231"/>
    <n v="87"/>
    <x v="2"/>
    <n v="144"/>
    <x v="1"/>
    <n v="0.18124999999999999"/>
    <n v="3813"/>
  </r>
  <r>
    <x v="10"/>
    <x v="1231"/>
    <n v="57"/>
    <n v="44"/>
    <x v="0"/>
    <n v="13"/>
    <x v="2"/>
    <n v="9.166666666666666E-2"/>
    <n v="4732"/>
  </r>
  <r>
    <x v="10"/>
    <x v="1232"/>
    <n v="122"/>
    <n v="93"/>
    <x v="5"/>
    <n v="29"/>
    <x v="1"/>
    <n v="0.19375000000000001"/>
    <n v="3678"/>
  </r>
  <r>
    <x v="10"/>
    <x v="1233"/>
    <n v="262"/>
    <n v="123"/>
    <x v="5"/>
    <n v="139"/>
    <x v="0"/>
    <n v="0.25624999999999998"/>
    <n v="2983"/>
  </r>
  <r>
    <x v="10"/>
    <x v="1234"/>
    <n v="217"/>
    <n v="183"/>
    <x v="0"/>
    <n v="34"/>
    <x v="0"/>
    <n v="0.38124999999999998"/>
    <n v="1572"/>
  </r>
  <r>
    <x v="10"/>
    <x v="1235"/>
    <n v="192"/>
    <n v="126"/>
    <x v="6"/>
    <n v="66"/>
    <x v="0"/>
    <n v="0.26250000000000001"/>
    <n v="2934"/>
  </r>
  <r>
    <x v="10"/>
    <x v="1236"/>
    <n v="218"/>
    <n v="184"/>
    <x v="3"/>
    <n v="34"/>
    <x v="0"/>
    <n v="0.38333333333333336"/>
    <n v="1544"/>
  </r>
  <r>
    <x v="10"/>
    <x v="1237"/>
    <n v="266"/>
    <n v="160"/>
    <x v="3"/>
    <n v="106"/>
    <x v="0"/>
    <n v="0.33333333333333331"/>
    <n v="2154"/>
  </r>
  <r>
    <x v="10"/>
    <x v="1238"/>
    <n v="303"/>
    <n v="176"/>
    <x v="4"/>
    <n v="127"/>
    <x v="0"/>
    <n v="0.36666666666666664"/>
    <n v="1754"/>
  </r>
  <r>
    <x v="10"/>
    <x v="1239"/>
    <n v="249"/>
    <n v="125"/>
    <x v="2"/>
    <n v="124"/>
    <x v="0"/>
    <n v="0.26041666666666669"/>
    <n v="2951"/>
  </r>
  <r>
    <x v="10"/>
    <x v="1240"/>
    <n v="121"/>
    <n v="65"/>
    <x v="3"/>
    <n v="56"/>
    <x v="1"/>
    <n v="0.13541666666666666"/>
    <n v="4267"/>
  </r>
  <r>
    <x v="10"/>
    <x v="1241"/>
    <n v="310"/>
    <n v="175"/>
    <x v="1"/>
    <n v="135"/>
    <x v="0"/>
    <n v="0.36458333333333331"/>
    <n v="1780"/>
  </r>
  <r>
    <x v="10"/>
    <x v="1242"/>
    <n v="268"/>
    <n v="163"/>
    <x v="1"/>
    <n v="105"/>
    <x v="0"/>
    <n v="0.33958333333333335"/>
    <n v="2075"/>
  </r>
  <r>
    <x v="10"/>
    <x v="1243"/>
    <n v="191"/>
    <n v="171"/>
    <x v="2"/>
    <n v="20"/>
    <x v="0"/>
    <n v="0.35625000000000001"/>
    <n v="1866"/>
  </r>
  <r>
    <x v="10"/>
    <x v="1244"/>
    <n v="251"/>
    <n v="75"/>
    <x v="3"/>
    <n v="176"/>
    <x v="1"/>
    <n v="0.15625"/>
    <n v="4041"/>
  </r>
  <r>
    <x v="10"/>
    <x v="1245"/>
    <n v="268"/>
    <n v="149"/>
    <x v="5"/>
    <n v="119"/>
    <x v="0"/>
    <n v="0.31041666666666667"/>
    <n v="2426"/>
  </r>
  <r>
    <x v="10"/>
    <x v="1246"/>
    <n v="286"/>
    <n v="127"/>
    <x v="4"/>
    <n v="159"/>
    <x v="0"/>
    <n v="0.26458333333333334"/>
    <n v="2909"/>
  </r>
  <r>
    <x v="10"/>
    <x v="1247"/>
    <n v="281"/>
    <n v="146"/>
    <x v="6"/>
    <n v="135"/>
    <x v="0"/>
    <n v="0.30416666666666664"/>
    <n v="2499"/>
  </r>
  <r>
    <x v="10"/>
    <x v="1248"/>
    <n v="244"/>
    <n v="175"/>
    <x v="4"/>
    <n v="69"/>
    <x v="0"/>
    <n v="0.36458333333333331"/>
    <n v="1780"/>
  </r>
  <r>
    <x v="10"/>
    <x v="1249"/>
    <n v="146"/>
    <n v="74"/>
    <x v="3"/>
    <n v="72"/>
    <x v="1"/>
    <n v="0.15416666666666667"/>
    <n v="4064"/>
  </r>
  <r>
    <x v="10"/>
    <x v="1250"/>
    <n v="302"/>
    <n v="111"/>
    <x v="4"/>
    <n v="191"/>
    <x v="0"/>
    <n v="0.23125000000000001"/>
    <n v="3285"/>
  </r>
  <r>
    <x v="10"/>
    <x v="1251"/>
    <n v="250"/>
    <n v="55"/>
    <x v="6"/>
    <n v="195"/>
    <x v="1"/>
    <n v="0.11458333333333333"/>
    <n v="4497"/>
  </r>
  <r>
    <x v="10"/>
    <x v="1252"/>
    <n v="99"/>
    <n v="86"/>
    <x v="4"/>
    <n v="13"/>
    <x v="1"/>
    <n v="0.17916666666666667"/>
    <n v="3830"/>
  </r>
  <r>
    <x v="10"/>
    <x v="1253"/>
    <n v="212"/>
    <n v="160"/>
    <x v="2"/>
    <n v="52"/>
    <x v="0"/>
    <n v="0.33333333333333331"/>
    <n v="2154"/>
  </r>
  <r>
    <x v="10"/>
    <x v="1254"/>
    <n v="301"/>
    <n v="82"/>
    <x v="6"/>
    <n v="219"/>
    <x v="1"/>
    <n v="0.17083333333333334"/>
    <n v="3904"/>
  </r>
  <r>
    <x v="10"/>
    <x v="1255"/>
    <n v="275"/>
    <n v="115"/>
    <x v="2"/>
    <n v="160"/>
    <x v="0"/>
    <n v="0.23958333333333334"/>
    <n v="3206"/>
  </r>
  <r>
    <x v="10"/>
    <x v="1256"/>
    <n v="270"/>
    <n v="186"/>
    <x v="4"/>
    <n v="84"/>
    <x v="0"/>
    <n v="0.38750000000000001"/>
    <n v="1478"/>
  </r>
  <r>
    <x v="10"/>
    <x v="1257"/>
    <n v="189"/>
    <n v="138"/>
    <x v="1"/>
    <n v="51"/>
    <x v="0"/>
    <n v="0.28749999999999998"/>
    <n v="2660"/>
  </r>
  <r>
    <x v="10"/>
    <x v="1258"/>
    <n v="197"/>
    <n v="43"/>
    <x v="3"/>
    <n v="154"/>
    <x v="2"/>
    <n v="8.9583333333333334E-2"/>
    <n v="4752"/>
  </r>
  <r>
    <x v="10"/>
    <x v="1259"/>
    <n v="233"/>
    <n v="113"/>
    <x v="6"/>
    <n v="120"/>
    <x v="0"/>
    <n v="0.23541666666666666"/>
    <n v="3243"/>
  </r>
  <r>
    <x v="10"/>
    <x v="1260"/>
    <n v="223"/>
    <n v="130"/>
    <x v="2"/>
    <n v="93"/>
    <x v="0"/>
    <n v="0.27083333333333331"/>
    <n v="2832"/>
  </r>
  <r>
    <x v="10"/>
    <x v="1261"/>
    <n v="161"/>
    <n v="106"/>
    <x v="6"/>
    <n v="55"/>
    <x v="0"/>
    <n v="0.22083333333333333"/>
    <n v="3413"/>
  </r>
  <r>
    <x v="10"/>
    <x v="1262"/>
    <n v="204"/>
    <n v="68"/>
    <x v="6"/>
    <n v="136"/>
    <x v="1"/>
    <n v="0.14166666666666666"/>
    <n v="4204"/>
  </r>
  <r>
    <x v="10"/>
    <x v="1263"/>
    <n v="212"/>
    <n v="80"/>
    <x v="6"/>
    <n v="132"/>
    <x v="1"/>
    <n v="0.16666666666666666"/>
    <n v="3948"/>
  </r>
  <r>
    <x v="10"/>
    <x v="1264"/>
    <n v="213"/>
    <n v="172"/>
    <x v="5"/>
    <n v="41"/>
    <x v="0"/>
    <n v="0.35833333333333334"/>
    <n v="1852"/>
  </r>
  <r>
    <x v="10"/>
    <x v="1265"/>
    <n v="179"/>
    <n v="98"/>
    <x v="5"/>
    <n v="81"/>
    <x v="1"/>
    <n v="0.20416666666666666"/>
    <n v="3574"/>
  </r>
  <r>
    <x v="10"/>
    <x v="1266"/>
    <n v="284"/>
    <n v="53"/>
    <x v="6"/>
    <n v="231"/>
    <x v="1"/>
    <n v="0.11041666666666666"/>
    <n v="4544"/>
  </r>
  <r>
    <x v="10"/>
    <x v="1267"/>
    <n v="262"/>
    <n v="77"/>
    <x v="4"/>
    <n v="185"/>
    <x v="1"/>
    <n v="0.16041666666666668"/>
    <n v="4006"/>
  </r>
  <r>
    <x v="10"/>
    <x v="1268"/>
    <n v="248"/>
    <n v="160"/>
    <x v="6"/>
    <n v="88"/>
    <x v="0"/>
    <n v="0.33333333333333331"/>
    <n v="2154"/>
  </r>
  <r>
    <x v="10"/>
    <x v="1269"/>
    <n v="299"/>
    <n v="95"/>
    <x v="2"/>
    <n v="204"/>
    <x v="1"/>
    <n v="0.19791666666666666"/>
    <n v="3634"/>
  </r>
  <r>
    <x v="10"/>
    <x v="1270"/>
    <n v="310"/>
    <n v="180"/>
    <x v="3"/>
    <n v="130"/>
    <x v="0"/>
    <n v="0.375"/>
    <n v="1635"/>
  </r>
  <r>
    <x v="10"/>
    <x v="1271"/>
    <n v="276"/>
    <n v="132"/>
    <x v="3"/>
    <n v="144"/>
    <x v="0"/>
    <n v="0.27500000000000002"/>
    <n v="2792"/>
  </r>
  <r>
    <x v="10"/>
    <x v="1272"/>
    <n v="144"/>
    <n v="110"/>
    <x v="0"/>
    <n v="34"/>
    <x v="0"/>
    <n v="0.22916666666666666"/>
    <n v="3302"/>
  </r>
  <r>
    <x v="10"/>
    <x v="1273"/>
    <n v="182"/>
    <n v="45"/>
    <x v="0"/>
    <n v="137"/>
    <x v="2"/>
    <n v="9.375E-2"/>
    <n v="4702"/>
  </r>
  <r>
    <x v="11"/>
    <x v="1274"/>
    <n v="410"/>
    <n v="289"/>
    <x v="1"/>
    <n v="121"/>
    <x v="4"/>
    <n v="0.6020833333333333"/>
    <n v="910"/>
  </r>
  <r>
    <x v="11"/>
    <x v="1275"/>
    <n v="482"/>
    <n v="475"/>
    <x v="5"/>
    <n v="7"/>
    <x v="5"/>
    <n v="0.98958333333333337"/>
    <n v="22"/>
  </r>
  <r>
    <x v="11"/>
    <x v="1276"/>
    <n v="476"/>
    <n v="346"/>
    <x v="2"/>
    <n v="130"/>
    <x v="3"/>
    <n v="0.72083333333333333"/>
    <n v="646"/>
  </r>
  <r>
    <x v="11"/>
    <x v="1277"/>
    <n v="351"/>
    <n v="349"/>
    <x v="4"/>
    <n v="2"/>
    <x v="3"/>
    <n v="0.7270833333333333"/>
    <n v="631"/>
  </r>
  <r>
    <x v="11"/>
    <x v="1278"/>
    <n v="352"/>
    <n v="300"/>
    <x v="5"/>
    <n v="52"/>
    <x v="4"/>
    <n v="0.625"/>
    <n v="851"/>
  </r>
  <r>
    <x v="11"/>
    <x v="1279"/>
    <n v="466"/>
    <n v="344"/>
    <x v="3"/>
    <n v="122"/>
    <x v="3"/>
    <n v="0.71666666666666667"/>
    <n v="656"/>
  </r>
  <r>
    <x v="11"/>
    <x v="1280"/>
    <n v="372"/>
    <n v="350"/>
    <x v="2"/>
    <n v="22"/>
    <x v="3"/>
    <n v="0.72916666666666663"/>
    <n v="621"/>
  </r>
  <r>
    <x v="11"/>
    <x v="1281"/>
    <n v="272"/>
    <n v="234"/>
    <x v="4"/>
    <n v="38"/>
    <x v="4"/>
    <n v="0.48749999999999999"/>
    <n v="1172"/>
  </r>
  <r>
    <x v="11"/>
    <x v="1282"/>
    <n v="485"/>
    <n v="270"/>
    <x v="4"/>
    <n v="215"/>
    <x v="4"/>
    <n v="0.5625"/>
    <n v="999"/>
  </r>
  <r>
    <x v="11"/>
    <x v="1283"/>
    <n v="463"/>
    <n v="410"/>
    <x v="4"/>
    <n v="53"/>
    <x v="5"/>
    <n v="0.85416666666666663"/>
    <n v="341"/>
  </r>
  <r>
    <x v="11"/>
    <x v="1284"/>
    <n v="431"/>
    <n v="287"/>
    <x v="4"/>
    <n v="144"/>
    <x v="4"/>
    <n v="0.59791666666666665"/>
    <n v="920"/>
  </r>
  <r>
    <x v="11"/>
    <x v="1285"/>
    <n v="357"/>
    <n v="224"/>
    <x v="6"/>
    <n v="133"/>
    <x v="4"/>
    <n v="0.46666666666666667"/>
    <n v="1211"/>
  </r>
  <r>
    <x v="11"/>
    <x v="1286"/>
    <n v="465"/>
    <n v="461"/>
    <x v="5"/>
    <n v="4"/>
    <x v="5"/>
    <n v="0.9604166666666667"/>
    <n v="102"/>
  </r>
  <r>
    <x v="11"/>
    <x v="1287"/>
    <n v="496"/>
    <n v="440"/>
    <x v="1"/>
    <n v="56"/>
    <x v="5"/>
    <n v="0.91666666666666663"/>
    <n v="208"/>
  </r>
  <r>
    <x v="11"/>
    <x v="1288"/>
    <n v="188"/>
    <n v="174"/>
    <x v="1"/>
    <n v="14"/>
    <x v="0"/>
    <n v="0.36249999999999999"/>
    <n v="1803"/>
  </r>
  <r>
    <x v="11"/>
    <x v="1289"/>
    <n v="386"/>
    <n v="259"/>
    <x v="1"/>
    <n v="127"/>
    <x v="4"/>
    <n v="0.5395833333333333"/>
    <n v="1046"/>
  </r>
  <r>
    <x v="11"/>
    <x v="1290"/>
    <n v="244"/>
    <n v="197"/>
    <x v="6"/>
    <n v="47"/>
    <x v="0"/>
    <n v="0.41041666666666665"/>
    <n v="1323"/>
  </r>
  <r>
    <x v="11"/>
    <x v="1291"/>
    <n v="410"/>
    <n v="242"/>
    <x v="5"/>
    <n v="168"/>
    <x v="4"/>
    <n v="0.50416666666666665"/>
    <n v="1134"/>
  </r>
  <r>
    <x v="11"/>
    <x v="1292"/>
    <n v="456"/>
    <n v="272"/>
    <x v="1"/>
    <n v="184"/>
    <x v="4"/>
    <n v="0.56666666666666665"/>
    <n v="991"/>
  </r>
  <r>
    <x v="11"/>
    <x v="1293"/>
    <n v="476"/>
    <n v="403"/>
    <x v="4"/>
    <n v="73"/>
    <x v="5"/>
    <n v="0.83958333333333335"/>
    <n v="378"/>
  </r>
  <r>
    <x v="11"/>
    <x v="1294"/>
    <n v="444"/>
    <n v="194"/>
    <x v="4"/>
    <n v="250"/>
    <x v="0"/>
    <n v="0.40416666666666667"/>
    <n v="1334"/>
  </r>
  <r>
    <x v="11"/>
    <x v="1295"/>
    <n v="405"/>
    <n v="404"/>
    <x v="0"/>
    <n v="1"/>
    <x v="5"/>
    <n v="0.84166666666666667"/>
    <n v="374"/>
  </r>
  <r>
    <x v="11"/>
    <x v="1296"/>
    <n v="434"/>
    <n v="301"/>
    <x v="2"/>
    <n v="133"/>
    <x v="3"/>
    <n v="0.62708333333333333"/>
    <n v="844"/>
  </r>
  <r>
    <x v="11"/>
    <x v="1297"/>
    <n v="238"/>
    <n v="220"/>
    <x v="4"/>
    <n v="18"/>
    <x v="4"/>
    <n v="0.45833333333333331"/>
    <n v="1227"/>
  </r>
  <r>
    <x v="11"/>
    <x v="1298"/>
    <n v="418"/>
    <n v="321"/>
    <x v="4"/>
    <n v="97"/>
    <x v="3"/>
    <n v="0.66874999999999996"/>
    <n v="770"/>
  </r>
  <r>
    <x v="11"/>
    <x v="1299"/>
    <n v="409"/>
    <n v="377"/>
    <x v="4"/>
    <n v="32"/>
    <x v="3"/>
    <n v="0.78541666666666665"/>
    <n v="500"/>
  </r>
  <r>
    <x v="11"/>
    <x v="1300"/>
    <n v="485"/>
    <n v="479"/>
    <x v="4"/>
    <n v="6"/>
    <x v="5"/>
    <n v="0.99791666666666667"/>
    <n v="6"/>
  </r>
  <r>
    <x v="11"/>
    <x v="1301"/>
    <n v="442"/>
    <n v="442"/>
    <x v="0"/>
    <n v="0"/>
    <x v="5"/>
    <n v="0.92083333333333328"/>
    <n v="198"/>
  </r>
  <r>
    <x v="11"/>
    <x v="1302"/>
    <n v="492"/>
    <n v="453"/>
    <x v="4"/>
    <n v="39"/>
    <x v="5"/>
    <n v="0.94374999999999998"/>
    <n v="141"/>
  </r>
  <r>
    <x v="11"/>
    <x v="1303"/>
    <n v="487"/>
    <n v="462"/>
    <x v="4"/>
    <n v="25"/>
    <x v="5"/>
    <n v="0.96250000000000002"/>
    <n v="92"/>
  </r>
  <r>
    <x v="11"/>
    <x v="1304"/>
    <n v="429"/>
    <n v="375"/>
    <x v="4"/>
    <n v="54"/>
    <x v="3"/>
    <n v="0.78125"/>
    <n v="514"/>
  </r>
  <r>
    <x v="11"/>
    <x v="1305"/>
    <n v="238"/>
    <n v="197"/>
    <x v="4"/>
    <n v="41"/>
    <x v="0"/>
    <n v="0.41041666666666665"/>
    <n v="1323"/>
  </r>
  <r>
    <x v="11"/>
    <x v="1306"/>
    <n v="466"/>
    <n v="453"/>
    <x v="1"/>
    <n v="13"/>
    <x v="5"/>
    <n v="0.94374999999999998"/>
    <n v="141"/>
  </r>
  <r>
    <x v="11"/>
    <x v="1307"/>
    <n v="495"/>
    <n v="239"/>
    <x v="4"/>
    <n v="256"/>
    <x v="4"/>
    <n v="0.49791666666666667"/>
    <n v="1145"/>
  </r>
  <r>
    <x v="11"/>
    <x v="1308"/>
    <n v="449"/>
    <n v="276"/>
    <x v="4"/>
    <n v="173"/>
    <x v="4"/>
    <n v="0.57499999999999996"/>
    <n v="974"/>
  </r>
  <r>
    <x v="11"/>
    <x v="1309"/>
    <n v="408"/>
    <n v="346"/>
    <x v="4"/>
    <n v="62"/>
    <x v="3"/>
    <n v="0.72083333333333333"/>
    <n v="646"/>
  </r>
  <r>
    <x v="11"/>
    <x v="1310"/>
    <n v="433"/>
    <n v="195"/>
    <x v="4"/>
    <n v="238"/>
    <x v="0"/>
    <n v="0.40625"/>
    <n v="1332"/>
  </r>
  <r>
    <x v="11"/>
    <x v="1311"/>
    <n v="380"/>
    <n v="267"/>
    <x v="1"/>
    <n v="113"/>
    <x v="4"/>
    <n v="0.55625000000000002"/>
    <n v="1011"/>
  </r>
  <r>
    <x v="11"/>
    <x v="1312"/>
    <n v="322"/>
    <n v="322"/>
    <x v="1"/>
    <n v="0"/>
    <x v="3"/>
    <n v="0.67083333333333328"/>
    <n v="769"/>
  </r>
  <r>
    <x v="11"/>
    <x v="1313"/>
    <n v="422"/>
    <n v="360"/>
    <x v="0"/>
    <n v="62"/>
    <x v="3"/>
    <n v="0.75"/>
    <n v="574"/>
  </r>
  <r>
    <x v="11"/>
    <x v="1314"/>
    <n v="308"/>
    <n v="184"/>
    <x v="4"/>
    <n v="124"/>
    <x v="0"/>
    <n v="0.38333333333333336"/>
    <n v="1544"/>
  </r>
  <r>
    <x v="11"/>
    <x v="1315"/>
    <n v="372"/>
    <n v="360"/>
    <x v="0"/>
    <n v="12"/>
    <x v="3"/>
    <n v="0.75"/>
    <n v="574"/>
  </r>
  <r>
    <x v="11"/>
    <x v="1316"/>
    <n v="458"/>
    <n v="456"/>
    <x v="4"/>
    <n v="2"/>
    <x v="5"/>
    <n v="0.95"/>
    <n v="122"/>
  </r>
  <r>
    <x v="11"/>
    <x v="1317"/>
    <n v="494"/>
    <n v="390"/>
    <x v="5"/>
    <n v="104"/>
    <x v="3"/>
    <n v="0.8125"/>
    <n v="441"/>
  </r>
  <r>
    <x v="11"/>
    <x v="1318"/>
    <n v="393"/>
    <n v="352"/>
    <x v="0"/>
    <n v="41"/>
    <x v="3"/>
    <n v="0.73333333333333328"/>
    <n v="614"/>
  </r>
  <r>
    <x v="11"/>
    <x v="1319"/>
    <n v="411"/>
    <n v="297"/>
    <x v="0"/>
    <n v="114"/>
    <x v="4"/>
    <n v="0.61875000000000002"/>
    <n v="868"/>
  </r>
  <r>
    <x v="11"/>
    <x v="1320"/>
    <n v="457"/>
    <n v="447"/>
    <x v="4"/>
    <n v="10"/>
    <x v="5"/>
    <n v="0.93125000000000002"/>
    <n v="178"/>
  </r>
  <r>
    <x v="11"/>
    <x v="1321"/>
    <n v="374"/>
    <n v="354"/>
    <x v="5"/>
    <n v="20"/>
    <x v="3"/>
    <n v="0.73750000000000004"/>
    <n v="602"/>
  </r>
  <r>
    <x v="11"/>
    <x v="1322"/>
    <n v="446"/>
    <n v="442"/>
    <x v="5"/>
    <n v="4"/>
    <x v="5"/>
    <n v="0.92083333333333328"/>
    <n v="198"/>
  </r>
  <r>
    <x v="11"/>
    <x v="1323"/>
    <n v="494"/>
    <n v="353"/>
    <x v="0"/>
    <n v="141"/>
    <x v="3"/>
    <n v="0.73541666666666672"/>
    <n v="611"/>
  </r>
  <r>
    <x v="11"/>
    <x v="1324"/>
    <n v="346"/>
    <n v="335"/>
    <x v="3"/>
    <n v="11"/>
    <x v="3"/>
    <n v="0.69791666666666663"/>
    <n v="712"/>
  </r>
  <r>
    <x v="11"/>
    <x v="1325"/>
    <n v="451"/>
    <n v="254"/>
    <x v="0"/>
    <n v="197"/>
    <x v="4"/>
    <n v="0.52916666666666667"/>
    <n v="1073"/>
  </r>
  <r>
    <x v="11"/>
    <x v="1326"/>
    <n v="444"/>
    <n v="188"/>
    <x v="4"/>
    <n v="256"/>
    <x v="0"/>
    <n v="0.39166666666666666"/>
    <n v="1423"/>
  </r>
  <r>
    <x v="11"/>
    <x v="1327"/>
    <n v="478"/>
    <n v="310"/>
    <x v="4"/>
    <n v="168"/>
    <x v="3"/>
    <n v="0.64583333333333337"/>
    <n v="818"/>
  </r>
  <r>
    <x v="11"/>
    <x v="1328"/>
    <n v="325"/>
    <n v="158"/>
    <x v="4"/>
    <n v="167"/>
    <x v="0"/>
    <n v="0.32916666666666666"/>
    <n v="2207"/>
  </r>
  <r>
    <x v="11"/>
    <x v="1329"/>
    <n v="328"/>
    <n v="290"/>
    <x v="4"/>
    <n v="38"/>
    <x v="4"/>
    <n v="0.60416666666666663"/>
    <n v="905"/>
  </r>
  <r>
    <x v="11"/>
    <x v="1330"/>
    <n v="472"/>
    <n v="358"/>
    <x v="5"/>
    <n v="114"/>
    <x v="3"/>
    <n v="0.74583333333333335"/>
    <n v="586"/>
  </r>
  <r>
    <x v="11"/>
    <x v="1331"/>
    <n v="452"/>
    <n v="409"/>
    <x v="0"/>
    <n v="43"/>
    <x v="5"/>
    <n v="0.8520833333333333"/>
    <n v="348"/>
  </r>
  <r>
    <x v="11"/>
    <x v="1332"/>
    <n v="396"/>
    <n v="245"/>
    <x v="6"/>
    <n v="151"/>
    <x v="4"/>
    <n v="0.51041666666666663"/>
    <n v="1121"/>
  </r>
  <r>
    <x v="11"/>
    <x v="1333"/>
    <n v="488"/>
    <n v="432"/>
    <x v="4"/>
    <n v="56"/>
    <x v="5"/>
    <n v="0.9"/>
    <n v="254"/>
  </r>
  <r>
    <x v="11"/>
    <x v="1334"/>
    <n v="261"/>
    <n v="186"/>
    <x v="3"/>
    <n v="75"/>
    <x v="0"/>
    <n v="0.38750000000000001"/>
    <n v="1478"/>
  </r>
  <r>
    <x v="11"/>
    <x v="1335"/>
    <n v="378"/>
    <n v="233"/>
    <x v="1"/>
    <n v="145"/>
    <x v="4"/>
    <n v="0.48541666666666666"/>
    <n v="1175"/>
  </r>
  <r>
    <x v="11"/>
    <x v="1336"/>
    <n v="448"/>
    <n v="361"/>
    <x v="0"/>
    <n v="87"/>
    <x v="3"/>
    <n v="0.75208333333333333"/>
    <n v="570"/>
  </r>
  <r>
    <x v="11"/>
    <x v="1337"/>
    <n v="430"/>
    <n v="410"/>
    <x v="0"/>
    <n v="20"/>
    <x v="5"/>
    <n v="0.85416666666666663"/>
    <n v="341"/>
  </r>
  <r>
    <x v="11"/>
    <x v="1338"/>
    <n v="354"/>
    <n v="163"/>
    <x v="4"/>
    <n v="191"/>
    <x v="0"/>
    <n v="0.33958333333333335"/>
    <n v="2075"/>
  </r>
  <r>
    <x v="11"/>
    <x v="1339"/>
    <n v="499"/>
    <n v="454"/>
    <x v="5"/>
    <n v="45"/>
    <x v="5"/>
    <n v="0.9458333333333333"/>
    <n v="131"/>
  </r>
  <r>
    <x v="11"/>
    <x v="1340"/>
    <n v="416"/>
    <n v="397"/>
    <x v="5"/>
    <n v="19"/>
    <x v="3"/>
    <n v="0.82708333333333328"/>
    <n v="412"/>
  </r>
  <r>
    <x v="11"/>
    <x v="1341"/>
    <n v="442"/>
    <n v="367"/>
    <x v="5"/>
    <n v="75"/>
    <x v="3"/>
    <n v="0.76458333333333328"/>
    <n v="551"/>
  </r>
  <r>
    <x v="11"/>
    <x v="1342"/>
    <n v="484"/>
    <n v="435"/>
    <x v="0"/>
    <n v="49"/>
    <x v="5"/>
    <n v="0.90625"/>
    <n v="238"/>
  </r>
  <r>
    <x v="11"/>
    <x v="1343"/>
    <n v="348"/>
    <n v="283"/>
    <x v="4"/>
    <n v="65"/>
    <x v="4"/>
    <n v="0.58958333333333335"/>
    <n v="933"/>
  </r>
  <r>
    <x v="11"/>
    <x v="1344"/>
    <n v="492"/>
    <n v="296"/>
    <x v="4"/>
    <n v="196"/>
    <x v="4"/>
    <n v="0.6166666666666667"/>
    <n v="874"/>
  </r>
  <r>
    <x v="11"/>
    <x v="1345"/>
    <n v="489"/>
    <n v="271"/>
    <x v="4"/>
    <n v="218"/>
    <x v="4"/>
    <n v="0.56458333333333333"/>
    <n v="995"/>
  </r>
  <r>
    <x v="11"/>
    <x v="1346"/>
    <n v="349"/>
    <n v="202"/>
    <x v="4"/>
    <n v="147"/>
    <x v="4"/>
    <n v="0.42083333333333334"/>
    <n v="1301"/>
  </r>
  <r>
    <x v="11"/>
    <x v="1347"/>
    <n v="307"/>
    <n v="239"/>
    <x v="4"/>
    <n v="68"/>
    <x v="4"/>
    <n v="0.49791666666666667"/>
    <n v="1145"/>
  </r>
  <r>
    <x v="11"/>
    <x v="1348"/>
    <n v="408"/>
    <n v="342"/>
    <x v="4"/>
    <n v="66"/>
    <x v="3"/>
    <n v="0.71250000000000002"/>
    <n v="670"/>
  </r>
  <r>
    <x v="11"/>
    <x v="1349"/>
    <n v="377"/>
    <n v="185"/>
    <x v="1"/>
    <n v="192"/>
    <x v="0"/>
    <n v="0.38541666666666669"/>
    <n v="1517"/>
  </r>
  <r>
    <x v="11"/>
    <x v="1350"/>
    <n v="322"/>
    <n v="167"/>
    <x v="4"/>
    <n v="155"/>
    <x v="0"/>
    <n v="0.34791666666666665"/>
    <n v="1979"/>
  </r>
  <r>
    <x v="11"/>
    <x v="1351"/>
    <n v="302"/>
    <n v="208"/>
    <x v="3"/>
    <n v="94"/>
    <x v="4"/>
    <n v="0.43333333333333335"/>
    <n v="1282"/>
  </r>
  <r>
    <x v="11"/>
    <x v="1352"/>
    <n v="461"/>
    <n v="345"/>
    <x v="4"/>
    <n v="116"/>
    <x v="3"/>
    <n v="0.71875"/>
    <n v="651"/>
  </r>
  <r>
    <x v="11"/>
    <x v="1353"/>
    <n v="326"/>
    <n v="281"/>
    <x v="4"/>
    <n v="45"/>
    <x v="4"/>
    <n v="0.5854166666666667"/>
    <n v="946"/>
  </r>
  <r>
    <x v="11"/>
    <x v="1354"/>
    <n v="461"/>
    <n v="439"/>
    <x v="5"/>
    <n v="22"/>
    <x v="5"/>
    <n v="0.9145833333333333"/>
    <n v="215"/>
  </r>
  <r>
    <x v="11"/>
    <x v="1355"/>
    <n v="369"/>
    <n v="341"/>
    <x v="4"/>
    <n v="28"/>
    <x v="3"/>
    <n v="0.7104166666666667"/>
    <n v="674"/>
  </r>
  <r>
    <x v="11"/>
    <x v="1356"/>
    <n v="485"/>
    <n v="448"/>
    <x v="4"/>
    <n v="37"/>
    <x v="5"/>
    <n v="0.93333333333333335"/>
    <n v="166"/>
  </r>
  <r>
    <x v="11"/>
    <x v="1357"/>
    <n v="487"/>
    <n v="244"/>
    <x v="4"/>
    <n v="243"/>
    <x v="4"/>
    <n v="0.5083333333333333"/>
    <n v="1127"/>
  </r>
  <r>
    <x v="11"/>
    <x v="1358"/>
    <n v="384"/>
    <n v="337"/>
    <x v="4"/>
    <n v="47"/>
    <x v="3"/>
    <n v="0.70208333333333328"/>
    <n v="694"/>
  </r>
  <r>
    <x v="11"/>
    <x v="1359"/>
    <n v="449"/>
    <n v="337"/>
    <x v="3"/>
    <n v="112"/>
    <x v="3"/>
    <n v="0.70208333333333328"/>
    <n v="694"/>
  </r>
  <r>
    <x v="11"/>
    <x v="1360"/>
    <n v="482"/>
    <n v="476"/>
    <x v="4"/>
    <n v="6"/>
    <x v="5"/>
    <n v="0.9916666666666667"/>
    <n v="18"/>
  </r>
  <r>
    <x v="11"/>
    <x v="1361"/>
    <n v="303"/>
    <n v="273"/>
    <x v="4"/>
    <n v="30"/>
    <x v="4"/>
    <n v="0.56874999999999998"/>
    <n v="988"/>
  </r>
  <r>
    <x v="11"/>
    <x v="1362"/>
    <n v="500"/>
    <n v="359"/>
    <x v="0"/>
    <n v="141"/>
    <x v="3"/>
    <n v="0.74791666666666667"/>
    <n v="582"/>
  </r>
  <r>
    <x v="11"/>
    <x v="1363"/>
    <n v="484"/>
    <n v="381"/>
    <x v="4"/>
    <n v="103"/>
    <x v="3"/>
    <n v="0.79374999999999996"/>
    <n v="478"/>
  </r>
  <r>
    <x v="11"/>
    <x v="1364"/>
    <n v="344"/>
    <n v="267"/>
    <x v="2"/>
    <n v="77"/>
    <x v="4"/>
    <n v="0.55625000000000002"/>
    <n v="1011"/>
  </r>
  <r>
    <x v="11"/>
    <x v="1365"/>
    <n v="311"/>
    <n v="291"/>
    <x v="2"/>
    <n v="20"/>
    <x v="4"/>
    <n v="0.60624999999999996"/>
    <n v="898"/>
  </r>
  <r>
    <x v="11"/>
    <x v="1366"/>
    <n v="493"/>
    <n v="289"/>
    <x v="2"/>
    <n v="204"/>
    <x v="4"/>
    <n v="0.6020833333333333"/>
    <n v="910"/>
  </r>
  <r>
    <x v="11"/>
    <x v="1367"/>
    <n v="500"/>
    <n v="472"/>
    <x v="4"/>
    <n v="28"/>
    <x v="5"/>
    <n v="0.98333333333333328"/>
    <n v="43"/>
  </r>
  <r>
    <x v="11"/>
    <x v="1368"/>
    <n v="472"/>
    <n v="469"/>
    <x v="1"/>
    <n v="3"/>
    <x v="5"/>
    <n v="0.9770833333333333"/>
    <n v="59"/>
  </r>
  <r>
    <x v="11"/>
    <x v="1369"/>
    <n v="455"/>
    <n v="398"/>
    <x v="4"/>
    <n v="57"/>
    <x v="3"/>
    <n v="0.82916666666666672"/>
    <n v="404"/>
  </r>
  <r>
    <x v="11"/>
    <x v="1370"/>
    <n v="412"/>
    <n v="324"/>
    <x v="0"/>
    <n v="88"/>
    <x v="3"/>
    <n v="0.67500000000000004"/>
    <n v="760"/>
  </r>
  <r>
    <x v="11"/>
    <x v="1371"/>
    <n v="482"/>
    <n v="370"/>
    <x v="4"/>
    <n v="112"/>
    <x v="3"/>
    <n v="0.77083333333333337"/>
    <n v="538"/>
  </r>
  <r>
    <x v="11"/>
    <x v="1372"/>
    <n v="363"/>
    <n v="242"/>
    <x v="6"/>
    <n v="121"/>
    <x v="4"/>
    <n v="0.50416666666666665"/>
    <n v="1134"/>
  </r>
  <r>
    <x v="11"/>
    <x v="1373"/>
    <n v="348"/>
    <n v="301"/>
    <x v="4"/>
    <n v="47"/>
    <x v="3"/>
    <n v="0.62708333333333333"/>
    <n v="844"/>
  </r>
  <r>
    <x v="11"/>
    <x v="1374"/>
    <n v="489"/>
    <n v="469"/>
    <x v="4"/>
    <n v="20"/>
    <x v="5"/>
    <n v="0.9770833333333333"/>
    <n v="59"/>
  </r>
  <r>
    <x v="11"/>
    <x v="1375"/>
    <n v="478"/>
    <n v="407"/>
    <x v="4"/>
    <n v="71"/>
    <x v="5"/>
    <n v="0.84791666666666665"/>
    <n v="354"/>
  </r>
  <r>
    <x v="11"/>
    <x v="1376"/>
    <n v="366"/>
    <n v="267"/>
    <x v="1"/>
    <n v="99"/>
    <x v="4"/>
    <n v="0.55625000000000002"/>
    <n v="1011"/>
  </r>
  <r>
    <x v="11"/>
    <x v="1377"/>
    <n v="491"/>
    <n v="469"/>
    <x v="4"/>
    <n v="22"/>
    <x v="5"/>
    <n v="0.9770833333333333"/>
    <n v="59"/>
  </r>
  <r>
    <x v="11"/>
    <x v="1378"/>
    <n v="492"/>
    <n v="209"/>
    <x v="3"/>
    <n v="283"/>
    <x v="4"/>
    <n v="0.43541666666666667"/>
    <n v="1277"/>
  </r>
  <r>
    <x v="11"/>
    <x v="1379"/>
    <n v="486"/>
    <n v="417"/>
    <x v="4"/>
    <n v="69"/>
    <x v="5"/>
    <n v="0.86875000000000002"/>
    <n v="316"/>
  </r>
  <r>
    <x v="11"/>
    <x v="1380"/>
    <n v="374"/>
    <n v="170"/>
    <x v="2"/>
    <n v="204"/>
    <x v="0"/>
    <n v="0.35416666666666669"/>
    <n v="1898"/>
  </r>
  <r>
    <x v="11"/>
    <x v="1381"/>
    <n v="371"/>
    <n v="291"/>
    <x v="4"/>
    <n v="80"/>
    <x v="4"/>
    <n v="0.60624999999999996"/>
    <n v="898"/>
  </r>
  <r>
    <x v="11"/>
    <x v="1382"/>
    <n v="260"/>
    <n v="164"/>
    <x v="5"/>
    <n v="96"/>
    <x v="0"/>
    <n v="0.34166666666666667"/>
    <n v="2049"/>
  </r>
  <r>
    <x v="11"/>
    <x v="1383"/>
    <n v="308"/>
    <n v="159"/>
    <x v="0"/>
    <n v="149"/>
    <x v="0"/>
    <n v="0.33124999999999999"/>
    <n v="2183"/>
  </r>
  <r>
    <x v="11"/>
    <x v="1384"/>
    <n v="361"/>
    <n v="350"/>
    <x v="5"/>
    <n v="11"/>
    <x v="3"/>
    <n v="0.72916666666666663"/>
    <n v="621"/>
  </r>
  <r>
    <x v="11"/>
    <x v="1385"/>
    <n v="435"/>
    <n v="392"/>
    <x v="0"/>
    <n v="43"/>
    <x v="3"/>
    <n v="0.81666666666666665"/>
    <n v="431"/>
  </r>
  <r>
    <x v="11"/>
    <x v="1386"/>
    <n v="373"/>
    <n v="315"/>
    <x v="0"/>
    <n v="58"/>
    <x v="3"/>
    <n v="0.65625"/>
    <n v="804"/>
  </r>
  <r>
    <x v="11"/>
    <x v="1387"/>
    <n v="417"/>
    <n v="369"/>
    <x v="0"/>
    <n v="48"/>
    <x v="3"/>
    <n v="0.76875000000000004"/>
    <n v="543"/>
  </r>
  <r>
    <x v="11"/>
    <x v="1388"/>
    <n v="487"/>
    <n v="193"/>
    <x v="4"/>
    <n v="294"/>
    <x v="0"/>
    <n v="0.40208333333333335"/>
    <n v="1342"/>
  </r>
  <r>
    <x v="11"/>
    <x v="1389"/>
    <n v="260"/>
    <n v="170"/>
    <x v="1"/>
    <n v="90"/>
    <x v="0"/>
    <n v="0.35416666666666669"/>
    <n v="1898"/>
  </r>
  <r>
    <x v="11"/>
    <x v="1390"/>
    <n v="415"/>
    <n v="376"/>
    <x v="1"/>
    <n v="39"/>
    <x v="3"/>
    <n v="0.78333333333333333"/>
    <n v="507"/>
  </r>
  <r>
    <x v="11"/>
    <x v="1391"/>
    <n v="484"/>
    <n v="450"/>
    <x v="5"/>
    <n v="34"/>
    <x v="5"/>
    <n v="0.9375"/>
    <n v="159"/>
  </r>
  <r>
    <x v="11"/>
    <x v="1392"/>
    <n v="279"/>
    <n v="167"/>
    <x v="1"/>
    <n v="112"/>
    <x v="0"/>
    <n v="0.34791666666666665"/>
    <n v="1979"/>
  </r>
  <r>
    <x v="11"/>
    <x v="1393"/>
    <n v="376"/>
    <n v="224"/>
    <x v="2"/>
    <n v="152"/>
    <x v="4"/>
    <n v="0.46666666666666667"/>
    <n v="1211"/>
  </r>
  <r>
    <x v="11"/>
    <x v="1394"/>
    <n v="492"/>
    <n v="438"/>
    <x v="5"/>
    <n v="54"/>
    <x v="5"/>
    <n v="0.91249999999999998"/>
    <n v="218"/>
  </r>
  <r>
    <x v="11"/>
    <x v="1395"/>
    <n v="314"/>
    <n v="217"/>
    <x v="4"/>
    <n v="97"/>
    <x v="4"/>
    <n v="0.45208333333333334"/>
    <n v="1242"/>
  </r>
  <r>
    <x v="11"/>
    <x v="1396"/>
    <n v="345"/>
    <n v="201"/>
    <x v="4"/>
    <n v="144"/>
    <x v="4"/>
    <n v="0.41875000000000001"/>
    <n v="1305"/>
  </r>
  <r>
    <x v="11"/>
    <x v="1397"/>
    <n v="371"/>
    <n v="268"/>
    <x v="0"/>
    <n v="103"/>
    <x v="4"/>
    <n v="0.55833333333333335"/>
    <n v="1008"/>
  </r>
  <r>
    <x v="11"/>
    <x v="1398"/>
    <n v="403"/>
    <n v="369"/>
    <x v="5"/>
    <n v="34"/>
    <x v="3"/>
    <n v="0.76875000000000004"/>
    <n v="543"/>
  </r>
  <r>
    <x v="11"/>
    <x v="1399"/>
    <n v="215"/>
    <n v="171"/>
    <x v="4"/>
    <n v="44"/>
    <x v="0"/>
    <n v="0.35625000000000001"/>
    <n v="1866"/>
  </r>
  <r>
    <x v="11"/>
    <x v="1400"/>
    <n v="377"/>
    <n v="186"/>
    <x v="4"/>
    <n v="191"/>
    <x v="0"/>
    <n v="0.38750000000000001"/>
    <n v="1478"/>
  </r>
  <r>
    <x v="11"/>
    <x v="1401"/>
    <n v="475"/>
    <n v="412"/>
    <x v="5"/>
    <n v="63"/>
    <x v="5"/>
    <n v="0.85833333333333328"/>
    <n v="336"/>
  </r>
  <r>
    <x v="11"/>
    <x v="1402"/>
    <n v="332"/>
    <n v="265"/>
    <x v="1"/>
    <n v="67"/>
    <x v="4"/>
    <n v="0.55208333333333337"/>
    <n v="1022"/>
  </r>
  <r>
    <x v="11"/>
    <x v="1403"/>
    <n v="498"/>
    <n v="459"/>
    <x v="4"/>
    <n v="39"/>
    <x v="5"/>
    <n v="0.95625000000000004"/>
    <n v="112"/>
  </r>
  <r>
    <x v="11"/>
    <x v="1404"/>
    <n v="483"/>
    <n v="449"/>
    <x v="4"/>
    <n v="34"/>
    <x v="5"/>
    <n v="0.93541666666666667"/>
    <n v="161"/>
  </r>
  <r>
    <x v="11"/>
    <x v="1405"/>
    <n v="461"/>
    <n v="424"/>
    <x v="5"/>
    <n v="37"/>
    <x v="5"/>
    <n v="0.8833333333333333"/>
    <n v="293"/>
  </r>
  <r>
    <x v="11"/>
    <x v="1406"/>
    <n v="465"/>
    <n v="222"/>
    <x v="4"/>
    <n v="243"/>
    <x v="4"/>
    <n v="0.46250000000000002"/>
    <n v="1222"/>
  </r>
  <r>
    <x v="11"/>
    <x v="1407"/>
    <n v="359"/>
    <n v="272"/>
    <x v="4"/>
    <n v="87"/>
    <x v="4"/>
    <n v="0.56666666666666665"/>
    <n v="991"/>
  </r>
  <r>
    <x v="11"/>
    <x v="1408"/>
    <n v="466"/>
    <n v="407"/>
    <x v="0"/>
    <n v="59"/>
    <x v="5"/>
    <n v="0.84791666666666665"/>
    <n v="354"/>
  </r>
  <r>
    <x v="11"/>
    <x v="1409"/>
    <n v="453"/>
    <n v="448"/>
    <x v="1"/>
    <n v="5"/>
    <x v="5"/>
    <n v="0.93333333333333335"/>
    <n v="166"/>
  </r>
  <r>
    <x v="11"/>
    <x v="1410"/>
    <n v="271"/>
    <n v="176"/>
    <x v="5"/>
    <n v="95"/>
    <x v="0"/>
    <n v="0.36666666666666664"/>
    <n v="1754"/>
  </r>
  <r>
    <x v="11"/>
    <x v="1411"/>
    <n v="446"/>
    <n v="374"/>
    <x v="4"/>
    <n v="72"/>
    <x v="3"/>
    <n v="0.77916666666666667"/>
    <n v="521"/>
  </r>
  <r>
    <x v="11"/>
    <x v="1412"/>
    <n v="412"/>
    <n v="279"/>
    <x v="1"/>
    <n v="133"/>
    <x v="4"/>
    <n v="0.58125000000000004"/>
    <n v="957"/>
  </r>
  <r>
    <x v="11"/>
    <x v="1413"/>
    <n v="278"/>
    <n v="189"/>
    <x v="4"/>
    <n v="89"/>
    <x v="0"/>
    <n v="0.39374999999999999"/>
    <n v="1395"/>
  </r>
  <r>
    <x v="11"/>
    <x v="1414"/>
    <n v="320"/>
    <n v="238"/>
    <x v="4"/>
    <n v="82"/>
    <x v="4"/>
    <n v="0.49583333333333335"/>
    <n v="1154"/>
  </r>
  <r>
    <x v="11"/>
    <x v="1415"/>
    <n v="222"/>
    <n v="164"/>
    <x v="4"/>
    <n v="58"/>
    <x v="0"/>
    <n v="0.34166666666666667"/>
    <n v="2049"/>
  </r>
  <r>
    <x v="11"/>
    <x v="1416"/>
    <n v="422"/>
    <n v="335"/>
    <x v="0"/>
    <n v="87"/>
    <x v="3"/>
    <n v="0.69791666666666663"/>
    <n v="712"/>
  </r>
  <r>
    <x v="11"/>
    <x v="1417"/>
    <n v="329"/>
    <n v="285"/>
    <x v="3"/>
    <n v="44"/>
    <x v="4"/>
    <n v="0.59375"/>
    <n v="928"/>
  </r>
  <r>
    <x v="11"/>
    <x v="1418"/>
    <n v="447"/>
    <n v="386"/>
    <x v="0"/>
    <n v="61"/>
    <x v="3"/>
    <n v="0.8041666666666667"/>
    <n v="456"/>
  </r>
  <r>
    <x v="11"/>
    <x v="1419"/>
    <n v="365"/>
    <n v="242"/>
    <x v="4"/>
    <n v="123"/>
    <x v="4"/>
    <n v="0.50416666666666665"/>
    <n v="1134"/>
  </r>
  <r>
    <x v="11"/>
    <x v="1420"/>
    <n v="409"/>
    <n v="250"/>
    <x v="0"/>
    <n v="159"/>
    <x v="4"/>
    <n v="0.52083333333333337"/>
    <n v="1092"/>
  </r>
  <r>
    <x v="11"/>
    <x v="1421"/>
    <n v="160"/>
    <n v="156"/>
    <x v="4"/>
    <n v="4"/>
    <x v="0"/>
    <n v="0.32500000000000001"/>
    <n v="2251"/>
  </r>
  <r>
    <x v="11"/>
    <x v="1422"/>
    <n v="474"/>
    <n v="447"/>
    <x v="1"/>
    <n v="27"/>
    <x v="5"/>
    <n v="0.93125000000000002"/>
    <n v="178"/>
  </r>
  <r>
    <x v="11"/>
    <x v="1423"/>
    <n v="450"/>
    <n v="448"/>
    <x v="5"/>
    <n v="2"/>
    <x v="5"/>
    <n v="0.93333333333333335"/>
    <n v="166"/>
  </r>
  <r>
    <x v="11"/>
    <x v="1424"/>
    <n v="437"/>
    <n v="333"/>
    <x v="1"/>
    <n v="104"/>
    <x v="3"/>
    <n v="0.69374999999999998"/>
    <n v="721"/>
  </r>
  <r>
    <x v="11"/>
    <x v="1425"/>
    <n v="379"/>
    <n v="169"/>
    <x v="1"/>
    <n v="210"/>
    <x v="0"/>
    <n v="0.35208333333333336"/>
    <n v="1925"/>
  </r>
  <r>
    <x v="11"/>
    <x v="1426"/>
    <n v="448"/>
    <n v="423"/>
    <x v="5"/>
    <n v="25"/>
    <x v="5"/>
    <n v="0.88124999999999998"/>
    <n v="295"/>
  </r>
  <r>
    <x v="11"/>
    <x v="1427"/>
    <n v="366"/>
    <n v="239"/>
    <x v="4"/>
    <n v="127"/>
    <x v="4"/>
    <n v="0.49791666666666667"/>
    <n v="1145"/>
  </r>
  <r>
    <x v="12"/>
    <x v="784"/>
    <n v="277"/>
    <n v="65"/>
    <x v="4"/>
    <n v="212"/>
    <x v="1"/>
    <n v="0.13541666666666666"/>
    <n v="4267"/>
  </r>
  <r>
    <x v="12"/>
    <x v="785"/>
    <n v="293"/>
    <n v="39"/>
    <x v="5"/>
    <n v="254"/>
    <x v="2"/>
    <n v="8.1250000000000003E-2"/>
    <n v="4829"/>
  </r>
  <r>
    <x v="12"/>
    <x v="786"/>
    <n v="135"/>
    <n v="104"/>
    <x v="6"/>
    <n v="31"/>
    <x v="0"/>
    <n v="0.21666666666666667"/>
    <n v="3454"/>
  </r>
  <r>
    <x v="12"/>
    <x v="787"/>
    <n v="123"/>
    <n v="71"/>
    <x v="5"/>
    <n v="52"/>
    <x v="1"/>
    <n v="0.14791666666666667"/>
    <n v="4129"/>
  </r>
  <r>
    <x v="12"/>
    <x v="788"/>
    <n v="250"/>
    <n v="69"/>
    <x v="6"/>
    <n v="181"/>
    <x v="1"/>
    <n v="0.14374999999999999"/>
    <n v="4186"/>
  </r>
  <r>
    <x v="12"/>
    <x v="789"/>
    <n v="152"/>
    <n v="140"/>
    <x v="2"/>
    <n v="12"/>
    <x v="0"/>
    <n v="0.29166666666666669"/>
    <n v="2627"/>
  </r>
  <r>
    <x v="12"/>
    <x v="790"/>
    <n v="224"/>
    <n v="51"/>
    <x v="1"/>
    <n v="173"/>
    <x v="1"/>
    <n v="0.10625"/>
    <n v="4578"/>
  </r>
  <r>
    <x v="12"/>
    <x v="1428"/>
    <n v="223"/>
    <n v="164"/>
    <x v="6"/>
    <n v="59"/>
    <x v="0"/>
    <n v="0.34166666666666667"/>
    <n v="2049"/>
  </r>
  <r>
    <x v="12"/>
    <x v="1429"/>
    <n v="189"/>
    <n v="130"/>
    <x v="2"/>
    <n v="59"/>
    <x v="0"/>
    <n v="0.27083333333333331"/>
    <n v="2832"/>
  </r>
  <r>
    <x v="12"/>
    <x v="1430"/>
    <n v="69"/>
    <n v="45"/>
    <x v="2"/>
    <n v="24"/>
    <x v="2"/>
    <n v="9.375E-2"/>
    <n v="4702"/>
  </r>
  <r>
    <x v="12"/>
    <x v="1431"/>
    <n v="131"/>
    <n v="110"/>
    <x v="0"/>
    <n v="21"/>
    <x v="0"/>
    <n v="0.22916666666666666"/>
    <n v="3302"/>
  </r>
  <r>
    <x v="12"/>
    <x v="1432"/>
    <n v="274"/>
    <n v="119"/>
    <x v="5"/>
    <n v="155"/>
    <x v="0"/>
    <n v="0.24791666666666667"/>
    <n v="3093"/>
  </r>
  <r>
    <x v="12"/>
    <x v="1433"/>
    <n v="247"/>
    <n v="72"/>
    <x v="3"/>
    <n v="175"/>
    <x v="1"/>
    <n v="0.15"/>
    <n v="4100"/>
  </r>
  <r>
    <x v="12"/>
    <x v="1434"/>
    <n v="175"/>
    <n v="171"/>
    <x v="5"/>
    <n v="4"/>
    <x v="0"/>
    <n v="0.35625000000000001"/>
    <n v="1866"/>
  </r>
  <r>
    <x v="12"/>
    <x v="1435"/>
    <n v="122"/>
    <n v="47"/>
    <x v="2"/>
    <n v="75"/>
    <x v="2"/>
    <n v="9.7916666666666666E-2"/>
    <n v="4656"/>
  </r>
  <r>
    <x v="12"/>
    <x v="1436"/>
    <n v="77"/>
    <n v="50"/>
    <x v="1"/>
    <n v="27"/>
    <x v="2"/>
    <n v="0.10416666666666667"/>
    <n v="4596"/>
  </r>
  <r>
    <x v="12"/>
    <x v="1437"/>
    <n v="229"/>
    <n v="119"/>
    <x v="2"/>
    <n v="110"/>
    <x v="0"/>
    <n v="0.24791666666666667"/>
    <n v="3093"/>
  </r>
  <r>
    <x v="12"/>
    <x v="1438"/>
    <n v="188"/>
    <n v="165"/>
    <x v="1"/>
    <n v="23"/>
    <x v="0"/>
    <n v="0.34375"/>
    <n v="2028"/>
  </r>
  <r>
    <x v="12"/>
    <x v="1439"/>
    <n v="227"/>
    <n v="181"/>
    <x v="4"/>
    <n v="46"/>
    <x v="0"/>
    <n v="0.37708333333333333"/>
    <n v="1609"/>
  </r>
  <r>
    <x v="12"/>
    <x v="1440"/>
    <n v="138"/>
    <n v="116"/>
    <x v="5"/>
    <n v="22"/>
    <x v="0"/>
    <n v="0.24166666666666667"/>
    <n v="3173"/>
  </r>
  <r>
    <x v="12"/>
    <x v="1441"/>
    <n v="154"/>
    <n v="89"/>
    <x v="2"/>
    <n v="65"/>
    <x v="1"/>
    <n v="0.18541666666666667"/>
    <n v="3772"/>
  </r>
  <r>
    <x v="12"/>
    <x v="1442"/>
    <n v="102"/>
    <n v="91"/>
    <x v="0"/>
    <n v="11"/>
    <x v="1"/>
    <n v="0.18958333333333333"/>
    <n v="3726"/>
  </r>
  <r>
    <x v="12"/>
    <x v="1443"/>
    <n v="150"/>
    <n v="42"/>
    <x v="0"/>
    <n v="108"/>
    <x v="2"/>
    <n v="8.7499999999999994E-2"/>
    <n v="4776"/>
  </r>
  <r>
    <x v="12"/>
    <x v="1444"/>
    <n v="246"/>
    <n v="43"/>
    <x v="5"/>
    <n v="203"/>
    <x v="2"/>
    <n v="8.9583333333333334E-2"/>
    <n v="4752"/>
  </r>
  <r>
    <x v="12"/>
    <x v="1445"/>
    <n v="293"/>
    <n v="136"/>
    <x v="6"/>
    <n v="157"/>
    <x v="0"/>
    <n v="0.28333333333333333"/>
    <n v="2692"/>
  </r>
  <r>
    <x v="12"/>
    <x v="1446"/>
    <n v="111"/>
    <n v="70"/>
    <x v="1"/>
    <n v="41"/>
    <x v="1"/>
    <n v="0.14583333333333334"/>
    <n v="4153"/>
  </r>
  <r>
    <x v="12"/>
    <x v="1447"/>
    <n v="301"/>
    <n v="147"/>
    <x v="2"/>
    <n v="154"/>
    <x v="0"/>
    <n v="0.30625000000000002"/>
    <n v="2478"/>
  </r>
  <r>
    <x v="12"/>
    <x v="1448"/>
    <n v="296"/>
    <n v="111"/>
    <x v="2"/>
    <n v="185"/>
    <x v="0"/>
    <n v="0.23125000000000001"/>
    <n v="3285"/>
  </r>
  <r>
    <x v="12"/>
    <x v="1449"/>
    <n v="156"/>
    <n v="141"/>
    <x v="0"/>
    <n v="15"/>
    <x v="0"/>
    <n v="0.29375000000000001"/>
    <n v="2609"/>
  </r>
  <r>
    <x v="12"/>
    <x v="1450"/>
    <n v="162"/>
    <n v="49"/>
    <x v="6"/>
    <n v="113"/>
    <x v="2"/>
    <n v="0.10208333333333333"/>
    <n v="4614"/>
  </r>
  <r>
    <x v="12"/>
    <x v="1451"/>
    <n v="131"/>
    <n v="46"/>
    <x v="1"/>
    <n v="85"/>
    <x v="2"/>
    <n v="9.583333333333334E-2"/>
    <n v="4680"/>
  </r>
  <r>
    <x v="12"/>
    <x v="1452"/>
    <n v="307"/>
    <n v="105"/>
    <x v="2"/>
    <n v="202"/>
    <x v="0"/>
    <n v="0.21875"/>
    <n v="3436"/>
  </r>
  <r>
    <x v="12"/>
    <x v="1453"/>
    <n v="319"/>
    <n v="82"/>
    <x v="3"/>
    <n v="237"/>
    <x v="1"/>
    <n v="0.17083333333333334"/>
    <n v="3904"/>
  </r>
  <r>
    <x v="12"/>
    <x v="1454"/>
    <n v="254"/>
    <n v="173"/>
    <x v="1"/>
    <n v="81"/>
    <x v="0"/>
    <n v="0.36041666666666666"/>
    <n v="1826"/>
  </r>
  <r>
    <x v="12"/>
    <x v="1455"/>
    <n v="231"/>
    <n v="143"/>
    <x v="1"/>
    <n v="88"/>
    <x v="0"/>
    <n v="0.29791666666666666"/>
    <n v="2567"/>
  </r>
  <r>
    <x v="12"/>
    <x v="1456"/>
    <n v="205"/>
    <n v="190"/>
    <x v="5"/>
    <n v="15"/>
    <x v="0"/>
    <n v="0.39583333333333331"/>
    <n v="1355"/>
  </r>
  <r>
    <x v="12"/>
    <x v="1457"/>
    <n v="199"/>
    <n v="182"/>
    <x v="6"/>
    <n v="17"/>
    <x v="0"/>
    <n v="0.37916666666666665"/>
    <n v="1593"/>
  </r>
  <r>
    <x v="12"/>
    <x v="1458"/>
    <n v="227"/>
    <n v="135"/>
    <x v="6"/>
    <n v="92"/>
    <x v="0"/>
    <n v="0.28125"/>
    <n v="2714"/>
  </r>
  <r>
    <x v="12"/>
    <x v="1459"/>
    <n v="158"/>
    <n v="42"/>
    <x v="4"/>
    <n v="116"/>
    <x v="2"/>
    <n v="8.7499999999999994E-2"/>
    <n v="4776"/>
  </r>
  <r>
    <x v="12"/>
    <x v="1460"/>
    <n v="140"/>
    <n v="117"/>
    <x v="1"/>
    <n v="23"/>
    <x v="0"/>
    <n v="0.24374999999999999"/>
    <n v="3144"/>
  </r>
  <r>
    <x v="12"/>
    <x v="1461"/>
    <n v="76"/>
    <n v="35"/>
    <x v="6"/>
    <n v="41"/>
    <x v="2"/>
    <n v="7.2916666666666671E-2"/>
    <n v="4916"/>
  </r>
  <r>
    <x v="12"/>
    <x v="1462"/>
    <n v="149"/>
    <n v="75"/>
    <x v="3"/>
    <n v="74"/>
    <x v="1"/>
    <n v="0.15625"/>
    <n v="4041"/>
  </r>
  <r>
    <x v="12"/>
    <x v="1463"/>
    <n v="246"/>
    <n v="160"/>
    <x v="5"/>
    <n v="86"/>
    <x v="0"/>
    <n v="0.33333333333333331"/>
    <n v="2154"/>
  </r>
  <r>
    <x v="12"/>
    <x v="1464"/>
    <n v="226"/>
    <n v="119"/>
    <x v="4"/>
    <n v="107"/>
    <x v="0"/>
    <n v="0.24791666666666667"/>
    <n v="3093"/>
  </r>
  <r>
    <x v="12"/>
    <x v="1465"/>
    <n v="180"/>
    <n v="155"/>
    <x v="6"/>
    <n v="25"/>
    <x v="0"/>
    <n v="0.32291666666666669"/>
    <n v="2275"/>
  </r>
  <r>
    <x v="12"/>
    <x v="1466"/>
    <n v="248"/>
    <n v="186"/>
    <x v="2"/>
    <n v="62"/>
    <x v="0"/>
    <n v="0.38750000000000001"/>
    <n v="1478"/>
  </r>
  <r>
    <x v="12"/>
    <x v="1467"/>
    <n v="201"/>
    <n v="107"/>
    <x v="0"/>
    <n v="94"/>
    <x v="0"/>
    <n v="0.22291666666666668"/>
    <n v="3387"/>
  </r>
  <r>
    <x v="12"/>
    <x v="1468"/>
    <n v="290"/>
    <n v="190"/>
    <x v="2"/>
    <n v="100"/>
    <x v="0"/>
    <n v="0.39583333333333331"/>
    <n v="1355"/>
  </r>
  <r>
    <x v="12"/>
    <x v="1469"/>
    <n v="169"/>
    <n v="130"/>
    <x v="0"/>
    <n v="39"/>
    <x v="0"/>
    <n v="0.27083333333333331"/>
    <n v="2832"/>
  </r>
  <r>
    <x v="12"/>
    <x v="1470"/>
    <n v="203"/>
    <n v="158"/>
    <x v="2"/>
    <n v="45"/>
    <x v="0"/>
    <n v="0.32916666666666666"/>
    <n v="2207"/>
  </r>
  <r>
    <x v="12"/>
    <x v="1471"/>
    <n v="156"/>
    <n v="62"/>
    <x v="2"/>
    <n v="94"/>
    <x v="1"/>
    <n v="0.12916666666666668"/>
    <n v="4343"/>
  </r>
  <r>
    <x v="12"/>
    <x v="1472"/>
    <n v="131"/>
    <n v="79"/>
    <x v="2"/>
    <n v="52"/>
    <x v="1"/>
    <n v="0.16458333333333333"/>
    <n v="3967"/>
  </r>
  <r>
    <x v="12"/>
    <x v="1473"/>
    <n v="144"/>
    <n v="124"/>
    <x v="2"/>
    <n v="20"/>
    <x v="0"/>
    <n v="0.25833333333333336"/>
    <n v="2971"/>
  </r>
  <r>
    <x v="12"/>
    <x v="1474"/>
    <n v="275"/>
    <n v="53"/>
    <x v="3"/>
    <n v="222"/>
    <x v="1"/>
    <n v="0.11041666666666666"/>
    <n v="4544"/>
  </r>
  <r>
    <x v="12"/>
    <x v="1475"/>
    <n v="150"/>
    <n v="147"/>
    <x v="6"/>
    <n v="3"/>
    <x v="0"/>
    <n v="0.30625000000000002"/>
    <n v="2478"/>
  </r>
  <r>
    <x v="12"/>
    <x v="1476"/>
    <n v="157"/>
    <n v="155"/>
    <x v="3"/>
    <n v="2"/>
    <x v="0"/>
    <n v="0.32291666666666669"/>
    <n v="2275"/>
  </r>
  <r>
    <x v="12"/>
    <x v="1477"/>
    <n v="110"/>
    <n v="35"/>
    <x v="5"/>
    <n v="75"/>
    <x v="2"/>
    <n v="7.2916666666666671E-2"/>
    <n v="4916"/>
  </r>
  <r>
    <x v="12"/>
    <x v="1478"/>
    <n v="147"/>
    <n v="90"/>
    <x v="1"/>
    <n v="57"/>
    <x v="1"/>
    <n v="0.1875"/>
    <n v="3750"/>
  </r>
  <r>
    <x v="12"/>
    <x v="1479"/>
    <n v="306"/>
    <n v="82"/>
    <x v="4"/>
    <n v="224"/>
    <x v="1"/>
    <n v="0.17083333333333334"/>
    <n v="3904"/>
  </r>
  <r>
    <x v="12"/>
    <x v="1480"/>
    <n v="185"/>
    <n v="153"/>
    <x v="1"/>
    <n v="32"/>
    <x v="0"/>
    <n v="0.31874999999999998"/>
    <n v="2329"/>
  </r>
  <r>
    <x v="12"/>
    <x v="1481"/>
    <n v="229"/>
    <n v="70"/>
    <x v="3"/>
    <n v="159"/>
    <x v="1"/>
    <n v="0.14583333333333334"/>
    <n v="4153"/>
  </r>
  <r>
    <x v="12"/>
    <x v="1482"/>
    <n v="166"/>
    <n v="132"/>
    <x v="3"/>
    <n v="34"/>
    <x v="0"/>
    <n v="0.27500000000000002"/>
    <n v="2792"/>
  </r>
  <r>
    <x v="12"/>
    <x v="1483"/>
    <n v="257"/>
    <n v="102"/>
    <x v="5"/>
    <n v="155"/>
    <x v="0"/>
    <n v="0.21249999999999999"/>
    <n v="3493"/>
  </r>
  <r>
    <x v="12"/>
    <x v="1484"/>
    <n v="163"/>
    <n v="112"/>
    <x v="5"/>
    <n v="51"/>
    <x v="0"/>
    <n v="0.23333333333333334"/>
    <n v="3267"/>
  </r>
  <r>
    <x v="12"/>
    <x v="1485"/>
    <n v="189"/>
    <n v="55"/>
    <x v="1"/>
    <n v="134"/>
    <x v="1"/>
    <n v="0.11458333333333333"/>
    <n v="4497"/>
  </r>
  <r>
    <x v="12"/>
    <x v="1486"/>
    <n v="184"/>
    <n v="139"/>
    <x v="5"/>
    <n v="45"/>
    <x v="0"/>
    <n v="0.28958333333333336"/>
    <n v="2647"/>
  </r>
  <r>
    <x v="12"/>
    <x v="1487"/>
    <n v="56"/>
    <n v="46"/>
    <x v="4"/>
    <n v="10"/>
    <x v="2"/>
    <n v="9.583333333333334E-2"/>
    <n v="4680"/>
  </r>
  <r>
    <x v="12"/>
    <x v="1488"/>
    <n v="219"/>
    <n v="133"/>
    <x v="5"/>
    <n v="86"/>
    <x v="0"/>
    <n v="0.27708333333333335"/>
    <n v="2758"/>
  </r>
  <r>
    <x v="12"/>
    <x v="1489"/>
    <n v="265"/>
    <n v="116"/>
    <x v="1"/>
    <n v="149"/>
    <x v="0"/>
    <n v="0.24166666666666667"/>
    <n v="3173"/>
  </r>
  <r>
    <x v="12"/>
    <x v="1490"/>
    <n v="198"/>
    <n v="189"/>
    <x v="3"/>
    <n v="9"/>
    <x v="0"/>
    <n v="0.39374999999999999"/>
    <n v="1395"/>
  </r>
  <r>
    <x v="12"/>
    <x v="1491"/>
    <n v="196"/>
    <n v="172"/>
    <x v="6"/>
    <n v="24"/>
    <x v="0"/>
    <n v="0.35833333333333334"/>
    <n v="1852"/>
  </r>
  <r>
    <x v="12"/>
    <x v="1492"/>
    <n v="130"/>
    <n v="99"/>
    <x v="4"/>
    <n v="31"/>
    <x v="1"/>
    <n v="0.20624999999999999"/>
    <n v="3553"/>
  </r>
  <r>
    <x v="12"/>
    <x v="1493"/>
    <n v="274"/>
    <n v="134"/>
    <x v="0"/>
    <n v="140"/>
    <x v="0"/>
    <n v="0.27916666666666667"/>
    <n v="2740"/>
  </r>
  <r>
    <x v="12"/>
    <x v="1494"/>
    <n v="171"/>
    <n v="152"/>
    <x v="3"/>
    <n v="19"/>
    <x v="0"/>
    <n v="0.31666666666666665"/>
    <n v="2349"/>
  </r>
  <r>
    <x v="12"/>
    <x v="1495"/>
    <n v="131"/>
    <n v="108"/>
    <x v="1"/>
    <n v="23"/>
    <x v="0"/>
    <n v="0.22500000000000001"/>
    <n v="3362"/>
  </r>
  <r>
    <x v="12"/>
    <x v="1496"/>
    <n v="192"/>
    <n v="180"/>
    <x v="6"/>
    <n v="12"/>
    <x v="0"/>
    <n v="0.375"/>
    <n v="1635"/>
  </r>
  <r>
    <x v="12"/>
    <x v="1497"/>
    <n v="289"/>
    <n v="173"/>
    <x v="3"/>
    <n v="116"/>
    <x v="0"/>
    <n v="0.36041666666666666"/>
    <n v="1826"/>
  </r>
  <r>
    <x v="12"/>
    <x v="1498"/>
    <n v="195"/>
    <n v="125"/>
    <x v="5"/>
    <n v="70"/>
    <x v="0"/>
    <n v="0.26041666666666669"/>
    <n v="2951"/>
  </r>
  <r>
    <x v="12"/>
    <x v="1499"/>
    <n v="291"/>
    <n v="98"/>
    <x v="2"/>
    <n v="193"/>
    <x v="1"/>
    <n v="0.20416666666666666"/>
    <n v="3574"/>
  </r>
  <r>
    <x v="12"/>
    <x v="1500"/>
    <n v="230"/>
    <n v="142"/>
    <x v="5"/>
    <n v="88"/>
    <x v="0"/>
    <n v="0.29583333333333334"/>
    <n v="2585"/>
  </r>
  <r>
    <x v="12"/>
    <x v="1501"/>
    <n v="129"/>
    <n v="69"/>
    <x v="2"/>
    <n v="60"/>
    <x v="1"/>
    <n v="0.14374999999999999"/>
    <n v="4186"/>
  </r>
  <r>
    <x v="12"/>
    <x v="1502"/>
    <n v="278"/>
    <n v="183"/>
    <x v="2"/>
    <n v="95"/>
    <x v="0"/>
    <n v="0.38124999999999998"/>
    <n v="1572"/>
  </r>
  <r>
    <x v="12"/>
    <x v="1503"/>
    <n v="313"/>
    <n v="166"/>
    <x v="2"/>
    <n v="147"/>
    <x v="0"/>
    <n v="0.34583333333333333"/>
    <n v="2007"/>
  </r>
  <r>
    <x v="12"/>
    <x v="1504"/>
    <n v="215"/>
    <n v="154"/>
    <x v="5"/>
    <n v="61"/>
    <x v="0"/>
    <n v="0.32083333333333336"/>
    <n v="2307"/>
  </r>
  <r>
    <x v="13"/>
    <x v="1505"/>
    <n v="257"/>
    <n v="238"/>
    <x v="2"/>
    <n v="19"/>
    <x v="4"/>
    <n v="0.49583333333333335"/>
    <n v="1154"/>
  </r>
  <r>
    <x v="13"/>
    <x v="1506"/>
    <n v="491"/>
    <n v="160"/>
    <x v="1"/>
    <n v="331"/>
    <x v="0"/>
    <n v="0.33333333333333331"/>
    <n v="2154"/>
  </r>
  <r>
    <x v="13"/>
    <x v="1507"/>
    <n v="325"/>
    <n v="193"/>
    <x v="3"/>
    <n v="132"/>
    <x v="0"/>
    <n v="0.40208333333333335"/>
    <n v="1342"/>
  </r>
  <r>
    <x v="13"/>
    <x v="1508"/>
    <n v="418"/>
    <n v="188"/>
    <x v="2"/>
    <n v="230"/>
    <x v="0"/>
    <n v="0.39166666666666666"/>
    <n v="1423"/>
  </r>
  <r>
    <x v="13"/>
    <x v="1509"/>
    <n v="479"/>
    <n v="434"/>
    <x v="0"/>
    <n v="45"/>
    <x v="5"/>
    <n v="0.90416666666666667"/>
    <n v="242"/>
  </r>
  <r>
    <x v="13"/>
    <x v="1510"/>
    <n v="371"/>
    <n v="273"/>
    <x v="4"/>
    <n v="98"/>
    <x v="4"/>
    <n v="0.56874999999999998"/>
    <n v="988"/>
  </r>
  <r>
    <x v="13"/>
    <x v="1511"/>
    <n v="459"/>
    <n v="456"/>
    <x v="1"/>
    <n v="3"/>
    <x v="5"/>
    <n v="0.95"/>
    <n v="122"/>
  </r>
  <r>
    <x v="13"/>
    <x v="1512"/>
    <n v="408"/>
    <n v="382"/>
    <x v="5"/>
    <n v="26"/>
    <x v="3"/>
    <n v="0.79583333333333328"/>
    <n v="471"/>
  </r>
  <r>
    <x v="13"/>
    <x v="1513"/>
    <n v="228"/>
    <n v="209"/>
    <x v="2"/>
    <n v="19"/>
    <x v="4"/>
    <n v="0.43541666666666667"/>
    <n v="1277"/>
  </r>
  <r>
    <x v="13"/>
    <x v="1514"/>
    <n v="480"/>
    <n v="430"/>
    <x v="1"/>
    <n v="50"/>
    <x v="5"/>
    <n v="0.89583333333333337"/>
    <n v="263"/>
  </r>
  <r>
    <x v="13"/>
    <x v="1515"/>
    <n v="432"/>
    <n v="272"/>
    <x v="0"/>
    <n v="160"/>
    <x v="4"/>
    <n v="0.56666666666666665"/>
    <n v="991"/>
  </r>
  <r>
    <x v="13"/>
    <x v="1516"/>
    <n v="494"/>
    <n v="442"/>
    <x v="0"/>
    <n v="52"/>
    <x v="5"/>
    <n v="0.92083333333333328"/>
    <n v="198"/>
  </r>
  <r>
    <x v="13"/>
    <x v="1517"/>
    <n v="444"/>
    <n v="182"/>
    <x v="0"/>
    <n v="262"/>
    <x v="0"/>
    <n v="0.37916666666666665"/>
    <n v="1593"/>
  </r>
  <r>
    <x v="13"/>
    <x v="1518"/>
    <n v="363"/>
    <n v="171"/>
    <x v="1"/>
    <n v="192"/>
    <x v="0"/>
    <n v="0.35625000000000001"/>
    <n v="1866"/>
  </r>
  <r>
    <x v="13"/>
    <x v="1519"/>
    <n v="350"/>
    <n v="332"/>
    <x v="1"/>
    <n v="18"/>
    <x v="3"/>
    <n v="0.69166666666666665"/>
    <n v="725"/>
  </r>
  <r>
    <x v="13"/>
    <x v="1520"/>
    <n v="417"/>
    <n v="308"/>
    <x v="4"/>
    <n v="109"/>
    <x v="3"/>
    <n v="0.64166666666666672"/>
    <n v="824"/>
  </r>
  <r>
    <x v="13"/>
    <x v="1521"/>
    <n v="435"/>
    <n v="418"/>
    <x v="5"/>
    <n v="17"/>
    <x v="5"/>
    <n v="0.87083333333333335"/>
    <n v="312"/>
  </r>
  <r>
    <x v="13"/>
    <x v="1522"/>
    <n v="449"/>
    <n v="220"/>
    <x v="3"/>
    <n v="229"/>
    <x v="4"/>
    <n v="0.45833333333333331"/>
    <n v="1227"/>
  </r>
  <r>
    <x v="13"/>
    <x v="1523"/>
    <n v="461"/>
    <n v="333"/>
    <x v="6"/>
    <n v="128"/>
    <x v="3"/>
    <n v="0.69374999999999998"/>
    <n v="721"/>
  </r>
  <r>
    <x v="13"/>
    <x v="1524"/>
    <n v="274"/>
    <n v="202"/>
    <x v="5"/>
    <n v="72"/>
    <x v="4"/>
    <n v="0.42083333333333334"/>
    <n v="1301"/>
  </r>
  <r>
    <x v="13"/>
    <x v="1525"/>
    <n v="339"/>
    <n v="257"/>
    <x v="3"/>
    <n v="82"/>
    <x v="4"/>
    <n v="0.53541666666666665"/>
    <n v="1058"/>
  </r>
  <r>
    <x v="13"/>
    <x v="1526"/>
    <n v="478"/>
    <n v="460"/>
    <x v="0"/>
    <n v="18"/>
    <x v="5"/>
    <n v="0.95833333333333337"/>
    <n v="107"/>
  </r>
  <r>
    <x v="13"/>
    <x v="1527"/>
    <n v="455"/>
    <n v="435"/>
    <x v="1"/>
    <n v="20"/>
    <x v="5"/>
    <n v="0.90625"/>
    <n v="238"/>
  </r>
  <r>
    <x v="13"/>
    <x v="1528"/>
    <n v="386"/>
    <n v="165"/>
    <x v="4"/>
    <n v="221"/>
    <x v="0"/>
    <n v="0.34375"/>
    <n v="2028"/>
  </r>
  <r>
    <x v="13"/>
    <x v="1529"/>
    <n v="387"/>
    <n v="344"/>
    <x v="3"/>
    <n v="43"/>
    <x v="3"/>
    <n v="0.71666666666666667"/>
    <n v="656"/>
  </r>
  <r>
    <x v="13"/>
    <x v="1530"/>
    <n v="276"/>
    <n v="226"/>
    <x v="2"/>
    <n v="50"/>
    <x v="4"/>
    <n v="0.47083333333333333"/>
    <n v="1200"/>
  </r>
  <r>
    <x v="13"/>
    <x v="1531"/>
    <n v="445"/>
    <n v="245"/>
    <x v="5"/>
    <n v="200"/>
    <x v="4"/>
    <n v="0.51041666666666663"/>
    <n v="1121"/>
  </r>
  <r>
    <x v="13"/>
    <x v="1532"/>
    <n v="490"/>
    <n v="480"/>
    <x v="0"/>
    <n v="10"/>
    <x v="5"/>
    <n v="1"/>
    <n v="1"/>
  </r>
  <r>
    <x v="13"/>
    <x v="1533"/>
    <n v="439"/>
    <n v="434"/>
    <x v="5"/>
    <n v="5"/>
    <x v="5"/>
    <n v="0.90416666666666667"/>
    <n v="242"/>
  </r>
  <r>
    <x v="13"/>
    <x v="1534"/>
    <n v="317"/>
    <n v="306"/>
    <x v="4"/>
    <n v="11"/>
    <x v="3"/>
    <n v="0.63749999999999996"/>
    <n v="829"/>
  </r>
  <r>
    <x v="13"/>
    <x v="1535"/>
    <n v="274"/>
    <n v="182"/>
    <x v="6"/>
    <n v="92"/>
    <x v="0"/>
    <n v="0.37916666666666665"/>
    <n v="1593"/>
  </r>
  <r>
    <x v="13"/>
    <x v="1536"/>
    <n v="341"/>
    <n v="173"/>
    <x v="3"/>
    <n v="168"/>
    <x v="0"/>
    <n v="0.36041666666666666"/>
    <n v="1826"/>
  </r>
  <r>
    <x v="13"/>
    <x v="1537"/>
    <n v="377"/>
    <n v="163"/>
    <x v="6"/>
    <n v="214"/>
    <x v="0"/>
    <n v="0.33958333333333335"/>
    <n v="2075"/>
  </r>
  <r>
    <x v="13"/>
    <x v="1538"/>
    <n v="254"/>
    <n v="161"/>
    <x v="4"/>
    <n v="93"/>
    <x v="0"/>
    <n v="0.33541666666666664"/>
    <n v="2129"/>
  </r>
  <r>
    <x v="13"/>
    <x v="1539"/>
    <n v="230"/>
    <n v="170"/>
    <x v="2"/>
    <n v="60"/>
    <x v="0"/>
    <n v="0.35416666666666669"/>
    <n v="1898"/>
  </r>
  <r>
    <x v="13"/>
    <x v="1540"/>
    <n v="395"/>
    <n v="337"/>
    <x v="6"/>
    <n v="58"/>
    <x v="3"/>
    <n v="0.70208333333333328"/>
    <n v="694"/>
  </r>
  <r>
    <x v="13"/>
    <x v="1541"/>
    <n v="477"/>
    <n v="407"/>
    <x v="1"/>
    <n v="70"/>
    <x v="5"/>
    <n v="0.84791666666666665"/>
    <n v="354"/>
  </r>
  <r>
    <x v="13"/>
    <x v="1542"/>
    <n v="389"/>
    <n v="374"/>
    <x v="5"/>
    <n v="15"/>
    <x v="3"/>
    <n v="0.77916666666666667"/>
    <n v="521"/>
  </r>
  <r>
    <x v="13"/>
    <x v="1543"/>
    <n v="428"/>
    <n v="257"/>
    <x v="1"/>
    <n v="171"/>
    <x v="4"/>
    <n v="0.53541666666666665"/>
    <n v="1058"/>
  </r>
  <r>
    <x v="13"/>
    <x v="1544"/>
    <n v="468"/>
    <n v="384"/>
    <x v="0"/>
    <n v="84"/>
    <x v="3"/>
    <n v="0.8"/>
    <n v="463"/>
  </r>
  <r>
    <x v="13"/>
    <x v="1545"/>
    <n v="445"/>
    <n v="344"/>
    <x v="2"/>
    <n v="101"/>
    <x v="3"/>
    <n v="0.71666666666666667"/>
    <n v="656"/>
  </r>
  <r>
    <x v="13"/>
    <x v="1546"/>
    <n v="331"/>
    <n v="309"/>
    <x v="5"/>
    <n v="22"/>
    <x v="3"/>
    <n v="0.64375000000000004"/>
    <n v="822"/>
  </r>
  <r>
    <x v="13"/>
    <x v="1547"/>
    <n v="440"/>
    <n v="412"/>
    <x v="5"/>
    <n v="28"/>
    <x v="5"/>
    <n v="0.85833333333333328"/>
    <n v="336"/>
  </r>
  <r>
    <x v="13"/>
    <x v="1548"/>
    <n v="260"/>
    <n v="254"/>
    <x v="1"/>
    <n v="6"/>
    <x v="4"/>
    <n v="0.52916666666666667"/>
    <n v="1073"/>
  </r>
  <r>
    <x v="13"/>
    <x v="1549"/>
    <n v="352"/>
    <n v="251"/>
    <x v="6"/>
    <n v="101"/>
    <x v="4"/>
    <n v="0.5229166666666667"/>
    <n v="1087"/>
  </r>
  <r>
    <x v="13"/>
    <x v="1550"/>
    <n v="439"/>
    <n v="384"/>
    <x v="1"/>
    <n v="55"/>
    <x v="3"/>
    <n v="0.8"/>
    <n v="463"/>
  </r>
  <r>
    <x v="13"/>
    <x v="1551"/>
    <n v="433"/>
    <n v="378"/>
    <x v="0"/>
    <n v="55"/>
    <x v="3"/>
    <n v="0.78749999999999998"/>
    <n v="493"/>
  </r>
  <r>
    <x v="13"/>
    <x v="1552"/>
    <n v="399"/>
    <n v="176"/>
    <x v="3"/>
    <n v="223"/>
    <x v="0"/>
    <n v="0.36666666666666664"/>
    <n v="1754"/>
  </r>
  <r>
    <x v="13"/>
    <x v="1553"/>
    <n v="496"/>
    <n v="436"/>
    <x v="1"/>
    <n v="60"/>
    <x v="5"/>
    <n v="0.90833333333333333"/>
    <n v="230"/>
  </r>
  <r>
    <x v="13"/>
    <x v="1554"/>
    <n v="405"/>
    <n v="190"/>
    <x v="0"/>
    <n v="215"/>
    <x v="0"/>
    <n v="0.39583333333333331"/>
    <n v="1355"/>
  </r>
  <r>
    <x v="13"/>
    <x v="1555"/>
    <n v="457"/>
    <n v="400"/>
    <x v="0"/>
    <n v="57"/>
    <x v="3"/>
    <n v="0.83333333333333337"/>
    <n v="392"/>
  </r>
  <r>
    <x v="13"/>
    <x v="1556"/>
    <n v="485"/>
    <n v="282"/>
    <x v="0"/>
    <n v="203"/>
    <x v="4"/>
    <n v="0.58750000000000002"/>
    <n v="938"/>
  </r>
  <r>
    <x v="13"/>
    <x v="1557"/>
    <n v="353"/>
    <n v="323"/>
    <x v="1"/>
    <n v="30"/>
    <x v="3"/>
    <n v="0.67291666666666672"/>
    <n v="765"/>
  </r>
  <r>
    <x v="13"/>
    <x v="1558"/>
    <n v="325"/>
    <n v="213"/>
    <x v="6"/>
    <n v="112"/>
    <x v="4"/>
    <n v="0.44374999999999998"/>
    <n v="1260"/>
  </r>
  <r>
    <x v="13"/>
    <x v="1559"/>
    <n v="256"/>
    <n v="241"/>
    <x v="5"/>
    <n v="15"/>
    <x v="4"/>
    <n v="0.50208333333333333"/>
    <n v="1139"/>
  </r>
  <r>
    <x v="13"/>
    <x v="1560"/>
    <n v="460"/>
    <n v="318"/>
    <x v="4"/>
    <n v="142"/>
    <x v="3"/>
    <n v="0.66249999999999998"/>
    <n v="786"/>
  </r>
  <r>
    <x v="13"/>
    <x v="1561"/>
    <n v="313"/>
    <n v="215"/>
    <x v="5"/>
    <n v="98"/>
    <x v="4"/>
    <n v="0.44791666666666669"/>
    <n v="1251"/>
  </r>
  <r>
    <x v="13"/>
    <x v="1562"/>
    <n v="451"/>
    <n v="413"/>
    <x v="5"/>
    <n v="38"/>
    <x v="5"/>
    <n v="0.86041666666666672"/>
    <n v="332"/>
  </r>
  <r>
    <x v="13"/>
    <x v="1563"/>
    <n v="402"/>
    <n v="388"/>
    <x v="5"/>
    <n v="14"/>
    <x v="3"/>
    <n v="0.80833333333333335"/>
    <n v="448"/>
  </r>
  <r>
    <x v="13"/>
    <x v="1564"/>
    <n v="344"/>
    <n v="206"/>
    <x v="4"/>
    <n v="138"/>
    <x v="4"/>
    <n v="0.42916666666666664"/>
    <n v="1294"/>
  </r>
  <r>
    <x v="13"/>
    <x v="1565"/>
    <n v="472"/>
    <n v="329"/>
    <x v="5"/>
    <n v="143"/>
    <x v="3"/>
    <n v="0.68541666666666667"/>
    <n v="738"/>
  </r>
  <r>
    <x v="13"/>
    <x v="1566"/>
    <n v="378"/>
    <n v="377"/>
    <x v="0"/>
    <n v="1"/>
    <x v="3"/>
    <n v="0.78541666666666665"/>
    <n v="500"/>
  </r>
  <r>
    <x v="13"/>
    <x v="1567"/>
    <n v="460"/>
    <n v="412"/>
    <x v="0"/>
    <n v="48"/>
    <x v="5"/>
    <n v="0.85833333333333328"/>
    <n v="336"/>
  </r>
  <r>
    <x v="13"/>
    <x v="1568"/>
    <n v="478"/>
    <n v="460"/>
    <x v="0"/>
    <n v="18"/>
    <x v="5"/>
    <n v="0.95833333333333337"/>
    <n v="107"/>
  </r>
  <r>
    <x v="13"/>
    <x v="1569"/>
    <n v="421"/>
    <n v="232"/>
    <x v="6"/>
    <n v="189"/>
    <x v="4"/>
    <n v="0.48333333333333334"/>
    <n v="1178"/>
  </r>
  <r>
    <x v="13"/>
    <x v="1570"/>
    <n v="484"/>
    <n v="395"/>
    <x v="1"/>
    <n v="89"/>
    <x v="3"/>
    <n v="0.82291666666666663"/>
    <n v="420"/>
  </r>
  <r>
    <x v="13"/>
    <x v="1571"/>
    <n v="454"/>
    <n v="336"/>
    <x v="0"/>
    <n v="118"/>
    <x v="3"/>
    <n v="0.7"/>
    <n v="700"/>
  </r>
  <r>
    <x v="13"/>
    <x v="1572"/>
    <n v="281"/>
    <n v="190"/>
    <x v="0"/>
    <n v="91"/>
    <x v="0"/>
    <n v="0.39583333333333331"/>
    <n v="1355"/>
  </r>
  <r>
    <x v="13"/>
    <x v="1573"/>
    <n v="414"/>
    <n v="292"/>
    <x v="3"/>
    <n v="122"/>
    <x v="4"/>
    <n v="0.60833333333333328"/>
    <n v="892"/>
  </r>
  <r>
    <x v="13"/>
    <x v="1574"/>
    <n v="433"/>
    <n v="350"/>
    <x v="5"/>
    <n v="83"/>
    <x v="3"/>
    <n v="0.72916666666666663"/>
    <n v="621"/>
  </r>
  <r>
    <x v="13"/>
    <x v="1575"/>
    <n v="441"/>
    <n v="398"/>
    <x v="5"/>
    <n v="43"/>
    <x v="3"/>
    <n v="0.82916666666666672"/>
    <n v="404"/>
  </r>
  <r>
    <x v="13"/>
    <x v="1576"/>
    <n v="411"/>
    <n v="406"/>
    <x v="1"/>
    <n v="5"/>
    <x v="5"/>
    <n v="0.84583333333333333"/>
    <n v="366"/>
  </r>
  <r>
    <x v="13"/>
    <x v="1577"/>
    <n v="385"/>
    <n v="277"/>
    <x v="0"/>
    <n v="108"/>
    <x v="4"/>
    <n v="0.57708333333333328"/>
    <n v="968"/>
  </r>
  <r>
    <x v="13"/>
    <x v="1578"/>
    <n v="358"/>
    <n v="212"/>
    <x v="1"/>
    <n v="146"/>
    <x v="4"/>
    <n v="0.44166666666666665"/>
    <n v="1265"/>
  </r>
  <r>
    <x v="13"/>
    <x v="1579"/>
    <n v="446"/>
    <n v="443"/>
    <x v="0"/>
    <n v="3"/>
    <x v="5"/>
    <n v="0.92291666666666672"/>
    <n v="188"/>
  </r>
  <r>
    <x v="13"/>
    <x v="1580"/>
    <n v="328"/>
    <n v="267"/>
    <x v="0"/>
    <n v="61"/>
    <x v="4"/>
    <n v="0.55625000000000002"/>
    <n v="1011"/>
  </r>
  <r>
    <x v="13"/>
    <x v="1581"/>
    <n v="474"/>
    <n v="453"/>
    <x v="5"/>
    <n v="21"/>
    <x v="5"/>
    <n v="0.94374999999999998"/>
    <n v="141"/>
  </r>
  <r>
    <x v="13"/>
    <x v="1582"/>
    <n v="493"/>
    <n v="241"/>
    <x v="0"/>
    <n v="252"/>
    <x v="4"/>
    <n v="0.50208333333333333"/>
    <n v="1139"/>
  </r>
  <r>
    <x v="13"/>
    <x v="1583"/>
    <n v="316"/>
    <n v="202"/>
    <x v="2"/>
    <n v="114"/>
    <x v="4"/>
    <n v="0.42083333333333334"/>
    <n v="1301"/>
  </r>
  <r>
    <x v="13"/>
    <x v="1584"/>
    <n v="208"/>
    <n v="208"/>
    <x v="5"/>
    <n v="0"/>
    <x v="4"/>
    <n v="0.43333333333333335"/>
    <n v="1282"/>
  </r>
  <r>
    <x v="13"/>
    <x v="1585"/>
    <n v="453"/>
    <n v="281"/>
    <x v="6"/>
    <n v="172"/>
    <x v="4"/>
    <n v="0.5854166666666667"/>
    <n v="946"/>
  </r>
  <r>
    <x v="13"/>
    <x v="1586"/>
    <n v="276"/>
    <n v="235"/>
    <x v="2"/>
    <n v="41"/>
    <x v="4"/>
    <n v="0.48958333333333331"/>
    <n v="1166"/>
  </r>
  <r>
    <x v="13"/>
    <x v="1587"/>
    <n v="383"/>
    <n v="301"/>
    <x v="0"/>
    <n v="82"/>
    <x v="3"/>
    <n v="0.62708333333333333"/>
    <n v="844"/>
  </r>
  <r>
    <x v="13"/>
    <x v="1588"/>
    <n v="451"/>
    <n v="346"/>
    <x v="1"/>
    <n v="105"/>
    <x v="3"/>
    <n v="0.72083333333333333"/>
    <n v="646"/>
  </r>
  <r>
    <x v="13"/>
    <x v="1589"/>
    <n v="462"/>
    <n v="310"/>
    <x v="3"/>
    <n v="152"/>
    <x v="3"/>
    <n v="0.64583333333333337"/>
    <n v="818"/>
  </r>
  <r>
    <x v="13"/>
    <x v="1590"/>
    <n v="442"/>
    <n v="373"/>
    <x v="5"/>
    <n v="69"/>
    <x v="3"/>
    <n v="0.77708333333333335"/>
    <n v="526"/>
  </r>
  <r>
    <x v="13"/>
    <x v="1591"/>
    <n v="494"/>
    <n v="454"/>
    <x v="5"/>
    <n v="40"/>
    <x v="5"/>
    <n v="0.9458333333333333"/>
    <n v="131"/>
  </r>
  <r>
    <x v="13"/>
    <x v="1592"/>
    <n v="442"/>
    <n v="442"/>
    <x v="0"/>
    <n v="0"/>
    <x v="5"/>
    <n v="0.92083333333333328"/>
    <n v="198"/>
  </r>
  <r>
    <x v="13"/>
    <x v="1593"/>
    <n v="485"/>
    <n v="452"/>
    <x v="1"/>
    <n v="33"/>
    <x v="5"/>
    <n v="0.94166666666666665"/>
    <n v="150"/>
  </r>
  <r>
    <x v="13"/>
    <x v="1594"/>
    <n v="493"/>
    <n v="472"/>
    <x v="5"/>
    <n v="21"/>
    <x v="5"/>
    <n v="0.98333333333333328"/>
    <n v="43"/>
  </r>
  <r>
    <x v="13"/>
    <x v="1595"/>
    <n v="498"/>
    <n v="448"/>
    <x v="5"/>
    <n v="50"/>
    <x v="5"/>
    <n v="0.93333333333333335"/>
    <n v="166"/>
  </r>
  <r>
    <x v="13"/>
    <x v="1596"/>
    <n v="453"/>
    <n v="334"/>
    <x v="6"/>
    <n v="119"/>
    <x v="3"/>
    <n v="0.6958333333333333"/>
    <n v="717"/>
  </r>
  <r>
    <x v="13"/>
    <x v="1597"/>
    <n v="421"/>
    <n v="357"/>
    <x v="0"/>
    <n v="64"/>
    <x v="3"/>
    <n v="0.74375000000000002"/>
    <n v="592"/>
  </r>
  <r>
    <x v="13"/>
    <x v="1598"/>
    <n v="467"/>
    <n v="462"/>
    <x v="0"/>
    <n v="5"/>
    <x v="5"/>
    <n v="0.96250000000000002"/>
    <n v="92"/>
  </r>
  <r>
    <x v="13"/>
    <x v="1599"/>
    <n v="500"/>
    <n v="476"/>
    <x v="1"/>
    <n v="24"/>
    <x v="5"/>
    <n v="0.9916666666666667"/>
    <n v="18"/>
  </r>
  <r>
    <x v="13"/>
    <x v="1600"/>
    <n v="345"/>
    <n v="317"/>
    <x v="0"/>
    <n v="28"/>
    <x v="3"/>
    <n v="0.66041666666666665"/>
    <n v="791"/>
  </r>
  <r>
    <x v="13"/>
    <x v="1601"/>
    <n v="410"/>
    <n v="354"/>
    <x v="1"/>
    <n v="56"/>
    <x v="3"/>
    <n v="0.73750000000000004"/>
    <n v="602"/>
  </r>
  <r>
    <x v="13"/>
    <x v="1602"/>
    <n v="390"/>
    <n v="275"/>
    <x v="2"/>
    <n v="115"/>
    <x v="4"/>
    <n v="0.57291666666666663"/>
    <n v="980"/>
  </r>
  <r>
    <x v="13"/>
    <x v="1603"/>
    <n v="493"/>
    <n v="474"/>
    <x v="1"/>
    <n v="19"/>
    <x v="5"/>
    <n v="0.98750000000000004"/>
    <n v="28"/>
  </r>
  <r>
    <x v="13"/>
    <x v="1604"/>
    <n v="497"/>
    <n v="363"/>
    <x v="5"/>
    <n v="134"/>
    <x v="3"/>
    <n v="0.75624999999999998"/>
    <n v="564"/>
  </r>
  <r>
    <x v="13"/>
    <x v="1605"/>
    <n v="420"/>
    <n v="399"/>
    <x v="5"/>
    <n v="21"/>
    <x v="3"/>
    <n v="0.83125000000000004"/>
    <n v="399"/>
  </r>
  <r>
    <x v="13"/>
    <x v="1606"/>
    <n v="493"/>
    <n v="478"/>
    <x v="1"/>
    <n v="15"/>
    <x v="5"/>
    <n v="0.99583333333333335"/>
    <n v="11"/>
  </r>
  <r>
    <x v="13"/>
    <x v="1607"/>
    <n v="285"/>
    <n v="245"/>
    <x v="1"/>
    <n v="40"/>
    <x v="4"/>
    <n v="0.51041666666666663"/>
    <n v="1121"/>
  </r>
  <r>
    <x v="13"/>
    <x v="1608"/>
    <n v="363"/>
    <n v="251"/>
    <x v="3"/>
    <n v="112"/>
    <x v="4"/>
    <n v="0.5229166666666667"/>
    <n v="1087"/>
  </r>
  <r>
    <x v="13"/>
    <x v="1609"/>
    <n v="409"/>
    <n v="167"/>
    <x v="0"/>
    <n v="242"/>
    <x v="0"/>
    <n v="0.34791666666666665"/>
    <n v="1979"/>
  </r>
  <r>
    <x v="13"/>
    <x v="1610"/>
    <n v="475"/>
    <n v="438"/>
    <x v="1"/>
    <n v="37"/>
    <x v="5"/>
    <n v="0.91249999999999998"/>
    <n v="218"/>
  </r>
  <r>
    <x v="13"/>
    <x v="1611"/>
    <n v="477"/>
    <n v="443"/>
    <x v="5"/>
    <n v="34"/>
    <x v="5"/>
    <n v="0.92291666666666672"/>
    <n v="188"/>
  </r>
  <r>
    <x v="13"/>
    <x v="1612"/>
    <n v="320"/>
    <n v="301"/>
    <x v="1"/>
    <n v="19"/>
    <x v="3"/>
    <n v="0.62708333333333333"/>
    <n v="844"/>
  </r>
  <r>
    <x v="13"/>
    <x v="1613"/>
    <n v="480"/>
    <n v="379"/>
    <x v="1"/>
    <n v="101"/>
    <x v="3"/>
    <n v="0.7895833333333333"/>
    <n v="485"/>
  </r>
  <r>
    <x v="13"/>
    <x v="1614"/>
    <n v="472"/>
    <n v="452"/>
    <x v="5"/>
    <n v="20"/>
    <x v="5"/>
    <n v="0.94166666666666665"/>
    <n v="150"/>
  </r>
  <r>
    <x v="13"/>
    <x v="1615"/>
    <n v="185"/>
    <n v="171"/>
    <x v="2"/>
    <n v="14"/>
    <x v="0"/>
    <n v="0.35625000000000001"/>
    <n v="1866"/>
  </r>
  <r>
    <x v="13"/>
    <x v="1616"/>
    <n v="385"/>
    <n v="291"/>
    <x v="5"/>
    <n v="94"/>
    <x v="4"/>
    <n v="0.60624999999999996"/>
    <n v="898"/>
  </r>
  <r>
    <x v="13"/>
    <x v="1617"/>
    <n v="483"/>
    <n v="395"/>
    <x v="5"/>
    <n v="88"/>
    <x v="3"/>
    <n v="0.82291666666666663"/>
    <n v="420"/>
  </r>
  <r>
    <x v="13"/>
    <x v="1618"/>
    <n v="471"/>
    <n v="462"/>
    <x v="1"/>
    <n v="9"/>
    <x v="5"/>
    <n v="0.96250000000000002"/>
    <n v="92"/>
  </r>
  <r>
    <x v="13"/>
    <x v="1619"/>
    <n v="453"/>
    <n v="207"/>
    <x v="5"/>
    <n v="246"/>
    <x v="4"/>
    <n v="0.43125000000000002"/>
    <n v="1287"/>
  </r>
  <r>
    <x v="13"/>
    <x v="1620"/>
    <n v="486"/>
    <n v="369"/>
    <x v="5"/>
    <n v="117"/>
    <x v="3"/>
    <n v="0.76875000000000004"/>
    <n v="543"/>
  </r>
  <r>
    <x v="13"/>
    <x v="1621"/>
    <n v="469"/>
    <n v="449"/>
    <x v="1"/>
    <n v="20"/>
    <x v="5"/>
    <n v="0.93541666666666667"/>
    <n v="161"/>
  </r>
  <r>
    <x v="13"/>
    <x v="1622"/>
    <n v="285"/>
    <n v="169"/>
    <x v="2"/>
    <n v="116"/>
    <x v="0"/>
    <n v="0.35208333333333336"/>
    <n v="1925"/>
  </r>
  <r>
    <x v="13"/>
    <x v="1623"/>
    <n v="260"/>
    <n v="252"/>
    <x v="6"/>
    <n v="8"/>
    <x v="4"/>
    <n v="0.52500000000000002"/>
    <n v="1084"/>
  </r>
  <r>
    <x v="13"/>
    <x v="1624"/>
    <n v="431"/>
    <n v="212"/>
    <x v="2"/>
    <n v="219"/>
    <x v="4"/>
    <n v="0.44166666666666665"/>
    <n v="1265"/>
  </r>
  <r>
    <x v="13"/>
    <x v="1625"/>
    <n v="423"/>
    <n v="409"/>
    <x v="5"/>
    <n v="14"/>
    <x v="5"/>
    <n v="0.8520833333333333"/>
    <n v="348"/>
  </r>
  <r>
    <x v="13"/>
    <x v="1626"/>
    <n v="341"/>
    <n v="340"/>
    <x v="2"/>
    <n v="1"/>
    <x v="3"/>
    <n v="0.70833333333333337"/>
    <n v="678"/>
  </r>
  <r>
    <x v="13"/>
    <x v="1627"/>
    <n v="484"/>
    <n v="437"/>
    <x v="0"/>
    <n v="47"/>
    <x v="5"/>
    <n v="0.91041666666666665"/>
    <n v="225"/>
  </r>
  <r>
    <x v="13"/>
    <x v="1628"/>
    <n v="277"/>
    <n v="187"/>
    <x v="1"/>
    <n v="90"/>
    <x v="0"/>
    <n v="0.38958333333333334"/>
    <n v="1455"/>
  </r>
  <r>
    <x v="13"/>
    <x v="1629"/>
    <n v="312"/>
    <n v="256"/>
    <x v="0"/>
    <n v="56"/>
    <x v="4"/>
    <n v="0.53333333333333333"/>
    <n v="1063"/>
  </r>
  <r>
    <x v="13"/>
    <x v="1630"/>
    <n v="372"/>
    <n v="324"/>
    <x v="1"/>
    <n v="48"/>
    <x v="3"/>
    <n v="0.67500000000000004"/>
    <n v="760"/>
  </r>
  <r>
    <x v="13"/>
    <x v="1631"/>
    <n v="424"/>
    <n v="176"/>
    <x v="1"/>
    <n v="248"/>
    <x v="0"/>
    <n v="0.36666666666666664"/>
    <n v="1754"/>
  </r>
  <r>
    <x v="13"/>
    <x v="1632"/>
    <n v="222"/>
    <n v="169"/>
    <x v="3"/>
    <n v="53"/>
    <x v="0"/>
    <n v="0.35208333333333336"/>
    <n v="1925"/>
  </r>
  <r>
    <x v="13"/>
    <x v="1633"/>
    <n v="397"/>
    <n v="376"/>
    <x v="1"/>
    <n v="21"/>
    <x v="3"/>
    <n v="0.78333333333333333"/>
    <n v="507"/>
  </r>
  <r>
    <x v="13"/>
    <x v="1634"/>
    <n v="494"/>
    <n v="431"/>
    <x v="0"/>
    <n v="63"/>
    <x v="5"/>
    <n v="0.8979166666666667"/>
    <n v="260"/>
  </r>
  <r>
    <x v="13"/>
    <x v="1635"/>
    <n v="407"/>
    <n v="210"/>
    <x v="4"/>
    <n v="197"/>
    <x v="4"/>
    <n v="0.4375"/>
    <n v="1272"/>
  </r>
  <r>
    <x v="13"/>
    <x v="1636"/>
    <n v="317"/>
    <n v="265"/>
    <x v="0"/>
    <n v="52"/>
    <x v="4"/>
    <n v="0.55208333333333337"/>
    <n v="1022"/>
  </r>
  <r>
    <x v="13"/>
    <x v="1637"/>
    <n v="451"/>
    <n v="424"/>
    <x v="0"/>
    <n v="27"/>
    <x v="5"/>
    <n v="0.8833333333333333"/>
    <n v="293"/>
  </r>
  <r>
    <x v="13"/>
    <x v="1638"/>
    <n v="379"/>
    <n v="362"/>
    <x v="1"/>
    <n v="17"/>
    <x v="3"/>
    <n v="0.75416666666666665"/>
    <n v="567"/>
  </r>
  <r>
    <x v="13"/>
    <x v="1639"/>
    <n v="325"/>
    <n v="215"/>
    <x v="4"/>
    <n v="110"/>
    <x v="4"/>
    <n v="0.44791666666666669"/>
    <n v="1251"/>
  </r>
  <r>
    <x v="13"/>
    <x v="1640"/>
    <n v="288"/>
    <n v="155"/>
    <x v="6"/>
    <n v="133"/>
    <x v="0"/>
    <n v="0.32291666666666669"/>
    <n v="2275"/>
  </r>
  <r>
    <x v="13"/>
    <x v="1641"/>
    <n v="435"/>
    <n v="430"/>
    <x v="0"/>
    <n v="5"/>
    <x v="5"/>
    <n v="0.89583333333333337"/>
    <n v="263"/>
  </r>
  <r>
    <x v="13"/>
    <x v="1642"/>
    <n v="457"/>
    <n v="449"/>
    <x v="5"/>
    <n v="8"/>
    <x v="5"/>
    <n v="0.93541666666666667"/>
    <n v="161"/>
  </r>
  <r>
    <x v="13"/>
    <x v="1643"/>
    <n v="152"/>
    <n v="151"/>
    <x v="5"/>
    <n v="1"/>
    <x v="0"/>
    <n v="0.31458333333333333"/>
    <n v="2376"/>
  </r>
  <r>
    <x v="13"/>
    <x v="1644"/>
    <n v="475"/>
    <n v="461"/>
    <x v="1"/>
    <n v="14"/>
    <x v="5"/>
    <n v="0.9604166666666667"/>
    <n v="102"/>
  </r>
  <r>
    <x v="13"/>
    <x v="1645"/>
    <n v="427"/>
    <n v="405"/>
    <x v="1"/>
    <n v="22"/>
    <x v="5"/>
    <n v="0.84375"/>
    <n v="370"/>
  </r>
  <r>
    <x v="13"/>
    <x v="1646"/>
    <n v="246"/>
    <n v="235"/>
    <x v="4"/>
    <n v="11"/>
    <x v="4"/>
    <n v="0.48958333333333331"/>
    <n v="1166"/>
  </r>
  <r>
    <x v="13"/>
    <x v="1647"/>
    <n v="429"/>
    <n v="337"/>
    <x v="5"/>
    <n v="92"/>
    <x v="3"/>
    <n v="0.70208333333333328"/>
    <n v="694"/>
  </r>
  <r>
    <x v="13"/>
    <x v="1648"/>
    <n v="245"/>
    <n v="239"/>
    <x v="6"/>
    <n v="6"/>
    <x v="4"/>
    <n v="0.49791666666666667"/>
    <n v="1145"/>
  </r>
  <r>
    <x v="13"/>
    <x v="1649"/>
    <n v="494"/>
    <n v="458"/>
    <x v="0"/>
    <n v="36"/>
    <x v="5"/>
    <n v="0.95416666666666672"/>
    <n v="115"/>
  </r>
  <r>
    <x v="13"/>
    <x v="1650"/>
    <n v="470"/>
    <n v="452"/>
    <x v="5"/>
    <n v="18"/>
    <x v="5"/>
    <n v="0.94166666666666665"/>
    <n v="150"/>
  </r>
  <r>
    <x v="13"/>
    <x v="1651"/>
    <n v="461"/>
    <n v="418"/>
    <x v="5"/>
    <n v="43"/>
    <x v="5"/>
    <n v="0.87083333333333335"/>
    <n v="312"/>
  </r>
  <r>
    <x v="13"/>
    <x v="1652"/>
    <n v="235"/>
    <n v="206"/>
    <x v="3"/>
    <n v="29"/>
    <x v="4"/>
    <n v="0.42916666666666664"/>
    <n v="1294"/>
  </r>
  <r>
    <x v="13"/>
    <x v="1653"/>
    <n v="386"/>
    <n v="240"/>
    <x v="2"/>
    <n v="146"/>
    <x v="4"/>
    <n v="0.5"/>
    <n v="1143"/>
  </r>
  <r>
    <x v="13"/>
    <x v="1654"/>
    <n v="371"/>
    <n v="360"/>
    <x v="5"/>
    <n v="11"/>
    <x v="3"/>
    <n v="0.75"/>
    <n v="574"/>
  </r>
  <r>
    <x v="13"/>
    <x v="1655"/>
    <n v="498"/>
    <n v="465"/>
    <x v="0"/>
    <n v="33"/>
    <x v="5"/>
    <n v="0.96875"/>
    <n v="78"/>
  </r>
  <r>
    <x v="13"/>
    <x v="1656"/>
    <n v="318"/>
    <n v="224"/>
    <x v="5"/>
    <n v="94"/>
    <x v="4"/>
    <n v="0.46666666666666667"/>
    <n v="1211"/>
  </r>
  <r>
    <x v="13"/>
    <x v="1657"/>
    <n v="486"/>
    <n v="473"/>
    <x v="5"/>
    <n v="13"/>
    <x v="5"/>
    <n v="0.98541666666666672"/>
    <n v="33"/>
  </r>
  <r>
    <x v="13"/>
    <x v="1658"/>
    <n v="237"/>
    <n v="191"/>
    <x v="3"/>
    <n v="46"/>
    <x v="0"/>
    <n v="0.39791666666666664"/>
    <n v="1351"/>
  </r>
  <r>
    <x v="14"/>
    <x v="1659"/>
    <n v="174"/>
    <n v="145"/>
    <x v="2"/>
    <n v="29"/>
    <x v="0"/>
    <n v="0.30208333333333331"/>
    <n v="2526"/>
  </r>
  <r>
    <x v="14"/>
    <x v="1660"/>
    <n v="279"/>
    <n v="132"/>
    <x v="2"/>
    <n v="147"/>
    <x v="0"/>
    <n v="0.27500000000000002"/>
    <n v="2792"/>
  </r>
  <r>
    <x v="14"/>
    <x v="1661"/>
    <n v="108"/>
    <n v="84"/>
    <x v="5"/>
    <n v="24"/>
    <x v="1"/>
    <n v="0.17499999999999999"/>
    <n v="3872"/>
  </r>
  <r>
    <x v="14"/>
    <x v="1662"/>
    <n v="222"/>
    <n v="136"/>
    <x v="4"/>
    <n v="86"/>
    <x v="0"/>
    <n v="0.28333333333333333"/>
    <n v="2692"/>
  </r>
  <r>
    <x v="14"/>
    <x v="1663"/>
    <n v="252"/>
    <n v="87"/>
    <x v="4"/>
    <n v="165"/>
    <x v="1"/>
    <n v="0.18124999999999999"/>
    <n v="3813"/>
  </r>
  <r>
    <x v="14"/>
    <x v="1664"/>
    <n v="302"/>
    <n v="110"/>
    <x v="0"/>
    <n v="192"/>
    <x v="0"/>
    <n v="0.22916666666666666"/>
    <n v="3302"/>
  </r>
  <r>
    <x v="14"/>
    <x v="1665"/>
    <n v="215"/>
    <n v="131"/>
    <x v="0"/>
    <n v="84"/>
    <x v="0"/>
    <n v="0.27291666666666664"/>
    <n v="2815"/>
  </r>
  <r>
    <x v="14"/>
    <x v="1666"/>
    <n v="289"/>
    <n v="54"/>
    <x v="2"/>
    <n v="235"/>
    <x v="1"/>
    <n v="0.1125"/>
    <n v="4523"/>
  </r>
  <r>
    <x v="14"/>
    <x v="1667"/>
    <n v="138"/>
    <n v="122"/>
    <x v="1"/>
    <n v="16"/>
    <x v="0"/>
    <n v="0.25416666666666665"/>
    <n v="3013"/>
  </r>
  <r>
    <x v="14"/>
    <x v="1668"/>
    <n v="166"/>
    <n v="74"/>
    <x v="1"/>
    <n v="92"/>
    <x v="1"/>
    <n v="0.15416666666666667"/>
    <n v="4064"/>
  </r>
  <r>
    <x v="14"/>
    <x v="1669"/>
    <n v="288"/>
    <n v="121"/>
    <x v="0"/>
    <n v="167"/>
    <x v="0"/>
    <n v="0.25208333333333333"/>
    <n v="3037"/>
  </r>
  <r>
    <x v="14"/>
    <x v="1670"/>
    <n v="289"/>
    <n v="166"/>
    <x v="3"/>
    <n v="123"/>
    <x v="0"/>
    <n v="0.34583333333333333"/>
    <n v="2007"/>
  </r>
  <r>
    <x v="14"/>
    <x v="1671"/>
    <n v="184"/>
    <n v="170"/>
    <x v="3"/>
    <n v="14"/>
    <x v="0"/>
    <n v="0.35416666666666669"/>
    <n v="1898"/>
  </r>
  <r>
    <x v="14"/>
    <x v="1672"/>
    <n v="176"/>
    <n v="152"/>
    <x v="2"/>
    <n v="24"/>
    <x v="0"/>
    <n v="0.31666666666666665"/>
    <n v="2349"/>
  </r>
  <r>
    <x v="14"/>
    <x v="1673"/>
    <n v="191"/>
    <n v="168"/>
    <x v="1"/>
    <n v="23"/>
    <x v="0"/>
    <n v="0.35"/>
    <n v="1954"/>
  </r>
  <r>
    <x v="14"/>
    <x v="1674"/>
    <n v="142"/>
    <n v="120"/>
    <x v="3"/>
    <n v="22"/>
    <x v="0"/>
    <n v="0.25"/>
    <n v="3066"/>
  </r>
  <r>
    <x v="14"/>
    <x v="1675"/>
    <n v="214"/>
    <n v="60"/>
    <x v="2"/>
    <n v="154"/>
    <x v="1"/>
    <n v="0.125"/>
    <n v="4390"/>
  </r>
  <r>
    <x v="14"/>
    <x v="1676"/>
    <n v="266"/>
    <n v="145"/>
    <x v="4"/>
    <n v="121"/>
    <x v="0"/>
    <n v="0.30208333333333331"/>
    <n v="2526"/>
  </r>
  <r>
    <x v="14"/>
    <x v="1677"/>
    <n v="82"/>
    <n v="49"/>
    <x v="5"/>
    <n v="33"/>
    <x v="2"/>
    <n v="0.10208333333333333"/>
    <n v="4614"/>
  </r>
  <r>
    <x v="14"/>
    <x v="1678"/>
    <n v="257"/>
    <n v="132"/>
    <x v="4"/>
    <n v="125"/>
    <x v="0"/>
    <n v="0.27500000000000002"/>
    <n v="2792"/>
  </r>
  <r>
    <x v="14"/>
    <x v="1679"/>
    <n v="143"/>
    <n v="62"/>
    <x v="4"/>
    <n v="81"/>
    <x v="1"/>
    <n v="0.12916666666666668"/>
    <n v="4343"/>
  </r>
  <r>
    <x v="14"/>
    <x v="1680"/>
    <n v="287"/>
    <n v="110"/>
    <x v="3"/>
    <n v="177"/>
    <x v="0"/>
    <n v="0.22916666666666666"/>
    <n v="3302"/>
  </r>
  <r>
    <x v="14"/>
    <x v="1681"/>
    <n v="215"/>
    <n v="133"/>
    <x v="3"/>
    <n v="82"/>
    <x v="0"/>
    <n v="0.27708333333333335"/>
    <n v="2758"/>
  </r>
  <r>
    <x v="14"/>
    <x v="1682"/>
    <n v="159"/>
    <n v="142"/>
    <x v="4"/>
    <n v="17"/>
    <x v="0"/>
    <n v="0.29583333333333334"/>
    <n v="2585"/>
  </r>
  <r>
    <x v="14"/>
    <x v="1683"/>
    <n v="275"/>
    <n v="42"/>
    <x v="6"/>
    <n v="233"/>
    <x v="2"/>
    <n v="8.7499999999999994E-2"/>
    <n v="4776"/>
  </r>
  <r>
    <x v="14"/>
    <x v="1684"/>
    <n v="236"/>
    <n v="162"/>
    <x v="4"/>
    <n v="74"/>
    <x v="0"/>
    <n v="0.33750000000000002"/>
    <n v="2106"/>
  </r>
  <r>
    <x v="14"/>
    <x v="1685"/>
    <n v="127"/>
    <n v="34"/>
    <x v="0"/>
    <n v="93"/>
    <x v="2"/>
    <n v="7.0833333333333331E-2"/>
    <n v="4944"/>
  </r>
  <r>
    <x v="14"/>
    <x v="1686"/>
    <n v="193"/>
    <n v="133"/>
    <x v="2"/>
    <n v="60"/>
    <x v="0"/>
    <n v="0.27708333333333335"/>
    <n v="2758"/>
  </r>
  <r>
    <x v="14"/>
    <x v="1687"/>
    <n v="188"/>
    <n v="103"/>
    <x v="3"/>
    <n v="85"/>
    <x v="0"/>
    <n v="0.21458333333333332"/>
    <n v="3474"/>
  </r>
  <r>
    <x v="14"/>
    <x v="1688"/>
    <n v="240"/>
    <n v="190"/>
    <x v="1"/>
    <n v="50"/>
    <x v="0"/>
    <n v="0.39583333333333331"/>
    <n v="1355"/>
  </r>
  <r>
    <x v="14"/>
    <x v="1689"/>
    <n v="151"/>
    <n v="43"/>
    <x v="4"/>
    <n v="108"/>
    <x v="2"/>
    <n v="8.9583333333333334E-2"/>
    <n v="4752"/>
  </r>
  <r>
    <x v="14"/>
    <x v="1690"/>
    <n v="320"/>
    <n v="148"/>
    <x v="6"/>
    <n v="172"/>
    <x v="0"/>
    <n v="0.30833333333333335"/>
    <n v="2446"/>
  </r>
  <r>
    <x v="14"/>
    <x v="1691"/>
    <n v="182"/>
    <n v="129"/>
    <x v="1"/>
    <n v="53"/>
    <x v="0"/>
    <n v="0.26874999999999999"/>
    <n v="2852"/>
  </r>
  <r>
    <x v="14"/>
    <x v="1692"/>
    <n v="154"/>
    <n v="132"/>
    <x v="0"/>
    <n v="22"/>
    <x v="0"/>
    <n v="0.27500000000000002"/>
    <n v="2792"/>
  </r>
  <r>
    <x v="14"/>
    <x v="1693"/>
    <n v="227"/>
    <n v="169"/>
    <x v="6"/>
    <n v="58"/>
    <x v="0"/>
    <n v="0.35208333333333336"/>
    <n v="1925"/>
  </r>
  <r>
    <x v="14"/>
    <x v="1694"/>
    <n v="127"/>
    <n v="119"/>
    <x v="0"/>
    <n v="8"/>
    <x v="0"/>
    <n v="0.24791666666666667"/>
    <n v="3093"/>
  </r>
  <r>
    <x v="14"/>
    <x v="1695"/>
    <n v="265"/>
    <n v="176"/>
    <x v="3"/>
    <n v="89"/>
    <x v="0"/>
    <n v="0.36666666666666664"/>
    <n v="1754"/>
  </r>
  <r>
    <x v="14"/>
    <x v="1696"/>
    <n v="102"/>
    <n v="71"/>
    <x v="4"/>
    <n v="31"/>
    <x v="1"/>
    <n v="0.14791666666666667"/>
    <n v="4129"/>
  </r>
  <r>
    <x v="14"/>
    <x v="1697"/>
    <n v="174"/>
    <n v="140"/>
    <x v="1"/>
    <n v="34"/>
    <x v="0"/>
    <n v="0.29166666666666669"/>
    <n v="2627"/>
  </r>
  <r>
    <x v="14"/>
    <x v="1698"/>
    <n v="250"/>
    <n v="123"/>
    <x v="3"/>
    <n v="127"/>
    <x v="0"/>
    <n v="0.25624999999999998"/>
    <n v="2983"/>
  </r>
  <r>
    <x v="14"/>
    <x v="1699"/>
    <n v="116"/>
    <n v="55"/>
    <x v="6"/>
    <n v="61"/>
    <x v="1"/>
    <n v="0.11458333333333333"/>
    <n v="4497"/>
  </r>
  <r>
    <x v="14"/>
    <x v="1700"/>
    <n v="205"/>
    <n v="178"/>
    <x v="2"/>
    <n v="27"/>
    <x v="0"/>
    <n v="0.37083333333333335"/>
    <n v="1702"/>
  </r>
  <r>
    <x v="14"/>
    <x v="1701"/>
    <n v="309"/>
    <n v="154"/>
    <x v="5"/>
    <n v="155"/>
    <x v="0"/>
    <n v="0.32083333333333336"/>
    <n v="2307"/>
  </r>
  <r>
    <x v="14"/>
    <x v="1702"/>
    <n v="304"/>
    <n v="94"/>
    <x v="4"/>
    <n v="210"/>
    <x v="1"/>
    <n v="0.19583333333333333"/>
    <n v="3654"/>
  </r>
  <r>
    <x v="14"/>
    <x v="1703"/>
    <n v="306"/>
    <n v="67"/>
    <x v="4"/>
    <n v="239"/>
    <x v="1"/>
    <n v="0.13958333333333334"/>
    <n v="4225"/>
  </r>
  <r>
    <x v="14"/>
    <x v="1704"/>
    <n v="113"/>
    <n v="77"/>
    <x v="4"/>
    <n v="36"/>
    <x v="1"/>
    <n v="0.16041666666666668"/>
    <n v="4006"/>
  </r>
  <r>
    <x v="14"/>
    <x v="1705"/>
    <n v="146"/>
    <n v="40"/>
    <x v="4"/>
    <n v="106"/>
    <x v="2"/>
    <n v="8.3333333333333329E-2"/>
    <n v="4808"/>
  </r>
  <r>
    <x v="14"/>
    <x v="1706"/>
    <n v="172"/>
    <n v="133"/>
    <x v="6"/>
    <n v="39"/>
    <x v="0"/>
    <n v="0.27708333333333335"/>
    <n v="2758"/>
  </r>
  <r>
    <x v="14"/>
    <x v="1707"/>
    <n v="257"/>
    <n v="87"/>
    <x v="3"/>
    <n v="170"/>
    <x v="1"/>
    <n v="0.18124999999999999"/>
    <n v="3813"/>
  </r>
  <r>
    <x v="14"/>
    <x v="1708"/>
    <n v="270"/>
    <n v="179"/>
    <x v="6"/>
    <n v="91"/>
    <x v="0"/>
    <n v="0.37291666666666667"/>
    <n v="1667"/>
  </r>
  <r>
    <x v="14"/>
    <x v="1709"/>
    <n v="185"/>
    <n v="163"/>
    <x v="0"/>
    <n v="22"/>
    <x v="0"/>
    <n v="0.33958333333333335"/>
    <n v="2075"/>
  </r>
  <r>
    <x v="14"/>
    <x v="1710"/>
    <n v="301"/>
    <n v="186"/>
    <x v="6"/>
    <n v="115"/>
    <x v="0"/>
    <n v="0.38750000000000001"/>
    <n v="1478"/>
  </r>
  <r>
    <x v="14"/>
    <x v="1711"/>
    <n v="165"/>
    <n v="126"/>
    <x v="2"/>
    <n v="39"/>
    <x v="0"/>
    <n v="0.26250000000000001"/>
    <n v="2934"/>
  </r>
  <r>
    <x v="14"/>
    <x v="1712"/>
    <n v="266"/>
    <n v="120"/>
    <x v="3"/>
    <n v="146"/>
    <x v="0"/>
    <n v="0.25"/>
    <n v="3066"/>
  </r>
  <r>
    <x v="14"/>
    <x v="1713"/>
    <n v="314"/>
    <n v="187"/>
    <x v="4"/>
    <n v="127"/>
    <x v="0"/>
    <n v="0.38958333333333334"/>
    <n v="1455"/>
  </r>
  <r>
    <x v="14"/>
    <x v="1714"/>
    <n v="117"/>
    <n v="108"/>
    <x v="2"/>
    <n v="9"/>
    <x v="0"/>
    <n v="0.22500000000000001"/>
    <n v="3362"/>
  </r>
  <r>
    <x v="14"/>
    <x v="1715"/>
    <n v="220"/>
    <n v="38"/>
    <x v="4"/>
    <n v="182"/>
    <x v="2"/>
    <n v="7.9166666666666663E-2"/>
    <n v="4845"/>
  </r>
  <r>
    <x v="14"/>
    <x v="1716"/>
    <n v="282"/>
    <n v="153"/>
    <x v="0"/>
    <n v="129"/>
    <x v="0"/>
    <n v="0.31874999999999998"/>
    <n v="2329"/>
  </r>
  <r>
    <x v="14"/>
    <x v="1717"/>
    <n v="267"/>
    <n v="35"/>
    <x v="2"/>
    <n v="232"/>
    <x v="2"/>
    <n v="7.2916666666666671E-2"/>
    <n v="4916"/>
  </r>
  <r>
    <x v="14"/>
    <x v="1718"/>
    <n v="116"/>
    <n v="75"/>
    <x v="0"/>
    <n v="41"/>
    <x v="1"/>
    <n v="0.15625"/>
    <n v="4041"/>
  </r>
  <r>
    <x v="14"/>
    <x v="1719"/>
    <n v="188"/>
    <n v="176"/>
    <x v="1"/>
    <n v="12"/>
    <x v="0"/>
    <n v="0.36666666666666664"/>
    <n v="1754"/>
  </r>
  <r>
    <x v="14"/>
    <x v="1720"/>
    <n v="266"/>
    <n v="156"/>
    <x v="5"/>
    <n v="110"/>
    <x v="0"/>
    <n v="0.32500000000000001"/>
    <n v="2251"/>
  </r>
  <r>
    <x v="14"/>
    <x v="1721"/>
    <n v="142"/>
    <n v="100"/>
    <x v="0"/>
    <n v="42"/>
    <x v="1"/>
    <n v="0.20833333333333334"/>
    <n v="3535"/>
  </r>
  <r>
    <x v="14"/>
    <x v="1722"/>
    <n v="319"/>
    <n v="170"/>
    <x v="6"/>
    <n v="149"/>
    <x v="0"/>
    <n v="0.35416666666666669"/>
    <n v="1898"/>
  </r>
  <r>
    <x v="14"/>
    <x v="1723"/>
    <n v="46"/>
    <n v="45"/>
    <x v="1"/>
    <n v="1"/>
    <x v="2"/>
    <n v="9.375E-2"/>
    <n v="4702"/>
  </r>
  <r>
    <x v="14"/>
    <x v="1724"/>
    <n v="306"/>
    <n v="155"/>
    <x v="4"/>
    <n v="151"/>
    <x v="0"/>
    <n v="0.32291666666666669"/>
    <n v="2275"/>
  </r>
  <r>
    <x v="14"/>
    <x v="1725"/>
    <n v="209"/>
    <n v="175"/>
    <x v="6"/>
    <n v="34"/>
    <x v="0"/>
    <n v="0.36458333333333331"/>
    <n v="1780"/>
  </r>
  <r>
    <x v="14"/>
    <x v="1726"/>
    <n v="185"/>
    <n v="112"/>
    <x v="6"/>
    <n v="73"/>
    <x v="0"/>
    <n v="0.23333333333333334"/>
    <n v="3267"/>
  </r>
  <r>
    <x v="14"/>
    <x v="1727"/>
    <n v="299"/>
    <n v="31"/>
    <x v="5"/>
    <n v="268"/>
    <x v="2"/>
    <n v="6.458333333333334E-2"/>
    <n v="5016"/>
  </r>
  <r>
    <x v="14"/>
    <x v="1728"/>
    <n v="290"/>
    <n v="108"/>
    <x v="3"/>
    <n v="182"/>
    <x v="0"/>
    <n v="0.22500000000000001"/>
    <n v="3362"/>
  </r>
  <r>
    <x v="14"/>
    <x v="1729"/>
    <n v="143"/>
    <n v="134"/>
    <x v="6"/>
    <n v="9"/>
    <x v="0"/>
    <n v="0.27916666666666667"/>
    <n v="2740"/>
  </r>
  <r>
    <x v="14"/>
    <x v="1730"/>
    <n v="217"/>
    <n v="62"/>
    <x v="0"/>
    <n v="155"/>
    <x v="1"/>
    <n v="0.12916666666666668"/>
    <n v="4343"/>
  </r>
  <r>
    <x v="14"/>
    <x v="1731"/>
    <n v="314"/>
    <n v="47"/>
    <x v="2"/>
    <n v="267"/>
    <x v="2"/>
    <n v="9.7916666666666666E-2"/>
    <n v="4656"/>
  </r>
  <r>
    <x v="14"/>
    <x v="1732"/>
    <n v="223"/>
    <n v="129"/>
    <x v="2"/>
    <n v="94"/>
    <x v="0"/>
    <n v="0.26874999999999999"/>
    <n v="2852"/>
  </r>
  <r>
    <x v="14"/>
    <x v="1733"/>
    <n v="249"/>
    <n v="77"/>
    <x v="0"/>
    <n v="172"/>
    <x v="1"/>
    <n v="0.16041666666666668"/>
    <n v="4006"/>
  </r>
  <r>
    <x v="14"/>
    <x v="1734"/>
    <n v="214"/>
    <n v="37"/>
    <x v="1"/>
    <n v="177"/>
    <x v="2"/>
    <n v="7.7083333333333337E-2"/>
    <n v="4863"/>
  </r>
  <r>
    <x v="14"/>
    <x v="1735"/>
    <n v="206"/>
    <n v="90"/>
    <x v="3"/>
    <n v="116"/>
    <x v="1"/>
    <n v="0.1875"/>
    <n v="3750"/>
  </r>
  <r>
    <x v="14"/>
    <x v="1736"/>
    <n v="304"/>
    <n v="119"/>
    <x v="1"/>
    <n v="185"/>
    <x v="0"/>
    <n v="0.24791666666666667"/>
    <n v="3093"/>
  </r>
  <r>
    <x v="14"/>
    <x v="1737"/>
    <n v="191"/>
    <n v="107"/>
    <x v="3"/>
    <n v="84"/>
    <x v="0"/>
    <n v="0.22291666666666668"/>
    <n v="3387"/>
  </r>
  <r>
    <x v="14"/>
    <x v="1738"/>
    <n v="143"/>
    <n v="65"/>
    <x v="1"/>
    <n v="78"/>
    <x v="1"/>
    <n v="0.13541666666666666"/>
    <n v="4267"/>
  </r>
  <r>
    <x v="14"/>
    <x v="1739"/>
    <n v="283"/>
    <n v="76"/>
    <x v="4"/>
    <n v="207"/>
    <x v="1"/>
    <n v="0.15833333333333333"/>
    <n v="4023"/>
  </r>
  <r>
    <x v="14"/>
    <x v="1740"/>
    <n v="138"/>
    <n v="71"/>
    <x v="0"/>
    <n v="67"/>
    <x v="1"/>
    <n v="0.14791666666666667"/>
    <n v="4129"/>
  </r>
  <r>
    <x v="14"/>
    <x v="1741"/>
    <n v="279"/>
    <n v="93"/>
    <x v="2"/>
    <n v="186"/>
    <x v="1"/>
    <n v="0.19375000000000001"/>
    <n v="3678"/>
  </r>
  <r>
    <x v="14"/>
    <x v="1742"/>
    <n v="218"/>
    <n v="186"/>
    <x v="5"/>
    <n v="32"/>
    <x v="0"/>
    <n v="0.38750000000000001"/>
    <n v="1478"/>
  </r>
  <r>
    <x v="14"/>
    <x v="1743"/>
    <n v="299"/>
    <n v="104"/>
    <x v="0"/>
    <n v="195"/>
    <x v="0"/>
    <n v="0.21666666666666667"/>
    <n v="3454"/>
  </r>
  <r>
    <x v="14"/>
    <x v="1744"/>
    <n v="273"/>
    <n v="155"/>
    <x v="1"/>
    <n v="118"/>
    <x v="0"/>
    <n v="0.32291666666666669"/>
    <n v="2275"/>
  </r>
  <r>
    <x v="14"/>
    <x v="1745"/>
    <n v="210"/>
    <n v="157"/>
    <x v="5"/>
    <n v="53"/>
    <x v="0"/>
    <n v="0.32708333333333334"/>
    <n v="2239"/>
  </r>
  <r>
    <x v="14"/>
    <x v="1746"/>
    <n v="320"/>
    <n v="104"/>
    <x v="4"/>
    <n v="216"/>
    <x v="0"/>
    <n v="0.21666666666666667"/>
    <n v="3454"/>
  </r>
  <r>
    <x v="14"/>
    <x v="1747"/>
    <n v="251"/>
    <n v="103"/>
    <x v="6"/>
    <n v="148"/>
    <x v="0"/>
    <n v="0.21458333333333332"/>
    <n v="3474"/>
  </r>
  <r>
    <x v="14"/>
    <x v="1748"/>
    <n v="66"/>
    <n v="41"/>
    <x v="5"/>
    <n v="25"/>
    <x v="2"/>
    <n v="8.5416666666666669E-2"/>
    <n v="4789"/>
  </r>
  <r>
    <x v="14"/>
    <x v="1749"/>
    <n v="198"/>
    <n v="159"/>
    <x v="6"/>
    <n v="39"/>
    <x v="0"/>
    <n v="0.33124999999999999"/>
    <n v="2183"/>
  </r>
  <r>
    <x v="14"/>
    <x v="1750"/>
    <n v="174"/>
    <n v="76"/>
    <x v="3"/>
    <n v="98"/>
    <x v="1"/>
    <n v="0.15833333333333333"/>
    <n v="4023"/>
  </r>
  <r>
    <x v="14"/>
    <x v="1751"/>
    <n v="318"/>
    <n v="87"/>
    <x v="2"/>
    <n v="231"/>
    <x v="1"/>
    <n v="0.18124999999999999"/>
    <n v="3813"/>
  </r>
  <r>
    <x v="14"/>
    <x v="1752"/>
    <n v="65"/>
    <n v="54"/>
    <x v="4"/>
    <n v="11"/>
    <x v="1"/>
    <n v="0.1125"/>
    <n v="4523"/>
  </r>
  <r>
    <x v="14"/>
    <x v="1753"/>
    <n v="236"/>
    <n v="187"/>
    <x v="5"/>
    <n v="49"/>
    <x v="0"/>
    <n v="0.38958333333333334"/>
    <n v="1455"/>
  </r>
  <r>
    <x v="14"/>
    <x v="1754"/>
    <n v="239"/>
    <n v="121"/>
    <x v="0"/>
    <n v="118"/>
    <x v="0"/>
    <n v="0.25208333333333333"/>
    <n v="3037"/>
  </r>
  <r>
    <x v="14"/>
    <x v="1755"/>
    <n v="276"/>
    <n v="115"/>
    <x v="2"/>
    <n v="161"/>
    <x v="0"/>
    <n v="0.23958333333333334"/>
    <n v="3206"/>
  </r>
  <r>
    <x v="14"/>
    <x v="1756"/>
    <n v="211"/>
    <n v="108"/>
    <x v="5"/>
    <n v="103"/>
    <x v="0"/>
    <n v="0.22500000000000001"/>
    <n v="3362"/>
  </r>
  <r>
    <x v="14"/>
    <x v="1757"/>
    <n v="145"/>
    <n v="128"/>
    <x v="1"/>
    <n v="17"/>
    <x v="0"/>
    <n v="0.26666666666666666"/>
    <n v="2872"/>
  </r>
  <r>
    <x v="14"/>
    <x v="1758"/>
    <n v="70"/>
    <n v="55"/>
    <x v="2"/>
    <n v="15"/>
    <x v="1"/>
    <n v="0.11458333333333333"/>
    <n v="4497"/>
  </r>
  <r>
    <x v="14"/>
    <x v="1759"/>
    <n v="220"/>
    <n v="116"/>
    <x v="4"/>
    <n v="104"/>
    <x v="0"/>
    <n v="0.24166666666666667"/>
    <n v="3173"/>
  </r>
  <r>
    <x v="14"/>
    <x v="1760"/>
    <n v="117"/>
    <n v="65"/>
    <x v="6"/>
    <n v="52"/>
    <x v="1"/>
    <n v="0.13541666666666666"/>
    <n v="4267"/>
  </r>
  <r>
    <x v="14"/>
    <x v="1761"/>
    <n v="299"/>
    <n v="85"/>
    <x v="2"/>
    <n v="214"/>
    <x v="1"/>
    <n v="0.17708333333333334"/>
    <n v="3852"/>
  </r>
  <r>
    <x v="14"/>
    <x v="1762"/>
    <n v="256"/>
    <n v="171"/>
    <x v="5"/>
    <n v="85"/>
    <x v="0"/>
    <n v="0.35625000000000001"/>
    <n v="1866"/>
  </r>
  <r>
    <x v="14"/>
    <x v="1763"/>
    <n v="213"/>
    <n v="184"/>
    <x v="1"/>
    <n v="29"/>
    <x v="0"/>
    <n v="0.38333333333333336"/>
    <n v="1544"/>
  </r>
  <r>
    <x v="14"/>
    <x v="1764"/>
    <n v="254"/>
    <n v="64"/>
    <x v="2"/>
    <n v="190"/>
    <x v="1"/>
    <n v="0.13333333333333333"/>
    <n v="4293"/>
  </r>
  <r>
    <x v="14"/>
    <x v="1765"/>
    <n v="282"/>
    <n v="166"/>
    <x v="3"/>
    <n v="116"/>
    <x v="0"/>
    <n v="0.34583333333333333"/>
    <n v="2007"/>
  </r>
  <r>
    <x v="14"/>
    <x v="1766"/>
    <n v="285"/>
    <n v="127"/>
    <x v="1"/>
    <n v="158"/>
    <x v="0"/>
    <n v="0.26458333333333334"/>
    <n v="2909"/>
  </r>
  <r>
    <x v="14"/>
    <x v="1767"/>
    <n v="167"/>
    <n v="45"/>
    <x v="0"/>
    <n v="122"/>
    <x v="2"/>
    <n v="9.375E-2"/>
    <n v="4702"/>
  </r>
  <r>
    <x v="14"/>
    <x v="1768"/>
    <n v="291"/>
    <n v="123"/>
    <x v="1"/>
    <n v="168"/>
    <x v="0"/>
    <n v="0.25624999999999998"/>
    <n v="2983"/>
  </r>
  <r>
    <x v="14"/>
    <x v="1769"/>
    <n v="229"/>
    <n v="184"/>
    <x v="3"/>
    <n v="45"/>
    <x v="0"/>
    <n v="0.38333333333333336"/>
    <n v="1544"/>
  </r>
  <r>
    <x v="14"/>
    <x v="1770"/>
    <n v="236"/>
    <n v="91"/>
    <x v="6"/>
    <n v="145"/>
    <x v="1"/>
    <n v="0.18958333333333333"/>
    <n v="3726"/>
  </r>
  <r>
    <x v="14"/>
    <x v="1771"/>
    <n v="99"/>
    <n v="95"/>
    <x v="3"/>
    <n v="4"/>
    <x v="1"/>
    <n v="0.19791666666666666"/>
    <n v="3634"/>
  </r>
  <r>
    <x v="14"/>
    <x v="1772"/>
    <n v="175"/>
    <n v="117"/>
    <x v="3"/>
    <n v="58"/>
    <x v="0"/>
    <n v="0.24374999999999999"/>
    <n v="3144"/>
  </r>
  <r>
    <x v="14"/>
    <x v="1773"/>
    <n v="145"/>
    <n v="135"/>
    <x v="3"/>
    <n v="10"/>
    <x v="0"/>
    <n v="0.28125"/>
    <n v="2714"/>
  </r>
  <r>
    <x v="14"/>
    <x v="1774"/>
    <n v="211"/>
    <n v="137"/>
    <x v="5"/>
    <n v="74"/>
    <x v="0"/>
    <n v="0.28541666666666665"/>
    <n v="2677"/>
  </r>
  <r>
    <x v="14"/>
    <x v="1775"/>
    <n v="281"/>
    <n v="145"/>
    <x v="0"/>
    <n v="136"/>
    <x v="0"/>
    <n v="0.30208333333333331"/>
    <n v="2526"/>
  </r>
  <r>
    <x v="14"/>
    <x v="1776"/>
    <n v="310"/>
    <n v="47"/>
    <x v="0"/>
    <n v="263"/>
    <x v="2"/>
    <n v="9.7916666666666666E-2"/>
    <n v="4656"/>
  </r>
  <r>
    <x v="14"/>
    <x v="1777"/>
    <n v="149"/>
    <n v="94"/>
    <x v="0"/>
    <n v="55"/>
    <x v="1"/>
    <n v="0.19583333333333333"/>
    <n v="3654"/>
  </r>
  <r>
    <x v="14"/>
    <x v="1778"/>
    <n v="249"/>
    <n v="111"/>
    <x v="4"/>
    <n v="138"/>
    <x v="0"/>
    <n v="0.23125000000000001"/>
    <n v="3285"/>
  </r>
  <r>
    <x v="14"/>
    <x v="1779"/>
    <n v="313"/>
    <n v="162"/>
    <x v="6"/>
    <n v="151"/>
    <x v="0"/>
    <n v="0.33750000000000002"/>
    <n v="2106"/>
  </r>
  <r>
    <x v="14"/>
    <x v="1780"/>
    <n v="153"/>
    <n v="115"/>
    <x v="2"/>
    <n v="38"/>
    <x v="0"/>
    <n v="0.23958333333333334"/>
    <n v="3206"/>
  </r>
  <r>
    <x v="14"/>
    <x v="1781"/>
    <n v="208"/>
    <n v="167"/>
    <x v="4"/>
    <n v="41"/>
    <x v="0"/>
    <n v="0.34791666666666665"/>
    <n v="1979"/>
  </r>
  <r>
    <x v="14"/>
    <x v="1782"/>
    <n v="179"/>
    <n v="109"/>
    <x v="5"/>
    <n v="70"/>
    <x v="0"/>
    <n v="0.22708333333333333"/>
    <n v="3338"/>
  </r>
  <r>
    <x v="14"/>
    <x v="1783"/>
    <n v="171"/>
    <n v="124"/>
    <x v="6"/>
    <n v="47"/>
    <x v="0"/>
    <n v="0.25833333333333336"/>
    <n v="2971"/>
  </r>
  <r>
    <x v="14"/>
    <x v="1784"/>
    <n v="318"/>
    <n v="167"/>
    <x v="5"/>
    <n v="151"/>
    <x v="0"/>
    <n v="0.34791666666666665"/>
    <n v="1979"/>
  </r>
  <r>
    <x v="14"/>
    <x v="1785"/>
    <n v="298"/>
    <n v="170"/>
    <x v="4"/>
    <n v="128"/>
    <x v="0"/>
    <n v="0.35416666666666669"/>
    <n v="1898"/>
  </r>
  <r>
    <x v="14"/>
    <x v="1786"/>
    <n v="136"/>
    <n v="130"/>
    <x v="1"/>
    <n v="6"/>
    <x v="0"/>
    <n v="0.27083333333333331"/>
    <n v="2832"/>
  </r>
  <r>
    <x v="14"/>
    <x v="1787"/>
    <n v="202"/>
    <n v="121"/>
    <x v="1"/>
    <n v="81"/>
    <x v="0"/>
    <n v="0.25208333333333333"/>
    <n v="3037"/>
  </r>
  <r>
    <x v="14"/>
    <x v="1788"/>
    <n v="253"/>
    <n v="162"/>
    <x v="1"/>
    <n v="91"/>
    <x v="0"/>
    <n v="0.33750000000000002"/>
    <n v="2106"/>
  </r>
  <r>
    <x v="14"/>
    <x v="1789"/>
    <n v="103"/>
    <n v="72"/>
    <x v="1"/>
    <n v="31"/>
    <x v="1"/>
    <n v="0.15"/>
    <n v="4100"/>
  </r>
  <r>
    <x v="14"/>
    <x v="1790"/>
    <n v="190"/>
    <n v="186"/>
    <x v="2"/>
    <n v="4"/>
    <x v="0"/>
    <n v="0.38750000000000001"/>
    <n v="1478"/>
  </r>
  <r>
    <x v="14"/>
    <x v="1791"/>
    <n v="196"/>
    <n v="187"/>
    <x v="3"/>
    <n v="9"/>
    <x v="0"/>
    <n v="0.38958333333333334"/>
    <n v="1455"/>
  </r>
  <r>
    <x v="14"/>
    <x v="1792"/>
    <n v="308"/>
    <n v="165"/>
    <x v="6"/>
    <n v="143"/>
    <x v="0"/>
    <n v="0.34375"/>
    <n v="2028"/>
  </r>
  <r>
    <x v="14"/>
    <x v="1793"/>
    <n v="290"/>
    <n v="136"/>
    <x v="6"/>
    <n v="154"/>
    <x v="0"/>
    <n v="0.28333333333333333"/>
    <n v="2692"/>
  </r>
  <r>
    <x v="14"/>
    <x v="1794"/>
    <n v="306"/>
    <n v="31"/>
    <x v="0"/>
    <n v="275"/>
    <x v="2"/>
    <n v="6.458333333333334E-2"/>
    <n v="5016"/>
  </r>
  <r>
    <x v="14"/>
    <x v="1795"/>
    <n v="189"/>
    <n v="109"/>
    <x v="5"/>
    <n v="80"/>
    <x v="0"/>
    <n v="0.22708333333333333"/>
    <n v="3338"/>
  </r>
  <r>
    <x v="14"/>
    <x v="1796"/>
    <n v="304"/>
    <n v="134"/>
    <x v="1"/>
    <n v="170"/>
    <x v="0"/>
    <n v="0.27916666666666667"/>
    <n v="2740"/>
  </r>
  <r>
    <x v="14"/>
    <x v="1797"/>
    <n v="172"/>
    <n v="169"/>
    <x v="1"/>
    <n v="3"/>
    <x v="0"/>
    <n v="0.35208333333333336"/>
    <n v="1925"/>
  </r>
  <r>
    <x v="14"/>
    <x v="1798"/>
    <n v="201"/>
    <n v="86"/>
    <x v="0"/>
    <n v="115"/>
    <x v="1"/>
    <n v="0.17916666666666667"/>
    <n v="3830"/>
  </r>
  <r>
    <x v="14"/>
    <x v="1799"/>
    <n v="181"/>
    <n v="142"/>
    <x v="4"/>
    <n v="39"/>
    <x v="0"/>
    <n v="0.29583333333333334"/>
    <n v="2585"/>
  </r>
  <r>
    <x v="14"/>
    <x v="1800"/>
    <n v="78"/>
    <n v="67"/>
    <x v="1"/>
    <n v="11"/>
    <x v="1"/>
    <n v="0.13958333333333334"/>
    <n v="4225"/>
  </r>
  <r>
    <x v="14"/>
    <x v="1801"/>
    <n v="223"/>
    <n v="53"/>
    <x v="5"/>
    <n v="170"/>
    <x v="1"/>
    <n v="0.11041666666666666"/>
    <n v="4544"/>
  </r>
  <r>
    <x v="14"/>
    <x v="1802"/>
    <n v="151"/>
    <n v="151"/>
    <x v="1"/>
    <n v="0"/>
    <x v="0"/>
    <n v="0.31458333333333333"/>
    <n v="2376"/>
  </r>
  <r>
    <x v="14"/>
    <x v="1803"/>
    <n v="285"/>
    <n v="71"/>
    <x v="3"/>
    <n v="214"/>
    <x v="1"/>
    <n v="0.14791666666666667"/>
    <n v="4129"/>
  </r>
  <r>
    <x v="14"/>
    <x v="1804"/>
    <n v="282"/>
    <n v="126"/>
    <x v="2"/>
    <n v="156"/>
    <x v="0"/>
    <n v="0.26250000000000001"/>
    <n v="2934"/>
  </r>
  <r>
    <x v="14"/>
    <x v="1805"/>
    <n v="263"/>
    <n v="122"/>
    <x v="2"/>
    <n v="141"/>
    <x v="0"/>
    <n v="0.25416666666666665"/>
    <n v="3013"/>
  </r>
  <r>
    <x v="14"/>
    <x v="1806"/>
    <n v="292"/>
    <n v="137"/>
    <x v="4"/>
    <n v="155"/>
    <x v="0"/>
    <n v="0.28541666666666665"/>
    <n v="2677"/>
  </r>
  <r>
    <x v="14"/>
    <x v="1807"/>
    <n v="185"/>
    <n v="151"/>
    <x v="4"/>
    <n v="34"/>
    <x v="0"/>
    <n v="0.31458333333333333"/>
    <n v="2376"/>
  </r>
  <r>
    <x v="14"/>
    <x v="1808"/>
    <n v="215"/>
    <n v="154"/>
    <x v="5"/>
    <n v="61"/>
    <x v="0"/>
    <n v="0.32083333333333336"/>
    <n v="2307"/>
  </r>
  <r>
    <x v="14"/>
    <x v="1809"/>
    <n v="239"/>
    <n v="183"/>
    <x v="6"/>
    <n v="56"/>
    <x v="0"/>
    <n v="0.38124999999999998"/>
    <n v="1572"/>
  </r>
  <r>
    <x v="14"/>
    <x v="1810"/>
    <n v="227"/>
    <n v="128"/>
    <x v="1"/>
    <n v="99"/>
    <x v="0"/>
    <n v="0.26666666666666666"/>
    <n v="2872"/>
  </r>
  <r>
    <x v="14"/>
    <x v="1811"/>
    <n v="48"/>
    <n v="37"/>
    <x v="1"/>
    <n v="11"/>
    <x v="2"/>
    <n v="7.7083333333333337E-2"/>
    <n v="4863"/>
  </r>
  <r>
    <x v="14"/>
    <x v="1812"/>
    <n v="260"/>
    <n v="181"/>
    <x v="6"/>
    <n v="79"/>
    <x v="0"/>
    <n v="0.37708333333333333"/>
    <n v="1609"/>
  </r>
  <r>
    <x v="14"/>
    <x v="1813"/>
    <n v="188"/>
    <n v="183"/>
    <x v="1"/>
    <n v="5"/>
    <x v="0"/>
    <n v="0.38124999999999998"/>
    <n v="1572"/>
  </r>
  <r>
    <x v="14"/>
    <x v="1814"/>
    <n v="243"/>
    <n v="137"/>
    <x v="1"/>
    <n v="106"/>
    <x v="0"/>
    <n v="0.28541666666666665"/>
    <n v="2677"/>
  </r>
  <r>
    <x v="14"/>
    <x v="1815"/>
    <n v="136"/>
    <n v="66"/>
    <x v="4"/>
    <n v="70"/>
    <x v="1"/>
    <n v="0.13750000000000001"/>
    <n v="4247"/>
  </r>
  <r>
    <x v="14"/>
    <x v="1816"/>
    <n v="276"/>
    <n v="129"/>
    <x v="6"/>
    <n v="147"/>
    <x v="0"/>
    <n v="0.26874999999999999"/>
    <n v="2852"/>
  </r>
  <r>
    <x v="14"/>
    <x v="1817"/>
    <n v="293"/>
    <n v="160"/>
    <x v="5"/>
    <n v="133"/>
    <x v="0"/>
    <n v="0.33333333333333331"/>
    <n v="2154"/>
  </r>
  <r>
    <x v="14"/>
    <x v="1818"/>
    <n v="129"/>
    <n v="126"/>
    <x v="4"/>
    <n v="3"/>
    <x v="0"/>
    <n v="0.26250000000000001"/>
    <n v="2934"/>
  </r>
  <r>
    <x v="14"/>
    <x v="1819"/>
    <n v="170"/>
    <n v="117"/>
    <x v="5"/>
    <n v="53"/>
    <x v="0"/>
    <n v="0.24374999999999999"/>
    <n v="3144"/>
  </r>
  <r>
    <x v="14"/>
    <x v="1820"/>
    <n v="247"/>
    <n v="110"/>
    <x v="6"/>
    <n v="137"/>
    <x v="0"/>
    <n v="0.22916666666666666"/>
    <n v="3302"/>
  </r>
  <r>
    <x v="14"/>
    <x v="1821"/>
    <n v="44"/>
    <n v="41"/>
    <x v="5"/>
    <n v="3"/>
    <x v="2"/>
    <n v="8.5416666666666669E-2"/>
    <n v="4789"/>
  </r>
  <r>
    <x v="14"/>
    <x v="1822"/>
    <n v="153"/>
    <n v="107"/>
    <x v="2"/>
    <n v="46"/>
    <x v="0"/>
    <n v="0.22291666666666668"/>
    <n v="3387"/>
  </r>
  <r>
    <x v="14"/>
    <x v="1823"/>
    <n v="217"/>
    <n v="42"/>
    <x v="6"/>
    <n v="175"/>
    <x v="2"/>
    <n v="8.7499999999999994E-2"/>
    <n v="4776"/>
  </r>
  <r>
    <x v="14"/>
    <x v="1824"/>
    <n v="175"/>
    <n v="96"/>
    <x v="1"/>
    <n v="79"/>
    <x v="1"/>
    <n v="0.2"/>
    <n v="3616"/>
  </r>
  <r>
    <x v="14"/>
    <x v="1825"/>
    <n v="267"/>
    <n v="48"/>
    <x v="4"/>
    <n v="219"/>
    <x v="2"/>
    <n v="0.1"/>
    <n v="4638"/>
  </r>
  <r>
    <x v="14"/>
    <x v="1826"/>
    <n v="176"/>
    <n v="163"/>
    <x v="3"/>
    <n v="13"/>
    <x v="0"/>
    <n v="0.33958333333333335"/>
    <n v="2075"/>
  </r>
  <r>
    <x v="15"/>
    <x v="1827"/>
    <n v="229"/>
    <n v="166"/>
    <x v="6"/>
    <n v="63"/>
    <x v="0"/>
    <n v="0.34583333333333333"/>
    <n v="2007"/>
  </r>
  <r>
    <x v="15"/>
    <x v="1828"/>
    <n v="221"/>
    <n v="117"/>
    <x v="1"/>
    <n v="104"/>
    <x v="0"/>
    <n v="0.24374999999999999"/>
    <n v="3144"/>
  </r>
  <r>
    <x v="15"/>
    <x v="1829"/>
    <n v="214"/>
    <n v="36"/>
    <x v="3"/>
    <n v="178"/>
    <x v="2"/>
    <n v="7.4999999999999997E-2"/>
    <n v="4893"/>
  </r>
  <r>
    <x v="15"/>
    <x v="1830"/>
    <n v="158"/>
    <n v="132"/>
    <x v="1"/>
    <n v="26"/>
    <x v="0"/>
    <n v="0.27500000000000002"/>
    <n v="2792"/>
  </r>
  <r>
    <x v="15"/>
    <x v="1831"/>
    <n v="117"/>
    <n v="110"/>
    <x v="5"/>
    <n v="7"/>
    <x v="0"/>
    <n v="0.22916666666666666"/>
    <n v="3302"/>
  </r>
  <r>
    <x v="15"/>
    <x v="1832"/>
    <n v="232"/>
    <n v="161"/>
    <x v="1"/>
    <n v="71"/>
    <x v="0"/>
    <n v="0.33541666666666664"/>
    <n v="2129"/>
  </r>
  <r>
    <x v="15"/>
    <x v="1833"/>
    <n v="225"/>
    <n v="122"/>
    <x v="3"/>
    <n v="103"/>
    <x v="0"/>
    <n v="0.25416666666666665"/>
    <n v="3013"/>
  </r>
  <r>
    <x v="15"/>
    <x v="1834"/>
    <n v="271"/>
    <n v="131"/>
    <x v="1"/>
    <n v="140"/>
    <x v="0"/>
    <n v="0.27291666666666664"/>
    <n v="2815"/>
  </r>
  <r>
    <x v="15"/>
    <x v="1835"/>
    <n v="164"/>
    <n v="152"/>
    <x v="1"/>
    <n v="12"/>
    <x v="0"/>
    <n v="0.31666666666666665"/>
    <n v="2349"/>
  </r>
  <r>
    <x v="15"/>
    <x v="1836"/>
    <n v="283"/>
    <n v="167"/>
    <x v="0"/>
    <n v="116"/>
    <x v="0"/>
    <n v="0.34791666666666665"/>
    <n v="1979"/>
  </r>
  <r>
    <x v="15"/>
    <x v="1837"/>
    <n v="92"/>
    <n v="32"/>
    <x v="0"/>
    <n v="60"/>
    <x v="2"/>
    <n v="6.6666666666666666E-2"/>
    <n v="4983"/>
  </r>
  <r>
    <x v="15"/>
    <x v="1838"/>
    <n v="120"/>
    <n v="105"/>
    <x v="3"/>
    <n v="15"/>
    <x v="0"/>
    <n v="0.21875"/>
    <n v="3436"/>
  </r>
  <r>
    <x v="15"/>
    <x v="1839"/>
    <n v="275"/>
    <n v="49"/>
    <x v="6"/>
    <n v="226"/>
    <x v="2"/>
    <n v="0.10208333333333333"/>
    <n v="4614"/>
  </r>
  <r>
    <x v="15"/>
    <x v="1840"/>
    <n v="255"/>
    <n v="98"/>
    <x v="5"/>
    <n v="157"/>
    <x v="1"/>
    <n v="0.20416666666666666"/>
    <n v="3574"/>
  </r>
  <r>
    <x v="15"/>
    <x v="1841"/>
    <n v="266"/>
    <n v="153"/>
    <x v="5"/>
    <n v="113"/>
    <x v="0"/>
    <n v="0.31874999999999998"/>
    <n v="2329"/>
  </r>
  <r>
    <x v="15"/>
    <x v="1842"/>
    <n v="248"/>
    <n v="91"/>
    <x v="2"/>
    <n v="157"/>
    <x v="1"/>
    <n v="0.18958333333333333"/>
    <n v="3726"/>
  </r>
  <r>
    <x v="15"/>
    <x v="1843"/>
    <n v="109"/>
    <n v="79"/>
    <x v="5"/>
    <n v="30"/>
    <x v="1"/>
    <n v="0.16458333333333333"/>
    <n v="3967"/>
  </r>
  <r>
    <x v="15"/>
    <x v="1844"/>
    <n v="137"/>
    <n v="108"/>
    <x v="6"/>
    <n v="29"/>
    <x v="0"/>
    <n v="0.22500000000000001"/>
    <n v="3362"/>
  </r>
  <r>
    <x v="15"/>
    <x v="1845"/>
    <n v="67"/>
    <n v="38"/>
    <x v="0"/>
    <n v="29"/>
    <x v="2"/>
    <n v="7.9166666666666663E-2"/>
    <n v="4845"/>
  </r>
  <r>
    <x v="15"/>
    <x v="1846"/>
    <n v="72"/>
    <n v="50"/>
    <x v="0"/>
    <n v="22"/>
    <x v="2"/>
    <n v="0.10416666666666667"/>
    <n v="4596"/>
  </r>
  <r>
    <x v="15"/>
    <x v="1847"/>
    <n v="161"/>
    <n v="130"/>
    <x v="2"/>
    <n v="31"/>
    <x v="0"/>
    <n v="0.27083333333333331"/>
    <n v="2832"/>
  </r>
  <r>
    <x v="15"/>
    <x v="1848"/>
    <n v="116"/>
    <n v="114"/>
    <x v="5"/>
    <n v="2"/>
    <x v="0"/>
    <n v="0.23749999999999999"/>
    <n v="3226"/>
  </r>
  <r>
    <x v="15"/>
    <x v="1849"/>
    <n v="105"/>
    <n v="30"/>
    <x v="4"/>
    <n v="75"/>
    <x v="2"/>
    <n v="6.25E-2"/>
    <n v="5042"/>
  </r>
  <r>
    <x v="15"/>
    <x v="1850"/>
    <n v="144"/>
    <n v="111"/>
    <x v="4"/>
    <n v="33"/>
    <x v="0"/>
    <n v="0.23125000000000001"/>
    <n v="3285"/>
  </r>
  <r>
    <x v="15"/>
    <x v="1851"/>
    <n v="241"/>
    <n v="149"/>
    <x v="3"/>
    <n v="92"/>
    <x v="0"/>
    <n v="0.31041666666666667"/>
    <n v="2426"/>
  </r>
  <r>
    <x v="15"/>
    <x v="1852"/>
    <n v="228"/>
    <n v="116"/>
    <x v="4"/>
    <n v="112"/>
    <x v="0"/>
    <n v="0.24166666666666667"/>
    <n v="3173"/>
  </r>
  <r>
    <x v="15"/>
    <x v="1853"/>
    <n v="276"/>
    <n v="73"/>
    <x v="1"/>
    <n v="203"/>
    <x v="1"/>
    <n v="0.15208333333333332"/>
    <n v="4083"/>
  </r>
  <r>
    <x v="15"/>
    <x v="1854"/>
    <n v="87"/>
    <n v="76"/>
    <x v="6"/>
    <n v="11"/>
    <x v="1"/>
    <n v="0.15833333333333333"/>
    <n v="4023"/>
  </r>
  <r>
    <x v="15"/>
    <x v="1855"/>
    <n v="190"/>
    <n v="160"/>
    <x v="4"/>
    <n v="30"/>
    <x v="0"/>
    <n v="0.33333333333333331"/>
    <n v="2154"/>
  </r>
  <r>
    <x v="15"/>
    <x v="1856"/>
    <n v="159"/>
    <n v="137"/>
    <x v="3"/>
    <n v="22"/>
    <x v="0"/>
    <n v="0.28541666666666665"/>
    <n v="2677"/>
  </r>
  <r>
    <x v="15"/>
    <x v="1857"/>
    <n v="298"/>
    <n v="72"/>
    <x v="0"/>
    <n v="226"/>
    <x v="1"/>
    <n v="0.15"/>
    <n v="4100"/>
  </r>
  <r>
    <x v="15"/>
    <x v="1858"/>
    <n v="265"/>
    <n v="188"/>
    <x v="6"/>
    <n v="77"/>
    <x v="0"/>
    <n v="0.39166666666666666"/>
    <n v="1423"/>
  </r>
  <r>
    <x v="15"/>
    <x v="1859"/>
    <n v="280"/>
    <n v="96"/>
    <x v="2"/>
    <n v="184"/>
    <x v="1"/>
    <n v="0.2"/>
    <n v="3616"/>
  </r>
  <r>
    <x v="15"/>
    <x v="1860"/>
    <n v="283"/>
    <n v="97"/>
    <x v="1"/>
    <n v="186"/>
    <x v="1"/>
    <n v="0.20208333333333334"/>
    <n v="3593"/>
  </r>
  <r>
    <x v="15"/>
    <x v="1861"/>
    <n v="295"/>
    <n v="189"/>
    <x v="1"/>
    <n v="106"/>
    <x v="0"/>
    <n v="0.39374999999999999"/>
    <n v="1395"/>
  </r>
  <r>
    <x v="15"/>
    <x v="1862"/>
    <n v="249"/>
    <n v="101"/>
    <x v="5"/>
    <n v="148"/>
    <x v="0"/>
    <n v="0.21041666666666667"/>
    <n v="3515"/>
  </r>
  <r>
    <x v="15"/>
    <x v="1863"/>
    <n v="140"/>
    <n v="104"/>
    <x v="5"/>
    <n v="36"/>
    <x v="0"/>
    <n v="0.21666666666666667"/>
    <n v="3454"/>
  </r>
  <r>
    <x v="15"/>
    <x v="1864"/>
    <n v="113"/>
    <n v="60"/>
    <x v="4"/>
    <n v="53"/>
    <x v="1"/>
    <n v="0.125"/>
    <n v="4390"/>
  </r>
  <r>
    <x v="15"/>
    <x v="1865"/>
    <n v="299"/>
    <n v="31"/>
    <x v="3"/>
    <n v="268"/>
    <x v="2"/>
    <n v="6.458333333333334E-2"/>
    <n v="5016"/>
  </r>
  <r>
    <x v="15"/>
    <x v="1866"/>
    <n v="150"/>
    <n v="142"/>
    <x v="5"/>
    <n v="8"/>
    <x v="0"/>
    <n v="0.29583333333333334"/>
    <n v="2585"/>
  </r>
  <r>
    <x v="15"/>
    <x v="1867"/>
    <n v="178"/>
    <n v="50"/>
    <x v="0"/>
    <n v="128"/>
    <x v="2"/>
    <n v="0.10416666666666667"/>
    <n v="4596"/>
  </r>
  <r>
    <x v="15"/>
    <x v="1868"/>
    <n v="222"/>
    <n v="48"/>
    <x v="3"/>
    <n v="174"/>
    <x v="2"/>
    <n v="0.1"/>
    <n v="4638"/>
  </r>
  <r>
    <x v="15"/>
    <x v="1869"/>
    <n v="117"/>
    <n v="104"/>
    <x v="2"/>
    <n v="13"/>
    <x v="0"/>
    <n v="0.21666666666666667"/>
    <n v="3454"/>
  </r>
  <r>
    <x v="15"/>
    <x v="1870"/>
    <n v="222"/>
    <n v="156"/>
    <x v="0"/>
    <n v="66"/>
    <x v="0"/>
    <n v="0.32500000000000001"/>
    <n v="2251"/>
  </r>
  <r>
    <x v="15"/>
    <x v="1871"/>
    <n v="315"/>
    <n v="167"/>
    <x v="2"/>
    <n v="148"/>
    <x v="0"/>
    <n v="0.34791666666666665"/>
    <n v="1979"/>
  </r>
  <r>
    <x v="15"/>
    <x v="1872"/>
    <n v="276"/>
    <n v="182"/>
    <x v="4"/>
    <n v="94"/>
    <x v="0"/>
    <n v="0.37916666666666665"/>
    <n v="1593"/>
  </r>
  <r>
    <x v="15"/>
    <x v="1873"/>
    <n v="78"/>
    <n v="40"/>
    <x v="5"/>
    <n v="38"/>
    <x v="2"/>
    <n v="8.3333333333333329E-2"/>
    <n v="4808"/>
  </r>
  <r>
    <x v="15"/>
    <x v="1874"/>
    <n v="304"/>
    <n v="166"/>
    <x v="0"/>
    <n v="138"/>
    <x v="0"/>
    <n v="0.34583333333333333"/>
    <n v="2007"/>
  </r>
  <r>
    <x v="15"/>
    <x v="1875"/>
    <n v="271"/>
    <n v="109"/>
    <x v="3"/>
    <n v="162"/>
    <x v="0"/>
    <n v="0.22708333333333333"/>
    <n v="3338"/>
  </r>
  <r>
    <x v="15"/>
    <x v="1876"/>
    <n v="145"/>
    <n v="90"/>
    <x v="5"/>
    <n v="55"/>
    <x v="1"/>
    <n v="0.1875"/>
    <n v="3750"/>
  </r>
  <r>
    <x v="15"/>
    <x v="1877"/>
    <n v="142"/>
    <n v="97"/>
    <x v="0"/>
    <n v="45"/>
    <x v="1"/>
    <n v="0.20208333333333334"/>
    <n v="3593"/>
  </r>
  <r>
    <x v="15"/>
    <x v="1878"/>
    <n v="217"/>
    <n v="67"/>
    <x v="6"/>
    <n v="150"/>
    <x v="1"/>
    <n v="0.13958333333333334"/>
    <n v="4225"/>
  </r>
  <r>
    <x v="15"/>
    <x v="1879"/>
    <n v="235"/>
    <n v="107"/>
    <x v="4"/>
    <n v="128"/>
    <x v="0"/>
    <n v="0.22291666666666668"/>
    <n v="3387"/>
  </r>
  <r>
    <x v="15"/>
    <x v="1880"/>
    <n v="208"/>
    <n v="114"/>
    <x v="0"/>
    <n v="94"/>
    <x v="0"/>
    <n v="0.23749999999999999"/>
    <n v="3226"/>
  </r>
  <r>
    <x v="15"/>
    <x v="1881"/>
    <n v="304"/>
    <n v="170"/>
    <x v="1"/>
    <n v="134"/>
    <x v="0"/>
    <n v="0.35416666666666669"/>
    <n v="1898"/>
  </r>
  <r>
    <x v="15"/>
    <x v="1882"/>
    <n v="200"/>
    <n v="36"/>
    <x v="0"/>
    <n v="164"/>
    <x v="2"/>
    <n v="7.4999999999999997E-2"/>
    <n v="4893"/>
  </r>
  <r>
    <x v="15"/>
    <x v="1883"/>
    <n v="164"/>
    <n v="138"/>
    <x v="2"/>
    <n v="26"/>
    <x v="0"/>
    <n v="0.28749999999999998"/>
    <n v="2660"/>
  </r>
  <r>
    <x v="15"/>
    <x v="1884"/>
    <n v="180"/>
    <n v="89"/>
    <x v="6"/>
    <n v="91"/>
    <x v="1"/>
    <n v="0.18541666666666667"/>
    <n v="3772"/>
  </r>
  <r>
    <x v="15"/>
    <x v="1885"/>
    <n v="222"/>
    <n v="162"/>
    <x v="2"/>
    <n v="60"/>
    <x v="0"/>
    <n v="0.33750000000000002"/>
    <n v="2106"/>
  </r>
  <r>
    <x v="15"/>
    <x v="1886"/>
    <n v="228"/>
    <n v="127"/>
    <x v="5"/>
    <n v="101"/>
    <x v="0"/>
    <n v="0.26458333333333334"/>
    <n v="2909"/>
  </r>
  <r>
    <x v="15"/>
    <x v="1887"/>
    <n v="287"/>
    <n v="59"/>
    <x v="3"/>
    <n v="228"/>
    <x v="1"/>
    <n v="0.12291666666666666"/>
    <n v="4416"/>
  </r>
  <r>
    <x v="15"/>
    <x v="1888"/>
    <n v="142"/>
    <n v="131"/>
    <x v="2"/>
    <n v="11"/>
    <x v="0"/>
    <n v="0.27291666666666664"/>
    <n v="2815"/>
  </r>
  <r>
    <x v="15"/>
    <x v="1889"/>
    <n v="320"/>
    <n v="123"/>
    <x v="2"/>
    <n v="197"/>
    <x v="0"/>
    <n v="0.25624999999999998"/>
    <n v="2983"/>
  </r>
  <r>
    <x v="15"/>
    <x v="1890"/>
    <n v="172"/>
    <n v="74"/>
    <x v="6"/>
    <n v="98"/>
    <x v="1"/>
    <n v="0.15416666666666667"/>
    <n v="4064"/>
  </r>
  <r>
    <x v="15"/>
    <x v="1891"/>
    <n v="156"/>
    <n v="33"/>
    <x v="4"/>
    <n v="123"/>
    <x v="2"/>
    <n v="6.8750000000000006E-2"/>
    <n v="4964"/>
  </r>
  <r>
    <x v="15"/>
    <x v="1892"/>
    <n v="228"/>
    <n v="91"/>
    <x v="6"/>
    <n v="137"/>
    <x v="1"/>
    <n v="0.18958333333333333"/>
    <n v="3726"/>
  </r>
  <r>
    <x v="15"/>
    <x v="1893"/>
    <n v="170"/>
    <n v="33"/>
    <x v="3"/>
    <n v="137"/>
    <x v="2"/>
    <n v="6.8750000000000006E-2"/>
    <n v="4964"/>
  </r>
  <r>
    <x v="15"/>
    <x v="1894"/>
    <n v="239"/>
    <n v="172"/>
    <x v="3"/>
    <n v="67"/>
    <x v="0"/>
    <n v="0.35833333333333334"/>
    <n v="1852"/>
  </r>
  <r>
    <x v="15"/>
    <x v="1895"/>
    <n v="159"/>
    <n v="89"/>
    <x v="3"/>
    <n v="70"/>
    <x v="1"/>
    <n v="0.18541666666666667"/>
    <n v="3772"/>
  </r>
  <r>
    <x v="15"/>
    <x v="1896"/>
    <n v="311"/>
    <n v="146"/>
    <x v="6"/>
    <n v="165"/>
    <x v="0"/>
    <n v="0.30416666666666664"/>
    <n v="2499"/>
  </r>
  <r>
    <x v="15"/>
    <x v="1897"/>
    <n v="165"/>
    <n v="142"/>
    <x v="1"/>
    <n v="23"/>
    <x v="0"/>
    <n v="0.29583333333333334"/>
    <n v="2585"/>
  </r>
  <r>
    <x v="15"/>
    <x v="1898"/>
    <n v="161"/>
    <n v="56"/>
    <x v="2"/>
    <n v="105"/>
    <x v="1"/>
    <n v="0.11666666666666667"/>
    <n v="4474"/>
  </r>
  <r>
    <x v="15"/>
    <x v="1899"/>
    <n v="278"/>
    <n v="140"/>
    <x v="6"/>
    <n v="138"/>
    <x v="0"/>
    <n v="0.29166666666666669"/>
    <n v="2627"/>
  </r>
  <r>
    <x v="15"/>
    <x v="1900"/>
    <n v="131"/>
    <n v="31"/>
    <x v="2"/>
    <n v="100"/>
    <x v="2"/>
    <n v="6.458333333333334E-2"/>
    <n v="5016"/>
  </r>
  <r>
    <x v="15"/>
    <x v="1901"/>
    <n v="258"/>
    <n v="107"/>
    <x v="2"/>
    <n v="151"/>
    <x v="0"/>
    <n v="0.22291666666666668"/>
    <n v="3387"/>
  </r>
  <r>
    <x v="15"/>
    <x v="1902"/>
    <n v="225"/>
    <n v="184"/>
    <x v="5"/>
    <n v="41"/>
    <x v="0"/>
    <n v="0.38333333333333336"/>
    <n v="1544"/>
  </r>
  <r>
    <x v="15"/>
    <x v="1903"/>
    <n v="259"/>
    <n v="89"/>
    <x v="4"/>
    <n v="170"/>
    <x v="1"/>
    <n v="0.18541666666666667"/>
    <n v="3772"/>
  </r>
  <r>
    <x v="15"/>
    <x v="1904"/>
    <n v="276"/>
    <n v="76"/>
    <x v="3"/>
    <n v="200"/>
    <x v="1"/>
    <n v="0.15833333333333333"/>
    <n v="4023"/>
  </r>
  <r>
    <x v="15"/>
    <x v="1905"/>
    <n v="283"/>
    <n v="147"/>
    <x v="3"/>
    <n v="136"/>
    <x v="0"/>
    <n v="0.30625000000000002"/>
    <n v="2478"/>
  </r>
  <r>
    <x v="15"/>
    <x v="1906"/>
    <n v="138"/>
    <n v="82"/>
    <x v="5"/>
    <n v="56"/>
    <x v="1"/>
    <n v="0.17083333333333334"/>
    <n v="3904"/>
  </r>
  <r>
    <x v="15"/>
    <x v="1907"/>
    <n v="307"/>
    <n v="81"/>
    <x v="6"/>
    <n v="226"/>
    <x v="1"/>
    <n v="0.16875000000000001"/>
    <n v="3923"/>
  </r>
  <r>
    <x v="15"/>
    <x v="1908"/>
    <n v="150"/>
    <n v="103"/>
    <x v="2"/>
    <n v="47"/>
    <x v="0"/>
    <n v="0.21458333333333332"/>
    <n v="3474"/>
  </r>
  <r>
    <x v="15"/>
    <x v="1909"/>
    <n v="100"/>
    <n v="99"/>
    <x v="3"/>
    <n v="1"/>
    <x v="1"/>
    <n v="0.20624999999999999"/>
    <n v="3553"/>
  </r>
  <r>
    <x v="15"/>
    <x v="1910"/>
    <n v="114"/>
    <n v="108"/>
    <x v="5"/>
    <n v="6"/>
    <x v="0"/>
    <n v="0.22500000000000001"/>
    <n v="3362"/>
  </r>
  <r>
    <x v="15"/>
    <x v="1911"/>
    <n v="219"/>
    <n v="99"/>
    <x v="4"/>
    <n v="120"/>
    <x v="1"/>
    <n v="0.20624999999999999"/>
    <n v="3553"/>
  </r>
  <r>
    <x v="15"/>
    <x v="1912"/>
    <n v="227"/>
    <n v="190"/>
    <x v="3"/>
    <n v="37"/>
    <x v="0"/>
    <n v="0.39583333333333331"/>
    <n v="1355"/>
  </r>
  <r>
    <x v="15"/>
    <x v="1913"/>
    <n v="94"/>
    <n v="66"/>
    <x v="1"/>
    <n v="28"/>
    <x v="1"/>
    <n v="0.13750000000000001"/>
    <n v="4247"/>
  </r>
  <r>
    <x v="15"/>
    <x v="1914"/>
    <n v="168"/>
    <n v="85"/>
    <x v="3"/>
    <n v="83"/>
    <x v="1"/>
    <n v="0.17708333333333334"/>
    <n v="3852"/>
  </r>
  <r>
    <x v="15"/>
    <x v="1915"/>
    <n v="282"/>
    <n v="143"/>
    <x v="0"/>
    <n v="139"/>
    <x v="0"/>
    <n v="0.29791666666666666"/>
    <n v="2567"/>
  </r>
  <r>
    <x v="15"/>
    <x v="1916"/>
    <n v="176"/>
    <n v="40"/>
    <x v="2"/>
    <n v="136"/>
    <x v="2"/>
    <n v="8.3333333333333329E-2"/>
    <n v="4808"/>
  </r>
  <r>
    <x v="15"/>
    <x v="1917"/>
    <n v="229"/>
    <n v="189"/>
    <x v="3"/>
    <n v="40"/>
    <x v="0"/>
    <n v="0.39374999999999999"/>
    <n v="1395"/>
  </r>
  <r>
    <x v="15"/>
    <x v="1918"/>
    <n v="301"/>
    <n v="170"/>
    <x v="5"/>
    <n v="131"/>
    <x v="0"/>
    <n v="0.35416666666666669"/>
    <n v="1898"/>
  </r>
  <r>
    <x v="15"/>
    <x v="1919"/>
    <n v="269"/>
    <n v="141"/>
    <x v="0"/>
    <n v="128"/>
    <x v="0"/>
    <n v="0.29375000000000001"/>
    <n v="2609"/>
  </r>
  <r>
    <x v="15"/>
    <x v="1920"/>
    <n v="206"/>
    <n v="127"/>
    <x v="3"/>
    <n v="79"/>
    <x v="0"/>
    <n v="0.26458333333333334"/>
    <n v="2909"/>
  </r>
  <r>
    <x v="15"/>
    <x v="1921"/>
    <n v="173"/>
    <n v="145"/>
    <x v="0"/>
    <n v="28"/>
    <x v="0"/>
    <n v="0.30208333333333331"/>
    <n v="2526"/>
  </r>
  <r>
    <x v="15"/>
    <x v="1922"/>
    <n v="158"/>
    <n v="79"/>
    <x v="0"/>
    <n v="79"/>
    <x v="1"/>
    <n v="0.16458333333333333"/>
    <n v="3967"/>
  </r>
  <r>
    <x v="15"/>
    <x v="1923"/>
    <n v="308"/>
    <n v="38"/>
    <x v="5"/>
    <n v="270"/>
    <x v="2"/>
    <n v="7.9166666666666663E-2"/>
    <n v="4845"/>
  </r>
  <r>
    <x v="15"/>
    <x v="1924"/>
    <n v="208"/>
    <n v="147"/>
    <x v="3"/>
    <n v="61"/>
    <x v="0"/>
    <n v="0.30625000000000002"/>
    <n v="2478"/>
  </r>
  <r>
    <x v="15"/>
    <x v="1925"/>
    <n v="57"/>
    <n v="37"/>
    <x v="4"/>
    <n v="20"/>
    <x v="2"/>
    <n v="7.7083333333333337E-2"/>
    <n v="4863"/>
  </r>
  <r>
    <x v="15"/>
    <x v="1926"/>
    <n v="225"/>
    <n v="185"/>
    <x v="6"/>
    <n v="40"/>
    <x v="0"/>
    <n v="0.38541666666666669"/>
    <n v="1517"/>
  </r>
  <r>
    <x v="15"/>
    <x v="1927"/>
    <n v="125"/>
    <n v="85"/>
    <x v="4"/>
    <n v="40"/>
    <x v="1"/>
    <n v="0.17708333333333334"/>
    <n v="3852"/>
  </r>
  <r>
    <x v="15"/>
    <x v="1928"/>
    <n v="307"/>
    <n v="155"/>
    <x v="1"/>
    <n v="152"/>
    <x v="0"/>
    <n v="0.32291666666666669"/>
    <n v="2275"/>
  </r>
  <r>
    <x v="15"/>
    <x v="1929"/>
    <n v="282"/>
    <n v="57"/>
    <x v="1"/>
    <n v="225"/>
    <x v="1"/>
    <n v="0.11874999999999999"/>
    <n v="4452"/>
  </r>
  <r>
    <x v="15"/>
    <x v="1930"/>
    <n v="277"/>
    <n v="76"/>
    <x v="4"/>
    <n v="201"/>
    <x v="1"/>
    <n v="0.15833333333333333"/>
    <n v="4023"/>
  </r>
  <r>
    <x v="15"/>
    <x v="1931"/>
    <n v="115"/>
    <n v="36"/>
    <x v="5"/>
    <n v="79"/>
    <x v="2"/>
    <n v="7.4999999999999997E-2"/>
    <n v="4893"/>
  </r>
  <r>
    <x v="15"/>
    <x v="1932"/>
    <n v="196"/>
    <n v="89"/>
    <x v="4"/>
    <n v="107"/>
    <x v="1"/>
    <n v="0.18541666666666667"/>
    <n v="3772"/>
  </r>
  <r>
    <x v="15"/>
    <x v="1933"/>
    <n v="208"/>
    <n v="75"/>
    <x v="4"/>
    <n v="133"/>
    <x v="1"/>
    <n v="0.15625"/>
    <n v="4041"/>
  </r>
  <r>
    <x v="15"/>
    <x v="1934"/>
    <n v="294"/>
    <n v="162"/>
    <x v="1"/>
    <n v="132"/>
    <x v="0"/>
    <n v="0.33750000000000002"/>
    <n v="2106"/>
  </r>
  <r>
    <x v="15"/>
    <x v="1935"/>
    <n v="149"/>
    <n v="32"/>
    <x v="4"/>
    <n v="117"/>
    <x v="2"/>
    <n v="6.6666666666666666E-2"/>
    <n v="4983"/>
  </r>
  <r>
    <x v="15"/>
    <x v="1936"/>
    <n v="299"/>
    <n v="58"/>
    <x v="3"/>
    <n v="241"/>
    <x v="1"/>
    <n v="0.12083333333333333"/>
    <n v="4431"/>
  </r>
  <r>
    <x v="15"/>
    <x v="1937"/>
    <n v="284"/>
    <n v="162"/>
    <x v="6"/>
    <n v="122"/>
    <x v="0"/>
    <n v="0.33750000000000002"/>
    <n v="2106"/>
  </r>
  <r>
    <x v="15"/>
    <x v="1938"/>
    <n v="256"/>
    <n v="184"/>
    <x v="2"/>
    <n v="72"/>
    <x v="0"/>
    <n v="0.38333333333333336"/>
    <n v="1544"/>
  </r>
  <r>
    <x v="15"/>
    <x v="1939"/>
    <n v="215"/>
    <n v="69"/>
    <x v="2"/>
    <n v="146"/>
    <x v="1"/>
    <n v="0.14374999999999999"/>
    <n v="4186"/>
  </r>
  <r>
    <x v="15"/>
    <x v="1940"/>
    <n v="198"/>
    <n v="190"/>
    <x v="3"/>
    <n v="8"/>
    <x v="0"/>
    <n v="0.39583333333333331"/>
    <n v="1355"/>
  </r>
  <r>
    <x v="15"/>
    <x v="1941"/>
    <n v="170"/>
    <n v="102"/>
    <x v="3"/>
    <n v="68"/>
    <x v="0"/>
    <n v="0.21249999999999999"/>
    <n v="3493"/>
  </r>
  <r>
    <x v="15"/>
    <x v="1942"/>
    <n v="206"/>
    <n v="133"/>
    <x v="0"/>
    <n v="73"/>
    <x v="0"/>
    <n v="0.27708333333333335"/>
    <n v="2758"/>
  </r>
  <r>
    <x v="15"/>
    <x v="1943"/>
    <n v="113"/>
    <n v="67"/>
    <x v="5"/>
    <n v="46"/>
    <x v="1"/>
    <n v="0.13958333333333334"/>
    <n v="4225"/>
  </r>
  <r>
    <x v="15"/>
    <x v="1944"/>
    <n v="305"/>
    <n v="62"/>
    <x v="5"/>
    <n v="243"/>
    <x v="1"/>
    <n v="0.12916666666666668"/>
    <n v="4343"/>
  </r>
  <r>
    <x v="15"/>
    <x v="1945"/>
    <n v="188"/>
    <n v="118"/>
    <x v="2"/>
    <n v="70"/>
    <x v="0"/>
    <n v="0.24583333333333332"/>
    <n v="3122"/>
  </r>
  <r>
    <x v="15"/>
    <x v="1946"/>
    <n v="123"/>
    <n v="65"/>
    <x v="0"/>
    <n v="58"/>
    <x v="1"/>
    <n v="0.13541666666666666"/>
    <n v="4267"/>
  </r>
  <r>
    <x v="15"/>
    <x v="1947"/>
    <n v="224"/>
    <n v="118"/>
    <x v="6"/>
    <n v="106"/>
    <x v="0"/>
    <n v="0.24583333333333332"/>
    <n v="3122"/>
  </r>
  <r>
    <x v="15"/>
    <x v="1948"/>
    <n v="307"/>
    <n v="173"/>
    <x v="2"/>
    <n v="134"/>
    <x v="0"/>
    <n v="0.36041666666666666"/>
    <n v="1826"/>
  </r>
  <r>
    <x v="15"/>
    <x v="1949"/>
    <n v="245"/>
    <n v="86"/>
    <x v="5"/>
    <n v="159"/>
    <x v="1"/>
    <n v="0.17916666666666667"/>
    <n v="3830"/>
  </r>
  <r>
    <x v="15"/>
    <x v="1950"/>
    <n v="306"/>
    <n v="173"/>
    <x v="1"/>
    <n v="133"/>
    <x v="0"/>
    <n v="0.36041666666666666"/>
    <n v="1826"/>
  </r>
  <r>
    <x v="15"/>
    <x v="1951"/>
    <n v="248"/>
    <n v="102"/>
    <x v="6"/>
    <n v="146"/>
    <x v="0"/>
    <n v="0.21249999999999999"/>
    <n v="3493"/>
  </r>
  <r>
    <x v="15"/>
    <x v="1952"/>
    <n v="190"/>
    <n v="104"/>
    <x v="4"/>
    <n v="86"/>
    <x v="0"/>
    <n v="0.21666666666666667"/>
    <n v="3454"/>
  </r>
  <r>
    <x v="15"/>
    <x v="1953"/>
    <n v="310"/>
    <n v="171"/>
    <x v="6"/>
    <n v="139"/>
    <x v="0"/>
    <n v="0.35625000000000001"/>
    <n v="1866"/>
  </r>
  <r>
    <x v="15"/>
    <x v="1954"/>
    <n v="263"/>
    <n v="58"/>
    <x v="3"/>
    <n v="205"/>
    <x v="1"/>
    <n v="0.12083333333333333"/>
    <n v="4431"/>
  </r>
  <r>
    <x v="15"/>
    <x v="1955"/>
    <n v="259"/>
    <n v="85"/>
    <x v="5"/>
    <n v="174"/>
    <x v="1"/>
    <n v="0.17708333333333334"/>
    <n v="3852"/>
  </r>
  <r>
    <x v="15"/>
    <x v="1956"/>
    <n v="201"/>
    <n v="156"/>
    <x v="4"/>
    <n v="45"/>
    <x v="0"/>
    <n v="0.32500000000000001"/>
    <n v="2251"/>
  </r>
  <r>
    <x v="15"/>
    <x v="1957"/>
    <n v="164"/>
    <n v="155"/>
    <x v="5"/>
    <n v="9"/>
    <x v="0"/>
    <n v="0.32291666666666669"/>
    <n v="2275"/>
  </r>
  <r>
    <x v="15"/>
    <x v="1958"/>
    <n v="283"/>
    <n v="168"/>
    <x v="3"/>
    <n v="115"/>
    <x v="0"/>
    <n v="0.35"/>
    <n v="1954"/>
  </r>
  <r>
    <x v="15"/>
    <x v="1959"/>
    <n v="279"/>
    <n v="46"/>
    <x v="5"/>
    <n v="233"/>
    <x v="2"/>
    <n v="9.583333333333334E-2"/>
    <n v="4680"/>
  </r>
  <r>
    <x v="15"/>
    <x v="1960"/>
    <n v="129"/>
    <n v="118"/>
    <x v="5"/>
    <n v="11"/>
    <x v="0"/>
    <n v="0.24583333333333332"/>
    <n v="3122"/>
  </r>
  <r>
    <x v="15"/>
    <x v="1961"/>
    <n v="106"/>
    <n v="77"/>
    <x v="6"/>
    <n v="29"/>
    <x v="1"/>
    <n v="0.16041666666666668"/>
    <n v="4006"/>
  </r>
  <r>
    <x v="15"/>
    <x v="1962"/>
    <n v="141"/>
    <n v="119"/>
    <x v="5"/>
    <n v="22"/>
    <x v="0"/>
    <n v="0.24791666666666667"/>
    <n v="3093"/>
  </r>
  <r>
    <x v="15"/>
    <x v="1963"/>
    <n v="70"/>
    <n v="40"/>
    <x v="6"/>
    <n v="30"/>
    <x v="2"/>
    <n v="8.3333333333333329E-2"/>
    <n v="4808"/>
  </r>
  <r>
    <x v="15"/>
    <x v="1964"/>
    <n v="95"/>
    <n v="73"/>
    <x v="2"/>
    <n v="22"/>
    <x v="1"/>
    <n v="0.15208333333333332"/>
    <n v="4083"/>
  </r>
  <r>
    <x v="15"/>
    <x v="1965"/>
    <n v="201"/>
    <n v="106"/>
    <x v="3"/>
    <n v="95"/>
    <x v="0"/>
    <n v="0.22083333333333333"/>
    <n v="3413"/>
  </r>
  <r>
    <x v="15"/>
    <x v="1966"/>
    <n v="129"/>
    <n v="68"/>
    <x v="6"/>
    <n v="61"/>
    <x v="1"/>
    <n v="0.14166666666666666"/>
    <n v="4204"/>
  </r>
  <r>
    <x v="15"/>
    <x v="1967"/>
    <n v="171"/>
    <n v="132"/>
    <x v="5"/>
    <n v="39"/>
    <x v="0"/>
    <n v="0.27500000000000002"/>
    <n v="2792"/>
  </r>
  <r>
    <x v="15"/>
    <x v="1968"/>
    <n v="181"/>
    <n v="91"/>
    <x v="5"/>
    <n v="90"/>
    <x v="1"/>
    <n v="0.18958333333333333"/>
    <n v="3726"/>
  </r>
  <r>
    <x v="15"/>
    <x v="1969"/>
    <n v="276"/>
    <n v="147"/>
    <x v="2"/>
    <n v="129"/>
    <x v="0"/>
    <n v="0.30625000000000002"/>
    <n v="2478"/>
  </r>
  <r>
    <x v="15"/>
    <x v="1970"/>
    <n v="271"/>
    <n v="104"/>
    <x v="1"/>
    <n v="167"/>
    <x v="0"/>
    <n v="0.21666666666666667"/>
    <n v="3454"/>
  </r>
  <r>
    <x v="15"/>
    <x v="1971"/>
    <n v="318"/>
    <n v="155"/>
    <x v="6"/>
    <n v="163"/>
    <x v="0"/>
    <n v="0.32291666666666669"/>
    <n v="2275"/>
  </r>
  <r>
    <x v="15"/>
    <x v="1972"/>
    <n v="152"/>
    <n v="120"/>
    <x v="0"/>
    <n v="32"/>
    <x v="0"/>
    <n v="0.25"/>
    <n v="3066"/>
  </r>
  <r>
    <x v="15"/>
    <x v="1973"/>
    <n v="81"/>
    <n v="40"/>
    <x v="1"/>
    <n v="41"/>
    <x v="2"/>
    <n v="8.3333333333333329E-2"/>
    <n v="4808"/>
  </r>
  <r>
    <x v="15"/>
    <x v="1974"/>
    <n v="293"/>
    <n v="186"/>
    <x v="3"/>
    <n v="107"/>
    <x v="0"/>
    <n v="0.38750000000000001"/>
    <n v="1478"/>
  </r>
  <r>
    <x v="15"/>
    <x v="1975"/>
    <n v="319"/>
    <n v="186"/>
    <x v="0"/>
    <n v="133"/>
    <x v="0"/>
    <n v="0.38750000000000001"/>
    <n v="1478"/>
  </r>
  <r>
    <x v="15"/>
    <x v="1976"/>
    <n v="137"/>
    <n v="109"/>
    <x v="4"/>
    <n v="28"/>
    <x v="0"/>
    <n v="0.22708333333333333"/>
    <n v="3338"/>
  </r>
  <r>
    <x v="15"/>
    <x v="1977"/>
    <n v="256"/>
    <n v="166"/>
    <x v="3"/>
    <n v="90"/>
    <x v="0"/>
    <n v="0.34583333333333333"/>
    <n v="2007"/>
  </r>
  <r>
    <x v="15"/>
    <x v="1978"/>
    <n v="208"/>
    <n v="145"/>
    <x v="1"/>
    <n v="63"/>
    <x v="0"/>
    <n v="0.30208333333333331"/>
    <n v="2526"/>
  </r>
  <r>
    <x v="15"/>
    <x v="1979"/>
    <n v="82"/>
    <n v="60"/>
    <x v="0"/>
    <n v="22"/>
    <x v="1"/>
    <n v="0.125"/>
    <n v="4390"/>
  </r>
  <r>
    <x v="15"/>
    <x v="1980"/>
    <n v="318"/>
    <n v="91"/>
    <x v="4"/>
    <n v="227"/>
    <x v="1"/>
    <n v="0.18958333333333333"/>
    <n v="3726"/>
  </r>
  <r>
    <x v="15"/>
    <x v="1981"/>
    <n v="231"/>
    <n v="84"/>
    <x v="3"/>
    <n v="147"/>
    <x v="1"/>
    <n v="0.17499999999999999"/>
    <n v="3872"/>
  </r>
  <r>
    <x v="15"/>
    <x v="1982"/>
    <n v="173"/>
    <n v="70"/>
    <x v="1"/>
    <n v="103"/>
    <x v="1"/>
    <n v="0.14583333333333334"/>
    <n v="4153"/>
  </r>
  <r>
    <x v="15"/>
    <x v="1983"/>
    <n v="52"/>
    <n v="47"/>
    <x v="4"/>
    <n v="5"/>
    <x v="2"/>
    <n v="9.7916666666666666E-2"/>
    <n v="4656"/>
  </r>
  <r>
    <x v="15"/>
    <x v="1984"/>
    <n v="278"/>
    <n v="160"/>
    <x v="6"/>
    <n v="118"/>
    <x v="0"/>
    <n v="0.33333333333333331"/>
    <n v="2154"/>
  </r>
  <r>
    <x v="15"/>
    <x v="1985"/>
    <n v="149"/>
    <n v="68"/>
    <x v="1"/>
    <n v="81"/>
    <x v="1"/>
    <n v="0.14166666666666666"/>
    <n v="4204"/>
  </r>
  <r>
    <x v="15"/>
    <x v="1986"/>
    <n v="287"/>
    <n v="136"/>
    <x v="6"/>
    <n v="151"/>
    <x v="0"/>
    <n v="0.28333333333333333"/>
    <n v="2692"/>
  </r>
  <r>
    <x v="15"/>
    <x v="1987"/>
    <n v="159"/>
    <n v="73"/>
    <x v="5"/>
    <n v="86"/>
    <x v="1"/>
    <n v="0.15208333333333332"/>
    <n v="4083"/>
  </r>
  <r>
    <x v="15"/>
    <x v="1988"/>
    <n v="107"/>
    <n v="48"/>
    <x v="3"/>
    <n v="59"/>
    <x v="2"/>
    <n v="0.1"/>
    <n v="4638"/>
  </r>
  <r>
    <x v="15"/>
    <x v="1989"/>
    <n v="194"/>
    <n v="108"/>
    <x v="6"/>
    <n v="86"/>
    <x v="0"/>
    <n v="0.22500000000000001"/>
    <n v="3362"/>
  </r>
  <r>
    <x v="15"/>
    <x v="1990"/>
    <n v="202"/>
    <n v="92"/>
    <x v="5"/>
    <n v="110"/>
    <x v="1"/>
    <n v="0.19166666666666668"/>
    <n v="3706"/>
  </r>
  <r>
    <x v="15"/>
    <x v="1991"/>
    <n v="225"/>
    <n v="185"/>
    <x v="3"/>
    <n v="40"/>
    <x v="0"/>
    <n v="0.38541666666666669"/>
    <n v="1517"/>
  </r>
  <r>
    <x v="15"/>
    <x v="1992"/>
    <n v="157"/>
    <n v="100"/>
    <x v="2"/>
    <n v="57"/>
    <x v="1"/>
    <n v="0.20833333333333334"/>
    <n v="3535"/>
  </r>
  <r>
    <x v="15"/>
    <x v="1993"/>
    <n v="261"/>
    <n v="186"/>
    <x v="0"/>
    <n v="75"/>
    <x v="0"/>
    <n v="0.38750000000000001"/>
    <n v="1478"/>
  </r>
  <r>
    <x v="15"/>
    <x v="1994"/>
    <n v="295"/>
    <n v="57"/>
    <x v="2"/>
    <n v="238"/>
    <x v="1"/>
    <n v="0.11874999999999999"/>
    <n v="4452"/>
  </r>
  <r>
    <x v="15"/>
    <x v="1995"/>
    <n v="218"/>
    <n v="64"/>
    <x v="6"/>
    <n v="154"/>
    <x v="1"/>
    <n v="0.13333333333333333"/>
    <n v="4293"/>
  </r>
  <r>
    <x v="15"/>
    <x v="1996"/>
    <n v="239"/>
    <n v="177"/>
    <x v="5"/>
    <n v="62"/>
    <x v="0"/>
    <n v="0.36875000000000002"/>
    <n v="1733"/>
  </r>
  <r>
    <x v="15"/>
    <x v="1997"/>
    <n v="198"/>
    <n v="132"/>
    <x v="3"/>
    <n v="66"/>
    <x v="0"/>
    <n v="0.27500000000000002"/>
    <n v="2792"/>
  </r>
  <r>
    <x v="15"/>
    <x v="1998"/>
    <n v="170"/>
    <n v="34"/>
    <x v="2"/>
    <n v="136"/>
    <x v="2"/>
    <n v="7.0833333333333331E-2"/>
    <n v="4944"/>
  </r>
  <r>
    <x v="15"/>
    <x v="1999"/>
    <n v="257"/>
    <n v="160"/>
    <x v="2"/>
    <n v="97"/>
    <x v="0"/>
    <n v="0.33333333333333331"/>
    <n v="2154"/>
  </r>
  <r>
    <x v="15"/>
    <x v="2000"/>
    <n v="306"/>
    <n v="186"/>
    <x v="4"/>
    <n v="120"/>
    <x v="0"/>
    <n v="0.38750000000000001"/>
    <n v="1478"/>
  </r>
  <r>
    <x v="15"/>
    <x v="2001"/>
    <n v="216"/>
    <n v="37"/>
    <x v="1"/>
    <n v="179"/>
    <x v="2"/>
    <n v="7.7083333333333337E-2"/>
    <n v="4863"/>
  </r>
  <r>
    <x v="15"/>
    <x v="2002"/>
    <n v="296"/>
    <n v="188"/>
    <x v="1"/>
    <n v="108"/>
    <x v="0"/>
    <n v="0.39166666666666666"/>
    <n v="1423"/>
  </r>
  <r>
    <x v="15"/>
    <x v="2003"/>
    <n v="245"/>
    <n v="190"/>
    <x v="4"/>
    <n v="55"/>
    <x v="0"/>
    <n v="0.39583333333333331"/>
    <n v="1355"/>
  </r>
  <r>
    <x v="15"/>
    <x v="2004"/>
    <n v="197"/>
    <n v="57"/>
    <x v="6"/>
    <n v="140"/>
    <x v="1"/>
    <n v="0.11874999999999999"/>
    <n v="4452"/>
  </r>
  <r>
    <x v="15"/>
    <x v="2005"/>
    <n v="127"/>
    <n v="58"/>
    <x v="0"/>
    <n v="69"/>
    <x v="1"/>
    <n v="0.12083333333333333"/>
    <n v="4431"/>
  </r>
  <r>
    <x v="15"/>
    <x v="2006"/>
    <n v="213"/>
    <n v="108"/>
    <x v="1"/>
    <n v="105"/>
    <x v="0"/>
    <n v="0.22500000000000001"/>
    <n v="3362"/>
  </r>
  <r>
    <x v="15"/>
    <x v="2007"/>
    <n v="180"/>
    <n v="123"/>
    <x v="3"/>
    <n v="57"/>
    <x v="0"/>
    <n v="0.25624999999999998"/>
    <n v="2983"/>
  </r>
  <r>
    <x v="15"/>
    <x v="2008"/>
    <n v="263"/>
    <n v="61"/>
    <x v="5"/>
    <n v="202"/>
    <x v="1"/>
    <n v="0.12708333333333333"/>
    <n v="4368"/>
  </r>
  <r>
    <x v="15"/>
    <x v="2009"/>
    <n v="177"/>
    <n v="137"/>
    <x v="5"/>
    <n v="40"/>
    <x v="0"/>
    <n v="0.28541666666666665"/>
    <n v="2677"/>
  </r>
  <r>
    <x v="15"/>
    <x v="2010"/>
    <n v="146"/>
    <n v="120"/>
    <x v="3"/>
    <n v="26"/>
    <x v="0"/>
    <n v="0.25"/>
    <n v="3066"/>
  </r>
  <r>
    <x v="15"/>
    <x v="2011"/>
    <n v="262"/>
    <n v="109"/>
    <x v="3"/>
    <n v="153"/>
    <x v="0"/>
    <n v="0.22708333333333333"/>
    <n v="3338"/>
  </r>
  <r>
    <x v="15"/>
    <x v="2012"/>
    <n v="291"/>
    <n v="81"/>
    <x v="5"/>
    <n v="210"/>
    <x v="1"/>
    <n v="0.16875000000000001"/>
    <n v="3923"/>
  </r>
  <r>
    <x v="15"/>
    <x v="2013"/>
    <n v="239"/>
    <n v="98"/>
    <x v="6"/>
    <n v="141"/>
    <x v="1"/>
    <n v="0.20416666666666666"/>
    <n v="3574"/>
  </r>
  <r>
    <x v="15"/>
    <x v="2014"/>
    <n v="234"/>
    <n v="97"/>
    <x v="4"/>
    <n v="137"/>
    <x v="1"/>
    <n v="0.20208333333333334"/>
    <n v="3593"/>
  </r>
  <r>
    <x v="15"/>
    <x v="2015"/>
    <n v="176"/>
    <n v="155"/>
    <x v="4"/>
    <n v="21"/>
    <x v="0"/>
    <n v="0.32291666666666669"/>
    <n v="2275"/>
  </r>
  <r>
    <x v="15"/>
    <x v="2016"/>
    <n v="54"/>
    <n v="44"/>
    <x v="5"/>
    <n v="10"/>
    <x v="2"/>
    <n v="9.166666666666666E-2"/>
    <n v="4732"/>
  </r>
  <r>
    <x v="15"/>
    <x v="2017"/>
    <n v="278"/>
    <n v="167"/>
    <x v="5"/>
    <n v="111"/>
    <x v="0"/>
    <n v="0.34791666666666665"/>
    <n v="1979"/>
  </r>
  <r>
    <x v="15"/>
    <x v="2018"/>
    <n v="189"/>
    <n v="148"/>
    <x v="5"/>
    <n v="41"/>
    <x v="0"/>
    <n v="0.30833333333333335"/>
    <n v="2446"/>
  </r>
  <r>
    <x v="15"/>
    <x v="2019"/>
    <n v="240"/>
    <n v="100"/>
    <x v="4"/>
    <n v="140"/>
    <x v="1"/>
    <n v="0.20833333333333334"/>
    <n v="3535"/>
  </r>
  <r>
    <x v="15"/>
    <x v="2020"/>
    <n v="198"/>
    <n v="150"/>
    <x v="3"/>
    <n v="48"/>
    <x v="0"/>
    <n v="0.3125"/>
    <n v="2400"/>
  </r>
  <r>
    <x v="15"/>
    <x v="2021"/>
    <n v="107"/>
    <n v="55"/>
    <x v="5"/>
    <n v="52"/>
    <x v="1"/>
    <n v="0.11458333333333333"/>
    <n v="4497"/>
  </r>
  <r>
    <x v="15"/>
    <x v="2022"/>
    <n v="279"/>
    <n v="49"/>
    <x v="0"/>
    <n v="230"/>
    <x v="2"/>
    <n v="0.10208333333333333"/>
    <n v="4614"/>
  </r>
  <r>
    <x v="15"/>
    <x v="2023"/>
    <n v="213"/>
    <n v="89"/>
    <x v="3"/>
    <n v="124"/>
    <x v="1"/>
    <n v="0.18541666666666667"/>
    <n v="3772"/>
  </r>
  <r>
    <x v="15"/>
    <x v="2024"/>
    <n v="292"/>
    <n v="158"/>
    <x v="3"/>
    <n v="134"/>
    <x v="0"/>
    <n v="0.32916666666666666"/>
    <n v="2207"/>
  </r>
  <r>
    <x v="15"/>
    <x v="2025"/>
    <n v="256"/>
    <n v="139"/>
    <x v="4"/>
    <n v="117"/>
    <x v="0"/>
    <n v="0.28958333333333336"/>
    <n v="2647"/>
  </r>
  <r>
    <x v="15"/>
    <x v="2026"/>
    <n v="161"/>
    <n v="155"/>
    <x v="0"/>
    <n v="6"/>
    <x v="0"/>
    <n v="0.32291666666666669"/>
    <n v="2275"/>
  </r>
  <r>
    <x v="15"/>
    <x v="2027"/>
    <n v="289"/>
    <n v="123"/>
    <x v="2"/>
    <n v="166"/>
    <x v="0"/>
    <n v="0.25624999999999998"/>
    <n v="2983"/>
  </r>
  <r>
    <x v="15"/>
    <x v="2028"/>
    <n v="190"/>
    <n v="179"/>
    <x v="1"/>
    <n v="11"/>
    <x v="0"/>
    <n v="0.37291666666666667"/>
    <n v="1667"/>
  </r>
  <r>
    <x v="15"/>
    <x v="2029"/>
    <n v="178"/>
    <n v="32"/>
    <x v="6"/>
    <n v="146"/>
    <x v="2"/>
    <n v="6.6666666666666666E-2"/>
    <n v="4983"/>
  </r>
  <r>
    <x v="15"/>
    <x v="2030"/>
    <n v="305"/>
    <n v="94"/>
    <x v="0"/>
    <n v="211"/>
    <x v="1"/>
    <n v="0.19583333333333333"/>
    <n v="3654"/>
  </r>
  <r>
    <x v="15"/>
    <x v="2031"/>
    <n v="127"/>
    <n v="100"/>
    <x v="0"/>
    <n v="27"/>
    <x v="1"/>
    <n v="0.20833333333333334"/>
    <n v="3535"/>
  </r>
  <r>
    <x v="15"/>
    <x v="2032"/>
    <n v="319"/>
    <n v="130"/>
    <x v="2"/>
    <n v="189"/>
    <x v="0"/>
    <n v="0.27083333333333331"/>
    <n v="2832"/>
  </r>
  <r>
    <x v="15"/>
    <x v="2033"/>
    <n v="151"/>
    <n v="103"/>
    <x v="3"/>
    <n v="48"/>
    <x v="0"/>
    <n v="0.21458333333333332"/>
    <n v="3474"/>
  </r>
  <r>
    <x v="15"/>
    <x v="2034"/>
    <n v="255"/>
    <n v="187"/>
    <x v="1"/>
    <n v="68"/>
    <x v="0"/>
    <n v="0.38958333333333334"/>
    <n v="1455"/>
  </r>
  <r>
    <x v="15"/>
    <x v="2035"/>
    <n v="258"/>
    <n v="36"/>
    <x v="0"/>
    <n v="222"/>
    <x v="2"/>
    <n v="7.4999999999999997E-2"/>
    <n v="4893"/>
  </r>
  <r>
    <x v="15"/>
    <x v="2036"/>
    <n v="208"/>
    <n v="185"/>
    <x v="4"/>
    <n v="23"/>
    <x v="0"/>
    <n v="0.38541666666666669"/>
    <n v="1517"/>
  </r>
  <r>
    <x v="16"/>
    <x v="2037"/>
    <n v="287"/>
    <n v="67"/>
    <x v="4"/>
    <n v="220"/>
    <x v="1"/>
    <n v="0.13958333333333334"/>
    <n v="4225"/>
  </r>
  <r>
    <x v="16"/>
    <x v="2038"/>
    <n v="108"/>
    <n v="62"/>
    <x v="0"/>
    <n v="46"/>
    <x v="1"/>
    <n v="0.12916666666666668"/>
    <n v="4343"/>
  </r>
  <r>
    <x v="16"/>
    <x v="2039"/>
    <n v="305"/>
    <n v="72"/>
    <x v="4"/>
    <n v="233"/>
    <x v="1"/>
    <n v="0.15"/>
    <n v="4100"/>
  </r>
  <r>
    <x v="16"/>
    <x v="2040"/>
    <n v="155"/>
    <n v="120"/>
    <x v="4"/>
    <n v="35"/>
    <x v="0"/>
    <n v="0.25"/>
    <n v="3066"/>
  </r>
  <r>
    <x v="16"/>
    <x v="2041"/>
    <n v="177"/>
    <n v="146"/>
    <x v="6"/>
    <n v="31"/>
    <x v="0"/>
    <n v="0.30416666666666664"/>
    <n v="2499"/>
  </r>
  <r>
    <x v="16"/>
    <x v="2042"/>
    <n v="260"/>
    <n v="79"/>
    <x v="0"/>
    <n v="181"/>
    <x v="1"/>
    <n v="0.16458333333333333"/>
    <n v="3967"/>
  </r>
  <r>
    <x v="16"/>
    <x v="2043"/>
    <n v="243"/>
    <n v="128"/>
    <x v="4"/>
    <n v="115"/>
    <x v="0"/>
    <n v="0.26666666666666666"/>
    <n v="2872"/>
  </r>
  <r>
    <x v="16"/>
    <x v="2044"/>
    <n v="314"/>
    <n v="186"/>
    <x v="0"/>
    <n v="128"/>
    <x v="0"/>
    <n v="0.38750000000000001"/>
    <n v="1478"/>
  </r>
  <r>
    <x v="16"/>
    <x v="2045"/>
    <n v="95"/>
    <n v="74"/>
    <x v="3"/>
    <n v="21"/>
    <x v="1"/>
    <n v="0.15416666666666667"/>
    <n v="4064"/>
  </r>
  <r>
    <x v="16"/>
    <x v="2046"/>
    <n v="241"/>
    <n v="182"/>
    <x v="4"/>
    <n v="59"/>
    <x v="0"/>
    <n v="0.37916666666666665"/>
    <n v="1593"/>
  </r>
  <r>
    <x v="16"/>
    <x v="2047"/>
    <n v="187"/>
    <n v="80"/>
    <x v="1"/>
    <n v="107"/>
    <x v="1"/>
    <n v="0.16666666666666666"/>
    <n v="3948"/>
  </r>
  <r>
    <x v="16"/>
    <x v="2048"/>
    <n v="67"/>
    <n v="38"/>
    <x v="4"/>
    <n v="29"/>
    <x v="2"/>
    <n v="7.9166666666666663E-2"/>
    <n v="4845"/>
  </r>
  <r>
    <x v="16"/>
    <x v="2049"/>
    <n v="293"/>
    <n v="163"/>
    <x v="6"/>
    <n v="130"/>
    <x v="0"/>
    <n v="0.33958333333333335"/>
    <n v="2075"/>
  </r>
  <r>
    <x v="16"/>
    <x v="2050"/>
    <n v="319"/>
    <n v="109"/>
    <x v="0"/>
    <n v="210"/>
    <x v="0"/>
    <n v="0.22708333333333333"/>
    <n v="3338"/>
  </r>
  <r>
    <x v="16"/>
    <x v="2051"/>
    <n v="255"/>
    <n v="101"/>
    <x v="3"/>
    <n v="154"/>
    <x v="0"/>
    <n v="0.21041666666666667"/>
    <n v="3515"/>
  </r>
  <r>
    <x v="16"/>
    <x v="2052"/>
    <n v="173"/>
    <n v="64"/>
    <x v="4"/>
    <n v="109"/>
    <x v="1"/>
    <n v="0.13333333333333333"/>
    <n v="4293"/>
  </r>
  <r>
    <x v="16"/>
    <x v="2053"/>
    <n v="171"/>
    <n v="151"/>
    <x v="0"/>
    <n v="20"/>
    <x v="0"/>
    <n v="0.31458333333333333"/>
    <n v="2376"/>
  </r>
  <r>
    <x v="16"/>
    <x v="2054"/>
    <n v="229"/>
    <n v="67"/>
    <x v="5"/>
    <n v="162"/>
    <x v="1"/>
    <n v="0.13958333333333334"/>
    <n v="4225"/>
  </r>
  <r>
    <x v="16"/>
    <x v="2055"/>
    <n v="262"/>
    <n v="117"/>
    <x v="5"/>
    <n v="145"/>
    <x v="0"/>
    <n v="0.24374999999999999"/>
    <n v="3144"/>
  </r>
  <r>
    <x v="16"/>
    <x v="2056"/>
    <n v="272"/>
    <n v="163"/>
    <x v="0"/>
    <n v="109"/>
    <x v="0"/>
    <n v="0.33958333333333335"/>
    <n v="2075"/>
  </r>
  <r>
    <x v="16"/>
    <x v="2057"/>
    <n v="191"/>
    <n v="71"/>
    <x v="6"/>
    <n v="120"/>
    <x v="1"/>
    <n v="0.14791666666666667"/>
    <n v="4129"/>
  </r>
  <r>
    <x v="16"/>
    <x v="2058"/>
    <n v="188"/>
    <n v="73"/>
    <x v="3"/>
    <n v="115"/>
    <x v="1"/>
    <n v="0.15208333333333332"/>
    <n v="4083"/>
  </r>
  <r>
    <x v="16"/>
    <x v="2059"/>
    <n v="247"/>
    <n v="185"/>
    <x v="2"/>
    <n v="62"/>
    <x v="0"/>
    <n v="0.38541666666666669"/>
    <n v="1517"/>
  </r>
  <r>
    <x v="16"/>
    <x v="2060"/>
    <n v="217"/>
    <n v="163"/>
    <x v="6"/>
    <n v="54"/>
    <x v="0"/>
    <n v="0.33958333333333335"/>
    <n v="2075"/>
  </r>
  <r>
    <x v="16"/>
    <x v="2061"/>
    <n v="223"/>
    <n v="52"/>
    <x v="3"/>
    <n v="171"/>
    <x v="1"/>
    <n v="0.10833333333333334"/>
    <n v="4564"/>
  </r>
  <r>
    <x v="16"/>
    <x v="2062"/>
    <n v="153"/>
    <n v="128"/>
    <x v="6"/>
    <n v="25"/>
    <x v="0"/>
    <n v="0.26666666666666666"/>
    <n v="2872"/>
  </r>
  <r>
    <x v="16"/>
    <x v="2063"/>
    <n v="201"/>
    <n v="97"/>
    <x v="2"/>
    <n v="104"/>
    <x v="1"/>
    <n v="0.20208333333333334"/>
    <n v="3593"/>
  </r>
  <r>
    <x v="16"/>
    <x v="2064"/>
    <n v="202"/>
    <n v="146"/>
    <x v="1"/>
    <n v="56"/>
    <x v="0"/>
    <n v="0.30416666666666664"/>
    <n v="2499"/>
  </r>
  <r>
    <x v="16"/>
    <x v="2065"/>
    <n v="129"/>
    <n v="104"/>
    <x v="5"/>
    <n v="25"/>
    <x v="0"/>
    <n v="0.21666666666666667"/>
    <n v="3454"/>
  </r>
  <r>
    <x v="16"/>
    <x v="2066"/>
    <n v="231"/>
    <n v="72"/>
    <x v="5"/>
    <n v="159"/>
    <x v="1"/>
    <n v="0.15"/>
    <n v="4100"/>
  </r>
  <r>
    <x v="16"/>
    <x v="2067"/>
    <n v="225"/>
    <n v="89"/>
    <x v="0"/>
    <n v="136"/>
    <x v="1"/>
    <n v="0.18541666666666667"/>
    <n v="3772"/>
  </r>
  <r>
    <x v="16"/>
    <x v="2068"/>
    <n v="99"/>
    <n v="80"/>
    <x v="1"/>
    <n v="19"/>
    <x v="1"/>
    <n v="0.16666666666666666"/>
    <n v="3948"/>
  </r>
  <r>
    <x v="16"/>
    <x v="2069"/>
    <n v="123"/>
    <n v="50"/>
    <x v="3"/>
    <n v="73"/>
    <x v="2"/>
    <n v="0.10416666666666667"/>
    <n v="4596"/>
  </r>
  <r>
    <x v="16"/>
    <x v="2070"/>
    <n v="219"/>
    <n v="163"/>
    <x v="2"/>
    <n v="56"/>
    <x v="0"/>
    <n v="0.33958333333333335"/>
    <n v="2075"/>
  </r>
  <r>
    <x v="16"/>
    <x v="2071"/>
    <n v="108"/>
    <n v="104"/>
    <x v="2"/>
    <n v="4"/>
    <x v="0"/>
    <n v="0.21666666666666667"/>
    <n v="3454"/>
  </r>
  <r>
    <x v="16"/>
    <x v="2072"/>
    <n v="227"/>
    <n v="35"/>
    <x v="0"/>
    <n v="192"/>
    <x v="2"/>
    <n v="7.2916666666666671E-2"/>
    <n v="4916"/>
  </r>
  <r>
    <x v="16"/>
    <x v="2073"/>
    <n v="144"/>
    <n v="34"/>
    <x v="1"/>
    <n v="110"/>
    <x v="2"/>
    <n v="7.0833333333333331E-2"/>
    <n v="4944"/>
  </r>
  <r>
    <x v="16"/>
    <x v="2074"/>
    <n v="107"/>
    <n v="93"/>
    <x v="4"/>
    <n v="14"/>
    <x v="1"/>
    <n v="0.19375000000000001"/>
    <n v="3678"/>
  </r>
  <r>
    <x v="16"/>
    <x v="2075"/>
    <n v="283"/>
    <n v="122"/>
    <x v="2"/>
    <n v="161"/>
    <x v="0"/>
    <n v="0.25416666666666665"/>
    <n v="3013"/>
  </r>
  <r>
    <x v="16"/>
    <x v="2076"/>
    <n v="212"/>
    <n v="179"/>
    <x v="6"/>
    <n v="33"/>
    <x v="0"/>
    <n v="0.37291666666666667"/>
    <n v="1667"/>
  </r>
  <r>
    <x v="16"/>
    <x v="2077"/>
    <n v="298"/>
    <n v="57"/>
    <x v="5"/>
    <n v="241"/>
    <x v="1"/>
    <n v="0.11874999999999999"/>
    <n v="4452"/>
  </r>
  <r>
    <x v="16"/>
    <x v="2078"/>
    <n v="203"/>
    <n v="100"/>
    <x v="2"/>
    <n v="103"/>
    <x v="1"/>
    <n v="0.20833333333333334"/>
    <n v="3535"/>
  </r>
  <r>
    <x v="16"/>
    <x v="2079"/>
    <n v="216"/>
    <n v="183"/>
    <x v="3"/>
    <n v="33"/>
    <x v="0"/>
    <n v="0.38124999999999998"/>
    <n v="1572"/>
  </r>
  <r>
    <x v="16"/>
    <x v="2080"/>
    <n v="251"/>
    <n v="108"/>
    <x v="3"/>
    <n v="143"/>
    <x v="0"/>
    <n v="0.22500000000000001"/>
    <n v="3362"/>
  </r>
  <r>
    <x v="16"/>
    <x v="2081"/>
    <n v="217"/>
    <n v="124"/>
    <x v="2"/>
    <n v="93"/>
    <x v="0"/>
    <n v="0.25833333333333336"/>
    <n v="2971"/>
  </r>
  <r>
    <x v="16"/>
    <x v="2082"/>
    <n v="231"/>
    <n v="103"/>
    <x v="3"/>
    <n v="128"/>
    <x v="0"/>
    <n v="0.21458333333333332"/>
    <n v="3474"/>
  </r>
  <r>
    <x v="16"/>
    <x v="2083"/>
    <n v="67"/>
    <n v="53"/>
    <x v="5"/>
    <n v="14"/>
    <x v="1"/>
    <n v="0.11041666666666666"/>
    <n v="4544"/>
  </r>
  <r>
    <x v="16"/>
    <x v="2084"/>
    <n v="278"/>
    <n v="62"/>
    <x v="4"/>
    <n v="216"/>
    <x v="1"/>
    <n v="0.12916666666666668"/>
    <n v="4343"/>
  </r>
  <r>
    <x v="16"/>
    <x v="2085"/>
    <n v="120"/>
    <n v="71"/>
    <x v="3"/>
    <n v="49"/>
    <x v="1"/>
    <n v="0.14791666666666667"/>
    <n v="4129"/>
  </r>
  <r>
    <x v="16"/>
    <x v="2086"/>
    <n v="80"/>
    <n v="55"/>
    <x v="4"/>
    <n v="25"/>
    <x v="1"/>
    <n v="0.11458333333333333"/>
    <n v="4497"/>
  </r>
  <r>
    <x v="16"/>
    <x v="2087"/>
    <n v="88"/>
    <n v="82"/>
    <x v="1"/>
    <n v="6"/>
    <x v="1"/>
    <n v="0.17083333333333334"/>
    <n v="3904"/>
  </r>
  <r>
    <x v="16"/>
    <x v="2088"/>
    <n v="84"/>
    <n v="45"/>
    <x v="3"/>
    <n v="39"/>
    <x v="2"/>
    <n v="9.375E-2"/>
    <n v="4702"/>
  </r>
  <r>
    <x v="16"/>
    <x v="2089"/>
    <n v="62"/>
    <n v="42"/>
    <x v="6"/>
    <n v="20"/>
    <x v="2"/>
    <n v="8.7499999999999994E-2"/>
    <n v="4776"/>
  </r>
  <r>
    <x v="16"/>
    <x v="2090"/>
    <n v="309"/>
    <n v="120"/>
    <x v="0"/>
    <n v="189"/>
    <x v="0"/>
    <n v="0.25"/>
    <n v="3066"/>
  </r>
  <r>
    <x v="16"/>
    <x v="2091"/>
    <n v="275"/>
    <n v="183"/>
    <x v="6"/>
    <n v="92"/>
    <x v="0"/>
    <n v="0.38124999999999998"/>
    <n v="1572"/>
  </r>
  <r>
    <x v="16"/>
    <x v="2092"/>
    <n v="292"/>
    <n v="86"/>
    <x v="4"/>
    <n v="206"/>
    <x v="1"/>
    <n v="0.17916666666666667"/>
    <n v="3830"/>
  </r>
  <r>
    <x v="16"/>
    <x v="2093"/>
    <n v="303"/>
    <n v="165"/>
    <x v="0"/>
    <n v="138"/>
    <x v="0"/>
    <n v="0.34375"/>
    <n v="2028"/>
  </r>
  <r>
    <x v="16"/>
    <x v="2094"/>
    <n v="175"/>
    <n v="76"/>
    <x v="1"/>
    <n v="99"/>
    <x v="1"/>
    <n v="0.15833333333333333"/>
    <n v="4023"/>
  </r>
  <r>
    <x v="16"/>
    <x v="2095"/>
    <n v="245"/>
    <n v="47"/>
    <x v="1"/>
    <n v="198"/>
    <x v="2"/>
    <n v="9.7916666666666666E-2"/>
    <n v="4656"/>
  </r>
  <r>
    <x v="16"/>
    <x v="2096"/>
    <n v="208"/>
    <n v="152"/>
    <x v="3"/>
    <n v="56"/>
    <x v="0"/>
    <n v="0.31666666666666665"/>
    <n v="2349"/>
  </r>
  <r>
    <x v="16"/>
    <x v="2097"/>
    <n v="255"/>
    <n v="162"/>
    <x v="4"/>
    <n v="93"/>
    <x v="0"/>
    <n v="0.33750000000000002"/>
    <n v="2106"/>
  </r>
  <r>
    <x v="16"/>
    <x v="2098"/>
    <n v="112"/>
    <n v="40"/>
    <x v="0"/>
    <n v="72"/>
    <x v="2"/>
    <n v="8.3333333333333329E-2"/>
    <n v="4808"/>
  </r>
  <r>
    <x v="16"/>
    <x v="2099"/>
    <n v="293"/>
    <n v="60"/>
    <x v="4"/>
    <n v="233"/>
    <x v="1"/>
    <n v="0.125"/>
    <n v="4390"/>
  </r>
  <r>
    <x v="16"/>
    <x v="2100"/>
    <n v="275"/>
    <n v="153"/>
    <x v="3"/>
    <n v="122"/>
    <x v="0"/>
    <n v="0.31874999999999998"/>
    <n v="2329"/>
  </r>
  <r>
    <x v="16"/>
    <x v="2101"/>
    <n v="128"/>
    <n v="88"/>
    <x v="6"/>
    <n v="40"/>
    <x v="1"/>
    <n v="0.18333333333333332"/>
    <n v="3792"/>
  </r>
  <r>
    <x v="16"/>
    <x v="2102"/>
    <n v="294"/>
    <n v="117"/>
    <x v="6"/>
    <n v="177"/>
    <x v="0"/>
    <n v="0.24374999999999999"/>
    <n v="3144"/>
  </r>
  <r>
    <x v="16"/>
    <x v="2103"/>
    <n v="284"/>
    <n v="56"/>
    <x v="5"/>
    <n v="228"/>
    <x v="1"/>
    <n v="0.11666666666666667"/>
    <n v="4474"/>
  </r>
  <r>
    <x v="16"/>
    <x v="2104"/>
    <n v="198"/>
    <n v="91"/>
    <x v="3"/>
    <n v="107"/>
    <x v="1"/>
    <n v="0.18958333333333333"/>
    <n v="3726"/>
  </r>
  <r>
    <x v="16"/>
    <x v="2105"/>
    <n v="205"/>
    <n v="190"/>
    <x v="6"/>
    <n v="15"/>
    <x v="0"/>
    <n v="0.39583333333333331"/>
    <n v="1355"/>
  </r>
  <r>
    <x v="16"/>
    <x v="2106"/>
    <n v="238"/>
    <n v="149"/>
    <x v="1"/>
    <n v="89"/>
    <x v="0"/>
    <n v="0.31041666666666667"/>
    <n v="2426"/>
  </r>
  <r>
    <x v="16"/>
    <x v="2107"/>
    <n v="170"/>
    <n v="121"/>
    <x v="3"/>
    <n v="49"/>
    <x v="0"/>
    <n v="0.25208333333333333"/>
    <n v="3037"/>
  </r>
  <r>
    <x v="16"/>
    <x v="2108"/>
    <n v="162"/>
    <n v="133"/>
    <x v="1"/>
    <n v="29"/>
    <x v="0"/>
    <n v="0.27708333333333335"/>
    <n v="2758"/>
  </r>
  <r>
    <x v="16"/>
    <x v="2109"/>
    <n v="306"/>
    <n v="188"/>
    <x v="2"/>
    <n v="118"/>
    <x v="0"/>
    <n v="0.39166666666666666"/>
    <n v="1423"/>
  </r>
  <r>
    <x v="16"/>
    <x v="2110"/>
    <n v="209"/>
    <n v="181"/>
    <x v="5"/>
    <n v="28"/>
    <x v="0"/>
    <n v="0.37708333333333333"/>
    <n v="1609"/>
  </r>
  <r>
    <x v="16"/>
    <x v="2111"/>
    <n v="106"/>
    <n v="106"/>
    <x v="1"/>
    <n v="0"/>
    <x v="0"/>
    <n v="0.22083333333333333"/>
    <n v="3413"/>
  </r>
  <r>
    <x v="16"/>
    <x v="2112"/>
    <n v="190"/>
    <n v="171"/>
    <x v="5"/>
    <n v="19"/>
    <x v="0"/>
    <n v="0.35625000000000001"/>
    <n v="1866"/>
  </r>
  <r>
    <x v="16"/>
    <x v="2113"/>
    <n v="189"/>
    <n v="122"/>
    <x v="3"/>
    <n v="67"/>
    <x v="0"/>
    <n v="0.25416666666666665"/>
    <n v="3013"/>
  </r>
  <r>
    <x v="16"/>
    <x v="2114"/>
    <n v="225"/>
    <n v="77"/>
    <x v="3"/>
    <n v="148"/>
    <x v="1"/>
    <n v="0.16041666666666668"/>
    <n v="4006"/>
  </r>
  <r>
    <x v="16"/>
    <x v="2115"/>
    <n v="204"/>
    <n v="45"/>
    <x v="1"/>
    <n v="159"/>
    <x v="2"/>
    <n v="9.375E-2"/>
    <n v="4702"/>
  </r>
  <r>
    <x v="16"/>
    <x v="2116"/>
    <n v="313"/>
    <n v="160"/>
    <x v="1"/>
    <n v="153"/>
    <x v="0"/>
    <n v="0.33333333333333331"/>
    <n v="2154"/>
  </r>
  <r>
    <x v="16"/>
    <x v="2117"/>
    <n v="131"/>
    <n v="107"/>
    <x v="5"/>
    <n v="24"/>
    <x v="0"/>
    <n v="0.22291666666666668"/>
    <n v="3387"/>
  </r>
  <r>
    <x v="16"/>
    <x v="2118"/>
    <n v="115"/>
    <n v="48"/>
    <x v="4"/>
    <n v="67"/>
    <x v="2"/>
    <n v="0.1"/>
    <n v="4638"/>
  </r>
  <r>
    <x v="16"/>
    <x v="2119"/>
    <n v="283"/>
    <n v="34"/>
    <x v="6"/>
    <n v="249"/>
    <x v="2"/>
    <n v="7.0833333333333331E-2"/>
    <n v="4944"/>
  </r>
  <r>
    <x v="16"/>
    <x v="2120"/>
    <n v="132"/>
    <n v="71"/>
    <x v="6"/>
    <n v="61"/>
    <x v="1"/>
    <n v="0.14791666666666667"/>
    <n v="4129"/>
  </r>
  <r>
    <x v="16"/>
    <x v="2121"/>
    <n v="315"/>
    <n v="174"/>
    <x v="3"/>
    <n v="141"/>
    <x v="0"/>
    <n v="0.36249999999999999"/>
    <n v="1803"/>
  </r>
  <r>
    <x v="16"/>
    <x v="2122"/>
    <n v="175"/>
    <n v="76"/>
    <x v="3"/>
    <n v="99"/>
    <x v="1"/>
    <n v="0.15833333333333333"/>
    <n v="4023"/>
  </r>
  <r>
    <x v="16"/>
    <x v="2123"/>
    <n v="205"/>
    <n v="110"/>
    <x v="4"/>
    <n v="95"/>
    <x v="0"/>
    <n v="0.22916666666666666"/>
    <n v="3302"/>
  </r>
  <r>
    <x v="16"/>
    <x v="2124"/>
    <n v="144"/>
    <n v="97"/>
    <x v="0"/>
    <n v="47"/>
    <x v="1"/>
    <n v="0.20208333333333334"/>
    <n v="3593"/>
  </r>
  <r>
    <x v="16"/>
    <x v="2125"/>
    <n v="284"/>
    <n v="171"/>
    <x v="5"/>
    <n v="113"/>
    <x v="0"/>
    <n v="0.35625000000000001"/>
    <n v="1866"/>
  </r>
  <r>
    <x v="16"/>
    <x v="2126"/>
    <n v="248"/>
    <n v="170"/>
    <x v="2"/>
    <n v="78"/>
    <x v="0"/>
    <n v="0.35416666666666669"/>
    <n v="1898"/>
  </r>
  <r>
    <x v="16"/>
    <x v="2127"/>
    <n v="191"/>
    <n v="64"/>
    <x v="3"/>
    <n v="127"/>
    <x v="1"/>
    <n v="0.13333333333333333"/>
    <n v="4293"/>
  </r>
  <r>
    <x v="16"/>
    <x v="2128"/>
    <n v="198"/>
    <n v="189"/>
    <x v="3"/>
    <n v="9"/>
    <x v="0"/>
    <n v="0.39374999999999999"/>
    <n v="1395"/>
  </r>
  <r>
    <x v="16"/>
    <x v="2129"/>
    <n v="199"/>
    <n v="145"/>
    <x v="4"/>
    <n v="54"/>
    <x v="0"/>
    <n v="0.30208333333333331"/>
    <n v="2526"/>
  </r>
  <r>
    <x v="16"/>
    <x v="2130"/>
    <n v="257"/>
    <n v="116"/>
    <x v="3"/>
    <n v="141"/>
    <x v="0"/>
    <n v="0.24166666666666667"/>
    <n v="3173"/>
  </r>
  <r>
    <x v="16"/>
    <x v="2131"/>
    <n v="287"/>
    <n v="95"/>
    <x v="1"/>
    <n v="192"/>
    <x v="1"/>
    <n v="0.19791666666666666"/>
    <n v="3634"/>
  </r>
  <r>
    <x v="16"/>
    <x v="2132"/>
    <n v="308"/>
    <n v="148"/>
    <x v="6"/>
    <n v="160"/>
    <x v="0"/>
    <n v="0.30833333333333335"/>
    <n v="2446"/>
  </r>
  <r>
    <x v="16"/>
    <x v="2133"/>
    <n v="95"/>
    <n v="62"/>
    <x v="6"/>
    <n v="33"/>
    <x v="1"/>
    <n v="0.12916666666666668"/>
    <n v="4343"/>
  </r>
  <r>
    <x v="16"/>
    <x v="2134"/>
    <n v="236"/>
    <n v="161"/>
    <x v="6"/>
    <n v="75"/>
    <x v="0"/>
    <n v="0.33541666666666664"/>
    <n v="2129"/>
  </r>
  <r>
    <x v="17"/>
    <x v="2135"/>
    <n v="166"/>
    <n v="123"/>
    <x v="5"/>
    <n v="43"/>
    <x v="0"/>
    <n v="0.25624999999999998"/>
    <n v="2983"/>
  </r>
  <r>
    <x v="17"/>
    <x v="2136"/>
    <n v="43"/>
    <n v="37"/>
    <x v="1"/>
    <n v="6"/>
    <x v="2"/>
    <n v="7.7083333333333337E-2"/>
    <n v="4863"/>
  </r>
  <r>
    <x v="17"/>
    <x v="2137"/>
    <n v="221"/>
    <n v="116"/>
    <x v="3"/>
    <n v="105"/>
    <x v="0"/>
    <n v="0.24166666666666667"/>
    <n v="3173"/>
  </r>
  <r>
    <x v="17"/>
    <x v="2138"/>
    <n v="294"/>
    <n v="96"/>
    <x v="6"/>
    <n v="198"/>
    <x v="1"/>
    <n v="0.2"/>
    <n v="3616"/>
  </r>
  <r>
    <x v="17"/>
    <x v="2139"/>
    <n v="272"/>
    <n v="161"/>
    <x v="1"/>
    <n v="111"/>
    <x v="0"/>
    <n v="0.33541666666666664"/>
    <n v="2129"/>
  </r>
  <r>
    <x v="17"/>
    <x v="2140"/>
    <n v="270"/>
    <n v="177"/>
    <x v="1"/>
    <n v="93"/>
    <x v="0"/>
    <n v="0.36875000000000002"/>
    <n v="1733"/>
  </r>
  <r>
    <x v="17"/>
    <x v="2141"/>
    <n v="246"/>
    <n v="65"/>
    <x v="2"/>
    <n v="181"/>
    <x v="1"/>
    <n v="0.13541666666666666"/>
    <n v="4267"/>
  </r>
  <r>
    <x v="17"/>
    <x v="2142"/>
    <n v="218"/>
    <n v="188"/>
    <x v="6"/>
    <n v="30"/>
    <x v="0"/>
    <n v="0.39166666666666666"/>
    <n v="1423"/>
  </r>
  <r>
    <x v="17"/>
    <x v="2143"/>
    <n v="146"/>
    <n v="106"/>
    <x v="5"/>
    <n v="40"/>
    <x v="0"/>
    <n v="0.22083333333333333"/>
    <n v="3413"/>
  </r>
  <r>
    <x v="17"/>
    <x v="2144"/>
    <n v="106"/>
    <n v="59"/>
    <x v="2"/>
    <n v="47"/>
    <x v="1"/>
    <n v="0.12291666666666666"/>
    <n v="4416"/>
  </r>
  <r>
    <x v="17"/>
    <x v="2145"/>
    <n v="146"/>
    <n v="93"/>
    <x v="5"/>
    <n v="53"/>
    <x v="1"/>
    <n v="0.19375000000000001"/>
    <n v="3678"/>
  </r>
  <r>
    <x v="17"/>
    <x v="2146"/>
    <n v="292"/>
    <n v="99"/>
    <x v="0"/>
    <n v="193"/>
    <x v="1"/>
    <n v="0.20624999999999999"/>
    <n v="3553"/>
  </r>
  <r>
    <x v="17"/>
    <x v="2147"/>
    <n v="266"/>
    <n v="145"/>
    <x v="5"/>
    <n v="121"/>
    <x v="0"/>
    <n v="0.30208333333333331"/>
    <n v="2526"/>
  </r>
  <r>
    <x v="17"/>
    <x v="2148"/>
    <n v="236"/>
    <n v="128"/>
    <x v="5"/>
    <n v="108"/>
    <x v="0"/>
    <n v="0.26666666666666666"/>
    <n v="2872"/>
  </r>
  <r>
    <x v="17"/>
    <x v="2149"/>
    <n v="147"/>
    <n v="63"/>
    <x v="0"/>
    <n v="84"/>
    <x v="1"/>
    <n v="0.13125000000000001"/>
    <n v="4322"/>
  </r>
  <r>
    <x v="17"/>
    <x v="2150"/>
    <n v="297"/>
    <n v="180"/>
    <x v="5"/>
    <n v="117"/>
    <x v="0"/>
    <n v="0.375"/>
    <n v="1635"/>
  </r>
  <r>
    <x v="17"/>
    <x v="2151"/>
    <n v="222"/>
    <n v="172"/>
    <x v="3"/>
    <n v="50"/>
    <x v="0"/>
    <n v="0.35833333333333334"/>
    <n v="1852"/>
  </r>
  <r>
    <x v="17"/>
    <x v="2152"/>
    <n v="261"/>
    <n v="133"/>
    <x v="2"/>
    <n v="128"/>
    <x v="0"/>
    <n v="0.27708333333333335"/>
    <n v="2758"/>
  </r>
  <r>
    <x v="17"/>
    <x v="2153"/>
    <n v="301"/>
    <n v="171"/>
    <x v="5"/>
    <n v="130"/>
    <x v="0"/>
    <n v="0.35625000000000001"/>
    <n v="1866"/>
  </r>
  <r>
    <x v="17"/>
    <x v="2154"/>
    <n v="288"/>
    <n v="51"/>
    <x v="4"/>
    <n v="237"/>
    <x v="1"/>
    <n v="0.10625"/>
    <n v="4578"/>
  </r>
  <r>
    <x v="17"/>
    <x v="2155"/>
    <n v="182"/>
    <n v="99"/>
    <x v="6"/>
    <n v="83"/>
    <x v="1"/>
    <n v="0.20624999999999999"/>
    <n v="3553"/>
  </r>
  <r>
    <x v="17"/>
    <x v="2156"/>
    <n v="210"/>
    <n v="117"/>
    <x v="2"/>
    <n v="93"/>
    <x v="0"/>
    <n v="0.24374999999999999"/>
    <n v="3144"/>
  </r>
  <r>
    <x v="17"/>
    <x v="2157"/>
    <n v="224"/>
    <n v="168"/>
    <x v="6"/>
    <n v="56"/>
    <x v="0"/>
    <n v="0.35"/>
    <n v="1954"/>
  </r>
  <r>
    <x v="17"/>
    <x v="2158"/>
    <n v="182"/>
    <n v="170"/>
    <x v="4"/>
    <n v="12"/>
    <x v="0"/>
    <n v="0.35416666666666669"/>
    <n v="1898"/>
  </r>
  <r>
    <x v="17"/>
    <x v="2159"/>
    <n v="237"/>
    <n v="72"/>
    <x v="1"/>
    <n v="165"/>
    <x v="1"/>
    <n v="0.15"/>
    <n v="4100"/>
  </r>
  <r>
    <x v="17"/>
    <x v="2160"/>
    <n v="231"/>
    <n v="61"/>
    <x v="1"/>
    <n v="170"/>
    <x v="1"/>
    <n v="0.12708333333333333"/>
    <n v="4368"/>
  </r>
  <r>
    <x v="17"/>
    <x v="2161"/>
    <n v="228"/>
    <n v="94"/>
    <x v="0"/>
    <n v="134"/>
    <x v="1"/>
    <n v="0.19583333333333333"/>
    <n v="3654"/>
  </r>
  <r>
    <x v="17"/>
    <x v="2162"/>
    <n v="223"/>
    <n v="171"/>
    <x v="3"/>
    <n v="52"/>
    <x v="0"/>
    <n v="0.35625000000000001"/>
    <n v="1866"/>
  </r>
  <r>
    <x v="17"/>
    <x v="2163"/>
    <n v="275"/>
    <n v="127"/>
    <x v="4"/>
    <n v="148"/>
    <x v="0"/>
    <n v="0.26458333333333334"/>
    <n v="2909"/>
  </r>
  <r>
    <x v="17"/>
    <x v="2164"/>
    <n v="162"/>
    <n v="30"/>
    <x v="3"/>
    <n v="132"/>
    <x v="2"/>
    <n v="6.25E-2"/>
    <n v="5042"/>
  </r>
  <r>
    <x v="17"/>
    <x v="2165"/>
    <n v="111"/>
    <n v="106"/>
    <x v="5"/>
    <n v="5"/>
    <x v="0"/>
    <n v="0.22083333333333333"/>
    <n v="3413"/>
  </r>
  <r>
    <x v="17"/>
    <x v="2166"/>
    <n v="162"/>
    <n v="156"/>
    <x v="4"/>
    <n v="6"/>
    <x v="0"/>
    <n v="0.32500000000000001"/>
    <n v="2251"/>
  </r>
  <r>
    <x v="17"/>
    <x v="2167"/>
    <n v="307"/>
    <n v="114"/>
    <x v="0"/>
    <n v="193"/>
    <x v="0"/>
    <n v="0.23749999999999999"/>
    <n v="3226"/>
  </r>
  <r>
    <x v="17"/>
    <x v="2168"/>
    <n v="196"/>
    <n v="180"/>
    <x v="4"/>
    <n v="16"/>
    <x v="0"/>
    <n v="0.375"/>
    <n v="1635"/>
  </r>
  <r>
    <x v="17"/>
    <x v="2169"/>
    <n v="255"/>
    <n v="38"/>
    <x v="1"/>
    <n v="217"/>
    <x v="2"/>
    <n v="7.9166666666666663E-2"/>
    <n v="4845"/>
  </r>
  <r>
    <x v="17"/>
    <x v="2170"/>
    <n v="163"/>
    <n v="152"/>
    <x v="4"/>
    <n v="11"/>
    <x v="0"/>
    <n v="0.31666666666666665"/>
    <n v="2349"/>
  </r>
  <r>
    <x v="17"/>
    <x v="2171"/>
    <n v="247"/>
    <n v="158"/>
    <x v="6"/>
    <n v="89"/>
    <x v="0"/>
    <n v="0.32916666666666666"/>
    <n v="2207"/>
  </r>
  <r>
    <x v="17"/>
    <x v="2172"/>
    <n v="230"/>
    <n v="62"/>
    <x v="2"/>
    <n v="168"/>
    <x v="1"/>
    <n v="0.12916666666666668"/>
    <n v="4343"/>
  </r>
  <r>
    <x v="17"/>
    <x v="2173"/>
    <n v="197"/>
    <n v="174"/>
    <x v="5"/>
    <n v="23"/>
    <x v="0"/>
    <n v="0.36249999999999999"/>
    <n v="1803"/>
  </r>
  <r>
    <x v="17"/>
    <x v="2174"/>
    <n v="207"/>
    <n v="147"/>
    <x v="1"/>
    <n v="60"/>
    <x v="0"/>
    <n v="0.30625000000000002"/>
    <n v="2478"/>
  </r>
  <r>
    <x v="17"/>
    <x v="2175"/>
    <n v="224"/>
    <n v="88"/>
    <x v="5"/>
    <n v="136"/>
    <x v="1"/>
    <n v="0.18333333333333332"/>
    <n v="3792"/>
  </r>
  <r>
    <x v="17"/>
    <x v="2176"/>
    <n v="160"/>
    <n v="121"/>
    <x v="3"/>
    <n v="39"/>
    <x v="0"/>
    <n v="0.25208333333333333"/>
    <n v="3037"/>
  </r>
  <r>
    <x v="17"/>
    <x v="2177"/>
    <n v="219"/>
    <n v="148"/>
    <x v="0"/>
    <n v="71"/>
    <x v="0"/>
    <n v="0.30833333333333335"/>
    <n v="2446"/>
  </r>
  <r>
    <x v="17"/>
    <x v="2178"/>
    <n v="266"/>
    <n v="100"/>
    <x v="4"/>
    <n v="166"/>
    <x v="1"/>
    <n v="0.20833333333333334"/>
    <n v="3535"/>
  </r>
  <r>
    <x v="17"/>
    <x v="2179"/>
    <n v="234"/>
    <n v="181"/>
    <x v="6"/>
    <n v="53"/>
    <x v="0"/>
    <n v="0.37708333333333333"/>
    <n v="1609"/>
  </r>
  <r>
    <x v="17"/>
    <x v="2180"/>
    <n v="141"/>
    <n v="110"/>
    <x v="5"/>
    <n v="31"/>
    <x v="0"/>
    <n v="0.22916666666666666"/>
    <n v="3302"/>
  </r>
  <r>
    <x v="17"/>
    <x v="2181"/>
    <n v="277"/>
    <n v="106"/>
    <x v="5"/>
    <n v="171"/>
    <x v="0"/>
    <n v="0.22083333333333333"/>
    <n v="3413"/>
  </r>
  <r>
    <x v="17"/>
    <x v="2182"/>
    <n v="296"/>
    <n v="159"/>
    <x v="1"/>
    <n v="137"/>
    <x v="0"/>
    <n v="0.33124999999999999"/>
    <n v="2183"/>
  </r>
  <r>
    <x v="17"/>
    <x v="2183"/>
    <n v="255"/>
    <n v="116"/>
    <x v="6"/>
    <n v="139"/>
    <x v="0"/>
    <n v="0.24166666666666667"/>
    <n v="3173"/>
  </r>
  <r>
    <x v="17"/>
    <x v="2184"/>
    <n v="254"/>
    <n v="54"/>
    <x v="6"/>
    <n v="200"/>
    <x v="1"/>
    <n v="0.1125"/>
    <n v="4523"/>
  </r>
  <r>
    <x v="17"/>
    <x v="2185"/>
    <n v="293"/>
    <n v="169"/>
    <x v="2"/>
    <n v="124"/>
    <x v="0"/>
    <n v="0.35208333333333336"/>
    <n v="1925"/>
  </r>
  <r>
    <x v="17"/>
    <x v="2186"/>
    <n v="59"/>
    <n v="43"/>
    <x v="5"/>
    <n v="16"/>
    <x v="2"/>
    <n v="8.9583333333333334E-2"/>
    <n v="4752"/>
  </r>
  <r>
    <x v="17"/>
    <x v="2187"/>
    <n v="40"/>
    <n v="37"/>
    <x v="4"/>
    <n v="3"/>
    <x v="2"/>
    <n v="7.7083333333333337E-2"/>
    <n v="4863"/>
  </r>
  <r>
    <x v="17"/>
    <x v="2188"/>
    <n v="240"/>
    <n v="179"/>
    <x v="2"/>
    <n v="61"/>
    <x v="0"/>
    <n v="0.37291666666666667"/>
    <n v="1667"/>
  </r>
  <r>
    <x v="17"/>
    <x v="2189"/>
    <n v="313"/>
    <n v="187"/>
    <x v="6"/>
    <n v="126"/>
    <x v="0"/>
    <n v="0.38958333333333334"/>
    <n v="1455"/>
  </r>
  <r>
    <x v="17"/>
    <x v="2190"/>
    <n v="241"/>
    <n v="143"/>
    <x v="6"/>
    <n v="98"/>
    <x v="0"/>
    <n v="0.29791666666666666"/>
    <n v="2567"/>
  </r>
  <r>
    <x v="17"/>
    <x v="2191"/>
    <n v="226"/>
    <n v="175"/>
    <x v="0"/>
    <n v="51"/>
    <x v="0"/>
    <n v="0.36458333333333331"/>
    <n v="1780"/>
  </r>
  <r>
    <x v="17"/>
    <x v="2192"/>
    <n v="296"/>
    <n v="180"/>
    <x v="1"/>
    <n v="116"/>
    <x v="0"/>
    <n v="0.375"/>
    <n v="1635"/>
  </r>
  <r>
    <x v="17"/>
    <x v="2193"/>
    <n v="122"/>
    <n v="114"/>
    <x v="6"/>
    <n v="8"/>
    <x v="0"/>
    <n v="0.23749999999999999"/>
    <n v="3226"/>
  </r>
  <r>
    <x v="17"/>
    <x v="2194"/>
    <n v="267"/>
    <n v="87"/>
    <x v="0"/>
    <n v="180"/>
    <x v="1"/>
    <n v="0.18124999999999999"/>
    <n v="3813"/>
  </r>
  <r>
    <x v="17"/>
    <x v="2195"/>
    <n v="106"/>
    <n v="91"/>
    <x v="3"/>
    <n v="15"/>
    <x v="1"/>
    <n v="0.18958333333333333"/>
    <n v="3726"/>
  </r>
  <r>
    <x v="17"/>
    <x v="2196"/>
    <n v="174"/>
    <n v="81"/>
    <x v="0"/>
    <n v="93"/>
    <x v="1"/>
    <n v="0.16875000000000001"/>
    <n v="3923"/>
  </r>
  <r>
    <x v="17"/>
    <x v="2197"/>
    <n v="236"/>
    <n v="167"/>
    <x v="2"/>
    <n v="69"/>
    <x v="0"/>
    <n v="0.34791666666666665"/>
    <n v="1979"/>
  </r>
  <r>
    <x v="17"/>
    <x v="2198"/>
    <n v="202"/>
    <n v="161"/>
    <x v="2"/>
    <n v="41"/>
    <x v="0"/>
    <n v="0.33541666666666664"/>
    <n v="2129"/>
  </r>
  <r>
    <x v="17"/>
    <x v="2199"/>
    <n v="155"/>
    <n v="134"/>
    <x v="6"/>
    <n v="21"/>
    <x v="0"/>
    <n v="0.27916666666666667"/>
    <n v="2740"/>
  </r>
  <r>
    <x v="17"/>
    <x v="2200"/>
    <n v="272"/>
    <n v="149"/>
    <x v="4"/>
    <n v="123"/>
    <x v="0"/>
    <n v="0.31041666666666667"/>
    <n v="2426"/>
  </r>
  <r>
    <x v="17"/>
    <x v="2201"/>
    <n v="199"/>
    <n v="167"/>
    <x v="3"/>
    <n v="32"/>
    <x v="0"/>
    <n v="0.34791666666666665"/>
    <n v="1979"/>
  </r>
  <r>
    <x v="17"/>
    <x v="2202"/>
    <n v="191"/>
    <n v="158"/>
    <x v="2"/>
    <n v="33"/>
    <x v="0"/>
    <n v="0.32916666666666666"/>
    <n v="2207"/>
  </r>
  <r>
    <x v="17"/>
    <x v="2203"/>
    <n v="199"/>
    <n v="121"/>
    <x v="4"/>
    <n v="78"/>
    <x v="0"/>
    <n v="0.25208333333333333"/>
    <n v="3037"/>
  </r>
  <r>
    <x v="17"/>
    <x v="2204"/>
    <n v="304"/>
    <n v="186"/>
    <x v="1"/>
    <n v="118"/>
    <x v="0"/>
    <n v="0.38750000000000001"/>
    <n v="1478"/>
  </r>
  <r>
    <x v="18"/>
    <x v="2205"/>
    <n v="221"/>
    <n v="181"/>
    <x v="4"/>
    <n v="40"/>
    <x v="0"/>
    <n v="0.37708333333333333"/>
    <n v="1609"/>
  </r>
  <r>
    <x v="18"/>
    <x v="2206"/>
    <n v="219"/>
    <n v="130"/>
    <x v="1"/>
    <n v="89"/>
    <x v="0"/>
    <n v="0.27083333333333331"/>
    <n v="2832"/>
  </r>
  <r>
    <x v="18"/>
    <x v="2207"/>
    <n v="156"/>
    <n v="153"/>
    <x v="2"/>
    <n v="3"/>
    <x v="0"/>
    <n v="0.31874999999999998"/>
    <n v="2329"/>
  </r>
  <r>
    <x v="18"/>
    <x v="2208"/>
    <n v="263"/>
    <n v="38"/>
    <x v="3"/>
    <n v="225"/>
    <x v="2"/>
    <n v="7.9166666666666663E-2"/>
    <n v="4845"/>
  </r>
  <r>
    <x v="18"/>
    <x v="2209"/>
    <n v="108"/>
    <n v="40"/>
    <x v="3"/>
    <n v="68"/>
    <x v="2"/>
    <n v="8.3333333333333329E-2"/>
    <n v="4808"/>
  </r>
  <r>
    <x v="18"/>
    <x v="2210"/>
    <n v="259"/>
    <n v="153"/>
    <x v="4"/>
    <n v="106"/>
    <x v="0"/>
    <n v="0.31874999999999998"/>
    <n v="2329"/>
  </r>
  <r>
    <x v="18"/>
    <x v="2211"/>
    <n v="92"/>
    <n v="58"/>
    <x v="4"/>
    <n v="34"/>
    <x v="1"/>
    <n v="0.12083333333333333"/>
    <n v="4431"/>
  </r>
  <r>
    <x v="18"/>
    <x v="2212"/>
    <n v="279"/>
    <n v="106"/>
    <x v="3"/>
    <n v="173"/>
    <x v="0"/>
    <n v="0.22083333333333333"/>
    <n v="3413"/>
  </r>
  <r>
    <x v="18"/>
    <x v="2213"/>
    <n v="143"/>
    <n v="46"/>
    <x v="0"/>
    <n v="97"/>
    <x v="2"/>
    <n v="9.583333333333334E-2"/>
    <n v="4680"/>
  </r>
  <r>
    <x v="18"/>
    <x v="2214"/>
    <n v="245"/>
    <n v="31"/>
    <x v="6"/>
    <n v="214"/>
    <x v="2"/>
    <n v="6.458333333333334E-2"/>
    <n v="5016"/>
  </r>
  <r>
    <x v="18"/>
    <x v="2215"/>
    <n v="202"/>
    <n v="84"/>
    <x v="1"/>
    <n v="118"/>
    <x v="1"/>
    <n v="0.17499999999999999"/>
    <n v="3872"/>
  </r>
  <r>
    <x v="18"/>
    <x v="2216"/>
    <n v="278"/>
    <n v="146"/>
    <x v="6"/>
    <n v="132"/>
    <x v="0"/>
    <n v="0.30416666666666664"/>
    <n v="2499"/>
  </r>
  <r>
    <x v="18"/>
    <x v="2217"/>
    <n v="141"/>
    <n v="133"/>
    <x v="5"/>
    <n v="8"/>
    <x v="0"/>
    <n v="0.27708333333333335"/>
    <n v="2758"/>
  </r>
  <r>
    <x v="18"/>
    <x v="2218"/>
    <n v="275"/>
    <n v="173"/>
    <x v="6"/>
    <n v="102"/>
    <x v="0"/>
    <n v="0.36041666666666666"/>
    <n v="1826"/>
  </r>
  <r>
    <x v="18"/>
    <x v="2219"/>
    <n v="132"/>
    <n v="82"/>
    <x v="4"/>
    <n v="50"/>
    <x v="1"/>
    <n v="0.17083333333333334"/>
    <n v="3904"/>
  </r>
  <r>
    <x v="18"/>
    <x v="2220"/>
    <n v="297"/>
    <n v="186"/>
    <x v="2"/>
    <n v="111"/>
    <x v="0"/>
    <n v="0.38750000000000001"/>
    <n v="1478"/>
  </r>
  <r>
    <x v="18"/>
    <x v="2221"/>
    <n v="274"/>
    <n v="106"/>
    <x v="2"/>
    <n v="168"/>
    <x v="0"/>
    <n v="0.22083333333333333"/>
    <n v="3413"/>
  </r>
  <r>
    <x v="18"/>
    <x v="2222"/>
    <n v="181"/>
    <n v="98"/>
    <x v="4"/>
    <n v="83"/>
    <x v="1"/>
    <n v="0.20416666666666666"/>
    <n v="3574"/>
  </r>
  <r>
    <x v="18"/>
    <x v="2223"/>
    <n v="214"/>
    <n v="146"/>
    <x v="6"/>
    <n v="68"/>
    <x v="0"/>
    <n v="0.30416666666666664"/>
    <n v="2499"/>
  </r>
  <r>
    <x v="18"/>
    <x v="2224"/>
    <n v="205"/>
    <n v="155"/>
    <x v="4"/>
    <n v="50"/>
    <x v="0"/>
    <n v="0.32291666666666669"/>
    <n v="2275"/>
  </r>
  <r>
    <x v="18"/>
    <x v="2225"/>
    <n v="200"/>
    <n v="160"/>
    <x v="2"/>
    <n v="40"/>
    <x v="0"/>
    <n v="0.33333333333333331"/>
    <n v="2154"/>
  </r>
  <r>
    <x v="18"/>
    <x v="2226"/>
    <n v="109"/>
    <n v="89"/>
    <x v="1"/>
    <n v="20"/>
    <x v="1"/>
    <n v="0.18541666666666667"/>
    <n v="3772"/>
  </r>
  <r>
    <x v="18"/>
    <x v="2227"/>
    <n v="228"/>
    <n v="144"/>
    <x v="1"/>
    <n v="84"/>
    <x v="0"/>
    <n v="0.3"/>
    <n v="2550"/>
  </r>
  <r>
    <x v="18"/>
    <x v="2228"/>
    <n v="229"/>
    <n v="80"/>
    <x v="4"/>
    <n v="149"/>
    <x v="1"/>
    <n v="0.16666666666666666"/>
    <n v="3948"/>
  </r>
  <r>
    <x v="18"/>
    <x v="2229"/>
    <n v="245"/>
    <n v="124"/>
    <x v="0"/>
    <n v="121"/>
    <x v="0"/>
    <n v="0.25833333333333336"/>
    <n v="2971"/>
  </r>
  <r>
    <x v="18"/>
    <x v="2230"/>
    <n v="174"/>
    <n v="80"/>
    <x v="1"/>
    <n v="94"/>
    <x v="1"/>
    <n v="0.16666666666666666"/>
    <n v="3948"/>
  </r>
  <r>
    <x v="18"/>
    <x v="2231"/>
    <n v="264"/>
    <n v="171"/>
    <x v="6"/>
    <n v="93"/>
    <x v="0"/>
    <n v="0.35625000000000001"/>
    <n v="1866"/>
  </r>
  <r>
    <x v="18"/>
    <x v="2232"/>
    <n v="260"/>
    <n v="134"/>
    <x v="6"/>
    <n v="126"/>
    <x v="0"/>
    <n v="0.27916666666666667"/>
    <n v="2740"/>
  </r>
  <r>
    <x v="18"/>
    <x v="2233"/>
    <n v="221"/>
    <n v="86"/>
    <x v="3"/>
    <n v="135"/>
    <x v="1"/>
    <n v="0.17916666666666667"/>
    <n v="3830"/>
  </r>
  <r>
    <x v="18"/>
    <x v="2234"/>
    <n v="303"/>
    <n v="31"/>
    <x v="0"/>
    <n v="272"/>
    <x v="2"/>
    <n v="6.458333333333334E-2"/>
    <n v="5016"/>
  </r>
  <r>
    <x v="18"/>
    <x v="2235"/>
    <n v="234"/>
    <n v="190"/>
    <x v="3"/>
    <n v="44"/>
    <x v="0"/>
    <n v="0.39583333333333331"/>
    <n v="1355"/>
  </r>
  <r>
    <x v="18"/>
    <x v="2236"/>
    <n v="237"/>
    <n v="184"/>
    <x v="2"/>
    <n v="53"/>
    <x v="0"/>
    <n v="0.38333333333333336"/>
    <n v="1544"/>
  </r>
  <r>
    <x v="18"/>
    <x v="2237"/>
    <n v="120"/>
    <n v="33"/>
    <x v="0"/>
    <n v="87"/>
    <x v="2"/>
    <n v="6.8750000000000006E-2"/>
    <n v="4964"/>
  </r>
  <r>
    <x v="18"/>
    <x v="2238"/>
    <n v="150"/>
    <n v="63"/>
    <x v="2"/>
    <n v="87"/>
    <x v="1"/>
    <n v="0.13125000000000001"/>
    <n v="4322"/>
  </r>
  <r>
    <x v="18"/>
    <x v="2239"/>
    <n v="232"/>
    <n v="100"/>
    <x v="5"/>
    <n v="132"/>
    <x v="1"/>
    <n v="0.20833333333333334"/>
    <n v="3535"/>
  </r>
  <r>
    <x v="18"/>
    <x v="2240"/>
    <n v="314"/>
    <n v="138"/>
    <x v="4"/>
    <n v="176"/>
    <x v="0"/>
    <n v="0.28749999999999998"/>
    <n v="2660"/>
  </r>
  <r>
    <x v="18"/>
    <x v="2241"/>
    <n v="238"/>
    <n v="119"/>
    <x v="6"/>
    <n v="119"/>
    <x v="0"/>
    <n v="0.24791666666666667"/>
    <n v="3093"/>
  </r>
  <r>
    <x v="18"/>
    <x v="2242"/>
    <n v="255"/>
    <n v="171"/>
    <x v="6"/>
    <n v="84"/>
    <x v="0"/>
    <n v="0.35625000000000001"/>
    <n v="1866"/>
  </r>
  <r>
    <x v="18"/>
    <x v="2243"/>
    <n v="255"/>
    <n v="172"/>
    <x v="2"/>
    <n v="83"/>
    <x v="0"/>
    <n v="0.35833333333333334"/>
    <n v="1852"/>
  </r>
  <r>
    <x v="18"/>
    <x v="2244"/>
    <n v="192"/>
    <n v="173"/>
    <x v="2"/>
    <n v="19"/>
    <x v="0"/>
    <n v="0.36041666666666666"/>
    <n v="1826"/>
  </r>
  <r>
    <x v="18"/>
    <x v="2245"/>
    <n v="219"/>
    <n v="99"/>
    <x v="2"/>
    <n v="120"/>
    <x v="1"/>
    <n v="0.20624999999999999"/>
    <n v="3553"/>
  </r>
  <r>
    <x v="18"/>
    <x v="2246"/>
    <n v="164"/>
    <n v="57"/>
    <x v="6"/>
    <n v="107"/>
    <x v="1"/>
    <n v="0.11874999999999999"/>
    <n v="4452"/>
  </r>
  <r>
    <x v="18"/>
    <x v="2247"/>
    <n v="251"/>
    <n v="173"/>
    <x v="1"/>
    <n v="78"/>
    <x v="0"/>
    <n v="0.36041666666666666"/>
    <n v="1826"/>
  </r>
  <r>
    <x v="18"/>
    <x v="2248"/>
    <n v="201"/>
    <n v="110"/>
    <x v="0"/>
    <n v="91"/>
    <x v="0"/>
    <n v="0.22916666666666666"/>
    <n v="3302"/>
  </r>
  <r>
    <x v="18"/>
    <x v="2249"/>
    <n v="231"/>
    <n v="179"/>
    <x v="3"/>
    <n v="52"/>
    <x v="0"/>
    <n v="0.37291666666666667"/>
    <n v="1667"/>
  </r>
  <r>
    <x v="18"/>
    <x v="2250"/>
    <n v="279"/>
    <n v="178"/>
    <x v="0"/>
    <n v="101"/>
    <x v="0"/>
    <n v="0.37083333333333335"/>
    <n v="1702"/>
  </r>
  <r>
    <x v="18"/>
    <x v="2251"/>
    <n v="253"/>
    <n v="128"/>
    <x v="3"/>
    <n v="125"/>
    <x v="0"/>
    <n v="0.26666666666666666"/>
    <n v="2872"/>
  </r>
  <r>
    <x v="18"/>
    <x v="2252"/>
    <n v="156"/>
    <n v="136"/>
    <x v="5"/>
    <n v="20"/>
    <x v="0"/>
    <n v="0.28333333333333333"/>
    <n v="2692"/>
  </r>
  <r>
    <x v="18"/>
    <x v="2253"/>
    <n v="269"/>
    <n v="161"/>
    <x v="5"/>
    <n v="108"/>
    <x v="0"/>
    <n v="0.33541666666666664"/>
    <n v="2129"/>
  </r>
  <r>
    <x v="18"/>
    <x v="2254"/>
    <n v="245"/>
    <n v="113"/>
    <x v="4"/>
    <n v="132"/>
    <x v="0"/>
    <n v="0.23541666666666666"/>
    <n v="3243"/>
  </r>
  <r>
    <x v="18"/>
    <x v="2255"/>
    <n v="136"/>
    <n v="68"/>
    <x v="0"/>
    <n v="68"/>
    <x v="1"/>
    <n v="0.14166666666666666"/>
    <n v="4204"/>
  </r>
  <r>
    <x v="18"/>
    <x v="2256"/>
    <n v="299"/>
    <n v="182"/>
    <x v="6"/>
    <n v="117"/>
    <x v="0"/>
    <n v="0.37916666666666665"/>
    <n v="1593"/>
  </r>
  <r>
    <x v="18"/>
    <x v="2257"/>
    <n v="188"/>
    <n v="111"/>
    <x v="5"/>
    <n v="77"/>
    <x v="0"/>
    <n v="0.23125000000000001"/>
    <n v="3285"/>
  </r>
  <r>
    <x v="18"/>
    <x v="2258"/>
    <n v="299"/>
    <n v="146"/>
    <x v="2"/>
    <n v="153"/>
    <x v="0"/>
    <n v="0.30416666666666664"/>
    <n v="2499"/>
  </r>
  <r>
    <x v="18"/>
    <x v="2259"/>
    <n v="252"/>
    <n v="131"/>
    <x v="6"/>
    <n v="121"/>
    <x v="0"/>
    <n v="0.27291666666666664"/>
    <n v="2815"/>
  </r>
  <r>
    <x v="18"/>
    <x v="2260"/>
    <n v="211"/>
    <n v="138"/>
    <x v="1"/>
    <n v="73"/>
    <x v="0"/>
    <n v="0.28749999999999998"/>
    <n v="2660"/>
  </r>
  <r>
    <x v="18"/>
    <x v="2261"/>
    <n v="263"/>
    <n v="139"/>
    <x v="1"/>
    <n v="124"/>
    <x v="0"/>
    <n v="0.28958333333333336"/>
    <n v="2647"/>
  </r>
  <r>
    <x v="18"/>
    <x v="2262"/>
    <n v="266"/>
    <n v="92"/>
    <x v="3"/>
    <n v="174"/>
    <x v="1"/>
    <n v="0.19166666666666668"/>
    <n v="3706"/>
  </r>
  <r>
    <x v="18"/>
    <x v="2263"/>
    <n v="313"/>
    <n v="133"/>
    <x v="6"/>
    <n v="180"/>
    <x v="0"/>
    <n v="0.27708333333333335"/>
    <n v="2758"/>
  </r>
  <r>
    <x v="18"/>
    <x v="2264"/>
    <n v="152"/>
    <n v="95"/>
    <x v="5"/>
    <n v="57"/>
    <x v="1"/>
    <n v="0.19791666666666666"/>
    <n v="3634"/>
  </r>
  <r>
    <x v="18"/>
    <x v="2265"/>
    <n v="284"/>
    <n v="78"/>
    <x v="1"/>
    <n v="206"/>
    <x v="1"/>
    <n v="0.16250000000000001"/>
    <n v="3989"/>
  </r>
  <r>
    <x v="18"/>
    <x v="2266"/>
    <n v="207"/>
    <n v="128"/>
    <x v="1"/>
    <n v="79"/>
    <x v="0"/>
    <n v="0.26666666666666666"/>
    <n v="2872"/>
  </r>
  <r>
    <x v="18"/>
    <x v="2267"/>
    <n v="88"/>
    <n v="60"/>
    <x v="4"/>
    <n v="28"/>
    <x v="1"/>
    <n v="0.125"/>
    <n v="4390"/>
  </r>
  <r>
    <x v="18"/>
    <x v="2268"/>
    <n v="300"/>
    <n v="144"/>
    <x v="4"/>
    <n v="156"/>
    <x v="0"/>
    <n v="0.3"/>
    <n v="2550"/>
  </r>
  <r>
    <x v="18"/>
    <x v="2269"/>
    <n v="268"/>
    <n v="168"/>
    <x v="6"/>
    <n v="100"/>
    <x v="0"/>
    <n v="0.35"/>
    <n v="1954"/>
  </r>
  <r>
    <x v="18"/>
    <x v="2270"/>
    <n v="159"/>
    <n v="127"/>
    <x v="0"/>
    <n v="32"/>
    <x v="0"/>
    <n v="0.26458333333333334"/>
    <n v="2909"/>
  </r>
  <r>
    <x v="18"/>
    <x v="2271"/>
    <n v="228"/>
    <n v="104"/>
    <x v="1"/>
    <n v="124"/>
    <x v="0"/>
    <n v="0.21666666666666667"/>
    <n v="3454"/>
  </r>
  <r>
    <x v="18"/>
    <x v="2272"/>
    <n v="298"/>
    <n v="71"/>
    <x v="6"/>
    <n v="227"/>
    <x v="1"/>
    <n v="0.14791666666666667"/>
    <n v="4129"/>
  </r>
  <r>
    <x v="18"/>
    <x v="2273"/>
    <n v="243"/>
    <n v="64"/>
    <x v="1"/>
    <n v="179"/>
    <x v="1"/>
    <n v="0.13333333333333333"/>
    <n v="4293"/>
  </r>
  <r>
    <x v="18"/>
    <x v="2274"/>
    <n v="108"/>
    <n v="55"/>
    <x v="3"/>
    <n v="53"/>
    <x v="1"/>
    <n v="0.11458333333333333"/>
    <n v="4497"/>
  </r>
  <r>
    <x v="18"/>
    <x v="2275"/>
    <n v="209"/>
    <n v="116"/>
    <x v="3"/>
    <n v="93"/>
    <x v="0"/>
    <n v="0.24166666666666667"/>
    <n v="3173"/>
  </r>
  <r>
    <x v="18"/>
    <x v="2276"/>
    <n v="286"/>
    <n v="189"/>
    <x v="2"/>
    <n v="97"/>
    <x v="0"/>
    <n v="0.39374999999999999"/>
    <n v="1395"/>
  </r>
  <r>
    <x v="18"/>
    <x v="2277"/>
    <n v="315"/>
    <n v="123"/>
    <x v="3"/>
    <n v="192"/>
    <x v="0"/>
    <n v="0.25624999999999998"/>
    <n v="2983"/>
  </r>
  <r>
    <x v="18"/>
    <x v="2278"/>
    <n v="98"/>
    <n v="74"/>
    <x v="1"/>
    <n v="24"/>
    <x v="1"/>
    <n v="0.15416666666666667"/>
    <n v="4064"/>
  </r>
  <r>
    <x v="18"/>
    <x v="2279"/>
    <n v="262"/>
    <n v="179"/>
    <x v="6"/>
    <n v="83"/>
    <x v="0"/>
    <n v="0.37291666666666667"/>
    <n v="1667"/>
  </r>
  <r>
    <x v="18"/>
    <x v="2280"/>
    <n v="285"/>
    <n v="145"/>
    <x v="5"/>
    <n v="140"/>
    <x v="0"/>
    <n v="0.30208333333333331"/>
    <n v="2526"/>
  </r>
  <r>
    <x v="18"/>
    <x v="2281"/>
    <n v="227"/>
    <n v="131"/>
    <x v="5"/>
    <n v="96"/>
    <x v="0"/>
    <n v="0.27291666666666664"/>
    <n v="2815"/>
  </r>
  <r>
    <x v="18"/>
    <x v="2282"/>
    <n v="126"/>
    <n v="40"/>
    <x v="3"/>
    <n v="86"/>
    <x v="2"/>
    <n v="8.3333333333333329E-2"/>
    <n v="4808"/>
  </r>
  <r>
    <x v="18"/>
    <x v="2283"/>
    <n v="287"/>
    <n v="178"/>
    <x v="4"/>
    <n v="109"/>
    <x v="0"/>
    <n v="0.37083333333333335"/>
    <n v="1702"/>
  </r>
  <r>
    <x v="18"/>
    <x v="2284"/>
    <n v="212"/>
    <n v="46"/>
    <x v="4"/>
    <n v="166"/>
    <x v="2"/>
    <n v="9.583333333333334E-2"/>
    <n v="4680"/>
  </r>
  <r>
    <x v="18"/>
    <x v="2285"/>
    <n v="316"/>
    <n v="95"/>
    <x v="3"/>
    <n v="221"/>
    <x v="1"/>
    <n v="0.19791666666666666"/>
    <n v="3634"/>
  </r>
  <r>
    <x v="18"/>
    <x v="2286"/>
    <n v="320"/>
    <n v="165"/>
    <x v="1"/>
    <n v="155"/>
    <x v="0"/>
    <n v="0.34375"/>
    <n v="2028"/>
  </r>
  <r>
    <x v="18"/>
    <x v="2287"/>
    <n v="275"/>
    <n v="32"/>
    <x v="6"/>
    <n v="243"/>
    <x v="2"/>
    <n v="6.6666666666666666E-2"/>
    <n v="4983"/>
  </r>
  <r>
    <x v="18"/>
    <x v="2288"/>
    <n v="252"/>
    <n v="179"/>
    <x v="6"/>
    <n v="73"/>
    <x v="0"/>
    <n v="0.37291666666666667"/>
    <n v="1667"/>
  </r>
  <r>
    <x v="18"/>
    <x v="2289"/>
    <n v="309"/>
    <n v="132"/>
    <x v="2"/>
    <n v="177"/>
    <x v="0"/>
    <n v="0.27500000000000002"/>
    <n v="2792"/>
  </r>
  <r>
    <x v="18"/>
    <x v="2290"/>
    <n v="254"/>
    <n v="171"/>
    <x v="2"/>
    <n v="83"/>
    <x v="0"/>
    <n v="0.35625000000000001"/>
    <n v="1866"/>
  </r>
  <r>
    <x v="18"/>
    <x v="2291"/>
    <n v="220"/>
    <n v="189"/>
    <x v="1"/>
    <n v="31"/>
    <x v="0"/>
    <n v="0.39374999999999999"/>
    <n v="1395"/>
  </r>
  <r>
    <x v="18"/>
    <x v="2292"/>
    <n v="311"/>
    <n v="118"/>
    <x v="0"/>
    <n v="193"/>
    <x v="0"/>
    <n v="0.24583333333333332"/>
    <n v="3122"/>
  </r>
  <r>
    <x v="18"/>
    <x v="2293"/>
    <n v="167"/>
    <n v="97"/>
    <x v="6"/>
    <n v="70"/>
    <x v="1"/>
    <n v="0.20208333333333334"/>
    <n v="3593"/>
  </r>
  <r>
    <x v="18"/>
    <x v="2294"/>
    <n v="300"/>
    <n v="37"/>
    <x v="1"/>
    <n v="263"/>
    <x v="2"/>
    <n v="7.7083333333333337E-2"/>
    <n v="4863"/>
  </r>
  <r>
    <x v="18"/>
    <x v="2295"/>
    <n v="150"/>
    <n v="106"/>
    <x v="6"/>
    <n v="44"/>
    <x v="0"/>
    <n v="0.22083333333333333"/>
    <n v="3413"/>
  </r>
  <r>
    <x v="18"/>
    <x v="2296"/>
    <n v="315"/>
    <n v="163"/>
    <x v="3"/>
    <n v="152"/>
    <x v="0"/>
    <n v="0.33958333333333335"/>
    <n v="2075"/>
  </r>
  <r>
    <x v="18"/>
    <x v="2297"/>
    <n v="129"/>
    <n v="30"/>
    <x v="1"/>
    <n v="99"/>
    <x v="2"/>
    <n v="6.25E-2"/>
    <n v="5042"/>
  </r>
  <r>
    <x v="18"/>
    <x v="2298"/>
    <n v="195"/>
    <n v="139"/>
    <x v="4"/>
    <n v="56"/>
    <x v="0"/>
    <n v="0.28958333333333336"/>
    <n v="2647"/>
  </r>
  <r>
    <x v="18"/>
    <x v="2299"/>
    <n v="92"/>
    <n v="77"/>
    <x v="0"/>
    <n v="15"/>
    <x v="1"/>
    <n v="0.16041666666666668"/>
    <n v="4006"/>
  </r>
  <r>
    <x v="18"/>
    <x v="2300"/>
    <n v="202"/>
    <n v="113"/>
    <x v="5"/>
    <n v="89"/>
    <x v="0"/>
    <n v="0.23541666666666666"/>
    <n v="3243"/>
  </r>
  <r>
    <x v="18"/>
    <x v="2301"/>
    <n v="251"/>
    <n v="71"/>
    <x v="5"/>
    <n v="180"/>
    <x v="1"/>
    <n v="0.14791666666666667"/>
    <n v="4129"/>
  </r>
  <r>
    <x v="18"/>
    <x v="2302"/>
    <n v="177"/>
    <n v="33"/>
    <x v="1"/>
    <n v="144"/>
    <x v="2"/>
    <n v="6.8750000000000006E-2"/>
    <n v="4964"/>
  </r>
  <r>
    <x v="18"/>
    <x v="2303"/>
    <n v="317"/>
    <n v="144"/>
    <x v="4"/>
    <n v="173"/>
    <x v="0"/>
    <n v="0.3"/>
    <n v="2550"/>
  </r>
  <r>
    <x v="18"/>
    <x v="2304"/>
    <n v="65"/>
    <n v="62"/>
    <x v="0"/>
    <n v="3"/>
    <x v="1"/>
    <n v="0.12916666666666668"/>
    <n v="4343"/>
  </r>
  <r>
    <x v="18"/>
    <x v="2305"/>
    <n v="225"/>
    <n v="166"/>
    <x v="5"/>
    <n v="59"/>
    <x v="0"/>
    <n v="0.34583333333333333"/>
    <n v="2007"/>
  </r>
  <r>
    <x v="18"/>
    <x v="2306"/>
    <n v="236"/>
    <n v="160"/>
    <x v="5"/>
    <n v="76"/>
    <x v="0"/>
    <n v="0.33333333333333331"/>
    <n v="2154"/>
  </r>
  <r>
    <x v="18"/>
    <x v="2307"/>
    <n v="313"/>
    <n v="180"/>
    <x v="3"/>
    <n v="133"/>
    <x v="0"/>
    <n v="0.375"/>
    <n v="1635"/>
  </r>
  <r>
    <x v="18"/>
    <x v="2308"/>
    <n v="200"/>
    <n v="126"/>
    <x v="1"/>
    <n v="74"/>
    <x v="0"/>
    <n v="0.26250000000000001"/>
    <n v="2934"/>
  </r>
  <r>
    <x v="18"/>
    <x v="2309"/>
    <n v="285"/>
    <n v="107"/>
    <x v="5"/>
    <n v="178"/>
    <x v="0"/>
    <n v="0.22291666666666668"/>
    <n v="3387"/>
  </r>
  <r>
    <x v="18"/>
    <x v="2310"/>
    <n v="274"/>
    <n v="181"/>
    <x v="5"/>
    <n v="93"/>
    <x v="0"/>
    <n v="0.37708333333333333"/>
    <n v="1609"/>
  </r>
  <r>
    <x v="18"/>
    <x v="2311"/>
    <n v="234"/>
    <n v="182"/>
    <x v="2"/>
    <n v="52"/>
    <x v="0"/>
    <n v="0.37916666666666665"/>
    <n v="1593"/>
  </r>
  <r>
    <x v="18"/>
    <x v="2312"/>
    <n v="55"/>
    <n v="37"/>
    <x v="1"/>
    <n v="18"/>
    <x v="2"/>
    <n v="7.7083333333333337E-2"/>
    <n v="4863"/>
  </r>
  <r>
    <x v="18"/>
    <x v="2313"/>
    <n v="132"/>
    <n v="115"/>
    <x v="6"/>
    <n v="17"/>
    <x v="0"/>
    <n v="0.23958333333333334"/>
    <n v="3206"/>
  </r>
  <r>
    <x v="18"/>
    <x v="2314"/>
    <n v="241"/>
    <n v="30"/>
    <x v="6"/>
    <n v="211"/>
    <x v="2"/>
    <n v="6.25E-2"/>
    <n v="5042"/>
  </r>
  <r>
    <x v="18"/>
    <x v="2315"/>
    <n v="279"/>
    <n v="154"/>
    <x v="2"/>
    <n v="125"/>
    <x v="0"/>
    <n v="0.32083333333333336"/>
    <n v="2307"/>
  </r>
  <r>
    <x v="18"/>
    <x v="2316"/>
    <n v="163"/>
    <n v="134"/>
    <x v="0"/>
    <n v="29"/>
    <x v="0"/>
    <n v="0.27916666666666667"/>
    <n v="2740"/>
  </r>
  <r>
    <x v="18"/>
    <x v="2317"/>
    <n v="294"/>
    <n v="177"/>
    <x v="5"/>
    <n v="117"/>
    <x v="0"/>
    <n v="0.36875000000000002"/>
    <n v="1733"/>
  </r>
  <r>
    <x v="18"/>
    <x v="2318"/>
    <n v="66"/>
    <n v="58"/>
    <x v="2"/>
    <n v="8"/>
    <x v="1"/>
    <n v="0.12083333333333333"/>
    <n v="4431"/>
  </r>
  <r>
    <x v="18"/>
    <x v="2319"/>
    <n v="215"/>
    <n v="124"/>
    <x v="6"/>
    <n v="91"/>
    <x v="0"/>
    <n v="0.25833333333333336"/>
    <n v="2971"/>
  </r>
  <r>
    <x v="18"/>
    <x v="2320"/>
    <n v="101"/>
    <n v="63"/>
    <x v="0"/>
    <n v="38"/>
    <x v="1"/>
    <n v="0.13125000000000001"/>
    <n v="4322"/>
  </r>
  <r>
    <x v="18"/>
    <x v="2321"/>
    <n v="89"/>
    <n v="64"/>
    <x v="1"/>
    <n v="25"/>
    <x v="1"/>
    <n v="0.13333333333333333"/>
    <n v="4293"/>
  </r>
  <r>
    <x v="18"/>
    <x v="2322"/>
    <n v="260"/>
    <n v="49"/>
    <x v="5"/>
    <n v="211"/>
    <x v="2"/>
    <n v="0.10208333333333333"/>
    <n v="4614"/>
  </r>
  <r>
    <x v="18"/>
    <x v="2323"/>
    <n v="271"/>
    <n v="147"/>
    <x v="5"/>
    <n v="124"/>
    <x v="0"/>
    <n v="0.30625000000000002"/>
    <n v="2478"/>
  </r>
  <r>
    <x v="18"/>
    <x v="2324"/>
    <n v="214"/>
    <n v="179"/>
    <x v="0"/>
    <n v="35"/>
    <x v="0"/>
    <n v="0.37291666666666667"/>
    <n v="1667"/>
  </r>
  <r>
    <x v="18"/>
    <x v="2325"/>
    <n v="121"/>
    <n v="44"/>
    <x v="6"/>
    <n v="77"/>
    <x v="2"/>
    <n v="9.166666666666666E-2"/>
    <n v="4732"/>
  </r>
  <r>
    <x v="18"/>
    <x v="2326"/>
    <n v="172"/>
    <n v="57"/>
    <x v="0"/>
    <n v="115"/>
    <x v="1"/>
    <n v="0.11874999999999999"/>
    <n v="4452"/>
  </r>
  <r>
    <x v="18"/>
    <x v="2327"/>
    <n v="215"/>
    <n v="85"/>
    <x v="1"/>
    <n v="130"/>
    <x v="1"/>
    <n v="0.17708333333333334"/>
    <n v="3852"/>
  </r>
  <r>
    <x v="18"/>
    <x v="2328"/>
    <n v="280"/>
    <n v="114"/>
    <x v="3"/>
    <n v="166"/>
    <x v="0"/>
    <n v="0.23749999999999999"/>
    <n v="3226"/>
  </r>
  <r>
    <x v="18"/>
    <x v="2329"/>
    <n v="229"/>
    <n v="140"/>
    <x v="2"/>
    <n v="89"/>
    <x v="0"/>
    <n v="0.29166666666666669"/>
    <n v="2627"/>
  </r>
  <r>
    <x v="18"/>
    <x v="2330"/>
    <n v="112"/>
    <n v="32"/>
    <x v="4"/>
    <n v="80"/>
    <x v="2"/>
    <n v="6.6666666666666666E-2"/>
    <n v="4983"/>
  </r>
  <r>
    <x v="18"/>
    <x v="2331"/>
    <n v="207"/>
    <n v="71"/>
    <x v="5"/>
    <n v="136"/>
    <x v="1"/>
    <n v="0.14791666666666667"/>
    <n v="4129"/>
  </r>
  <r>
    <x v="18"/>
    <x v="2332"/>
    <n v="316"/>
    <n v="122"/>
    <x v="0"/>
    <n v="194"/>
    <x v="0"/>
    <n v="0.25416666666666665"/>
    <n v="3013"/>
  </r>
  <r>
    <x v="18"/>
    <x v="2333"/>
    <n v="234"/>
    <n v="130"/>
    <x v="1"/>
    <n v="104"/>
    <x v="0"/>
    <n v="0.27083333333333331"/>
    <n v="2832"/>
  </r>
  <r>
    <x v="18"/>
    <x v="2334"/>
    <n v="137"/>
    <n v="136"/>
    <x v="3"/>
    <n v="1"/>
    <x v="0"/>
    <n v="0.28333333333333333"/>
    <n v="2692"/>
  </r>
  <r>
    <x v="18"/>
    <x v="2335"/>
    <n v="260"/>
    <n v="94"/>
    <x v="6"/>
    <n v="166"/>
    <x v="1"/>
    <n v="0.19583333333333333"/>
    <n v="3654"/>
  </r>
  <r>
    <x v="18"/>
    <x v="2336"/>
    <n v="159"/>
    <n v="83"/>
    <x v="0"/>
    <n v="76"/>
    <x v="1"/>
    <n v="0.17291666666666666"/>
    <n v="3892"/>
  </r>
  <r>
    <x v="18"/>
    <x v="2337"/>
    <n v="307"/>
    <n v="190"/>
    <x v="1"/>
    <n v="117"/>
    <x v="0"/>
    <n v="0.39583333333333331"/>
    <n v="1355"/>
  </r>
  <r>
    <x v="18"/>
    <x v="2338"/>
    <n v="167"/>
    <n v="87"/>
    <x v="3"/>
    <n v="80"/>
    <x v="1"/>
    <n v="0.18124999999999999"/>
    <n v="3813"/>
  </r>
  <r>
    <x v="18"/>
    <x v="2339"/>
    <n v="247"/>
    <n v="148"/>
    <x v="4"/>
    <n v="99"/>
    <x v="0"/>
    <n v="0.30833333333333335"/>
    <n v="2446"/>
  </r>
  <r>
    <x v="18"/>
    <x v="2340"/>
    <n v="193"/>
    <n v="165"/>
    <x v="3"/>
    <n v="28"/>
    <x v="0"/>
    <n v="0.34375"/>
    <n v="2028"/>
  </r>
  <r>
    <x v="18"/>
    <x v="2341"/>
    <n v="279"/>
    <n v="82"/>
    <x v="3"/>
    <n v="197"/>
    <x v="1"/>
    <n v="0.17083333333333334"/>
    <n v="3904"/>
  </r>
  <r>
    <x v="18"/>
    <x v="2342"/>
    <n v="224"/>
    <n v="152"/>
    <x v="3"/>
    <n v="72"/>
    <x v="0"/>
    <n v="0.31666666666666665"/>
    <n v="2349"/>
  </r>
  <r>
    <x v="18"/>
    <x v="2343"/>
    <n v="211"/>
    <n v="148"/>
    <x v="2"/>
    <n v="63"/>
    <x v="0"/>
    <n v="0.30833333333333335"/>
    <n v="2446"/>
  </r>
  <r>
    <x v="18"/>
    <x v="2344"/>
    <n v="298"/>
    <n v="160"/>
    <x v="5"/>
    <n v="138"/>
    <x v="0"/>
    <n v="0.33333333333333331"/>
    <n v="2154"/>
  </r>
  <r>
    <x v="18"/>
    <x v="2345"/>
    <n v="221"/>
    <n v="37"/>
    <x v="4"/>
    <n v="184"/>
    <x v="2"/>
    <n v="7.7083333333333337E-2"/>
    <n v="4863"/>
  </r>
  <r>
    <x v="18"/>
    <x v="2346"/>
    <n v="224"/>
    <n v="190"/>
    <x v="1"/>
    <n v="34"/>
    <x v="0"/>
    <n v="0.39583333333333331"/>
    <n v="1355"/>
  </r>
  <r>
    <x v="18"/>
    <x v="2347"/>
    <n v="210"/>
    <n v="159"/>
    <x v="6"/>
    <n v="51"/>
    <x v="0"/>
    <n v="0.33124999999999999"/>
    <n v="2183"/>
  </r>
  <r>
    <x v="18"/>
    <x v="2348"/>
    <n v="94"/>
    <n v="56"/>
    <x v="0"/>
    <n v="38"/>
    <x v="1"/>
    <n v="0.11666666666666667"/>
    <n v="4474"/>
  </r>
  <r>
    <x v="18"/>
    <x v="2349"/>
    <n v="95"/>
    <n v="41"/>
    <x v="0"/>
    <n v="54"/>
    <x v="2"/>
    <n v="8.5416666666666669E-2"/>
    <n v="4789"/>
  </r>
  <r>
    <x v="18"/>
    <x v="2350"/>
    <n v="273"/>
    <n v="72"/>
    <x v="0"/>
    <n v="201"/>
    <x v="1"/>
    <n v="0.15"/>
    <n v="4100"/>
  </r>
  <r>
    <x v="18"/>
    <x v="2351"/>
    <n v="257"/>
    <n v="163"/>
    <x v="3"/>
    <n v="94"/>
    <x v="0"/>
    <n v="0.33958333333333335"/>
    <n v="2075"/>
  </r>
  <r>
    <x v="18"/>
    <x v="2352"/>
    <n v="36"/>
    <n v="31"/>
    <x v="3"/>
    <n v="5"/>
    <x v="2"/>
    <n v="6.458333333333334E-2"/>
    <n v="5016"/>
  </r>
  <r>
    <x v="18"/>
    <x v="2353"/>
    <n v="266"/>
    <n v="66"/>
    <x v="5"/>
    <n v="200"/>
    <x v="1"/>
    <n v="0.13750000000000001"/>
    <n v="4247"/>
  </r>
  <r>
    <x v="18"/>
    <x v="2354"/>
    <n v="303"/>
    <n v="175"/>
    <x v="3"/>
    <n v="128"/>
    <x v="0"/>
    <n v="0.36458333333333331"/>
    <n v="1780"/>
  </r>
  <r>
    <x v="18"/>
    <x v="2355"/>
    <n v="101"/>
    <n v="53"/>
    <x v="1"/>
    <n v="48"/>
    <x v="1"/>
    <n v="0.11041666666666666"/>
    <n v="4544"/>
  </r>
  <r>
    <x v="18"/>
    <x v="2356"/>
    <n v="227"/>
    <n v="105"/>
    <x v="3"/>
    <n v="122"/>
    <x v="0"/>
    <n v="0.21875"/>
    <n v="3436"/>
  </r>
  <r>
    <x v="18"/>
    <x v="2357"/>
    <n v="140"/>
    <n v="43"/>
    <x v="6"/>
    <n v="97"/>
    <x v="2"/>
    <n v="8.9583333333333334E-2"/>
    <n v="4752"/>
  </r>
  <r>
    <x v="18"/>
    <x v="2358"/>
    <n v="261"/>
    <n v="188"/>
    <x v="6"/>
    <n v="73"/>
    <x v="0"/>
    <n v="0.39166666666666666"/>
    <n v="1423"/>
  </r>
  <r>
    <x v="18"/>
    <x v="2359"/>
    <n v="226"/>
    <n v="150"/>
    <x v="3"/>
    <n v="76"/>
    <x v="0"/>
    <n v="0.3125"/>
    <n v="2400"/>
  </r>
  <r>
    <x v="18"/>
    <x v="2360"/>
    <n v="200"/>
    <n v="138"/>
    <x v="2"/>
    <n v="62"/>
    <x v="0"/>
    <n v="0.28749999999999998"/>
    <n v="2660"/>
  </r>
  <r>
    <x v="18"/>
    <x v="2361"/>
    <n v="89"/>
    <n v="70"/>
    <x v="0"/>
    <n v="19"/>
    <x v="1"/>
    <n v="0.14583333333333334"/>
    <n v="4153"/>
  </r>
  <r>
    <x v="18"/>
    <x v="2362"/>
    <n v="91"/>
    <n v="90"/>
    <x v="0"/>
    <n v="1"/>
    <x v="1"/>
    <n v="0.1875"/>
    <n v="3750"/>
  </r>
  <r>
    <x v="18"/>
    <x v="2363"/>
    <n v="252"/>
    <n v="125"/>
    <x v="3"/>
    <n v="127"/>
    <x v="0"/>
    <n v="0.26041666666666669"/>
    <n v="2951"/>
  </r>
  <r>
    <x v="18"/>
    <x v="2364"/>
    <n v="210"/>
    <n v="90"/>
    <x v="0"/>
    <n v="120"/>
    <x v="1"/>
    <n v="0.1875"/>
    <n v="3750"/>
  </r>
  <r>
    <x v="18"/>
    <x v="2365"/>
    <n v="202"/>
    <n v="89"/>
    <x v="3"/>
    <n v="113"/>
    <x v="1"/>
    <n v="0.18541666666666667"/>
    <n v="3772"/>
  </r>
  <r>
    <x v="18"/>
    <x v="2366"/>
    <n v="140"/>
    <n v="117"/>
    <x v="4"/>
    <n v="23"/>
    <x v="0"/>
    <n v="0.24374999999999999"/>
    <n v="3144"/>
  </r>
  <r>
    <x v="18"/>
    <x v="2367"/>
    <n v="281"/>
    <n v="87"/>
    <x v="3"/>
    <n v="194"/>
    <x v="1"/>
    <n v="0.18124999999999999"/>
    <n v="3813"/>
  </r>
  <r>
    <x v="18"/>
    <x v="2368"/>
    <n v="311"/>
    <n v="132"/>
    <x v="3"/>
    <n v="179"/>
    <x v="0"/>
    <n v="0.27500000000000002"/>
    <n v="2792"/>
  </r>
  <r>
    <x v="18"/>
    <x v="2369"/>
    <n v="263"/>
    <n v="43"/>
    <x v="5"/>
    <n v="220"/>
    <x v="2"/>
    <n v="8.9583333333333334E-2"/>
    <n v="4752"/>
  </r>
  <r>
    <x v="18"/>
    <x v="2370"/>
    <n v="259"/>
    <n v="135"/>
    <x v="1"/>
    <n v="124"/>
    <x v="0"/>
    <n v="0.28125"/>
    <n v="2714"/>
  </r>
  <r>
    <x v="18"/>
    <x v="2371"/>
    <n v="220"/>
    <n v="120"/>
    <x v="6"/>
    <n v="100"/>
    <x v="0"/>
    <n v="0.25"/>
    <n v="3066"/>
  </r>
  <r>
    <x v="18"/>
    <x v="2372"/>
    <n v="271"/>
    <n v="177"/>
    <x v="6"/>
    <n v="94"/>
    <x v="0"/>
    <n v="0.36875000000000002"/>
    <n v="1733"/>
  </r>
  <r>
    <x v="18"/>
    <x v="2373"/>
    <n v="304"/>
    <n v="160"/>
    <x v="4"/>
    <n v="144"/>
    <x v="0"/>
    <n v="0.33333333333333331"/>
    <n v="2154"/>
  </r>
  <r>
    <x v="18"/>
    <x v="2374"/>
    <n v="309"/>
    <n v="174"/>
    <x v="4"/>
    <n v="135"/>
    <x v="0"/>
    <n v="0.36249999999999999"/>
    <n v="1803"/>
  </r>
  <r>
    <x v="18"/>
    <x v="2375"/>
    <n v="185"/>
    <n v="176"/>
    <x v="4"/>
    <n v="9"/>
    <x v="0"/>
    <n v="0.36666666666666664"/>
    <n v="1754"/>
  </r>
  <r>
    <x v="18"/>
    <x v="2376"/>
    <n v="123"/>
    <n v="119"/>
    <x v="6"/>
    <n v="4"/>
    <x v="0"/>
    <n v="0.24791666666666667"/>
    <n v="3093"/>
  </r>
  <r>
    <x v="18"/>
    <x v="2377"/>
    <n v="208"/>
    <n v="185"/>
    <x v="5"/>
    <n v="23"/>
    <x v="0"/>
    <n v="0.38541666666666669"/>
    <n v="1517"/>
  </r>
  <r>
    <x v="18"/>
    <x v="2378"/>
    <n v="250"/>
    <n v="102"/>
    <x v="3"/>
    <n v="148"/>
    <x v="0"/>
    <n v="0.21249999999999999"/>
    <n v="3493"/>
  </r>
  <r>
    <x v="18"/>
    <x v="2379"/>
    <n v="144"/>
    <n v="65"/>
    <x v="0"/>
    <n v="79"/>
    <x v="1"/>
    <n v="0.13541666666666666"/>
    <n v="4267"/>
  </r>
  <r>
    <x v="18"/>
    <x v="2380"/>
    <n v="318"/>
    <n v="53"/>
    <x v="2"/>
    <n v="265"/>
    <x v="1"/>
    <n v="0.11041666666666666"/>
    <n v="4544"/>
  </r>
  <r>
    <x v="18"/>
    <x v="2381"/>
    <n v="245"/>
    <n v="82"/>
    <x v="1"/>
    <n v="163"/>
    <x v="1"/>
    <n v="0.17083333333333334"/>
    <n v="3904"/>
  </r>
  <r>
    <x v="18"/>
    <x v="2382"/>
    <n v="109"/>
    <n v="72"/>
    <x v="0"/>
    <n v="37"/>
    <x v="1"/>
    <n v="0.15"/>
    <n v="4100"/>
  </r>
  <r>
    <x v="18"/>
    <x v="2383"/>
    <n v="117"/>
    <n v="61"/>
    <x v="1"/>
    <n v="56"/>
    <x v="1"/>
    <n v="0.12708333333333333"/>
    <n v="4368"/>
  </r>
  <r>
    <x v="18"/>
    <x v="2384"/>
    <n v="173"/>
    <n v="106"/>
    <x v="1"/>
    <n v="67"/>
    <x v="0"/>
    <n v="0.22083333333333333"/>
    <n v="3413"/>
  </r>
  <r>
    <x v="18"/>
    <x v="2385"/>
    <n v="292"/>
    <n v="120"/>
    <x v="2"/>
    <n v="172"/>
    <x v="0"/>
    <n v="0.25"/>
    <n v="3066"/>
  </r>
  <r>
    <x v="18"/>
    <x v="2386"/>
    <n v="143"/>
    <n v="46"/>
    <x v="2"/>
    <n v="97"/>
    <x v="2"/>
    <n v="9.583333333333334E-2"/>
    <n v="4680"/>
  </r>
  <r>
    <x v="18"/>
    <x v="2387"/>
    <n v="130"/>
    <n v="65"/>
    <x v="6"/>
    <n v="65"/>
    <x v="1"/>
    <n v="0.13541666666666666"/>
    <n v="4267"/>
  </r>
  <r>
    <x v="18"/>
    <x v="2388"/>
    <n v="123"/>
    <n v="105"/>
    <x v="1"/>
    <n v="18"/>
    <x v="0"/>
    <n v="0.21875"/>
    <n v="3436"/>
  </r>
  <r>
    <x v="18"/>
    <x v="2389"/>
    <n v="229"/>
    <n v="170"/>
    <x v="0"/>
    <n v="59"/>
    <x v="0"/>
    <n v="0.35416666666666669"/>
    <n v="1898"/>
  </r>
  <r>
    <x v="18"/>
    <x v="2390"/>
    <n v="308"/>
    <n v="117"/>
    <x v="0"/>
    <n v="191"/>
    <x v="0"/>
    <n v="0.24374999999999999"/>
    <n v="3144"/>
  </r>
  <r>
    <x v="18"/>
    <x v="2391"/>
    <n v="250"/>
    <n v="128"/>
    <x v="1"/>
    <n v="122"/>
    <x v="0"/>
    <n v="0.26666666666666666"/>
    <n v="2872"/>
  </r>
  <r>
    <x v="18"/>
    <x v="2392"/>
    <n v="207"/>
    <n v="165"/>
    <x v="3"/>
    <n v="42"/>
    <x v="0"/>
    <n v="0.34375"/>
    <n v="2028"/>
  </r>
  <r>
    <x v="18"/>
    <x v="2393"/>
    <n v="233"/>
    <n v="50"/>
    <x v="0"/>
    <n v="183"/>
    <x v="2"/>
    <n v="0.10416666666666667"/>
    <n v="4596"/>
  </r>
  <r>
    <x v="18"/>
    <x v="2394"/>
    <n v="246"/>
    <n v="92"/>
    <x v="4"/>
    <n v="154"/>
    <x v="1"/>
    <n v="0.19166666666666668"/>
    <n v="3706"/>
  </r>
  <r>
    <x v="18"/>
    <x v="2395"/>
    <n v="312"/>
    <n v="142"/>
    <x v="1"/>
    <n v="170"/>
    <x v="0"/>
    <n v="0.29583333333333334"/>
    <n v="2585"/>
  </r>
  <r>
    <x v="18"/>
    <x v="2396"/>
    <n v="181"/>
    <n v="32"/>
    <x v="6"/>
    <n v="149"/>
    <x v="2"/>
    <n v="6.6666666666666666E-2"/>
    <n v="4983"/>
  </r>
  <r>
    <x v="18"/>
    <x v="2397"/>
    <n v="148"/>
    <n v="107"/>
    <x v="0"/>
    <n v="41"/>
    <x v="0"/>
    <n v="0.22291666666666668"/>
    <n v="3387"/>
  </r>
  <r>
    <x v="18"/>
    <x v="2398"/>
    <n v="226"/>
    <n v="147"/>
    <x v="1"/>
    <n v="79"/>
    <x v="0"/>
    <n v="0.30625000000000002"/>
    <n v="2478"/>
  </r>
  <r>
    <x v="18"/>
    <x v="2399"/>
    <n v="131"/>
    <n v="35"/>
    <x v="2"/>
    <n v="96"/>
    <x v="2"/>
    <n v="7.2916666666666671E-2"/>
    <n v="4916"/>
  </r>
  <r>
    <x v="18"/>
    <x v="2400"/>
    <n v="265"/>
    <n v="54"/>
    <x v="6"/>
    <n v="211"/>
    <x v="1"/>
    <n v="0.1125"/>
    <n v="4523"/>
  </r>
  <r>
    <x v="18"/>
    <x v="2401"/>
    <n v="207"/>
    <n v="104"/>
    <x v="3"/>
    <n v="103"/>
    <x v="0"/>
    <n v="0.21666666666666667"/>
    <n v="3454"/>
  </r>
  <r>
    <x v="18"/>
    <x v="2402"/>
    <n v="149"/>
    <n v="110"/>
    <x v="6"/>
    <n v="39"/>
    <x v="0"/>
    <n v="0.22916666666666666"/>
    <n v="3302"/>
  </r>
  <r>
    <x v="18"/>
    <x v="2403"/>
    <n v="48"/>
    <n v="44"/>
    <x v="5"/>
    <n v="4"/>
    <x v="2"/>
    <n v="9.166666666666666E-2"/>
    <n v="4732"/>
  </r>
  <r>
    <x v="18"/>
    <x v="2404"/>
    <n v="139"/>
    <n v="70"/>
    <x v="6"/>
    <n v="69"/>
    <x v="1"/>
    <n v="0.14583333333333334"/>
    <n v="4153"/>
  </r>
  <r>
    <x v="18"/>
    <x v="2405"/>
    <n v="290"/>
    <n v="44"/>
    <x v="1"/>
    <n v="246"/>
    <x v="2"/>
    <n v="9.166666666666666E-2"/>
    <n v="4732"/>
  </r>
  <r>
    <x v="18"/>
    <x v="2406"/>
    <n v="239"/>
    <n v="104"/>
    <x v="0"/>
    <n v="135"/>
    <x v="0"/>
    <n v="0.21666666666666667"/>
    <n v="3454"/>
  </r>
  <r>
    <x v="18"/>
    <x v="2407"/>
    <n v="146"/>
    <n v="103"/>
    <x v="6"/>
    <n v="43"/>
    <x v="0"/>
    <n v="0.21458333333333332"/>
    <n v="3474"/>
  </r>
  <r>
    <x v="18"/>
    <x v="2408"/>
    <n v="215"/>
    <n v="149"/>
    <x v="6"/>
    <n v="66"/>
    <x v="0"/>
    <n v="0.31041666666666667"/>
    <n v="2426"/>
  </r>
  <r>
    <x v="18"/>
    <x v="2409"/>
    <n v="276"/>
    <n v="151"/>
    <x v="5"/>
    <n v="125"/>
    <x v="0"/>
    <n v="0.31458333333333333"/>
    <n v="2376"/>
  </r>
  <r>
    <x v="18"/>
    <x v="2410"/>
    <n v="315"/>
    <n v="40"/>
    <x v="5"/>
    <n v="275"/>
    <x v="2"/>
    <n v="8.3333333333333329E-2"/>
    <n v="4808"/>
  </r>
  <r>
    <x v="18"/>
    <x v="2411"/>
    <n v="197"/>
    <n v="188"/>
    <x v="0"/>
    <n v="9"/>
    <x v="0"/>
    <n v="0.39166666666666666"/>
    <n v="1423"/>
  </r>
  <r>
    <x v="18"/>
    <x v="2412"/>
    <n v="211"/>
    <n v="64"/>
    <x v="0"/>
    <n v="147"/>
    <x v="1"/>
    <n v="0.13333333333333333"/>
    <n v="4293"/>
  </r>
  <r>
    <x v="18"/>
    <x v="2413"/>
    <n v="254"/>
    <n v="186"/>
    <x v="6"/>
    <n v="68"/>
    <x v="0"/>
    <n v="0.38750000000000001"/>
    <n v="1478"/>
  </r>
  <r>
    <x v="18"/>
    <x v="2414"/>
    <n v="277"/>
    <n v="172"/>
    <x v="2"/>
    <n v="105"/>
    <x v="0"/>
    <n v="0.35833333333333334"/>
    <n v="1852"/>
  </r>
  <r>
    <x v="18"/>
    <x v="2415"/>
    <n v="223"/>
    <n v="132"/>
    <x v="0"/>
    <n v="91"/>
    <x v="0"/>
    <n v="0.27500000000000002"/>
    <n v="2792"/>
  </r>
  <r>
    <x v="18"/>
    <x v="2416"/>
    <n v="187"/>
    <n v="105"/>
    <x v="0"/>
    <n v="82"/>
    <x v="0"/>
    <n v="0.21875"/>
    <n v="3436"/>
  </r>
  <r>
    <x v="18"/>
    <x v="2417"/>
    <n v="265"/>
    <n v="141"/>
    <x v="4"/>
    <n v="124"/>
    <x v="0"/>
    <n v="0.29375000000000001"/>
    <n v="2609"/>
  </r>
  <r>
    <x v="18"/>
    <x v="2418"/>
    <n v="139"/>
    <n v="112"/>
    <x v="1"/>
    <n v="27"/>
    <x v="0"/>
    <n v="0.23333333333333334"/>
    <n v="3267"/>
  </r>
  <r>
    <x v="18"/>
    <x v="2419"/>
    <n v="270"/>
    <n v="128"/>
    <x v="1"/>
    <n v="142"/>
    <x v="0"/>
    <n v="0.26666666666666666"/>
    <n v="2872"/>
  </r>
  <r>
    <x v="18"/>
    <x v="2420"/>
    <n v="309"/>
    <n v="180"/>
    <x v="0"/>
    <n v="129"/>
    <x v="0"/>
    <n v="0.375"/>
    <n v="1635"/>
  </r>
  <r>
    <x v="18"/>
    <x v="2421"/>
    <n v="271"/>
    <n v="187"/>
    <x v="1"/>
    <n v="84"/>
    <x v="0"/>
    <n v="0.38958333333333334"/>
    <n v="1455"/>
  </r>
  <r>
    <x v="18"/>
    <x v="2422"/>
    <n v="185"/>
    <n v="95"/>
    <x v="1"/>
    <n v="90"/>
    <x v="1"/>
    <n v="0.19791666666666666"/>
    <n v="3634"/>
  </r>
  <r>
    <x v="18"/>
    <x v="2423"/>
    <n v="153"/>
    <n v="33"/>
    <x v="5"/>
    <n v="120"/>
    <x v="2"/>
    <n v="6.8750000000000006E-2"/>
    <n v="4964"/>
  </r>
  <r>
    <x v="18"/>
    <x v="2424"/>
    <n v="266"/>
    <n v="103"/>
    <x v="6"/>
    <n v="163"/>
    <x v="0"/>
    <n v="0.21458333333333332"/>
    <n v="3474"/>
  </r>
  <r>
    <x v="18"/>
    <x v="2425"/>
    <n v="210"/>
    <n v="179"/>
    <x v="5"/>
    <n v="31"/>
    <x v="0"/>
    <n v="0.37291666666666667"/>
    <n v="1667"/>
  </r>
  <r>
    <x v="18"/>
    <x v="2426"/>
    <n v="315"/>
    <n v="131"/>
    <x v="4"/>
    <n v="184"/>
    <x v="0"/>
    <n v="0.27291666666666664"/>
    <n v="2815"/>
  </r>
  <r>
    <x v="18"/>
    <x v="2427"/>
    <n v="137"/>
    <n v="137"/>
    <x v="1"/>
    <n v="0"/>
    <x v="0"/>
    <n v="0.28541666666666665"/>
    <n v="2677"/>
  </r>
  <r>
    <x v="18"/>
    <x v="2428"/>
    <n v="276"/>
    <n v="55"/>
    <x v="3"/>
    <n v="221"/>
    <x v="1"/>
    <n v="0.11458333333333333"/>
    <n v="4497"/>
  </r>
  <r>
    <x v="18"/>
    <x v="2429"/>
    <n v="168"/>
    <n v="62"/>
    <x v="1"/>
    <n v="106"/>
    <x v="1"/>
    <n v="0.12916666666666668"/>
    <n v="4343"/>
  </r>
  <r>
    <x v="18"/>
    <x v="2430"/>
    <n v="226"/>
    <n v="181"/>
    <x v="0"/>
    <n v="45"/>
    <x v="0"/>
    <n v="0.37708333333333333"/>
    <n v="1609"/>
  </r>
  <r>
    <x v="18"/>
    <x v="2431"/>
    <n v="194"/>
    <n v="180"/>
    <x v="3"/>
    <n v="14"/>
    <x v="0"/>
    <n v="0.375"/>
    <n v="1635"/>
  </r>
  <r>
    <x v="18"/>
    <x v="2432"/>
    <n v="298"/>
    <n v="136"/>
    <x v="3"/>
    <n v="162"/>
    <x v="0"/>
    <n v="0.28333333333333333"/>
    <n v="2692"/>
  </r>
  <r>
    <x v="18"/>
    <x v="2433"/>
    <n v="186"/>
    <n v="131"/>
    <x v="1"/>
    <n v="55"/>
    <x v="0"/>
    <n v="0.27291666666666664"/>
    <n v="2815"/>
  </r>
  <r>
    <x v="18"/>
    <x v="2434"/>
    <n v="313"/>
    <n v="151"/>
    <x v="2"/>
    <n v="162"/>
    <x v="0"/>
    <n v="0.31458333333333333"/>
    <n v="2376"/>
  </r>
  <r>
    <x v="18"/>
    <x v="2435"/>
    <n v="240"/>
    <n v="121"/>
    <x v="4"/>
    <n v="119"/>
    <x v="0"/>
    <n v="0.25208333333333333"/>
    <n v="3037"/>
  </r>
  <r>
    <x v="18"/>
    <x v="2436"/>
    <n v="217"/>
    <n v="38"/>
    <x v="0"/>
    <n v="179"/>
    <x v="2"/>
    <n v="7.9166666666666663E-2"/>
    <n v="4845"/>
  </r>
  <r>
    <x v="18"/>
    <x v="2437"/>
    <n v="236"/>
    <n v="187"/>
    <x v="4"/>
    <n v="49"/>
    <x v="0"/>
    <n v="0.38958333333333334"/>
    <n v="1455"/>
  </r>
  <r>
    <x v="18"/>
    <x v="2438"/>
    <n v="208"/>
    <n v="98"/>
    <x v="0"/>
    <n v="110"/>
    <x v="1"/>
    <n v="0.20416666666666666"/>
    <n v="3574"/>
  </r>
  <r>
    <x v="18"/>
    <x v="2439"/>
    <n v="297"/>
    <n v="116"/>
    <x v="2"/>
    <n v="181"/>
    <x v="0"/>
    <n v="0.24166666666666667"/>
    <n v="3173"/>
  </r>
  <r>
    <x v="18"/>
    <x v="2440"/>
    <n v="195"/>
    <n v="60"/>
    <x v="2"/>
    <n v="135"/>
    <x v="1"/>
    <n v="0.125"/>
    <n v="4390"/>
  </r>
  <r>
    <x v="18"/>
    <x v="2441"/>
    <n v="116"/>
    <n v="60"/>
    <x v="5"/>
    <n v="56"/>
    <x v="1"/>
    <n v="0.125"/>
    <n v="4390"/>
  </r>
  <r>
    <x v="18"/>
    <x v="2442"/>
    <n v="234"/>
    <n v="72"/>
    <x v="4"/>
    <n v="162"/>
    <x v="1"/>
    <n v="0.15"/>
    <n v="4100"/>
  </r>
  <r>
    <x v="18"/>
    <x v="2443"/>
    <n v="236"/>
    <n v="122"/>
    <x v="0"/>
    <n v="114"/>
    <x v="0"/>
    <n v="0.25416666666666665"/>
    <n v="3013"/>
  </r>
  <r>
    <x v="18"/>
    <x v="2444"/>
    <n v="129"/>
    <n v="44"/>
    <x v="4"/>
    <n v="85"/>
    <x v="2"/>
    <n v="9.166666666666666E-2"/>
    <n v="4732"/>
  </r>
  <r>
    <x v="18"/>
    <x v="2445"/>
    <n v="251"/>
    <n v="180"/>
    <x v="1"/>
    <n v="71"/>
    <x v="0"/>
    <n v="0.375"/>
    <n v="1635"/>
  </r>
  <r>
    <x v="18"/>
    <x v="2446"/>
    <n v="220"/>
    <n v="169"/>
    <x v="4"/>
    <n v="51"/>
    <x v="0"/>
    <n v="0.35208333333333336"/>
    <n v="1925"/>
  </r>
  <r>
    <x v="18"/>
    <x v="2447"/>
    <n v="308"/>
    <n v="48"/>
    <x v="3"/>
    <n v="260"/>
    <x v="2"/>
    <n v="0.1"/>
    <n v="4638"/>
  </r>
  <r>
    <x v="18"/>
    <x v="2448"/>
    <n v="222"/>
    <n v="158"/>
    <x v="4"/>
    <n v="64"/>
    <x v="0"/>
    <n v="0.32916666666666666"/>
    <n v="2207"/>
  </r>
  <r>
    <x v="18"/>
    <x v="2449"/>
    <n v="256"/>
    <n v="190"/>
    <x v="0"/>
    <n v="66"/>
    <x v="0"/>
    <n v="0.39583333333333331"/>
    <n v="1355"/>
  </r>
  <r>
    <x v="18"/>
    <x v="2450"/>
    <n v="289"/>
    <n v="146"/>
    <x v="4"/>
    <n v="143"/>
    <x v="0"/>
    <n v="0.30416666666666664"/>
    <n v="2499"/>
  </r>
  <r>
    <x v="18"/>
    <x v="2451"/>
    <n v="197"/>
    <n v="84"/>
    <x v="2"/>
    <n v="113"/>
    <x v="1"/>
    <n v="0.17499999999999999"/>
    <n v="3872"/>
  </r>
  <r>
    <x v="18"/>
    <x v="2452"/>
    <n v="315"/>
    <n v="142"/>
    <x v="3"/>
    <n v="173"/>
    <x v="0"/>
    <n v="0.29583333333333334"/>
    <n v="2585"/>
  </r>
  <r>
    <x v="18"/>
    <x v="2453"/>
    <n v="137"/>
    <n v="35"/>
    <x v="2"/>
    <n v="102"/>
    <x v="2"/>
    <n v="7.2916666666666671E-2"/>
    <n v="4916"/>
  </r>
  <r>
    <x v="18"/>
    <x v="2454"/>
    <n v="214"/>
    <n v="117"/>
    <x v="2"/>
    <n v="97"/>
    <x v="0"/>
    <n v="0.24374999999999999"/>
    <n v="3144"/>
  </r>
  <r>
    <x v="18"/>
    <x v="2455"/>
    <n v="120"/>
    <n v="75"/>
    <x v="3"/>
    <n v="45"/>
    <x v="1"/>
    <n v="0.15625"/>
    <n v="4041"/>
  </r>
  <r>
    <x v="18"/>
    <x v="2456"/>
    <n v="99"/>
    <n v="95"/>
    <x v="2"/>
    <n v="4"/>
    <x v="1"/>
    <n v="0.19791666666666666"/>
    <n v="3634"/>
  </r>
  <r>
    <x v="18"/>
    <x v="2457"/>
    <n v="142"/>
    <n v="44"/>
    <x v="4"/>
    <n v="98"/>
    <x v="2"/>
    <n v="9.166666666666666E-2"/>
    <n v="4732"/>
  </r>
  <r>
    <x v="18"/>
    <x v="2458"/>
    <n v="193"/>
    <n v="98"/>
    <x v="3"/>
    <n v="95"/>
    <x v="1"/>
    <n v="0.20416666666666666"/>
    <n v="3574"/>
  </r>
  <r>
    <x v="18"/>
    <x v="2459"/>
    <n v="234"/>
    <n v="122"/>
    <x v="1"/>
    <n v="112"/>
    <x v="0"/>
    <n v="0.25416666666666665"/>
    <n v="3013"/>
  </r>
  <r>
    <x v="18"/>
    <x v="2460"/>
    <n v="291"/>
    <n v="130"/>
    <x v="6"/>
    <n v="161"/>
    <x v="0"/>
    <n v="0.27083333333333331"/>
    <n v="2832"/>
  </r>
  <r>
    <x v="18"/>
    <x v="2461"/>
    <n v="167"/>
    <n v="57"/>
    <x v="4"/>
    <n v="110"/>
    <x v="1"/>
    <n v="0.11874999999999999"/>
    <n v="4452"/>
  </r>
  <r>
    <x v="18"/>
    <x v="2462"/>
    <n v="160"/>
    <n v="79"/>
    <x v="6"/>
    <n v="81"/>
    <x v="1"/>
    <n v="0.16458333333333333"/>
    <n v="3967"/>
  </r>
  <r>
    <x v="18"/>
    <x v="2463"/>
    <n v="240"/>
    <n v="66"/>
    <x v="4"/>
    <n v="174"/>
    <x v="1"/>
    <n v="0.13750000000000001"/>
    <n v="4247"/>
  </r>
  <r>
    <x v="18"/>
    <x v="2464"/>
    <n v="237"/>
    <n v="179"/>
    <x v="3"/>
    <n v="58"/>
    <x v="0"/>
    <n v="0.37291666666666667"/>
    <n v="1667"/>
  </r>
  <r>
    <x v="18"/>
    <x v="2465"/>
    <n v="299"/>
    <n v="157"/>
    <x v="0"/>
    <n v="142"/>
    <x v="0"/>
    <n v="0.32708333333333334"/>
    <n v="2239"/>
  </r>
  <r>
    <x v="18"/>
    <x v="2466"/>
    <n v="230"/>
    <n v="71"/>
    <x v="2"/>
    <n v="159"/>
    <x v="1"/>
    <n v="0.14791666666666667"/>
    <n v="4129"/>
  </r>
  <r>
    <x v="18"/>
    <x v="2467"/>
    <n v="194"/>
    <n v="154"/>
    <x v="6"/>
    <n v="40"/>
    <x v="0"/>
    <n v="0.32083333333333336"/>
    <n v="2307"/>
  </r>
  <r>
    <x v="18"/>
    <x v="2468"/>
    <n v="195"/>
    <n v="186"/>
    <x v="2"/>
    <n v="9"/>
    <x v="0"/>
    <n v="0.38750000000000001"/>
    <n v="1478"/>
  </r>
  <r>
    <x v="18"/>
    <x v="2469"/>
    <n v="301"/>
    <n v="158"/>
    <x v="1"/>
    <n v="143"/>
    <x v="0"/>
    <n v="0.32916666666666666"/>
    <n v="2207"/>
  </r>
  <r>
    <x v="18"/>
    <x v="2470"/>
    <n v="253"/>
    <n v="63"/>
    <x v="4"/>
    <n v="190"/>
    <x v="1"/>
    <n v="0.13125000000000001"/>
    <n v="4322"/>
  </r>
  <r>
    <x v="18"/>
    <x v="2471"/>
    <n v="243"/>
    <n v="40"/>
    <x v="4"/>
    <n v="203"/>
    <x v="2"/>
    <n v="8.3333333333333329E-2"/>
    <n v="4808"/>
  </r>
  <r>
    <x v="18"/>
    <x v="2472"/>
    <n v="315"/>
    <n v="101"/>
    <x v="1"/>
    <n v="214"/>
    <x v="0"/>
    <n v="0.21041666666666667"/>
    <n v="3515"/>
  </r>
  <r>
    <x v="18"/>
    <x v="2473"/>
    <n v="313"/>
    <n v="190"/>
    <x v="4"/>
    <n v="123"/>
    <x v="0"/>
    <n v="0.39583333333333331"/>
    <n v="1355"/>
  </r>
  <r>
    <x v="18"/>
    <x v="2474"/>
    <n v="307"/>
    <n v="57"/>
    <x v="5"/>
    <n v="250"/>
    <x v="1"/>
    <n v="0.11874999999999999"/>
    <n v="4452"/>
  </r>
  <r>
    <x v="18"/>
    <x v="2475"/>
    <n v="184"/>
    <n v="150"/>
    <x v="4"/>
    <n v="34"/>
    <x v="0"/>
    <n v="0.3125"/>
    <n v="2400"/>
  </r>
  <r>
    <x v="18"/>
    <x v="2476"/>
    <n v="118"/>
    <n v="57"/>
    <x v="0"/>
    <n v="61"/>
    <x v="1"/>
    <n v="0.11874999999999999"/>
    <n v="4452"/>
  </r>
  <r>
    <x v="18"/>
    <x v="2477"/>
    <n v="289"/>
    <n v="135"/>
    <x v="3"/>
    <n v="154"/>
    <x v="0"/>
    <n v="0.28125"/>
    <n v="2714"/>
  </r>
  <r>
    <x v="18"/>
    <x v="2478"/>
    <n v="311"/>
    <n v="185"/>
    <x v="5"/>
    <n v="126"/>
    <x v="0"/>
    <n v="0.38541666666666669"/>
    <n v="1517"/>
  </r>
  <r>
    <x v="18"/>
    <x v="2479"/>
    <n v="261"/>
    <n v="55"/>
    <x v="0"/>
    <n v="206"/>
    <x v="1"/>
    <n v="0.11458333333333333"/>
    <n v="4497"/>
  </r>
  <r>
    <x v="18"/>
    <x v="2480"/>
    <n v="188"/>
    <n v="44"/>
    <x v="0"/>
    <n v="144"/>
    <x v="2"/>
    <n v="9.166666666666666E-2"/>
    <n v="4732"/>
  </r>
  <r>
    <x v="18"/>
    <x v="2481"/>
    <n v="198"/>
    <n v="169"/>
    <x v="0"/>
    <n v="29"/>
    <x v="0"/>
    <n v="0.35208333333333336"/>
    <n v="1925"/>
  </r>
  <r>
    <x v="18"/>
    <x v="2482"/>
    <n v="273"/>
    <n v="136"/>
    <x v="3"/>
    <n v="137"/>
    <x v="0"/>
    <n v="0.28333333333333333"/>
    <n v="2692"/>
  </r>
  <r>
    <x v="18"/>
    <x v="2483"/>
    <n v="306"/>
    <n v="45"/>
    <x v="2"/>
    <n v="261"/>
    <x v="2"/>
    <n v="9.375E-2"/>
    <n v="4702"/>
  </r>
  <r>
    <x v="18"/>
    <x v="2484"/>
    <n v="138"/>
    <n v="74"/>
    <x v="5"/>
    <n v="64"/>
    <x v="1"/>
    <n v="0.15416666666666667"/>
    <n v="4064"/>
  </r>
  <r>
    <x v="18"/>
    <x v="2485"/>
    <n v="89"/>
    <n v="84"/>
    <x v="3"/>
    <n v="5"/>
    <x v="1"/>
    <n v="0.17499999999999999"/>
    <n v="3872"/>
  </r>
  <r>
    <x v="18"/>
    <x v="2486"/>
    <n v="297"/>
    <n v="136"/>
    <x v="6"/>
    <n v="161"/>
    <x v="0"/>
    <n v="0.28333333333333333"/>
    <n v="2692"/>
  </r>
  <r>
    <x v="18"/>
    <x v="2487"/>
    <n v="182"/>
    <n v="38"/>
    <x v="1"/>
    <n v="144"/>
    <x v="2"/>
    <n v="7.9166666666666663E-2"/>
    <n v="4845"/>
  </r>
  <r>
    <x v="18"/>
    <x v="2488"/>
    <n v="147"/>
    <n v="52"/>
    <x v="2"/>
    <n v="95"/>
    <x v="1"/>
    <n v="0.10833333333333334"/>
    <n v="4564"/>
  </r>
  <r>
    <x v="18"/>
    <x v="2489"/>
    <n v="306"/>
    <n v="128"/>
    <x v="5"/>
    <n v="178"/>
    <x v="0"/>
    <n v="0.26666666666666666"/>
    <n v="2872"/>
  </r>
  <r>
    <x v="18"/>
    <x v="2490"/>
    <n v="289"/>
    <n v="74"/>
    <x v="4"/>
    <n v="215"/>
    <x v="1"/>
    <n v="0.15416666666666667"/>
    <n v="4064"/>
  </r>
  <r>
    <x v="18"/>
    <x v="2491"/>
    <n v="232"/>
    <n v="133"/>
    <x v="6"/>
    <n v="99"/>
    <x v="0"/>
    <n v="0.27708333333333335"/>
    <n v="2758"/>
  </r>
  <r>
    <x v="18"/>
    <x v="2492"/>
    <n v="237"/>
    <n v="45"/>
    <x v="6"/>
    <n v="192"/>
    <x v="2"/>
    <n v="9.375E-2"/>
    <n v="4702"/>
  </r>
  <r>
    <x v="18"/>
    <x v="2493"/>
    <n v="154"/>
    <n v="93"/>
    <x v="5"/>
    <n v="61"/>
    <x v="1"/>
    <n v="0.19375000000000001"/>
    <n v="3678"/>
  </r>
  <r>
    <x v="18"/>
    <x v="2494"/>
    <n v="164"/>
    <n v="110"/>
    <x v="3"/>
    <n v="54"/>
    <x v="0"/>
    <n v="0.22916666666666666"/>
    <n v="3302"/>
  </r>
  <r>
    <x v="18"/>
    <x v="2495"/>
    <n v="186"/>
    <n v="71"/>
    <x v="5"/>
    <n v="115"/>
    <x v="1"/>
    <n v="0.14791666666666667"/>
    <n v="4129"/>
  </r>
  <r>
    <x v="18"/>
    <x v="2496"/>
    <n v="92"/>
    <n v="79"/>
    <x v="2"/>
    <n v="13"/>
    <x v="1"/>
    <n v="0.16458333333333333"/>
    <n v="3967"/>
  </r>
  <r>
    <x v="18"/>
    <x v="2497"/>
    <n v="220"/>
    <n v="172"/>
    <x v="6"/>
    <n v="48"/>
    <x v="0"/>
    <n v="0.35833333333333334"/>
    <n v="1852"/>
  </r>
  <r>
    <x v="18"/>
    <x v="2498"/>
    <n v="280"/>
    <n v="183"/>
    <x v="4"/>
    <n v="97"/>
    <x v="0"/>
    <n v="0.38124999999999998"/>
    <n v="1572"/>
  </r>
  <r>
    <x v="18"/>
    <x v="2499"/>
    <n v="305"/>
    <n v="189"/>
    <x v="5"/>
    <n v="116"/>
    <x v="0"/>
    <n v="0.39374999999999999"/>
    <n v="1395"/>
  </r>
  <r>
    <x v="18"/>
    <x v="2500"/>
    <n v="220"/>
    <n v="54"/>
    <x v="0"/>
    <n v="166"/>
    <x v="1"/>
    <n v="0.1125"/>
    <n v="4523"/>
  </r>
  <r>
    <x v="18"/>
    <x v="2501"/>
    <n v="319"/>
    <n v="76"/>
    <x v="2"/>
    <n v="243"/>
    <x v="1"/>
    <n v="0.15833333333333333"/>
    <n v="4023"/>
  </r>
  <r>
    <x v="18"/>
    <x v="2502"/>
    <n v="192"/>
    <n v="125"/>
    <x v="1"/>
    <n v="67"/>
    <x v="0"/>
    <n v="0.26041666666666669"/>
    <n v="2951"/>
  </r>
  <r>
    <x v="18"/>
    <x v="2503"/>
    <n v="247"/>
    <n v="52"/>
    <x v="1"/>
    <n v="195"/>
    <x v="1"/>
    <n v="0.10833333333333334"/>
    <n v="4564"/>
  </r>
  <r>
    <x v="18"/>
    <x v="2504"/>
    <n v="184"/>
    <n v="61"/>
    <x v="5"/>
    <n v="123"/>
    <x v="1"/>
    <n v="0.12708333333333333"/>
    <n v="4368"/>
  </r>
  <r>
    <x v="18"/>
    <x v="2505"/>
    <n v="311"/>
    <n v="96"/>
    <x v="2"/>
    <n v="215"/>
    <x v="1"/>
    <n v="0.2"/>
    <n v="3616"/>
  </r>
  <r>
    <x v="18"/>
    <x v="2506"/>
    <n v="229"/>
    <n v="61"/>
    <x v="3"/>
    <n v="168"/>
    <x v="1"/>
    <n v="0.12708333333333333"/>
    <n v="4368"/>
  </r>
  <r>
    <x v="18"/>
    <x v="2507"/>
    <n v="211"/>
    <n v="174"/>
    <x v="1"/>
    <n v="37"/>
    <x v="0"/>
    <n v="0.36249999999999999"/>
    <n v="1803"/>
  </r>
  <r>
    <x v="18"/>
    <x v="2508"/>
    <n v="265"/>
    <n v="169"/>
    <x v="5"/>
    <n v="96"/>
    <x v="0"/>
    <n v="0.35208333333333336"/>
    <n v="1925"/>
  </r>
  <r>
    <x v="18"/>
    <x v="2509"/>
    <n v="100"/>
    <n v="35"/>
    <x v="5"/>
    <n v="65"/>
    <x v="2"/>
    <n v="7.2916666666666671E-2"/>
    <n v="4916"/>
  </r>
  <r>
    <x v="18"/>
    <x v="2510"/>
    <n v="254"/>
    <n v="55"/>
    <x v="3"/>
    <n v="199"/>
    <x v="1"/>
    <n v="0.11458333333333333"/>
    <n v="4497"/>
  </r>
  <r>
    <x v="18"/>
    <x v="2511"/>
    <n v="188"/>
    <n v="51"/>
    <x v="5"/>
    <n v="137"/>
    <x v="1"/>
    <n v="0.10625"/>
    <n v="4578"/>
  </r>
  <r>
    <x v="18"/>
    <x v="2512"/>
    <n v="313"/>
    <n v="77"/>
    <x v="3"/>
    <n v="236"/>
    <x v="1"/>
    <n v="0.16041666666666668"/>
    <n v="4006"/>
  </r>
  <r>
    <x v="18"/>
    <x v="2513"/>
    <n v="95"/>
    <n v="81"/>
    <x v="0"/>
    <n v="14"/>
    <x v="1"/>
    <n v="0.16875000000000001"/>
    <n v="3923"/>
  </r>
  <r>
    <x v="18"/>
    <x v="2514"/>
    <n v="262"/>
    <n v="97"/>
    <x v="1"/>
    <n v="165"/>
    <x v="1"/>
    <n v="0.20208333333333334"/>
    <n v="3593"/>
  </r>
  <r>
    <x v="18"/>
    <x v="2515"/>
    <n v="249"/>
    <n v="106"/>
    <x v="0"/>
    <n v="143"/>
    <x v="0"/>
    <n v="0.22083333333333333"/>
    <n v="3413"/>
  </r>
  <r>
    <x v="18"/>
    <x v="2516"/>
    <n v="148"/>
    <n v="133"/>
    <x v="6"/>
    <n v="15"/>
    <x v="0"/>
    <n v="0.27708333333333335"/>
    <n v="2758"/>
  </r>
  <r>
    <x v="18"/>
    <x v="2517"/>
    <n v="226"/>
    <n v="131"/>
    <x v="1"/>
    <n v="95"/>
    <x v="0"/>
    <n v="0.27291666666666664"/>
    <n v="2815"/>
  </r>
  <r>
    <x v="18"/>
    <x v="2518"/>
    <n v="308"/>
    <n v="128"/>
    <x v="2"/>
    <n v="180"/>
    <x v="0"/>
    <n v="0.26666666666666666"/>
    <n v="2872"/>
  </r>
  <r>
    <x v="18"/>
    <x v="2519"/>
    <n v="308"/>
    <n v="153"/>
    <x v="5"/>
    <n v="155"/>
    <x v="0"/>
    <n v="0.31874999999999998"/>
    <n v="2329"/>
  </r>
  <r>
    <x v="18"/>
    <x v="2520"/>
    <n v="239"/>
    <n v="179"/>
    <x v="3"/>
    <n v="60"/>
    <x v="0"/>
    <n v="0.37291666666666667"/>
    <n v="1667"/>
  </r>
  <r>
    <x v="18"/>
    <x v="2521"/>
    <n v="302"/>
    <n v="138"/>
    <x v="4"/>
    <n v="164"/>
    <x v="0"/>
    <n v="0.28749999999999998"/>
    <n v="2660"/>
  </r>
  <r>
    <x v="18"/>
    <x v="2522"/>
    <n v="131"/>
    <n v="105"/>
    <x v="5"/>
    <n v="26"/>
    <x v="0"/>
    <n v="0.21875"/>
    <n v="3436"/>
  </r>
  <r>
    <x v="18"/>
    <x v="2523"/>
    <n v="196"/>
    <n v="122"/>
    <x v="4"/>
    <n v="74"/>
    <x v="0"/>
    <n v="0.25416666666666665"/>
    <n v="3013"/>
  </r>
  <r>
    <x v="18"/>
    <x v="2524"/>
    <n v="261"/>
    <n v="45"/>
    <x v="0"/>
    <n v="216"/>
    <x v="2"/>
    <n v="9.375E-2"/>
    <n v="4702"/>
  </r>
  <r>
    <x v="18"/>
    <x v="2525"/>
    <n v="282"/>
    <n v="158"/>
    <x v="5"/>
    <n v="124"/>
    <x v="0"/>
    <n v="0.32916666666666666"/>
    <n v="2207"/>
  </r>
  <r>
    <x v="18"/>
    <x v="2526"/>
    <n v="140"/>
    <n v="112"/>
    <x v="2"/>
    <n v="28"/>
    <x v="0"/>
    <n v="0.23333333333333334"/>
    <n v="3267"/>
  </r>
  <r>
    <x v="18"/>
    <x v="2527"/>
    <n v="181"/>
    <n v="170"/>
    <x v="0"/>
    <n v="11"/>
    <x v="0"/>
    <n v="0.35416666666666669"/>
    <n v="1898"/>
  </r>
  <r>
    <x v="18"/>
    <x v="2528"/>
    <n v="223"/>
    <n v="96"/>
    <x v="4"/>
    <n v="127"/>
    <x v="1"/>
    <n v="0.2"/>
    <n v="3616"/>
  </r>
  <r>
    <x v="18"/>
    <x v="2529"/>
    <n v="262"/>
    <n v="143"/>
    <x v="4"/>
    <n v="119"/>
    <x v="0"/>
    <n v="0.29791666666666666"/>
    <n v="2567"/>
  </r>
  <r>
    <x v="18"/>
    <x v="2530"/>
    <n v="305"/>
    <n v="85"/>
    <x v="3"/>
    <n v="220"/>
    <x v="1"/>
    <n v="0.17708333333333334"/>
    <n v="3852"/>
  </r>
  <r>
    <x v="18"/>
    <x v="2531"/>
    <n v="258"/>
    <n v="168"/>
    <x v="5"/>
    <n v="90"/>
    <x v="0"/>
    <n v="0.35"/>
    <n v="1954"/>
  </r>
  <r>
    <x v="18"/>
    <x v="2532"/>
    <n v="181"/>
    <n v="36"/>
    <x v="1"/>
    <n v="145"/>
    <x v="2"/>
    <n v="7.4999999999999997E-2"/>
    <n v="4893"/>
  </r>
  <r>
    <x v="18"/>
    <x v="2533"/>
    <n v="177"/>
    <n v="63"/>
    <x v="3"/>
    <n v="114"/>
    <x v="1"/>
    <n v="0.13125000000000001"/>
    <n v="4322"/>
  </r>
  <r>
    <x v="18"/>
    <x v="2534"/>
    <n v="172"/>
    <n v="136"/>
    <x v="3"/>
    <n v="36"/>
    <x v="0"/>
    <n v="0.28333333333333333"/>
    <n v="2692"/>
  </r>
  <r>
    <x v="18"/>
    <x v="2535"/>
    <n v="114"/>
    <n v="87"/>
    <x v="4"/>
    <n v="27"/>
    <x v="1"/>
    <n v="0.18124999999999999"/>
    <n v="3813"/>
  </r>
  <r>
    <x v="18"/>
    <x v="2536"/>
    <n v="177"/>
    <n v="170"/>
    <x v="1"/>
    <n v="7"/>
    <x v="0"/>
    <n v="0.35416666666666669"/>
    <n v="1898"/>
  </r>
  <r>
    <x v="18"/>
    <x v="2537"/>
    <n v="119"/>
    <n v="43"/>
    <x v="4"/>
    <n v="76"/>
    <x v="2"/>
    <n v="8.9583333333333334E-2"/>
    <n v="4752"/>
  </r>
  <r>
    <x v="18"/>
    <x v="2538"/>
    <n v="191"/>
    <n v="164"/>
    <x v="4"/>
    <n v="27"/>
    <x v="0"/>
    <n v="0.34166666666666667"/>
    <n v="2049"/>
  </r>
  <r>
    <x v="18"/>
    <x v="2539"/>
    <n v="251"/>
    <n v="72"/>
    <x v="6"/>
    <n v="179"/>
    <x v="1"/>
    <n v="0.15"/>
    <n v="4100"/>
  </r>
  <r>
    <x v="18"/>
    <x v="2540"/>
    <n v="290"/>
    <n v="65"/>
    <x v="6"/>
    <n v="225"/>
    <x v="1"/>
    <n v="0.13541666666666666"/>
    <n v="4267"/>
  </r>
  <r>
    <x v="18"/>
    <x v="2541"/>
    <n v="195"/>
    <n v="181"/>
    <x v="2"/>
    <n v="14"/>
    <x v="0"/>
    <n v="0.37708333333333333"/>
    <n v="1609"/>
  </r>
  <r>
    <x v="18"/>
    <x v="2542"/>
    <n v="312"/>
    <n v="148"/>
    <x v="4"/>
    <n v="164"/>
    <x v="0"/>
    <n v="0.30833333333333335"/>
    <n v="2446"/>
  </r>
  <r>
    <x v="18"/>
    <x v="2543"/>
    <n v="274"/>
    <n v="182"/>
    <x v="0"/>
    <n v="92"/>
    <x v="0"/>
    <n v="0.37916666666666665"/>
    <n v="1593"/>
  </r>
  <r>
    <x v="18"/>
    <x v="2544"/>
    <n v="93"/>
    <n v="33"/>
    <x v="0"/>
    <n v="60"/>
    <x v="2"/>
    <n v="6.8750000000000006E-2"/>
    <n v="4964"/>
  </r>
  <r>
    <x v="18"/>
    <x v="2545"/>
    <n v="319"/>
    <n v="178"/>
    <x v="2"/>
    <n v="141"/>
    <x v="0"/>
    <n v="0.37083333333333335"/>
    <n v="1702"/>
  </r>
  <r>
    <x v="18"/>
    <x v="2546"/>
    <n v="111"/>
    <n v="88"/>
    <x v="5"/>
    <n v="23"/>
    <x v="1"/>
    <n v="0.18333333333333332"/>
    <n v="3792"/>
  </r>
  <r>
    <x v="18"/>
    <x v="2547"/>
    <n v="168"/>
    <n v="123"/>
    <x v="1"/>
    <n v="45"/>
    <x v="0"/>
    <n v="0.25624999999999998"/>
    <n v="2983"/>
  </r>
  <r>
    <x v="18"/>
    <x v="2548"/>
    <n v="291"/>
    <n v="179"/>
    <x v="1"/>
    <n v="112"/>
    <x v="0"/>
    <n v="0.37291666666666667"/>
    <n v="1667"/>
  </r>
  <r>
    <x v="18"/>
    <x v="2549"/>
    <n v="268"/>
    <n v="45"/>
    <x v="4"/>
    <n v="223"/>
    <x v="2"/>
    <n v="9.375E-2"/>
    <n v="4702"/>
  </r>
  <r>
    <x v="18"/>
    <x v="2550"/>
    <n v="179"/>
    <n v="96"/>
    <x v="3"/>
    <n v="83"/>
    <x v="1"/>
    <n v="0.2"/>
    <n v="3616"/>
  </r>
  <r>
    <x v="18"/>
    <x v="2551"/>
    <n v="225"/>
    <n v="154"/>
    <x v="0"/>
    <n v="71"/>
    <x v="0"/>
    <n v="0.32083333333333336"/>
    <n v="2307"/>
  </r>
  <r>
    <x v="18"/>
    <x v="2552"/>
    <n v="277"/>
    <n v="115"/>
    <x v="1"/>
    <n v="162"/>
    <x v="0"/>
    <n v="0.23958333333333334"/>
    <n v="3206"/>
  </r>
  <r>
    <x v="18"/>
    <x v="2553"/>
    <n v="193"/>
    <n v="99"/>
    <x v="1"/>
    <n v="94"/>
    <x v="1"/>
    <n v="0.20624999999999999"/>
    <n v="3553"/>
  </r>
  <r>
    <x v="18"/>
    <x v="2554"/>
    <n v="320"/>
    <n v="174"/>
    <x v="2"/>
    <n v="146"/>
    <x v="0"/>
    <n v="0.36249999999999999"/>
    <n v="1803"/>
  </r>
  <r>
    <x v="18"/>
    <x v="2555"/>
    <n v="283"/>
    <n v="132"/>
    <x v="6"/>
    <n v="151"/>
    <x v="0"/>
    <n v="0.27500000000000002"/>
    <n v="2792"/>
  </r>
  <r>
    <x v="18"/>
    <x v="2556"/>
    <n v="108"/>
    <n v="50"/>
    <x v="5"/>
    <n v="58"/>
    <x v="2"/>
    <n v="0.10416666666666667"/>
    <n v="4596"/>
  </r>
  <r>
    <x v="18"/>
    <x v="2557"/>
    <n v="209"/>
    <n v="122"/>
    <x v="6"/>
    <n v="87"/>
    <x v="0"/>
    <n v="0.25416666666666665"/>
    <n v="3013"/>
  </r>
  <r>
    <x v="18"/>
    <x v="2558"/>
    <n v="160"/>
    <n v="67"/>
    <x v="5"/>
    <n v="93"/>
    <x v="1"/>
    <n v="0.13958333333333334"/>
    <n v="4225"/>
  </r>
  <r>
    <x v="18"/>
    <x v="2559"/>
    <n v="265"/>
    <n v="72"/>
    <x v="2"/>
    <n v="193"/>
    <x v="1"/>
    <n v="0.15"/>
    <n v="4100"/>
  </r>
  <r>
    <x v="18"/>
    <x v="2560"/>
    <n v="223"/>
    <n v="119"/>
    <x v="2"/>
    <n v="104"/>
    <x v="0"/>
    <n v="0.24791666666666667"/>
    <n v="3093"/>
  </r>
  <r>
    <x v="18"/>
    <x v="2561"/>
    <n v="228"/>
    <n v="121"/>
    <x v="6"/>
    <n v="107"/>
    <x v="0"/>
    <n v="0.25208333333333333"/>
    <n v="3037"/>
  </r>
  <r>
    <x v="19"/>
    <x v="2562"/>
    <n v="103"/>
    <n v="58"/>
    <x v="0"/>
    <n v="45"/>
    <x v="1"/>
    <n v="0.12083333333333333"/>
    <n v="4431"/>
  </r>
  <r>
    <x v="19"/>
    <x v="2563"/>
    <n v="215"/>
    <n v="183"/>
    <x v="1"/>
    <n v="32"/>
    <x v="0"/>
    <n v="0.38124999999999998"/>
    <n v="1572"/>
  </r>
  <r>
    <x v="19"/>
    <x v="2564"/>
    <n v="38"/>
    <n v="31"/>
    <x v="6"/>
    <n v="7"/>
    <x v="2"/>
    <n v="6.458333333333334E-2"/>
    <n v="5016"/>
  </r>
  <r>
    <x v="19"/>
    <x v="2565"/>
    <n v="115"/>
    <n v="61"/>
    <x v="2"/>
    <n v="54"/>
    <x v="1"/>
    <n v="0.12708333333333333"/>
    <n v="4368"/>
  </r>
  <r>
    <x v="19"/>
    <x v="2566"/>
    <n v="278"/>
    <n v="54"/>
    <x v="3"/>
    <n v="224"/>
    <x v="1"/>
    <n v="0.1125"/>
    <n v="4523"/>
  </r>
  <r>
    <x v="19"/>
    <x v="2567"/>
    <n v="129"/>
    <n v="77"/>
    <x v="6"/>
    <n v="52"/>
    <x v="1"/>
    <n v="0.16041666666666668"/>
    <n v="4006"/>
  </r>
  <r>
    <x v="19"/>
    <x v="2568"/>
    <n v="109"/>
    <n v="52"/>
    <x v="1"/>
    <n v="57"/>
    <x v="1"/>
    <n v="0.10833333333333334"/>
    <n v="4564"/>
  </r>
  <r>
    <x v="19"/>
    <x v="2569"/>
    <n v="262"/>
    <n v="177"/>
    <x v="5"/>
    <n v="85"/>
    <x v="0"/>
    <n v="0.36875000000000002"/>
    <n v="1733"/>
  </r>
  <r>
    <x v="19"/>
    <x v="2570"/>
    <n v="201"/>
    <n v="159"/>
    <x v="4"/>
    <n v="42"/>
    <x v="0"/>
    <n v="0.33124999999999999"/>
    <n v="2183"/>
  </r>
  <r>
    <x v="19"/>
    <x v="2571"/>
    <n v="119"/>
    <n v="69"/>
    <x v="1"/>
    <n v="50"/>
    <x v="1"/>
    <n v="0.14374999999999999"/>
    <n v="4186"/>
  </r>
  <r>
    <x v="19"/>
    <x v="2572"/>
    <n v="128"/>
    <n v="115"/>
    <x v="3"/>
    <n v="13"/>
    <x v="0"/>
    <n v="0.23958333333333334"/>
    <n v="3206"/>
  </r>
  <r>
    <x v="19"/>
    <x v="2573"/>
    <n v="272"/>
    <n v="68"/>
    <x v="1"/>
    <n v="204"/>
    <x v="1"/>
    <n v="0.14166666666666666"/>
    <n v="4204"/>
  </r>
  <r>
    <x v="19"/>
    <x v="2574"/>
    <n v="247"/>
    <n v="177"/>
    <x v="0"/>
    <n v="70"/>
    <x v="0"/>
    <n v="0.36875000000000002"/>
    <n v="1733"/>
  </r>
  <r>
    <x v="19"/>
    <x v="2575"/>
    <n v="75"/>
    <n v="32"/>
    <x v="4"/>
    <n v="43"/>
    <x v="2"/>
    <n v="6.6666666666666666E-2"/>
    <n v="4983"/>
  </r>
  <r>
    <x v="19"/>
    <x v="2576"/>
    <n v="228"/>
    <n v="82"/>
    <x v="4"/>
    <n v="146"/>
    <x v="1"/>
    <n v="0.17083333333333334"/>
    <n v="3904"/>
  </r>
  <r>
    <x v="19"/>
    <x v="2577"/>
    <n v="43"/>
    <n v="41"/>
    <x v="4"/>
    <n v="2"/>
    <x v="2"/>
    <n v="8.5416666666666669E-2"/>
    <n v="4789"/>
  </r>
  <r>
    <x v="19"/>
    <x v="2578"/>
    <n v="87"/>
    <n v="36"/>
    <x v="6"/>
    <n v="51"/>
    <x v="2"/>
    <n v="7.4999999999999997E-2"/>
    <n v="4893"/>
  </r>
  <r>
    <x v="19"/>
    <x v="2579"/>
    <n v="180"/>
    <n v="84"/>
    <x v="2"/>
    <n v="96"/>
    <x v="1"/>
    <n v="0.17499999999999999"/>
    <n v="3872"/>
  </r>
  <r>
    <x v="19"/>
    <x v="2580"/>
    <n v="260"/>
    <n v="174"/>
    <x v="1"/>
    <n v="86"/>
    <x v="0"/>
    <n v="0.36249999999999999"/>
    <n v="1803"/>
  </r>
  <r>
    <x v="19"/>
    <x v="2581"/>
    <n v="282"/>
    <n v="111"/>
    <x v="6"/>
    <n v="171"/>
    <x v="0"/>
    <n v="0.23125000000000001"/>
    <n v="3285"/>
  </r>
  <r>
    <x v="19"/>
    <x v="2582"/>
    <n v="258"/>
    <n v="126"/>
    <x v="6"/>
    <n v="132"/>
    <x v="0"/>
    <n v="0.26250000000000001"/>
    <n v="2934"/>
  </r>
  <r>
    <x v="19"/>
    <x v="483"/>
    <n v="233"/>
    <n v="118"/>
    <x v="4"/>
    <n v="115"/>
    <x v="0"/>
    <n v="0.24583333333333332"/>
    <n v="3122"/>
  </r>
  <r>
    <x v="19"/>
    <x v="484"/>
    <n v="315"/>
    <n v="102"/>
    <x v="4"/>
    <n v="213"/>
    <x v="0"/>
    <n v="0.21249999999999999"/>
    <n v="3493"/>
  </r>
  <r>
    <x v="19"/>
    <x v="485"/>
    <n v="183"/>
    <n v="151"/>
    <x v="1"/>
    <n v="32"/>
    <x v="0"/>
    <n v="0.31458333333333333"/>
    <n v="2376"/>
  </r>
  <r>
    <x v="19"/>
    <x v="486"/>
    <n v="185"/>
    <n v="158"/>
    <x v="5"/>
    <n v="27"/>
    <x v="0"/>
    <n v="0.32916666666666666"/>
    <n v="2207"/>
  </r>
  <r>
    <x v="19"/>
    <x v="487"/>
    <n v="305"/>
    <n v="180"/>
    <x v="0"/>
    <n v="125"/>
    <x v="0"/>
    <n v="0.375"/>
    <n v="1635"/>
  </r>
  <r>
    <x v="19"/>
    <x v="488"/>
    <n v="85"/>
    <n v="72"/>
    <x v="5"/>
    <n v="13"/>
    <x v="1"/>
    <n v="0.15"/>
    <n v="4100"/>
  </r>
  <r>
    <x v="19"/>
    <x v="489"/>
    <n v="195"/>
    <n v="47"/>
    <x v="2"/>
    <n v="148"/>
    <x v="2"/>
    <n v="9.7916666666666666E-2"/>
    <n v="4656"/>
  </r>
  <r>
    <x v="19"/>
    <x v="2583"/>
    <n v="191"/>
    <n v="134"/>
    <x v="4"/>
    <n v="57"/>
    <x v="0"/>
    <n v="0.27916666666666667"/>
    <n v="2740"/>
  </r>
  <r>
    <x v="19"/>
    <x v="2584"/>
    <n v="237"/>
    <n v="111"/>
    <x v="4"/>
    <n v="126"/>
    <x v="0"/>
    <n v="0.23125000000000001"/>
    <n v="3285"/>
  </r>
  <r>
    <x v="19"/>
    <x v="2585"/>
    <n v="202"/>
    <n v="96"/>
    <x v="4"/>
    <n v="106"/>
    <x v="1"/>
    <n v="0.2"/>
    <n v="3616"/>
  </r>
  <r>
    <x v="19"/>
    <x v="2586"/>
    <n v="297"/>
    <n v="152"/>
    <x v="1"/>
    <n v="145"/>
    <x v="0"/>
    <n v="0.31666666666666665"/>
    <n v="2349"/>
  </r>
  <r>
    <x v="19"/>
    <x v="2587"/>
    <n v="159"/>
    <n v="89"/>
    <x v="2"/>
    <n v="70"/>
    <x v="1"/>
    <n v="0.18541666666666667"/>
    <n v="3772"/>
  </r>
  <r>
    <x v="19"/>
    <x v="2588"/>
    <n v="203"/>
    <n v="63"/>
    <x v="0"/>
    <n v="140"/>
    <x v="1"/>
    <n v="0.13125000000000001"/>
    <n v="4322"/>
  </r>
  <r>
    <x v="19"/>
    <x v="2589"/>
    <n v="237"/>
    <n v="32"/>
    <x v="3"/>
    <n v="205"/>
    <x v="2"/>
    <n v="6.6666666666666666E-2"/>
    <n v="4983"/>
  </r>
  <r>
    <x v="19"/>
    <x v="2590"/>
    <n v="217"/>
    <n v="64"/>
    <x v="1"/>
    <n v="153"/>
    <x v="1"/>
    <n v="0.13333333333333333"/>
    <n v="4293"/>
  </r>
  <r>
    <x v="19"/>
    <x v="2591"/>
    <n v="61"/>
    <n v="57"/>
    <x v="5"/>
    <n v="4"/>
    <x v="1"/>
    <n v="0.11874999999999999"/>
    <n v="4452"/>
  </r>
  <r>
    <x v="19"/>
    <x v="2592"/>
    <n v="181"/>
    <n v="52"/>
    <x v="1"/>
    <n v="129"/>
    <x v="1"/>
    <n v="0.10833333333333334"/>
    <n v="4564"/>
  </r>
  <r>
    <x v="19"/>
    <x v="2593"/>
    <n v="93"/>
    <n v="54"/>
    <x v="1"/>
    <n v="39"/>
    <x v="1"/>
    <n v="0.1125"/>
    <n v="4523"/>
  </r>
  <r>
    <x v="19"/>
    <x v="2594"/>
    <n v="305"/>
    <n v="103"/>
    <x v="3"/>
    <n v="202"/>
    <x v="0"/>
    <n v="0.21458333333333332"/>
    <n v="3474"/>
  </r>
  <r>
    <x v="19"/>
    <x v="2595"/>
    <n v="270"/>
    <n v="44"/>
    <x v="6"/>
    <n v="226"/>
    <x v="2"/>
    <n v="9.166666666666666E-2"/>
    <n v="4732"/>
  </r>
  <r>
    <x v="19"/>
    <x v="2596"/>
    <n v="319"/>
    <n v="174"/>
    <x v="0"/>
    <n v="145"/>
    <x v="0"/>
    <n v="0.36249999999999999"/>
    <n v="1803"/>
  </r>
  <r>
    <x v="19"/>
    <x v="2597"/>
    <n v="284"/>
    <n v="67"/>
    <x v="3"/>
    <n v="217"/>
    <x v="1"/>
    <n v="0.13958333333333334"/>
    <n v="4225"/>
  </r>
  <r>
    <x v="19"/>
    <x v="2598"/>
    <n v="184"/>
    <n v="184"/>
    <x v="1"/>
    <n v="0"/>
    <x v="0"/>
    <n v="0.38333333333333336"/>
    <n v="1544"/>
  </r>
  <r>
    <x v="19"/>
    <x v="2599"/>
    <n v="289"/>
    <n v="65"/>
    <x v="5"/>
    <n v="224"/>
    <x v="1"/>
    <n v="0.13541666666666666"/>
    <n v="4267"/>
  </r>
  <r>
    <x v="19"/>
    <x v="2600"/>
    <n v="187"/>
    <n v="137"/>
    <x v="4"/>
    <n v="50"/>
    <x v="0"/>
    <n v="0.28541666666666665"/>
    <n v="2677"/>
  </r>
  <r>
    <x v="19"/>
    <x v="2601"/>
    <n v="272"/>
    <n v="121"/>
    <x v="3"/>
    <n v="151"/>
    <x v="0"/>
    <n v="0.25208333333333333"/>
    <n v="3037"/>
  </r>
  <r>
    <x v="19"/>
    <x v="2602"/>
    <n v="312"/>
    <n v="134"/>
    <x v="3"/>
    <n v="178"/>
    <x v="0"/>
    <n v="0.27916666666666667"/>
    <n v="2740"/>
  </r>
  <r>
    <x v="19"/>
    <x v="2603"/>
    <n v="290"/>
    <n v="34"/>
    <x v="6"/>
    <n v="256"/>
    <x v="2"/>
    <n v="7.0833333333333331E-2"/>
    <n v="4944"/>
  </r>
  <r>
    <x v="19"/>
    <x v="2604"/>
    <n v="223"/>
    <n v="114"/>
    <x v="6"/>
    <n v="109"/>
    <x v="0"/>
    <n v="0.23749999999999999"/>
    <n v="3226"/>
  </r>
  <r>
    <x v="19"/>
    <x v="2605"/>
    <n v="99"/>
    <n v="56"/>
    <x v="2"/>
    <n v="43"/>
    <x v="1"/>
    <n v="0.11666666666666667"/>
    <n v="4474"/>
  </r>
  <r>
    <x v="19"/>
    <x v="2606"/>
    <n v="268"/>
    <n v="98"/>
    <x v="1"/>
    <n v="170"/>
    <x v="1"/>
    <n v="0.20416666666666666"/>
    <n v="3574"/>
  </r>
  <r>
    <x v="19"/>
    <x v="2607"/>
    <n v="69"/>
    <n v="64"/>
    <x v="2"/>
    <n v="5"/>
    <x v="1"/>
    <n v="0.13333333333333333"/>
    <n v="4293"/>
  </r>
  <r>
    <x v="19"/>
    <x v="2608"/>
    <n v="305"/>
    <n v="85"/>
    <x v="3"/>
    <n v="220"/>
    <x v="1"/>
    <n v="0.17708333333333334"/>
    <n v="3852"/>
  </r>
  <r>
    <x v="19"/>
    <x v="2609"/>
    <n v="294"/>
    <n v="131"/>
    <x v="1"/>
    <n v="163"/>
    <x v="0"/>
    <n v="0.27291666666666664"/>
    <n v="2815"/>
  </r>
  <r>
    <x v="19"/>
    <x v="2610"/>
    <n v="282"/>
    <n v="181"/>
    <x v="0"/>
    <n v="101"/>
    <x v="0"/>
    <n v="0.37708333333333333"/>
    <n v="1609"/>
  </r>
  <r>
    <x v="19"/>
    <x v="2611"/>
    <n v="311"/>
    <n v="176"/>
    <x v="3"/>
    <n v="135"/>
    <x v="0"/>
    <n v="0.36666666666666664"/>
    <n v="1754"/>
  </r>
  <r>
    <x v="19"/>
    <x v="2612"/>
    <n v="302"/>
    <n v="110"/>
    <x v="5"/>
    <n v="192"/>
    <x v="0"/>
    <n v="0.22916666666666666"/>
    <n v="3302"/>
  </r>
  <r>
    <x v="19"/>
    <x v="2613"/>
    <n v="177"/>
    <n v="176"/>
    <x v="1"/>
    <n v="1"/>
    <x v="0"/>
    <n v="0.36666666666666664"/>
    <n v="1754"/>
  </r>
  <r>
    <x v="19"/>
    <x v="2614"/>
    <n v="207"/>
    <n v="36"/>
    <x v="0"/>
    <n v="171"/>
    <x v="2"/>
    <n v="7.4999999999999997E-2"/>
    <n v="4893"/>
  </r>
  <r>
    <x v="19"/>
    <x v="2615"/>
    <n v="303"/>
    <n v="74"/>
    <x v="0"/>
    <n v="229"/>
    <x v="1"/>
    <n v="0.15416666666666667"/>
    <n v="4064"/>
  </r>
  <r>
    <x v="19"/>
    <x v="2616"/>
    <n v="271"/>
    <n v="134"/>
    <x v="3"/>
    <n v="137"/>
    <x v="0"/>
    <n v="0.27916666666666667"/>
    <n v="2740"/>
  </r>
  <r>
    <x v="19"/>
    <x v="2617"/>
    <n v="224"/>
    <n v="155"/>
    <x v="0"/>
    <n v="69"/>
    <x v="0"/>
    <n v="0.32291666666666669"/>
    <n v="2275"/>
  </r>
  <r>
    <x v="19"/>
    <x v="2618"/>
    <n v="305"/>
    <n v="188"/>
    <x v="2"/>
    <n v="117"/>
    <x v="0"/>
    <n v="0.39166666666666666"/>
    <n v="1423"/>
  </r>
  <r>
    <x v="19"/>
    <x v="2619"/>
    <n v="161"/>
    <n v="121"/>
    <x v="5"/>
    <n v="40"/>
    <x v="0"/>
    <n v="0.25208333333333333"/>
    <n v="3037"/>
  </r>
  <r>
    <x v="19"/>
    <x v="2620"/>
    <n v="139"/>
    <n v="75"/>
    <x v="3"/>
    <n v="64"/>
    <x v="1"/>
    <n v="0.15625"/>
    <n v="4041"/>
  </r>
  <r>
    <x v="19"/>
    <x v="2621"/>
    <n v="240"/>
    <n v="180"/>
    <x v="4"/>
    <n v="60"/>
    <x v="0"/>
    <n v="0.375"/>
    <n v="1635"/>
  </r>
  <r>
    <x v="19"/>
    <x v="2622"/>
    <n v="266"/>
    <n v="190"/>
    <x v="0"/>
    <n v="76"/>
    <x v="0"/>
    <n v="0.39583333333333331"/>
    <n v="1355"/>
  </r>
  <r>
    <x v="19"/>
    <x v="2623"/>
    <n v="269"/>
    <n v="133"/>
    <x v="6"/>
    <n v="136"/>
    <x v="0"/>
    <n v="0.27708333333333335"/>
    <n v="2758"/>
  </r>
  <r>
    <x v="19"/>
    <x v="2624"/>
    <n v="275"/>
    <n v="109"/>
    <x v="0"/>
    <n v="166"/>
    <x v="0"/>
    <n v="0.22708333333333333"/>
    <n v="3338"/>
  </r>
  <r>
    <x v="19"/>
    <x v="2625"/>
    <n v="215"/>
    <n v="59"/>
    <x v="0"/>
    <n v="156"/>
    <x v="1"/>
    <n v="0.12291666666666666"/>
    <n v="4416"/>
  </r>
  <r>
    <x v="19"/>
    <x v="2626"/>
    <n v="80"/>
    <n v="58"/>
    <x v="4"/>
    <n v="22"/>
    <x v="1"/>
    <n v="0.12083333333333333"/>
    <n v="4431"/>
  </r>
  <r>
    <x v="19"/>
    <x v="2627"/>
    <n v="255"/>
    <n v="152"/>
    <x v="0"/>
    <n v="103"/>
    <x v="0"/>
    <n v="0.31666666666666665"/>
    <n v="2349"/>
  </r>
  <r>
    <x v="19"/>
    <x v="2628"/>
    <n v="142"/>
    <n v="132"/>
    <x v="1"/>
    <n v="10"/>
    <x v="0"/>
    <n v="0.27500000000000002"/>
    <n v="2792"/>
  </r>
  <r>
    <x v="19"/>
    <x v="2629"/>
    <n v="214"/>
    <n v="171"/>
    <x v="1"/>
    <n v="43"/>
    <x v="0"/>
    <n v="0.35625000000000001"/>
    <n v="1866"/>
  </r>
  <r>
    <x v="19"/>
    <x v="2630"/>
    <n v="198"/>
    <n v="159"/>
    <x v="5"/>
    <n v="39"/>
    <x v="0"/>
    <n v="0.33124999999999999"/>
    <n v="2183"/>
  </r>
  <r>
    <x v="19"/>
    <x v="2631"/>
    <n v="295"/>
    <n v="78"/>
    <x v="1"/>
    <n v="217"/>
    <x v="1"/>
    <n v="0.16250000000000001"/>
    <n v="3989"/>
  </r>
  <r>
    <x v="19"/>
    <x v="2632"/>
    <n v="243"/>
    <n v="33"/>
    <x v="6"/>
    <n v="210"/>
    <x v="2"/>
    <n v="6.8750000000000006E-2"/>
    <n v="4964"/>
  </r>
  <r>
    <x v="19"/>
    <x v="2633"/>
    <n v="247"/>
    <n v="91"/>
    <x v="0"/>
    <n v="156"/>
    <x v="1"/>
    <n v="0.18958333333333333"/>
    <n v="3726"/>
  </r>
  <r>
    <x v="19"/>
    <x v="2634"/>
    <n v="238"/>
    <n v="53"/>
    <x v="1"/>
    <n v="185"/>
    <x v="1"/>
    <n v="0.11041666666666666"/>
    <n v="4544"/>
  </r>
  <r>
    <x v="19"/>
    <x v="2635"/>
    <n v="187"/>
    <n v="141"/>
    <x v="2"/>
    <n v="46"/>
    <x v="0"/>
    <n v="0.29375000000000001"/>
    <n v="2609"/>
  </r>
  <r>
    <x v="19"/>
    <x v="2636"/>
    <n v="234"/>
    <n v="134"/>
    <x v="1"/>
    <n v="100"/>
    <x v="0"/>
    <n v="0.27916666666666667"/>
    <n v="2740"/>
  </r>
  <r>
    <x v="19"/>
    <x v="2637"/>
    <n v="219"/>
    <n v="113"/>
    <x v="2"/>
    <n v="106"/>
    <x v="0"/>
    <n v="0.23541666666666666"/>
    <n v="3243"/>
  </r>
  <r>
    <x v="19"/>
    <x v="2638"/>
    <n v="253"/>
    <n v="127"/>
    <x v="0"/>
    <n v="126"/>
    <x v="0"/>
    <n v="0.26458333333333334"/>
    <n v="2909"/>
  </r>
  <r>
    <x v="19"/>
    <x v="2639"/>
    <n v="268"/>
    <n v="125"/>
    <x v="5"/>
    <n v="143"/>
    <x v="0"/>
    <n v="0.26041666666666669"/>
    <n v="2951"/>
  </r>
  <r>
    <x v="19"/>
    <x v="2640"/>
    <n v="264"/>
    <n v="107"/>
    <x v="3"/>
    <n v="157"/>
    <x v="0"/>
    <n v="0.22291666666666668"/>
    <n v="3387"/>
  </r>
  <r>
    <x v="19"/>
    <x v="2641"/>
    <n v="269"/>
    <n v="188"/>
    <x v="0"/>
    <n v="81"/>
    <x v="0"/>
    <n v="0.39166666666666666"/>
    <n v="1423"/>
  </r>
  <r>
    <x v="19"/>
    <x v="2642"/>
    <n v="186"/>
    <n v="67"/>
    <x v="1"/>
    <n v="119"/>
    <x v="1"/>
    <n v="0.13958333333333334"/>
    <n v="4225"/>
  </r>
  <r>
    <x v="19"/>
    <x v="2643"/>
    <n v="277"/>
    <n v="119"/>
    <x v="0"/>
    <n v="158"/>
    <x v="0"/>
    <n v="0.24791666666666667"/>
    <n v="3093"/>
  </r>
  <r>
    <x v="19"/>
    <x v="2644"/>
    <n v="190"/>
    <n v="125"/>
    <x v="5"/>
    <n v="65"/>
    <x v="0"/>
    <n v="0.26041666666666669"/>
    <n v="2951"/>
  </r>
  <r>
    <x v="19"/>
    <x v="2645"/>
    <n v="172"/>
    <n v="72"/>
    <x v="2"/>
    <n v="100"/>
    <x v="1"/>
    <n v="0.15"/>
    <n v="4100"/>
  </r>
  <r>
    <x v="19"/>
    <x v="2646"/>
    <n v="260"/>
    <n v="115"/>
    <x v="5"/>
    <n v="145"/>
    <x v="0"/>
    <n v="0.23958333333333334"/>
    <n v="3206"/>
  </r>
  <r>
    <x v="19"/>
    <x v="2647"/>
    <n v="312"/>
    <n v="61"/>
    <x v="5"/>
    <n v="251"/>
    <x v="1"/>
    <n v="0.12708333333333333"/>
    <n v="4368"/>
  </r>
  <r>
    <x v="19"/>
    <x v="2648"/>
    <n v="291"/>
    <n v="37"/>
    <x v="1"/>
    <n v="254"/>
    <x v="2"/>
    <n v="7.7083333333333337E-2"/>
    <n v="4863"/>
  </r>
  <r>
    <x v="19"/>
    <x v="2649"/>
    <n v="89"/>
    <n v="46"/>
    <x v="6"/>
    <n v="43"/>
    <x v="2"/>
    <n v="9.583333333333334E-2"/>
    <n v="4680"/>
  </r>
  <r>
    <x v="19"/>
    <x v="2650"/>
    <n v="167"/>
    <n v="51"/>
    <x v="1"/>
    <n v="116"/>
    <x v="1"/>
    <n v="0.10625"/>
    <n v="4578"/>
  </r>
  <r>
    <x v="19"/>
    <x v="2651"/>
    <n v="282"/>
    <n v="94"/>
    <x v="2"/>
    <n v="188"/>
    <x v="1"/>
    <n v="0.19583333333333333"/>
    <n v="3654"/>
  </r>
  <r>
    <x v="19"/>
    <x v="2652"/>
    <n v="298"/>
    <n v="90"/>
    <x v="0"/>
    <n v="208"/>
    <x v="1"/>
    <n v="0.1875"/>
    <n v="3750"/>
  </r>
  <r>
    <x v="19"/>
    <x v="2653"/>
    <n v="235"/>
    <n v="157"/>
    <x v="4"/>
    <n v="78"/>
    <x v="0"/>
    <n v="0.32708333333333334"/>
    <n v="2239"/>
  </r>
  <r>
    <x v="19"/>
    <x v="2654"/>
    <n v="277"/>
    <n v="97"/>
    <x v="2"/>
    <n v="180"/>
    <x v="1"/>
    <n v="0.20208333333333334"/>
    <n v="3593"/>
  </r>
  <r>
    <x v="19"/>
    <x v="2655"/>
    <n v="168"/>
    <n v="145"/>
    <x v="1"/>
    <n v="23"/>
    <x v="0"/>
    <n v="0.30208333333333331"/>
    <n v="2526"/>
  </r>
  <r>
    <x v="19"/>
    <x v="2656"/>
    <n v="174"/>
    <n v="159"/>
    <x v="3"/>
    <n v="15"/>
    <x v="0"/>
    <n v="0.33124999999999999"/>
    <n v="2183"/>
  </r>
  <r>
    <x v="19"/>
    <x v="2657"/>
    <n v="157"/>
    <n v="121"/>
    <x v="6"/>
    <n v="36"/>
    <x v="0"/>
    <n v="0.25208333333333333"/>
    <n v="3037"/>
  </r>
  <r>
    <x v="19"/>
    <x v="2658"/>
    <n v="84"/>
    <n v="71"/>
    <x v="2"/>
    <n v="13"/>
    <x v="1"/>
    <n v="0.14791666666666667"/>
    <n v="4129"/>
  </r>
  <r>
    <x v="19"/>
    <x v="2659"/>
    <n v="303"/>
    <n v="145"/>
    <x v="3"/>
    <n v="158"/>
    <x v="0"/>
    <n v="0.30208333333333331"/>
    <n v="2526"/>
  </r>
  <r>
    <x v="19"/>
    <x v="2660"/>
    <n v="271"/>
    <n v="176"/>
    <x v="4"/>
    <n v="95"/>
    <x v="0"/>
    <n v="0.36666666666666664"/>
    <n v="1754"/>
  </r>
  <r>
    <x v="19"/>
    <x v="2661"/>
    <n v="128"/>
    <n v="32"/>
    <x v="3"/>
    <n v="96"/>
    <x v="2"/>
    <n v="6.6666666666666666E-2"/>
    <n v="4983"/>
  </r>
  <r>
    <x v="19"/>
    <x v="2662"/>
    <n v="310"/>
    <n v="116"/>
    <x v="4"/>
    <n v="194"/>
    <x v="0"/>
    <n v="0.24166666666666667"/>
    <n v="3173"/>
  </r>
  <r>
    <x v="19"/>
    <x v="2663"/>
    <n v="181"/>
    <n v="82"/>
    <x v="3"/>
    <n v="99"/>
    <x v="1"/>
    <n v="0.17083333333333334"/>
    <n v="3904"/>
  </r>
  <r>
    <x v="19"/>
    <x v="2664"/>
    <n v="201"/>
    <n v="45"/>
    <x v="0"/>
    <n v="156"/>
    <x v="2"/>
    <n v="9.375E-2"/>
    <n v="4702"/>
  </r>
  <r>
    <x v="19"/>
    <x v="2665"/>
    <n v="189"/>
    <n v="84"/>
    <x v="3"/>
    <n v="105"/>
    <x v="1"/>
    <n v="0.17499999999999999"/>
    <n v="3872"/>
  </r>
  <r>
    <x v="19"/>
    <x v="2666"/>
    <n v="67"/>
    <n v="47"/>
    <x v="5"/>
    <n v="20"/>
    <x v="2"/>
    <n v="9.7916666666666666E-2"/>
    <n v="4656"/>
  </r>
  <r>
    <x v="19"/>
    <x v="2667"/>
    <n v="244"/>
    <n v="113"/>
    <x v="5"/>
    <n v="131"/>
    <x v="0"/>
    <n v="0.23541666666666666"/>
    <n v="3243"/>
  </r>
  <r>
    <x v="19"/>
    <x v="2668"/>
    <n v="123"/>
    <n v="48"/>
    <x v="0"/>
    <n v="75"/>
    <x v="2"/>
    <n v="0.1"/>
    <n v="4638"/>
  </r>
  <r>
    <x v="19"/>
    <x v="2669"/>
    <n v="243"/>
    <n v="118"/>
    <x v="2"/>
    <n v="125"/>
    <x v="0"/>
    <n v="0.24583333333333332"/>
    <n v="3122"/>
  </r>
  <r>
    <x v="19"/>
    <x v="2670"/>
    <n v="118"/>
    <n v="67"/>
    <x v="6"/>
    <n v="51"/>
    <x v="1"/>
    <n v="0.13958333333333334"/>
    <n v="4225"/>
  </r>
  <r>
    <x v="19"/>
    <x v="2671"/>
    <n v="257"/>
    <n v="67"/>
    <x v="0"/>
    <n v="190"/>
    <x v="1"/>
    <n v="0.13958333333333334"/>
    <n v="4225"/>
  </r>
  <r>
    <x v="19"/>
    <x v="2672"/>
    <n v="107"/>
    <n v="95"/>
    <x v="1"/>
    <n v="12"/>
    <x v="1"/>
    <n v="0.19791666666666666"/>
    <n v="3634"/>
  </r>
  <r>
    <x v="19"/>
    <x v="2673"/>
    <n v="197"/>
    <n v="142"/>
    <x v="0"/>
    <n v="55"/>
    <x v="0"/>
    <n v="0.29583333333333334"/>
    <n v="2585"/>
  </r>
  <r>
    <x v="19"/>
    <x v="2674"/>
    <n v="121"/>
    <n v="71"/>
    <x v="4"/>
    <n v="50"/>
    <x v="1"/>
    <n v="0.14791666666666667"/>
    <n v="4129"/>
  </r>
  <r>
    <x v="19"/>
    <x v="2675"/>
    <n v="245"/>
    <n v="110"/>
    <x v="1"/>
    <n v="135"/>
    <x v="0"/>
    <n v="0.22916666666666666"/>
    <n v="3302"/>
  </r>
  <r>
    <x v="19"/>
    <x v="2676"/>
    <n v="215"/>
    <n v="80"/>
    <x v="1"/>
    <n v="135"/>
    <x v="1"/>
    <n v="0.16666666666666666"/>
    <n v="3948"/>
  </r>
  <r>
    <x v="19"/>
    <x v="2677"/>
    <n v="211"/>
    <n v="154"/>
    <x v="3"/>
    <n v="57"/>
    <x v="0"/>
    <n v="0.32083333333333336"/>
    <n v="2307"/>
  </r>
  <r>
    <x v="19"/>
    <x v="2678"/>
    <n v="225"/>
    <n v="54"/>
    <x v="3"/>
    <n v="171"/>
    <x v="1"/>
    <n v="0.1125"/>
    <n v="4523"/>
  </r>
  <r>
    <x v="19"/>
    <x v="2679"/>
    <n v="311"/>
    <n v="142"/>
    <x v="3"/>
    <n v="169"/>
    <x v="0"/>
    <n v="0.29583333333333334"/>
    <n v="2585"/>
  </r>
  <r>
    <x v="19"/>
    <x v="2680"/>
    <n v="238"/>
    <n v="176"/>
    <x v="0"/>
    <n v="62"/>
    <x v="0"/>
    <n v="0.36666666666666664"/>
    <n v="1754"/>
  </r>
  <r>
    <x v="19"/>
    <x v="2681"/>
    <n v="315"/>
    <n v="107"/>
    <x v="2"/>
    <n v="208"/>
    <x v="0"/>
    <n v="0.22291666666666668"/>
    <n v="3387"/>
  </r>
  <r>
    <x v="19"/>
    <x v="2682"/>
    <n v="229"/>
    <n v="119"/>
    <x v="4"/>
    <n v="110"/>
    <x v="0"/>
    <n v="0.24791666666666667"/>
    <n v="3093"/>
  </r>
  <r>
    <x v="19"/>
    <x v="2683"/>
    <n v="286"/>
    <n v="68"/>
    <x v="6"/>
    <n v="218"/>
    <x v="1"/>
    <n v="0.14166666666666666"/>
    <n v="4204"/>
  </r>
  <r>
    <x v="19"/>
    <x v="2684"/>
    <n v="302"/>
    <n v="135"/>
    <x v="6"/>
    <n v="167"/>
    <x v="0"/>
    <n v="0.28125"/>
    <n v="2714"/>
  </r>
  <r>
    <x v="19"/>
    <x v="2685"/>
    <n v="133"/>
    <n v="128"/>
    <x v="6"/>
    <n v="5"/>
    <x v="0"/>
    <n v="0.26666666666666666"/>
    <n v="2872"/>
  </r>
  <r>
    <x v="19"/>
    <x v="2686"/>
    <n v="137"/>
    <n v="116"/>
    <x v="6"/>
    <n v="21"/>
    <x v="0"/>
    <n v="0.24166666666666667"/>
    <n v="3173"/>
  </r>
  <r>
    <x v="19"/>
    <x v="2687"/>
    <n v="276"/>
    <n v="142"/>
    <x v="5"/>
    <n v="134"/>
    <x v="0"/>
    <n v="0.29583333333333334"/>
    <n v="2585"/>
  </r>
  <r>
    <x v="19"/>
    <x v="2688"/>
    <n v="273"/>
    <n v="129"/>
    <x v="2"/>
    <n v="144"/>
    <x v="0"/>
    <n v="0.26874999999999999"/>
    <n v="2852"/>
  </r>
  <r>
    <x v="19"/>
    <x v="2689"/>
    <n v="320"/>
    <n v="108"/>
    <x v="0"/>
    <n v="212"/>
    <x v="0"/>
    <n v="0.22500000000000001"/>
    <n v="3362"/>
  </r>
  <r>
    <x v="19"/>
    <x v="2690"/>
    <n v="112"/>
    <n v="54"/>
    <x v="0"/>
    <n v="58"/>
    <x v="1"/>
    <n v="0.1125"/>
    <n v="4523"/>
  </r>
  <r>
    <x v="19"/>
    <x v="2691"/>
    <n v="182"/>
    <n v="117"/>
    <x v="5"/>
    <n v="65"/>
    <x v="0"/>
    <n v="0.24374999999999999"/>
    <n v="3144"/>
  </r>
  <r>
    <x v="19"/>
    <x v="2692"/>
    <n v="167"/>
    <n v="128"/>
    <x v="5"/>
    <n v="39"/>
    <x v="0"/>
    <n v="0.26666666666666666"/>
    <n v="2872"/>
  </r>
  <r>
    <x v="19"/>
    <x v="2693"/>
    <n v="143"/>
    <n v="49"/>
    <x v="2"/>
    <n v="94"/>
    <x v="2"/>
    <n v="0.10208333333333333"/>
    <n v="4614"/>
  </r>
  <r>
    <x v="19"/>
    <x v="2694"/>
    <n v="246"/>
    <n v="141"/>
    <x v="2"/>
    <n v="105"/>
    <x v="0"/>
    <n v="0.29375000000000001"/>
    <n v="2609"/>
  </r>
  <r>
    <x v="19"/>
    <x v="2695"/>
    <n v="258"/>
    <n v="178"/>
    <x v="0"/>
    <n v="80"/>
    <x v="0"/>
    <n v="0.37083333333333335"/>
    <n v="1702"/>
  </r>
  <r>
    <x v="19"/>
    <x v="2696"/>
    <n v="307"/>
    <n v="185"/>
    <x v="5"/>
    <n v="122"/>
    <x v="0"/>
    <n v="0.38541666666666669"/>
    <n v="1517"/>
  </r>
  <r>
    <x v="19"/>
    <x v="2697"/>
    <n v="253"/>
    <n v="171"/>
    <x v="4"/>
    <n v="82"/>
    <x v="0"/>
    <n v="0.35625000000000001"/>
    <n v="1866"/>
  </r>
  <r>
    <x v="19"/>
    <x v="2698"/>
    <n v="264"/>
    <n v="61"/>
    <x v="2"/>
    <n v="203"/>
    <x v="1"/>
    <n v="0.12708333333333333"/>
    <n v="4368"/>
  </r>
  <r>
    <x v="19"/>
    <x v="2699"/>
    <n v="115"/>
    <n v="99"/>
    <x v="5"/>
    <n v="16"/>
    <x v="1"/>
    <n v="0.20624999999999999"/>
    <n v="3553"/>
  </r>
  <r>
    <x v="19"/>
    <x v="2700"/>
    <n v="188"/>
    <n v="160"/>
    <x v="3"/>
    <n v="28"/>
    <x v="0"/>
    <n v="0.33333333333333331"/>
    <n v="2154"/>
  </r>
  <r>
    <x v="19"/>
    <x v="2701"/>
    <n v="199"/>
    <n v="118"/>
    <x v="4"/>
    <n v="81"/>
    <x v="0"/>
    <n v="0.24583333333333332"/>
    <n v="3122"/>
  </r>
  <r>
    <x v="19"/>
    <x v="2702"/>
    <n v="228"/>
    <n v="43"/>
    <x v="5"/>
    <n v="185"/>
    <x v="2"/>
    <n v="8.9583333333333334E-2"/>
    <n v="4752"/>
  </r>
  <r>
    <x v="19"/>
    <x v="2703"/>
    <n v="265"/>
    <n v="99"/>
    <x v="3"/>
    <n v="166"/>
    <x v="1"/>
    <n v="0.20624999999999999"/>
    <n v="3553"/>
  </r>
  <r>
    <x v="19"/>
    <x v="2704"/>
    <n v="235"/>
    <n v="58"/>
    <x v="0"/>
    <n v="177"/>
    <x v="1"/>
    <n v="0.12083333333333333"/>
    <n v="4431"/>
  </r>
  <r>
    <x v="19"/>
    <x v="2705"/>
    <n v="155"/>
    <n v="69"/>
    <x v="1"/>
    <n v="86"/>
    <x v="1"/>
    <n v="0.14374999999999999"/>
    <n v="4186"/>
  </r>
  <r>
    <x v="19"/>
    <x v="2706"/>
    <n v="283"/>
    <n v="160"/>
    <x v="4"/>
    <n v="123"/>
    <x v="0"/>
    <n v="0.33333333333333331"/>
    <n v="2154"/>
  </r>
  <r>
    <x v="19"/>
    <x v="2707"/>
    <n v="164"/>
    <n v="159"/>
    <x v="1"/>
    <n v="5"/>
    <x v="0"/>
    <n v="0.33124999999999999"/>
    <n v="2183"/>
  </r>
  <r>
    <x v="19"/>
    <x v="2708"/>
    <n v="204"/>
    <n v="113"/>
    <x v="4"/>
    <n v="91"/>
    <x v="0"/>
    <n v="0.23541666666666666"/>
    <n v="3243"/>
  </r>
  <r>
    <x v="19"/>
    <x v="2709"/>
    <n v="309"/>
    <n v="167"/>
    <x v="2"/>
    <n v="142"/>
    <x v="0"/>
    <n v="0.34791666666666665"/>
    <n v="1979"/>
  </r>
  <r>
    <x v="19"/>
    <x v="2710"/>
    <n v="149"/>
    <n v="128"/>
    <x v="5"/>
    <n v="21"/>
    <x v="0"/>
    <n v="0.26666666666666666"/>
    <n v="2872"/>
  </r>
  <r>
    <x v="19"/>
    <x v="2711"/>
    <n v="236"/>
    <n v="109"/>
    <x v="1"/>
    <n v="127"/>
    <x v="0"/>
    <n v="0.22708333333333333"/>
    <n v="3338"/>
  </r>
  <r>
    <x v="19"/>
    <x v="2712"/>
    <n v="154"/>
    <n v="98"/>
    <x v="4"/>
    <n v="56"/>
    <x v="1"/>
    <n v="0.20416666666666666"/>
    <n v="3574"/>
  </r>
  <r>
    <x v="19"/>
    <x v="2713"/>
    <n v="295"/>
    <n v="92"/>
    <x v="6"/>
    <n v="203"/>
    <x v="1"/>
    <n v="0.19166666666666668"/>
    <n v="3706"/>
  </r>
  <r>
    <x v="19"/>
    <x v="2714"/>
    <n v="156"/>
    <n v="156"/>
    <x v="2"/>
    <n v="0"/>
    <x v="0"/>
    <n v="0.32500000000000001"/>
    <n v="2251"/>
  </r>
  <r>
    <x v="19"/>
    <x v="2715"/>
    <n v="282"/>
    <n v="66"/>
    <x v="0"/>
    <n v="216"/>
    <x v="1"/>
    <n v="0.13750000000000001"/>
    <n v="4247"/>
  </r>
  <r>
    <x v="19"/>
    <x v="2716"/>
    <n v="305"/>
    <n v="60"/>
    <x v="1"/>
    <n v="245"/>
    <x v="1"/>
    <n v="0.125"/>
    <n v="4390"/>
  </r>
  <r>
    <x v="19"/>
    <x v="2717"/>
    <n v="191"/>
    <n v="164"/>
    <x v="4"/>
    <n v="27"/>
    <x v="0"/>
    <n v="0.34166666666666667"/>
    <n v="2049"/>
  </r>
  <r>
    <x v="19"/>
    <x v="2718"/>
    <n v="171"/>
    <n v="157"/>
    <x v="3"/>
    <n v="14"/>
    <x v="0"/>
    <n v="0.32708333333333334"/>
    <n v="2239"/>
  </r>
  <r>
    <x v="19"/>
    <x v="2719"/>
    <n v="119"/>
    <n v="62"/>
    <x v="3"/>
    <n v="57"/>
    <x v="1"/>
    <n v="0.12916666666666668"/>
    <n v="4343"/>
  </r>
  <r>
    <x v="19"/>
    <x v="2720"/>
    <n v="195"/>
    <n v="108"/>
    <x v="3"/>
    <n v="87"/>
    <x v="0"/>
    <n v="0.22500000000000001"/>
    <n v="3362"/>
  </r>
  <r>
    <x v="19"/>
    <x v="2721"/>
    <n v="221"/>
    <n v="83"/>
    <x v="6"/>
    <n v="138"/>
    <x v="1"/>
    <n v="0.17291666666666666"/>
    <n v="3892"/>
  </r>
  <r>
    <x v="19"/>
    <x v="2722"/>
    <n v="116"/>
    <n v="63"/>
    <x v="6"/>
    <n v="53"/>
    <x v="1"/>
    <n v="0.13125000000000001"/>
    <n v="4322"/>
  </r>
  <r>
    <x v="19"/>
    <x v="2723"/>
    <n v="135"/>
    <n v="112"/>
    <x v="2"/>
    <n v="23"/>
    <x v="0"/>
    <n v="0.23333333333333334"/>
    <n v="3267"/>
  </r>
  <r>
    <x v="19"/>
    <x v="2724"/>
    <n v="203"/>
    <n v="167"/>
    <x v="1"/>
    <n v="36"/>
    <x v="0"/>
    <n v="0.34791666666666665"/>
    <n v="1979"/>
  </r>
  <r>
    <x v="19"/>
    <x v="2725"/>
    <n v="148"/>
    <n v="95"/>
    <x v="3"/>
    <n v="53"/>
    <x v="1"/>
    <n v="0.19791666666666666"/>
    <n v="3634"/>
  </r>
  <r>
    <x v="19"/>
    <x v="2726"/>
    <n v="257"/>
    <n v="158"/>
    <x v="6"/>
    <n v="99"/>
    <x v="0"/>
    <n v="0.32916666666666666"/>
    <n v="2207"/>
  </r>
  <r>
    <x v="19"/>
    <x v="2727"/>
    <n v="137"/>
    <n v="93"/>
    <x v="3"/>
    <n v="44"/>
    <x v="1"/>
    <n v="0.19375000000000001"/>
    <n v="3678"/>
  </r>
  <r>
    <x v="19"/>
    <x v="2728"/>
    <n v="166"/>
    <n v="149"/>
    <x v="6"/>
    <n v="17"/>
    <x v="0"/>
    <n v="0.31041666666666667"/>
    <n v="2426"/>
  </r>
  <r>
    <x v="19"/>
    <x v="2729"/>
    <n v="156"/>
    <n v="138"/>
    <x v="6"/>
    <n v="18"/>
    <x v="0"/>
    <n v="0.28749999999999998"/>
    <n v="2660"/>
  </r>
  <r>
    <x v="19"/>
    <x v="2730"/>
    <n v="105"/>
    <n v="92"/>
    <x v="5"/>
    <n v="13"/>
    <x v="1"/>
    <n v="0.19166666666666668"/>
    <n v="3706"/>
  </r>
  <r>
    <x v="19"/>
    <x v="2731"/>
    <n v="239"/>
    <n v="77"/>
    <x v="3"/>
    <n v="162"/>
    <x v="1"/>
    <n v="0.16041666666666668"/>
    <n v="4006"/>
  </r>
  <r>
    <x v="19"/>
    <x v="2732"/>
    <n v="242"/>
    <n v="75"/>
    <x v="5"/>
    <n v="167"/>
    <x v="1"/>
    <n v="0.15625"/>
    <n v="4041"/>
  </r>
  <r>
    <x v="19"/>
    <x v="2733"/>
    <n v="158"/>
    <n v="75"/>
    <x v="5"/>
    <n v="83"/>
    <x v="1"/>
    <n v="0.15625"/>
    <n v="4041"/>
  </r>
  <r>
    <x v="19"/>
    <x v="2734"/>
    <n v="90"/>
    <n v="77"/>
    <x v="1"/>
    <n v="13"/>
    <x v="1"/>
    <n v="0.16041666666666668"/>
    <n v="4006"/>
  </r>
  <r>
    <x v="19"/>
    <x v="2735"/>
    <n v="186"/>
    <n v="97"/>
    <x v="4"/>
    <n v="89"/>
    <x v="1"/>
    <n v="0.20208333333333334"/>
    <n v="3593"/>
  </r>
  <r>
    <x v="19"/>
    <x v="2736"/>
    <n v="275"/>
    <n v="136"/>
    <x v="2"/>
    <n v="139"/>
    <x v="0"/>
    <n v="0.28333333333333333"/>
    <n v="2692"/>
  </r>
  <r>
    <x v="19"/>
    <x v="2737"/>
    <n v="244"/>
    <n v="156"/>
    <x v="0"/>
    <n v="88"/>
    <x v="0"/>
    <n v="0.32500000000000001"/>
    <n v="2251"/>
  </r>
  <r>
    <x v="19"/>
    <x v="2738"/>
    <n v="168"/>
    <n v="60"/>
    <x v="0"/>
    <n v="108"/>
    <x v="1"/>
    <n v="0.125"/>
    <n v="4390"/>
  </r>
  <r>
    <x v="19"/>
    <x v="2739"/>
    <n v="205"/>
    <n v="178"/>
    <x v="1"/>
    <n v="27"/>
    <x v="0"/>
    <n v="0.37083333333333335"/>
    <n v="1702"/>
  </r>
  <r>
    <x v="19"/>
    <x v="2740"/>
    <n v="258"/>
    <n v="140"/>
    <x v="5"/>
    <n v="118"/>
    <x v="0"/>
    <n v="0.29166666666666669"/>
    <n v="2627"/>
  </r>
  <r>
    <x v="19"/>
    <x v="2741"/>
    <n v="108"/>
    <n v="38"/>
    <x v="6"/>
    <n v="70"/>
    <x v="2"/>
    <n v="7.9166666666666663E-2"/>
    <n v="4845"/>
  </r>
  <r>
    <x v="19"/>
    <x v="2742"/>
    <n v="138"/>
    <n v="76"/>
    <x v="2"/>
    <n v="62"/>
    <x v="1"/>
    <n v="0.15833333333333333"/>
    <n v="4023"/>
  </r>
  <r>
    <x v="19"/>
    <x v="2743"/>
    <n v="231"/>
    <n v="129"/>
    <x v="0"/>
    <n v="102"/>
    <x v="0"/>
    <n v="0.26874999999999999"/>
    <n v="2852"/>
  </r>
  <r>
    <x v="19"/>
    <x v="2744"/>
    <n v="295"/>
    <n v="144"/>
    <x v="4"/>
    <n v="151"/>
    <x v="0"/>
    <n v="0.3"/>
    <n v="2550"/>
  </r>
  <r>
    <x v="19"/>
    <x v="2745"/>
    <n v="278"/>
    <n v="95"/>
    <x v="3"/>
    <n v="183"/>
    <x v="1"/>
    <n v="0.19791666666666666"/>
    <n v="3634"/>
  </r>
  <r>
    <x v="19"/>
    <x v="2746"/>
    <n v="200"/>
    <n v="178"/>
    <x v="3"/>
    <n v="22"/>
    <x v="0"/>
    <n v="0.37083333333333335"/>
    <n v="1702"/>
  </r>
  <r>
    <x v="19"/>
    <x v="2747"/>
    <n v="140"/>
    <n v="52"/>
    <x v="6"/>
    <n v="88"/>
    <x v="1"/>
    <n v="0.10833333333333334"/>
    <n v="4564"/>
  </r>
  <r>
    <x v="19"/>
    <x v="2748"/>
    <n v="93"/>
    <n v="44"/>
    <x v="4"/>
    <n v="49"/>
    <x v="2"/>
    <n v="9.166666666666666E-2"/>
    <n v="4732"/>
  </r>
  <r>
    <x v="19"/>
    <x v="2749"/>
    <n v="231"/>
    <n v="149"/>
    <x v="1"/>
    <n v="82"/>
    <x v="0"/>
    <n v="0.31041666666666667"/>
    <n v="2426"/>
  </r>
  <r>
    <x v="19"/>
    <x v="2750"/>
    <n v="234"/>
    <n v="108"/>
    <x v="2"/>
    <n v="126"/>
    <x v="0"/>
    <n v="0.22500000000000001"/>
    <n v="3362"/>
  </r>
  <r>
    <x v="19"/>
    <x v="2751"/>
    <n v="244"/>
    <n v="60"/>
    <x v="2"/>
    <n v="184"/>
    <x v="1"/>
    <n v="0.125"/>
    <n v="4390"/>
  </r>
  <r>
    <x v="19"/>
    <x v="2752"/>
    <n v="320"/>
    <n v="175"/>
    <x v="3"/>
    <n v="145"/>
    <x v="0"/>
    <n v="0.36458333333333331"/>
    <n v="1780"/>
  </r>
  <r>
    <x v="19"/>
    <x v="2753"/>
    <n v="80"/>
    <n v="47"/>
    <x v="3"/>
    <n v="33"/>
    <x v="2"/>
    <n v="9.7916666666666666E-2"/>
    <n v="4656"/>
  </r>
  <r>
    <x v="19"/>
    <x v="2754"/>
    <n v="268"/>
    <n v="68"/>
    <x v="4"/>
    <n v="200"/>
    <x v="1"/>
    <n v="0.14166666666666666"/>
    <n v="4204"/>
  </r>
  <r>
    <x v="19"/>
    <x v="2755"/>
    <n v="299"/>
    <n v="116"/>
    <x v="1"/>
    <n v="183"/>
    <x v="0"/>
    <n v="0.24166666666666667"/>
    <n v="3173"/>
  </r>
  <r>
    <x v="19"/>
    <x v="2756"/>
    <n v="135"/>
    <n v="68"/>
    <x v="5"/>
    <n v="67"/>
    <x v="1"/>
    <n v="0.14166666666666666"/>
    <n v="4204"/>
  </r>
  <r>
    <x v="19"/>
    <x v="2757"/>
    <n v="280"/>
    <n v="129"/>
    <x v="4"/>
    <n v="151"/>
    <x v="0"/>
    <n v="0.26874999999999999"/>
    <n v="2852"/>
  </r>
  <r>
    <x v="19"/>
    <x v="2758"/>
    <n v="147"/>
    <n v="123"/>
    <x v="2"/>
    <n v="24"/>
    <x v="0"/>
    <n v="0.25624999999999998"/>
    <n v="2983"/>
  </r>
  <r>
    <x v="19"/>
    <x v="2759"/>
    <n v="285"/>
    <n v="155"/>
    <x v="6"/>
    <n v="130"/>
    <x v="0"/>
    <n v="0.32291666666666669"/>
    <n v="2275"/>
  </r>
  <r>
    <x v="19"/>
    <x v="2760"/>
    <n v="180"/>
    <n v="88"/>
    <x v="0"/>
    <n v="92"/>
    <x v="1"/>
    <n v="0.18333333333333332"/>
    <n v="3792"/>
  </r>
  <r>
    <x v="19"/>
    <x v="2761"/>
    <n v="161"/>
    <n v="126"/>
    <x v="6"/>
    <n v="35"/>
    <x v="0"/>
    <n v="0.26250000000000001"/>
    <n v="2934"/>
  </r>
  <r>
    <x v="19"/>
    <x v="2762"/>
    <n v="172"/>
    <n v="137"/>
    <x v="6"/>
    <n v="35"/>
    <x v="0"/>
    <n v="0.28541666666666665"/>
    <n v="2677"/>
  </r>
  <r>
    <x v="19"/>
    <x v="2763"/>
    <n v="238"/>
    <n v="148"/>
    <x v="0"/>
    <n v="90"/>
    <x v="0"/>
    <n v="0.30833333333333335"/>
    <n v="2446"/>
  </r>
  <r>
    <x v="19"/>
    <x v="2764"/>
    <n v="182"/>
    <n v="100"/>
    <x v="3"/>
    <n v="82"/>
    <x v="1"/>
    <n v="0.20833333333333334"/>
    <n v="3535"/>
  </r>
  <r>
    <x v="19"/>
    <x v="2765"/>
    <n v="305"/>
    <n v="88"/>
    <x v="2"/>
    <n v="217"/>
    <x v="1"/>
    <n v="0.18333333333333332"/>
    <n v="3792"/>
  </r>
  <r>
    <x v="19"/>
    <x v="2766"/>
    <n v="236"/>
    <n v="149"/>
    <x v="5"/>
    <n v="87"/>
    <x v="0"/>
    <n v="0.31041666666666667"/>
    <n v="2426"/>
  </r>
  <r>
    <x v="19"/>
    <x v="2767"/>
    <n v="198"/>
    <n v="70"/>
    <x v="5"/>
    <n v="128"/>
    <x v="1"/>
    <n v="0.14583333333333334"/>
    <n v="4153"/>
  </r>
  <r>
    <x v="19"/>
    <x v="2768"/>
    <n v="149"/>
    <n v="119"/>
    <x v="4"/>
    <n v="30"/>
    <x v="0"/>
    <n v="0.24791666666666667"/>
    <n v="3093"/>
  </r>
  <r>
    <x v="19"/>
    <x v="2769"/>
    <n v="178"/>
    <n v="104"/>
    <x v="0"/>
    <n v="74"/>
    <x v="0"/>
    <n v="0.21666666666666667"/>
    <n v="3454"/>
  </r>
  <r>
    <x v="19"/>
    <x v="2770"/>
    <n v="131"/>
    <n v="32"/>
    <x v="4"/>
    <n v="99"/>
    <x v="2"/>
    <n v="6.6666666666666666E-2"/>
    <n v="4983"/>
  </r>
  <r>
    <x v="19"/>
    <x v="2771"/>
    <n v="99"/>
    <n v="87"/>
    <x v="5"/>
    <n v="12"/>
    <x v="1"/>
    <n v="0.18124999999999999"/>
    <n v="3813"/>
  </r>
  <r>
    <x v="19"/>
    <x v="2772"/>
    <n v="279"/>
    <n v="179"/>
    <x v="6"/>
    <n v="100"/>
    <x v="0"/>
    <n v="0.37291666666666667"/>
    <n v="1667"/>
  </r>
  <r>
    <x v="19"/>
    <x v="2773"/>
    <n v="220"/>
    <n v="79"/>
    <x v="0"/>
    <n v="141"/>
    <x v="1"/>
    <n v="0.16458333333333333"/>
    <n v="3967"/>
  </r>
  <r>
    <x v="19"/>
    <x v="2774"/>
    <n v="298"/>
    <n v="78"/>
    <x v="6"/>
    <n v="220"/>
    <x v="1"/>
    <n v="0.16250000000000001"/>
    <n v="3989"/>
  </r>
  <r>
    <x v="19"/>
    <x v="2775"/>
    <n v="141"/>
    <n v="70"/>
    <x v="6"/>
    <n v="71"/>
    <x v="1"/>
    <n v="0.14583333333333334"/>
    <n v="4153"/>
  </r>
  <r>
    <x v="19"/>
    <x v="2776"/>
    <n v="183"/>
    <n v="53"/>
    <x v="3"/>
    <n v="130"/>
    <x v="1"/>
    <n v="0.11041666666666666"/>
    <n v="4544"/>
  </r>
  <r>
    <x v="19"/>
    <x v="2777"/>
    <n v="310"/>
    <n v="126"/>
    <x v="1"/>
    <n v="184"/>
    <x v="0"/>
    <n v="0.26250000000000001"/>
    <n v="2934"/>
  </r>
  <r>
    <x v="19"/>
    <x v="2778"/>
    <n v="189"/>
    <n v="146"/>
    <x v="1"/>
    <n v="43"/>
    <x v="0"/>
    <n v="0.30416666666666664"/>
    <n v="2499"/>
  </r>
  <r>
    <x v="19"/>
    <x v="2779"/>
    <n v="193"/>
    <n v="130"/>
    <x v="0"/>
    <n v="63"/>
    <x v="0"/>
    <n v="0.27083333333333331"/>
    <n v="2832"/>
  </r>
  <r>
    <x v="19"/>
    <x v="2780"/>
    <n v="313"/>
    <n v="158"/>
    <x v="6"/>
    <n v="155"/>
    <x v="0"/>
    <n v="0.32916666666666666"/>
    <n v="2207"/>
  </r>
  <r>
    <x v="19"/>
    <x v="2781"/>
    <n v="195"/>
    <n v="181"/>
    <x v="1"/>
    <n v="14"/>
    <x v="0"/>
    <n v="0.37708333333333333"/>
    <n v="1609"/>
  </r>
  <r>
    <x v="19"/>
    <x v="2782"/>
    <n v="257"/>
    <n v="81"/>
    <x v="3"/>
    <n v="176"/>
    <x v="1"/>
    <n v="0.16875000000000001"/>
    <n v="3923"/>
  </r>
  <r>
    <x v="19"/>
    <x v="2783"/>
    <n v="210"/>
    <n v="30"/>
    <x v="0"/>
    <n v="180"/>
    <x v="2"/>
    <n v="6.25E-2"/>
    <n v="5042"/>
  </r>
  <r>
    <x v="19"/>
    <x v="2784"/>
    <n v="212"/>
    <n v="162"/>
    <x v="3"/>
    <n v="50"/>
    <x v="0"/>
    <n v="0.33750000000000002"/>
    <n v="2106"/>
  </r>
  <r>
    <x v="19"/>
    <x v="2785"/>
    <n v="195"/>
    <n v="126"/>
    <x v="1"/>
    <n v="69"/>
    <x v="0"/>
    <n v="0.26250000000000001"/>
    <n v="2934"/>
  </r>
  <r>
    <x v="19"/>
    <x v="2786"/>
    <n v="201"/>
    <n v="175"/>
    <x v="4"/>
    <n v="26"/>
    <x v="0"/>
    <n v="0.36458333333333331"/>
    <n v="1780"/>
  </r>
  <r>
    <x v="19"/>
    <x v="2787"/>
    <n v="259"/>
    <n v="86"/>
    <x v="4"/>
    <n v="173"/>
    <x v="1"/>
    <n v="0.17916666666666667"/>
    <n v="3830"/>
  </r>
  <r>
    <x v="19"/>
    <x v="2788"/>
    <n v="119"/>
    <n v="32"/>
    <x v="0"/>
    <n v="87"/>
    <x v="2"/>
    <n v="6.6666666666666666E-2"/>
    <n v="4983"/>
  </r>
  <r>
    <x v="19"/>
    <x v="2789"/>
    <n v="243"/>
    <n v="121"/>
    <x v="3"/>
    <n v="122"/>
    <x v="0"/>
    <n v="0.25208333333333333"/>
    <n v="3037"/>
  </r>
  <r>
    <x v="19"/>
    <x v="2790"/>
    <n v="247"/>
    <n v="127"/>
    <x v="6"/>
    <n v="120"/>
    <x v="0"/>
    <n v="0.26458333333333334"/>
    <n v="2909"/>
  </r>
  <r>
    <x v="19"/>
    <x v="2791"/>
    <n v="188"/>
    <n v="37"/>
    <x v="3"/>
    <n v="151"/>
    <x v="2"/>
    <n v="7.7083333333333337E-2"/>
    <n v="4863"/>
  </r>
  <r>
    <x v="19"/>
    <x v="2792"/>
    <n v="171"/>
    <n v="170"/>
    <x v="3"/>
    <n v="1"/>
    <x v="0"/>
    <n v="0.35416666666666669"/>
    <n v="1898"/>
  </r>
  <r>
    <x v="19"/>
    <x v="2793"/>
    <n v="180"/>
    <n v="129"/>
    <x v="3"/>
    <n v="51"/>
    <x v="0"/>
    <n v="0.26874999999999999"/>
    <n v="2852"/>
  </r>
  <r>
    <x v="19"/>
    <x v="2794"/>
    <n v="216"/>
    <n v="125"/>
    <x v="4"/>
    <n v="91"/>
    <x v="0"/>
    <n v="0.26041666666666669"/>
    <n v="2951"/>
  </r>
  <r>
    <x v="19"/>
    <x v="2795"/>
    <n v="304"/>
    <n v="186"/>
    <x v="1"/>
    <n v="118"/>
    <x v="0"/>
    <n v="0.38750000000000001"/>
    <n v="1478"/>
  </r>
  <r>
    <x v="19"/>
    <x v="2796"/>
    <n v="209"/>
    <n v="91"/>
    <x v="6"/>
    <n v="118"/>
    <x v="1"/>
    <n v="0.18958333333333333"/>
    <n v="3726"/>
  </r>
  <r>
    <x v="19"/>
    <x v="2797"/>
    <n v="298"/>
    <n v="178"/>
    <x v="4"/>
    <n v="120"/>
    <x v="0"/>
    <n v="0.37083333333333335"/>
    <n v="1702"/>
  </r>
  <r>
    <x v="19"/>
    <x v="2798"/>
    <n v="217"/>
    <n v="184"/>
    <x v="3"/>
    <n v="33"/>
    <x v="0"/>
    <n v="0.38333333333333336"/>
    <n v="1544"/>
  </r>
  <r>
    <x v="19"/>
    <x v="2799"/>
    <n v="159"/>
    <n v="84"/>
    <x v="5"/>
    <n v="75"/>
    <x v="1"/>
    <n v="0.17499999999999999"/>
    <n v="3872"/>
  </r>
  <r>
    <x v="19"/>
    <x v="2800"/>
    <n v="132"/>
    <n v="53"/>
    <x v="0"/>
    <n v="79"/>
    <x v="1"/>
    <n v="0.11041666666666666"/>
    <n v="4544"/>
  </r>
  <r>
    <x v="19"/>
    <x v="2801"/>
    <n v="261"/>
    <n v="186"/>
    <x v="3"/>
    <n v="75"/>
    <x v="0"/>
    <n v="0.38750000000000001"/>
    <n v="1478"/>
  </r>
  <r>
    <x v="19"/>
    <x v="2802"/>
    <n v="241"/>
    <n v="167"/>
    <x v="1"/>
    <n v="74"/>
    <x v="0"/>
    <n v="0.34791666666666665"/>
    <n v="1979"/>
  </r>
  <r>
    <x v="19"/>
    <x v="2803"/>
    <n v="169"/>
    <n v="167"/>
    <x v="2"/>
    <n v="2"/>
    <x v="0"/>
    <n v="0.34791666666666665"/>
    <n v="1979"/>
  </r>
  <r>
    <x v="19"/>
    <x v="2804"/>
    <n v="62"/>
    <n v="54"/>
    <x v="3"/>
    <n v="8"/>
    <x v="1"/>
    <n v="0.1125"/>
    <n v="4523"/>
  </r>
  <r>
    <x v="19"/>
    <x v="2805"/>
    <n v="77"/>
    <n v="31"/>
    <x v="0"/>
    <n v="46"/>
    <x v="2"/>
    <n v="6.458333333333334E-2"/>
    <n v="5016"/>
  </r>
  <r>
    <x v="19"/>
    <x v="2806"/>
    <n v="291"/>
    <n v="171"/>
    <x v="2"/>
    <n v="120"/>
    <x v="0"/>
    <n v="0.35625000000000001"/>
    <n v="1866"/>
  </r>
  <r>
    <x v="20"/>
    <x v="2807"/>
    <n v="124"/>
    <n v="57"/>
    <x v="3"/>
    <n v="67"/>
    <x v="1"/>
    <n v="0.11874999999999999"/>
    <n v="4452"/>
  </r>
  <r>
    <x v="20"/>
    <x v="2808"/>
    <n v="298"/>
    <n v="57"/>
    <x v="0"/>
    <n v="241"/>
    <x v="1"/>
    <n v="0.11874999999999999"/>
    <n v="4452"/>
  </r>
  <r>
    <x v="20"/>
    <x v="2809"/>
    <n v="202"/>
    <n v="122"/>
    <x v="0"/>
    <n v="80"/>
    <x v="0"/>
    <n v="0.25416666666666665"/>
    <n v="3013"/>
  </r>
  <r>
    <x v="20"/>
    <x v="2810"/>
    <n v="210"/>
    <n v="91"/>
    <x v="1"/>
    <n v="119"/>
    <x v="1"/>
    <n v="0.18958333333333333"/>
    <n v="3726"/>
  </r>
  <r>
    <x v="20"/>
    <x v="2811"/>
    <n v="176"/>
    <n v="124"/>
    <x v="4"/>
    <n v="52"/>
    <x v="0"/>
    <n v="0.25833333333333336"/>
    <n v="2971"/>
  </r>
  <r>
    <x v="20"/>
    <x v="2812"/>
    <n v="188"/>
    <n v="91"/>
    <x v="5"/>
    <n v="97"/>
    <x v="1"/>
    <n v="0.18958333333333333"/>
    <n v="3726"/>
  </r>
  <r>
    <x v="20"/>
    <x v="2813"/>
    <n v="214"/>
    <n v="184"/>
    <x v="6"/>
    <n v="30"/>
    <x v="0"/>
    <n v="0.38333333333333336"/>
    <n v="1544"/>
  </r>
  <r>
    <x v="20"/>
    <x v="2814"/>
    <n v="179"/>
    <n v="113"/>
    <x v="3"/>
    <n v="66"/>
    <x v="0"/>
    <n v="0.23541666666666666"/>
    <n v="3243"/>
  </r>
  <r>
    <x v="20"/>
    <x v="2815"/>
    <n v="214"/>
    <n v="185"/>
    <x v="5"/>
    <n v="29"/>
    <x v="0"/>
    <n v="0.38541666666666669"/>
    <n v="1517"/>
  </r>
  <r>
    <x v="20"/>
    <x v="2816"/>
    <n v="258"/>
    <n v="108"/>
    <x v="5"/>
    <n v="150"/>
    <x v="0"/>
    <n v="0.22500000000000001"/>
    <n v="3362"/>
  </r>
  <r>
    <x v="20"/>
    <x v="2817"/>
    <n v="207"/>
    <n v="133"/>
    <x v="3"/>
    <n v="74"/>
    <x v="0"/>
    <n v="0.27708333333333335"/>
    <n v="2758"/>
  </r>
  <r>
    <x v="20"/>
    <x v="2818"/>
    <n v="170"/>
    <n v="68"/>
    <x v="0"/>
    <n v="102"/>
    <x v="1"/>
    <n v="0.14166666666666666"/>
    <n v="4204"/>
  </r>
  <r>
    <x v="20"/>
    <x v="2819"/>
    <n v="285"/>
    <n v="69"/>
    <x v="1"/>
    <n v="216"/>
    <x v="1"/>
    <n v="0.14374999999999999"/>
    <n v="4186"/>
  </r>
  <r>
    <x v="20"/>
    <x v="2820"/>
    <n v="240"/>
    <n v="43"/>
    <x v="6"/>
    <n v="197"/>
    <x v="2"/>
    <n v="8.9583333333333334E-2"/>
    <n v="4752"/>
  </r>
  <r>
    <x v="20"/>
    <x v="2821"/>
    <n v="296"/>
    <n v="175"/>
    <x v="0"/>
    <n v="121"/>
    <x v="0"/>
    <n v="0.36458333333333331"/>
    <n v="1780"/>
  </r>
  <r>
    <x v="20"/>
    <x v="2822"/>
    <n v="286"/>
    <n v="150"/>
    <x v="6"/>
    <n v="136"/>
    <x v="0"/>
    <n v="0.3125"/>
    <n v="2400"/>
  </r>
  <r>
    <x v="20"/>
    <x v="2823"/>
    <n v="298"/>
    <n v="138"/>
    <x v="2"/>
    <n v="160"/>
    <x v="0"/>
    <n v="0.28749999999999998"/>
    <n v="2660"/>
  </r>
  <r>
    <x v="20"/>
    <x v="2824"/>
    <n v="295"/>
    <n v="70"/>
    <x v="1"/>
    <n v="225"/>
    <x v="1"/>
    <n v="0.14583333333333334"/>
    <n v="4153"/>
  </r>
  <r>
    <x v="20"/>
    <x v="2825"/>
    <n v="276"/>
    <n v="46"/>
    <x v="5"/>
    <n v="230"/>
    <x v="2"/>
    <n v="9.583333333333334E-2"/>
    <n v="4680"/>
  </r>
  <r>
    <x v="20"/>
    <x v="2826"/>
    <n v="214"/>
    <n v="46"/>
    <x v="2"/>
    <n v="168"/>
    <x v="2"/>
    <n v="9.583333333333334E-2"/>
    <n v="4680"/>
  </r>
  <r>
    <x v="20"/>
    <x v="2827"/>
    <n v="246"/>
    <n v="81"/>
    <x v="0"/>
    <n v="165"/>
    <x v="1"/>
    <n v="0.16875000000000001"/>
    <n v="3923"/>
  </r>
  <r>
    <x v="20"/>
    <x v="2828"/>
    <n v="257"/>
    <n v="31"/>
    <x v="2"/>
    <n v="226"/>
    <x v="2"/>
    <n v="6.458333333333334E-2"/>
    <n v="5016"/>
  </r>
  <r>
    <x v="20"/>
    <x v="2829"/>
    <n v="105"/>
    <n v="90"/>
    <x v="6"/>
    <n v="15"/>
    <x v="1"/>
    <n v="0.1875"/>
    <n v="3750"/>
  </r>
  <r>
    <x v="20"/>
    <x v="2830"/>
    <n v="183"/>
    <n v="126"/>
    <x v="1"/>
    <n v="57"/>
    <x v="0"/>
    <n v="0.26250000000000001"/>
    <n v="2934"/>
  </r>
  <r>
    <x v="20"/>
    <x v="2831"/>
    <n v="221"/>
    <n v="64"/>
    <x v="6"/>
    <n v="157"/>
    <x v="1"/>
    <n v="0.13333333333333333"/>
    <n v="4293"/>
  </r>
  <r>
    <x v="20"/>
    <x v="2832"/>
    <n v="169"/>
    <n v="69"/>
    <x v="2"/>
    <n v="100"/>
    <x v="1"/>
    <n v="0.14374999999999999"/>
    <n v="4186"/>
  </r>
  <r>
    <x v="20"/>
    <x v="2833"/>
    <n v="256"/>
    <n v="44"/>
    <x v="3"/>
    <n v="212"/>
    <x v="2"/>
    <n v="9.166666666666666E-2"/>
    <n v="4732"/>
  </r>
  <r>
    <x v="20"/>
    <x v="2834"/>
    <n v="314"/>
    <n v="145"/>
    <x v="4"/>
    <n v="169"/>
    <x v="0"/>
    <n v="0.30208333333333331"/>
    <n v="2526"/>
  </r>
  <r>
    <x v="20"/>
    <x v="2835"/>
    <n v="173"/>
    <n v="142"/>
    <x v="3"/>
    <n v="31"/>
    <x v="0"/>
    <n v="0.29583333333333334"/>
    <n v="2585"/>
  </r>
  <r>
    <x v="20"/>
    <x v="2836"/>
    <n v="290"/>
    <n v="166"/>
    <x v="0"/>
    <n v="124"/>
    <x v="0"/>
    <n v="0.34583333333333333"/>
    <n v="2007"/>
  </r>
  <r>
    <x v="20"/>
    <x v="2837"/>
    <n v="150"/>
    <n v="68"/>
    <x v="1"/>
    <n v="82"/>
    <x v="1"/>
    <n v="0.14166666666666666"/>
    <n v="4204"/>
  </r>
  <r>
    <x v="20"/>
    <x v="2838"/>
    <n v="220"/>
    <n v="102"/>
    <x v="2"/>
    <n v="118"/>
    <x v="0"/>
    <n v="0.21249999999999999"/>
    <n v="3493"/>
  </r>
  <r>
    <x v="20"/>
    <x v="2839"/>
    <n v="230"/>
    <n v="173"/>
    <x v="4"/>
    <n v="57"/>
    <x v="0"/>
    <n v="0.36041666666666666"/>
    <n v="1826"/>
  </r>
  <r>
    <x v="20"/>
    <x v="2840"/>
    <n v="306"/>
    <n v="87"/>
    <x v="3"/>
    <n v="219"/>
    <x v="1"/>
    <n v="0.18124999999999999"/>
    <n v="3813"/>
  </r>
  <r>
    <x v="20"/>
    <x v="2841"/>
    <n v="157"/>
    <n v="129"/>
    <x v="0"/>
    <n v="28"/>
    <x v="0"/>
    <n v="0.26874999999999999"/>
    <n v="2852"/>
  </r>
  <r>
    <x v="20"/>
    <x v="2842"/>
    <n v="232"/>
    <n v="140"/>
    <x v="3"/>
    <n v="92"/>
    <x v="0"/>
    <n v="0.29166666666666669"/>
    <n v="2627"/>
  </r>
  <r>
    <x v="20"/>
    <x v="2843"/>
    <n v="229"/>
    <n v="187"/>
    <x v="4"/>
    <n v="42"/>
    <x v="0"/>
    <n v="0.38958333333333334"/>
    <n v="1455"/>
  </r>
  <r>
    <x v="20"/>
    <x v="2844"/>
    <n v="311"/>
    <n v="140"/>
    <x v="4"/>
    <n v="171"/>
    <x v="0"/>
    <n v="0.29166666666666669"/>
    <n v="2627"/>
  </r>
  <r>
    <x v="20"/>
    <x v="2845"/>
    <n v="213"/>
    <n v="51"/>
    <x v="3"/>
    <n v="162"/>
    <x v="1"/>
    <n v="0.10625"/>
    <n v="4578"/>
  </r>
  <r>
    <x v="20"/>
    <x v="2846"/>
    <n v="156"/>
    <n v="135"/>
    <x v="5"/>
    <n v="21"/>
    <x v="0"/>
    <n v="0.28125"/>
    <n v="2714"/>
  </r>
  <r>
    <x v="20"/>
    <x v="2847"/>
    <n v="260"/>
    <n v="189"/>
    <x v="1"/>
    <n v="71"/>
    <x v="0"/>
    <n v="0.39374999999999999"/>
    <n v="1395"/>
  </r>
  <r>
    <x v="20"/>
    <x v="2848"/>
    <n v="235"/>
    <n v="134"/>
    <x v="6"/>
    <n v="101"/>
    <x v="0"/>
    <n v="0.27916666666666667"/>
    <n v="2740"/>
  </r>
  <r>
    <x v="20"/>
    <x v="2849"/>
    <n v="122"/>
    <n v="117"/>
    <x v="5"/>
    <n v="5"/>
    <x v="0"/>
    <n v="0.24374999999999999"/>
    <n v="3144"/>
  </r>
  <r>
    <x v="20"/>
    <x v="2850"/>
    <n v="308"/>
    <n v="35"/>
    <x v="3"/>
    <n v="273"/>
    <x v="2"/>
    <n v="7.2916666666666671E-2"/>
    <n v="4916"/>
  </r>
  <r>
    <x v="20"/>
    <x v="2851"/>
    <n v="234"/>
    <n v="115"/>
    <x v="3"/>
    <n v="119"/>
    <x v="0"/>
    <n v="0.23958333333333334"/>
    <n v="3206"/>
  </r>
  <r>
    <x v="20"/>
    <x v="2852"/>
    <n v="215"/>
    <n v="37"/>
    <x v="2"/>
    <n v="178"/>
    <x v="2"/>
    <n v="7.7083333333333337E-2"/>
    <n v="4863"/>
  </r>
  <r>
    <x v="20"/>
    <x v="2853"/>
    <n v="232"/>
    <n v="108"/>
    <x v="2"/>
    <n v="124"/>
    <x v="0"/>
    <n v="0.22500000000000001"/>
    <n v="3362"/>
  </r>
  <r>
    <x v="20"/>
    <x v="2854"/>
    <n v="263"/>
    <n v="135"/>
    <x v="4"/>
    <n v="128"/>
    <x v="0"/>
    <n v="0.28125"/>
    <n v="2714"/>
  </r>
  <r>
    <x v="20"/>
    <x v="2855"/>
    <n v="192"/>
    <n v="57"/>
    <x v="0"/>
    <n v="135"/>
    <x v="1"/>
    <n v="0.11874999999999999"/>
    <n v="4452"/>
  </r>
  <r>
    <x v="20"/>
    <x v="2856"/>
    <n v="262"/>
    <n v="189"/>
    <x v="3"/>
    <n v="73"/>
    <x v="0"/>
    <n v="0.39374999999999999"/>
    <n v="1395"/>
  </r>
  <r>
    <x v="20"/>
    <x v="2857"/>
    <n v="316"/>
    <n v="131"/>
    <x v="3"/>
    <n v="185"/>
    <x v="0"/>
    <n v="0.27291666666666664"/>
    <n v="2815"/>
  </r>
  <r>
    <x v="20"/>
    <x v="2858"/>
    <n v="131"/>
    <n v="96"/>
    <x v="6"/>
    <n v="35"/>
    <x v="1"/>
    <n v="0.2"/>
    <n v="3616"/>
  </r>
  <r>
    <x v="20"/>
    <x v="2859"/>
    <n v="237"/>
    <n v="156"/>
    <x v="4"/>
    <n v="81"/>
    <x v="0"/>
    <n v="0.32500000000000001"/>
    <n v="2251"/>
  </r>
  <r>
    <x v="20"/>
    <x v="2860"/>
    <n v="168"/>
    <n v="96"/>
    <x v="1"/>
    <n v="72"/>
    <x v="1"/>
    <n v="0.2"/>
    <n v="3616"/>
  </r>
  <r>
    <x v="20"/>
    <x v="2861"/>
    <n v="199"/>
    <n v="114"/>
    <x v="1"/>
    <n v="85"/>
    <x v="0"/>
    <n v="0.23749999999999999"/>
    <n v="3226"/>
  </r>
  <r>
    <x v="20"/>
    <x v="2862"/>
    <n v="307"/>
    <n v="92"/>
    <x v="5"/>
    <n v="215"/>
    <x v="1"/>
    <n v="0.19166666666666668"/>
    <n v="3706"/>
  </r>
  <r>
    <x v="20"/>
    <x v="2863"/>
    <n v="242"/>
    <n v="132"/>
    <x v="3"/>
    <n v="110"/>
    <x v="0"/>
    <n v="0.27500000000000002"/>
    <n v="2792"/>
  </r>
  <r>
    <x v="20"/>
    <x v="2864"/>
    <n v="257"/>
    <n v="122"/>
    <x v="0"/>
    <n v="135"/>
    <x v="0"/>
    <n v="0.25416666666666665"/>
    <n v="3013"/>
  </r>
  <r>
    <x v="20"/>
    <x v="2865"/>
    <n v="192"/>
    <n v="131"/>
    <x v="4"/>
    <n v="61"/>
    <x v="0"/>
    <n v="0.27291666666666664"/>
    <n v="2815"/>
  </r>
  <r>
    <x v="20"/>
    <x v="2866"/>
    <n v="294"/>
    <n v="188"/>
    <x v="5"/>
    <n v="106"/>
    <x v="0"/>
    <n v="0.39166666666666666"/>
    <n v="1423"/>
  </r>
  <r>
    <x v="20"/>
    <x v="2867"/>
    <n v="273"/>
    <n v="70"/>
    <x v="1"/>
    <n v="203"/>
    <x v="1"/>
    <n v="0.14583333333333334"/>
    <n v="4153"/>
  </r>
  <r>
    <x v="20"/>
    <x v="2868"/>
    <n v="242"/>
    <n v="117"/>
    <x v="0"/>
    <n v="125"/>
    <x v="0"/>
    <n v="0.24374999999999999"/>
    <n v="3144"/>
  </r>
  <r>
    <x v="20"/>
    <x v="2869"/>
    <n v="246"/>
    <n v="176"/>
    <x v="6"/>
    <n v="70"/>
    <x v="0"/>
    <n v="0.36666666666666664"/>
    <n v="1754"/>
  </r>
  <r>
    <x v="20"/>
    <x v="2870"/>
    <n v="211"/>
    <n v="150"/>
    <x v="6"/>
    <n v="61"/>
    <x v="0"/>
    <n v="0.3125"/>
    <n v="2400"/>
  </r>
  <r>
    <x v="20"/>
    <x v="2871"/>
    <n v="178"/>
    <n v="151"/>
    <x v="0"/>
    <n v="27"/>
    <x v="0"/>
    <n v="0.31458333333333333"/>
    <n v="2376"/>
  </r>
  <r>
    <x v="20"/>
    <x v="2872"/>
    <n v="182"/>
    <n v="174"/>
    <x v="1"/>
    <n v="8"/>
    <x v="0"/>
    <n v="0.36249999999999999"/>
    <n v="1803"/>
  </r>
  <r>
    <x v="20"/>
    <x v="2873"/>
    <n v="315"/>
    <n v="144"/>
    <x v="0"/>
    <n v="171"/>
    <x v="0"/>
    <n v="0.3"/>
    <n v="2550"/>
  </r>
  <r>
    <x v="20"/>
    <x v="2874"/>
    <n v="219"/>
    <n v="123"/>
    <x v="2"/>
    <n v="96"/>
    <x v="0"/>
    <n v="0.25624999999999998"/>
    <n v="2983"/>
  </r>
  <r>
    <x v="20"/>
    <x v="2875"/>
    <n v="234"/>
    <n v="130"/>
    <x v="4"/>
    <n v="104"/>
    <x v="0"/>
    <n v="0.27083333333333331"/>
    <n v="2832"/>
  </r>
  <r>
    <x v="20"/>
    <x v="2876"/>
    <n v="253"/>
    <n v="180"/>
    <x v="1"/>
    <n v="73"/>
    <x v="0"/>
    <n v="0.375"/>
    <n v="1635"/>
  </r>
  <r>
    <x v="20"/>
    <x v="2877"/>
    <n v="299"/>
    <n v="91"/>
    <x v="5"/>
    <n v="208"/>
    <x v="1"/>
    <n v="0.18958333333333333"/>
    <n v="3726"/>
  </r>
  <r>
    <x v="20"/>
    <x v="2878"/>
    <n v="155"/>
    <n v="94"/>
    <x v="5"/>
    <n v="61"/>
    <x v="1"/>
    <n v="0.19583333333333333"/>
    <n v="3654"/>
  </r>
  <r>
    <x v="20"/>
    <x v="2879"/>
    <n v="40"/>
    <n v="40"/>
    <x v="3"/>
    <n v="0"/>
    <x v="2"/>
    <n v="8.3333333333333329E-2"/>
    <n v="4808"/>
  </r>
  <r>
    <x v="20"/>
    <x v="2880"/>
    <n v="317"/>
    <n v="37"/>
    <x v="2"/>
    <n v="280"/>
    <x v="2"/>
    <n v="7.7083333333333337E-2"/>
    <n v="4863"/>
  </r>
  <r>
    <x v="20"/>
    <x v="2881"/>
    <n v="244"/>
    <n v="63"/>
    <x v="3"/>
    <n v="181"/>
    <x v="1"/>
    <n v="0.13125000000000001"/>
    <n v="4322"/>
  </r>
  <r>
    <x v="20"/>
    <x v="2882"/>
    <n v="319"/>
    <n v="151"/>
    <x v="1"/>
    <n v="168"/>
    <x v="0"/>
    <n v="0.31458333333333333"/>
    <n v="2376"/>
  </r>
  <r>
    <x v="20"/>
    <x v="2883"/>
    <n v="236"/>
    <n v="142"/>
    <x v="1"/>
    <n v="94"/>
    <x v="0"/>
    <n v="0.29583333333333334"/>
    <n v="2585"/>
  </r>
  <r>
    <x v="20"/>
    <x v="2884"/>
    <n v="118"/>
    <n v="116"/>
    <x v="6"/>
    <n v="2"/>
    <x v="0"/>
    <n v="0.24166666666666667"/>
    <n v="3173"/>
  </r>
  <r>
    <x v="20"/>
    <x v="2885"/>
    <n v="54"/>
    <n v="43"/>
    <x v="1"/>
    <n v="11"/>
    <x v="2"/>
    <n v="8.9583333333333334E-2"/>
    <n v="4752"/>
  </r>
  <r>
    <x v="20"/>
    <x v="2886"/>
    <n v="195"/>
    <n v="177"/>
    <x v="2"/>
    <n v="18"/>
    <x v="0"/>
    <n v="0.36875000000000002"/>
    <n v="1733"/>
  </r>
  <r>
    <x v="20"/>
    <x v="2887"/>
    <n v="199"/>
    <n v="70"/>
    <x v="1"/>
    <n v="129"/>
    <x v="1"/>
    <n v="0.14583333333333334"/>
    <n v="4153"/>
  </r>
  <r>
    <x v="20"/>
    <x v="2888"/>
    <n v="194"/>
    <n v="102"/>
    <x v="0"/>
    <n v="92"/>
    <x v="0"/>
    <n v="0.21249999999999999"/>
    <n v="3493"/>
  </r>
  <r>
    <x v="20"/>
    <x v="2889"/>
    <n v="313"/>
    <n v="168"/>
    <x v="4"/>
    <n v="145"/>
    <x v="0"/>
    <n v="0.35"/>
    <n v="1954"/>
  </r>
  <r>
    <x v="20"/>
    <x v="2890"/>
    <n v="239"/>
    <n v="148"/>
    <x v="5"/>
    <n v="91"/>
    <x v="0"/>
    <n v="0.30833333333333335"/>
    <n v="2446"/>
  </r>
  <r>
    <x v="20"/>
    <x v="2891"/>
    <n v="190"/>
    <n v="146"/>
    <x v="1"/>
    <n v="44"/>
    <x v="0"/>
    <n v="0.30416666666666664"/>
    <n v="2499"/>
  </r>
  <r>
    <x v="20"/>
    <x v="2892"/>
    <n v="290"/>
    <n v="148"/>
    <x v="1"/>
    <n v="142"/>
    <x v="0"/>
    <n v="0.30833333333333335"/>
    <n v="2446"/>
  </r>
  <r>
    <x v="20"/>
    <x v="2893"/>
    <n v="217"/>
    <n v="32"/>
    <x v="4"/>
    <n v="185"/>
    <x v="2"/>
    <n v="6.6666666666666666E-2"/>
    <n v="4983"/>
  </r>
  <r>
    <x v="20"/>
    <x v="2894"/>
    <n v="292"/>
    <n v="158"/>
    <x v="4"/>
    <n v="134"/>
    <x v="0"/>
    <n v="0.32916666666666666"/>
    <n v="2207"/>
  </r>
  <r>
    <x v="20"/>
    <x v="2895"/>
    <n v="170"/>
    <n v="82"/>
    <x v="0"/>
    <n v="88"/>
    <x v="1"/>
    <n v="0.17083333333333334"/>
    <n v="3904"/>
  </r>
  <r>
    <x v="20"/>
    <x v="2896"/>
    <n v="290"/>
    <n v="171"/>
    <x v="5"/>
    <n v="119"/>
    <x v="0"/>
    <n v="0.35625000000000001"/>
    <n v="1866"/>
  </r>
  <r>
    <x v="20"/>
    <x v="2897"/>
    <n v="94"/>
    <n v="90"/>
    <x v="5"/>
    <n v="4"/>
    <x v="1"/>
    <n v="0.1875"/>
    <n v="3750"/>
  </r>
  <r>
    <x v="20"/>
    <x v="2898"/>
    <n v="203"/>
    <n v="186"/>
    <x v="2"/>
    <n v="17"/>
    <x v="0"/>
    <n v="0.38750000000000001"/>
    <n v="1478"/>
  </r>
  <r>
    <x v="20"/>
    <x v="2899"/>
    <n v="183"/>
    <n v="87"/>
    <x v="4"/>
    <n v="96"/>
    <x v="1"/>
    <n v="0.18124999999999999"/>
    <n v="3813"/>
  </r>
  <r>
    <x v="20"/>
    <x v="2900"/>
    <n v="200"/>
    <n v="91"/>
    <x v="1"/>
    <n v="109"/>
    <x v="1"/>
    <n v="0.18958333333333333"/>
    <n v="3726"/>
  </r>
  <r>
    <x v="20"/>
    <x v="2901"/>
    <n v="241"/>
    <n v="137"/>
    <x v="4"/>
    <n v="104"/>
    <x v="0"/>
    <n v="0.28541666666666665"/>
    <n v="2677"/>
  </r>
  <r>
    <x v="20"/>
    <x v="2902"/>
    <n v="168"/>
    <n v="92"/>
    <x v="6"/>
    <n v="76"/>
    <x v="1"/>
    <n v="0.19166666666666668"/>
    <n v="3706"/>
  </r>
  <r>
    <x v="20"/>
    <x v="2903"/>
    <n v="308"/>
    <n v="173"/>
    <x v="1"/>
    <n v="135"/>
    <x v="0"/>
    <n v="0.36041666666666666"/>
    <n v="1826"/>
  </r>
  <r>
    <x v="20"/>
    <x v="2904"/>
    <n v="74"/>
    <n v="48"/>
    <x v="6"/>
    <n v="26"/>
    <x v="2"/>
    <n v="0.1"/>
    <n v="4638"/>
  </r>
  <r>
    <x v="20"/>
    <x v="2905"/>
    <n v="188"/>
    <n v="109"/>
    <x v="3"/>
    <n v="79"/>
    <x v="0"/>
    <n v="0.22708333333333333"/>
    <n v="3338"/>
  </r>
  <r>
    <x v="20"/>
    <x v="2906"/>
    <n v="179"/>
    <n v="113"/>
    <x v="0"/>
    <n v="66"/>
    <x v="0"/>
    <n v="0.23541666666666666"/>
    <n v="3243"/>
  </r>
  <r>
    <x v="20"/>
    <x v="2907"/>
    <n v="319"/>
    <n v="129"/>
    <x v="0"/>
    <n v="190"/>
    <x v="0"/>
    <n v="0.26874999999999999"/>
    <n v="2852"/>
  </r>
  <r>
    <x v="20"/>
    <x v="2908"/>
    <n v="287"/>
    <n v="140"/>
    <x v="5"/>
    <n v="147"/>
    <x v="0"/>
    <n v="0.29166666666666669"/>
    <n v="2627"/>
  </r>
  <r>
    <x v="20"/>
    <x v="2909"/>
    <n v="276"/>
    <n v="173"/>
    <x v="0"/>
    <n v="103"/>
    <x v="0"/>
    <n v="0.36041666666666666"/>
    <n v="1826"/>
  </r>
  <r>
    <x v="20"/>
    <x v="2910"/>
    <n v="245"/>
    <n v="177"/>
    <x v="5"/>
    <n v="68"/>
    <x v="0"/>
    <n v="0.36875000000000002"/>
    <n v="1733"/>
  </r>
  <r>
    <x v="20"/>
    <x v="2911"/>
    <n v="128"/>
    <n v="68"/>
    <x v="3"/>
    <n v="60"/>
    <x v="1"/>
    <n v="0.14166666666666666"/>
    <n v="4204"/>
  </r>
  <r>
    <x v="20"/>
    <x v="2912"/>
    <n v="292"/>
    <n v="39"/>
    <x v="0"/>
    <n v="253"/>
    <x v="2"/>
    <n v="8.1250000000000003E-2"/>
    <n v="4829"/>
  </r>
  <r>
    <x v="20"/>
    <x v="2913"/>
    <n v="144"/>
    <n v="75"/>
    <x v="4"/>
    <n v="69"/>
    <x v="1"/>
    <n v="0.15625"/>
    <n v="4041"/>
  </r>
  <r>
    <x v="20"/>
    <x v="2914"/>
    <n v="199"/>
    <n v="131"/>
    <x v="4"/>
    <n v="68"/>
    <x v="0"/>
    <n v="0.27291666666666664"/>
    <n v="2815"/>
  </r>
  <r>
    <x v="20"/>
    <x v="2915"/>
    <n v="274"/>
    <n v="95"/>
    <x v="3"/>
    <n v="179"/>
    <x v="1"/>
    <n v="0.19791666666666666"/>
    <n v="3634"/>
  </r>
  <r>
    <x v="20"/>
    <x v="2916"/>
    <n v="193"/>
    <n v="31"/>
    <x v="0"/>
    <n v="162"/>
    <x v="2"/>
    <n v="6.458333333333334E-2"/>
    <n v="5016"/>
  </r>
  <r>
    <x v="20"/>
    <x v="2917"/>
    <n v="231"/>
    <n v="190"/>
    <x v="3"/>
    <n v="41"/>
    <x v="0"/>
    <n v="0.39583333333333331"/>
    <n v="1355"/>
  </r>
  <r>
    <x v="20"/>
    <x v="2918"/>
    <n v="315"/>
    <n v="122"/>
    <x v="5"/>
    <n v="193"/>
    <x v="0"/>
    <n v="0.25416666666666665"/>
    <n v="3013"/>
  </r>
  <r>
    <x v="21"/>
    <x v="2919"/>
    <n v="206"/>
    <n v="57"/>
    <x v="0"/>
    <n v="149"/>
    <x v="1"/>
    <n v="0.11874999999999999"/>
    <n v="4452"/>
  </r>
  <r>
    <x v="21"/>
    <x v="2920"/>
    <n v="303"/>
    <n v="59"/>
    <x v="0"/>
    <n v="244"/>
    <x v="1"/>
    <n v="0.12291666666666666"/>
    <n v="4416"/>
  </r>
  <r>
    <x v="21"/>
    <x v="2921"/>
    <n v="195"/>
    <n v="90"/>
    <x v="5"/>
    <n v="105"/>
    <x v="1"/>
    <n v="0.1875"/>
    <n v="3750"/>
  </r>
  <r>
    <x v="21"/>
    <x v="2922"/>
    <n v="260"/>
    <n v="185"/>
    <x v="6"/>
    <n v="75"/>
    <x v="0"/>
    <n v="0.38541666666666669"/>
    <n v="1517"/>
  </r>
  <r>
    <x v="21"/>
    <x v="2923"/>
    <n v="237"/>
    <n v="170"/>
    <x v="0"/>
    <n v="67"/>
    <x v="0"/>
    <n v="0.35416666666666669"/>
    <n v="1898"/>
  </r>
  <r>
    <x v="21"/>
    <x v="2924"/>
    <n v="288"/>
    <n v="181"/>
    <x v="6"/>
    <n v="107"/>
    <x v="0"/>
    <n v="0.37708333333333333"/>
    <n v="1609"/>
  </r>
  <r>
    <x v="21"/>
    <x v="2925"/>
    <n v="123"/>
    <n v="82"/>
    <x v="2"/>
    <n v="41"/>
    <x v="1"/>
    <n v="0.17083333333333334"/>
    <n v="3904"/>
  </r>
  <r>
    <x v="21"/>
    <x v="2926"/>
    <n v="135"/>
    <n v="65"/>
    <x v="4"/>
    <n v="70"/>
    <x v="1"/>
    <n v="0.13541666666666666"/>
    <n v="4267"/>
  </r>
  <r>
    <x v="21"/>
    <x v="2927"/>
    <n v="235"/>
    <n v="110"/>
    <x v="1"/>
    <n v="125"/>
    <x v="0"/>
    <n v="0.22916666666666666"/>
    <n v="3302"/>
  </r>
  <r>
    <x v="21"/>
    <x v="2928"/>
    <n v="141"/>
    <n v="103"/>
    <x v="5"/>
    <n v="38"/>
    <x v="0"/>
    <n v="0.21458333333333332"/>
    <n v="3474"/>
  </r>
  <r>
    <x v="21"/>
    <x v="2929"/>
    <n v="101"/>
    <n v="86"/>
    <x v="4"/>
    <n v="15"/>
    <x v="1"/>
    <n v="0.17916666666666667"/>
    <n v="3830"/>
  </r>
  <r>
    <x v="21"/>
    <x v="2930"/>
    <n v="266"/>
    <n v="162"/>
    <x v="4"/>
    <n v="104"/>
    <x v="0"/>
    <n v="0.33750000000000002"/>
    <n v="2106"/>
  </r>
  <r>
    <x v="21"/>
    <x v="2931"/>
    <n v="177"/>
    <n v="173"/>
    <x v="2"/>
    <n v="4"/>
    <x v="0"/>
    <n v="0.36041666666666666"/>
    <n v="1826"/>
  </r>
  <r>
    <x v="21"/>
    <x v="2932"/>
    <n v="182"/>
    <n v="40"/>
    <x v="4"/>
    <n v="142"/>
    <x v="2"/>
    <n v="8.3333333333333329E-2"/>
    <n v="4808"/>
  </r>
  <r>
    <x v="21"/>
    <x v="2933"/>
    <n v="228"/>
    <n v="33"/>
    <x v="4"/>
    <n v="195"/>
    <x v="2"/>
    <n v="6.8750000000000006E-2"/>
    <n v="4964"/>
  </r>
  <r>
    <x v="21"/>
    <x v="2934"/>
    <n v="161"/>
    <n v="133"/>
    <x v="5"/>
    <n v="28"/>
    <x v="0"/>
    <n v="0.27708333333333335"/>
    <n v="2758"/>
  </r>
  <r>
    <x v="21"/>
    <x v="2935"/>
    <n v="172"/>
    <n v="118"/>
    <x v="5"/>
    <n v="54"/>
    <x v="0"/>
    <n v="0.24583333333333332"/>
    <n v="3122"/>
  </r>
  <r>
    <x v="21"/>
    <x v="2936"/>
    <n v="147"/>
    <n v="108"/>
    <x v="1"/>
    <n v="39"/>
    <x v="0"/>
    <n v="0.22500000000000001"/>
    <n v="3362"/>
  </r>
  <r>
    <x v="21"/>
    <x v="2937"/>
    <n v="226"/>
    <n v="77"/>
    <x v="5"/>
    <n v="149"/>
    <x v="1"/>
    <n v="0.16041666666666668"/>
    <n v="4006"/>
  </r>
  <r>
    <x v="21"/>
    <x v="2938"/>
    <n v="224"/>
    <n v="110"/>
    <x v="5"/>
    <n v="114"/>
    <x v="0"/>
    <n v="0.22916666666666666"/>
    <n v="3302"/>
  </r>
  <r>
    <x v="21"/>
    <x v="2939"/>
    <n v="192"/>
    <n v="153"/>
    <x v="4"/>
    <n v="39"/>
    <x v="0"/>
    <n v="0.31874999999999998"/>
    <n v="2329"/>
  </r>
  <r>
    <x v="21"/>
    <x v="2940"/>
    <n v="233"/>
    <n v="102"/>
    <x v="4"/>
    <n v="131"/>
    <x v="0"/>
    <n v="0.21249999999999999"/>
    <n v="3493"/>
  </r>
  <r>
    <x v="21"/>
    <x v="2941"/>
    <n v="142"/>
    <n v="138"/>
    <x v="5"/>
    <n v="4"/>
    <x v="0"/>
    <n v="0.28749999999999998"/>
    <n v="2660"/>
  </r>
  <r>
    <x v="21"/>
    <x v="2942"/>
    <n v="97"/>
    <n v="86"/>
    <x v="4"/>
    <n v="11"/>
    <x v="1"/>
    <n v="0.17916666666666667"/>
    <n v="3830"/>
  </r>
  <r>
    <x v="21"/>
    <x v="2943"/>
    <n v="312"/>
    <n v="51"/>
    <x v="0"/>
    <n v="261"/>
    <x v="1"/>
    <n v="0.10625"/>
    <n v="4578"/>
  </r>
  <r>
    <x v="21"/>
    <x v="2944"/>
    <n v="202"/>
    <n v="119"/>
    <x v="3"/>
    <n v="83"/>
    <x v="0"/>
    <n v="0.24791666666666667"/>
    <n v="3093"/>
  </r>
  <r>
    <x v="21"/>
    <x v="2945"/>
    <n v="229"/>
    <n v="46"/>
    <x v="6"/>
    <n v="183"/>
    <x v="2"/>
    <n v="9.583333333333334E-2"/>
    <n v="4680"/>
  </r>
  <r>
    <x v="21"/>
    <x v="2946"/>
    <n v="238"/>
    <n v="180"/>
    <x v="0"/>
    <n v="58"/>
    <x v="0"/>
    <n v="0.375"/>
    <n v="1635"/>
  </r>
  <r>
    <x v="21"/>
    <x v="2947"/>
    <n v="246"/>
    <n v="169"/>
    <x v="1"/>
    <n v="77"/>
    <x v="0"/>
    <n v="0.35208333333333336"/>
    <n v="1925"/>
  </r>
  <r>
    <x v="21"/>
    <x v="2948"/>
    <n v="231"/>
    <n v="74"/>
    <x v="3"/>
    <n v="157"/>
    <x v="1"/>
    <n v="0.15416666666666667"/>
    <n v="4064"/>
  </r>
  <r>
    <x v="21"/>
    <x v="2949"/>
    <n v="187"/>
    <n v="151"/>
    <x v="6"/>
    <n v="36"/>
    <x v="0"/>
    <n v="0.31458333333333333"/>
    <n v="2376"/>
  </r>
  <r>
    <x v="21"/>
    <x v="2950"/>
    <n v="227"/>
    <n v="173"/>
    <x v="3"/>
    <n v="54"/>
    <x v="0"/>
    <n v="0.36041666666666666"/>
    <n v="1826"/>
  </r>
  <r>
    <x v="21"/>
    <x v="2951"/>
    <n v="319"/>
    <n v="41"/>
    <x v="3"/>
    <n v="278"/>
    <x v="2"/>
    <n v="8.5416666666666669E-2"/>
    <n v="4789"/>
  </r>
  <r>
    <x v="21"/>
    <x v="2952"/>
    <n v="319"/>
    <n v="50"/>
    <x v="3"/>
    <n v="269"/>
    <x v="2"/>
    <n v="0.10416666666666667"/>
    <n v="4596"/>
  </r>
  <r>
    <x v="21"/>
    <x v="2953"/>
    <n v="271"/>
    <n v="79"/>
    <x v="3"/>
    <n v="192"/>
    <x v="1"/>
    <n v="0.16458333333333333"/>
    <n v="3967"/>
  </r>
  <r>
    <x v="21"/>
    <x v="2954"/>
    <n v="129"/>
    <n v="52"/>
    <x v="6"/>
    <n v="77"/>
    <x v="1"/>
    <n v="0.10833333333333334"/>
    <n v="4564"/>
  </r>
  <r>
    <x v="21"/>
    <x v="2955"/>
    <n v="257"/>
    <n v="143"/>
    <x v="4"/>
    <n v="114"/>
    <x v="0"/>
    <n v="0.29791666666666666"/>
    <n v="2567"/>
  </r>
  <r>
    <x v="21"/>
    <x v="2956"/>
    <n v="131"/>
    <n v="61"/>
    <x v="3"/>
    <n v="70"/>
    <x v="1"/>
    <n v="0.12708333333333333"/>
    <n v="4368"/>
  </r>
  <r>
    <x v="21"/>
    <x v="2957"/>
    <n v="258"/>
    <n v="178"/>
    <x v="2"/>
    <n v="80"/>
    <x v="0"/>
    <n v="0.37083333333333335"/>
    <n v="1702"/>
  </r>
  <r>
    <x v="21"/>
    <x v="2958"/>
    <n v="240"/>
    <n v="72"/>
    <x v="6"/>
    <n v="168"/>
    <x v="1"/>
    <n v="0.15"/>
    <n v="4100"/>
  </r>
  <r>
    <x v="21"/>
    <x v="2959"/>
    <n v="99"/>
    <n v="34"/>
    <x v="5"/>
    <n v="65"/>
    <x v="2"/>
    <n v="7.0833333333333331E-2"/>
    <n v="4944"/>
  </r>
  <r>
    <x v="21"/>
    <x v="2960"/>
    <n v="274"/>
    <n v="35"/>
    <x v="6"/>
    <n v="239"/>
    <x v="2"/>
    <n v="7.2916666666666671E-2"/>
    <n v="4916"/>
  </r>
  <r>
    <x v="21"/>
    <x v="2961"/>
    <n v="319"/>
    <n v="50"/>
    <x v="6"/>
    <n v="269"/>
    <x v="2"/>
    <n v="0.10416666666666667"/>
    <n v="4596"/>
  </r>
  <r>
    <x v="21"/>
    <x v="2962"/>
    <n v="311"/>
    <n v="64"/>
    <x v="5"/>
    <n v="247"/>
    <x v="1"/>
    <n v="0.13333333333333333"/>
    <n v="4293"/>
  </r>
  <r>
    <x v="21"/>
    <x v="2963"/>
    <n v="166"/>
    <n v="40"/>
    <x v="0"/>
    <n v="126"/>
    <x v="2"/>
    <n v="8.3333333333333329E-2"/>
    <n v="4808"/>
  </r>
  <r>
    <x v="21"/>
    <x v="2964"/>
    <n v="187"/>
    <n v="51"/>
    <x v="5"/>
    <n v="136"/>
    <x v="1"/>
    <n v="0.10625"/>
    <n v="4578"/>
  </r>
  <r>
    <x v="21"/>
    <x v="2965"/>
    <n v="312"/>
    <n v="173"/>
    <x v="5"/>
    <n v="139"/>
    <x v="0"/>
    <n v="0.36041666666666666"/>
    <n v="1826"/>
  </r>
  <r>
    <x v="21"/>
    <x v="2966"/>
    <n v="248"/>
    <n v="118"/>
    <x v="1"/>
    <n v="130"/>
    <x v="0"/>
    <n v="0.24583333333333332"/>
    <n v="3122"/>
  </r>
  <r>
    <x v="21"/>
    <x v="2967"/>
    <n v="71"/>
    <n v="33"/>
    <x v="0"/>
    <n v="38"/>
    <x v="2"/>
    <n v="6.8750000000000006E-2"/>
    <n v="4964"/>
  </r>
  <r>
    <x v="21"/>
    <x v="2968"/>
    <n v="141"/>
    <n v="51"/>
    <x v="5"/>
    <n v="90"/>
    <x v="1"/>
    <n v="0.10625"/>
    <n v="4578"/>
  </r>
  <r>
    <x v="21"/>
    <x v="2969"/>
    <n v="214"/>
    <n v="105"/>
    <x v="4"/>
    <n v="109"/>
    <x v="0"/>
    <n v="0.21875"/>
    <n v="3436"/>
  </r>
  <r>
    <x v="21"/>
    <x v="2970"/>
    <n v="95"/>
    <n v="55"/>
    <x v="6"/>
    <n v="40"/>
    <x v="1"/>
    <n v="0.11458333333333333"/>
    <n v="4497"/>
  </r>
  <r>
    <x v="21"/>
    <x v="2971"/>
    <n v="188"/>
    <n v="110"/>
    <x v="3"/>
    <n v="78"/>
    <x v="0"/>
    <n v="0.22916666666666666"/>
    <n v="3302"/>
  </r>
  <r>
    <x v="21"/>
    <x v="2972"/>
    <n v="229"/>
    <n v="60"/>
    <x v="6"/>
    <n v="169"/>
    <x v="1"/>
    <n v="0.125"/>
    <n v="4390"/>
  </r>
  <r>
    <x v="21"/>
    <x v="2973"/>
    <n v="66"/>
    <n v="36"/>
    <x v="2"/>
    <n v="30"/>
    <x v="2"/>
    <n v="7.4999999999999997E-2"/>
    <n v="4893"/>
  </r>
  <r>
    <x v="21"/>
    <x v="2974"/>
    <n v="156"/>
    <n v="55"/>
    <x v="2"/>
    <n v="101"/>
    <x v="1"/>
    <n v="0.11458333333333333"/>
    <n v="4497"/>
  </r>
  <r>
    <x v="21"/>
    <x v="2975"/>
    <n v="185"/>
    <n v="148"/>
    <x v="6"/>
    <n v="37"/>
    <x v="0"/>
    <n v="0.30833333333333335"/>
    <n v="2446"/>
  </r>
  <r>
    <x v="21"/>
    <x v="2976"/>
    <n v="205"/>
    <n v="43"/>
    <x v="2"/>
    <n v="162"/>
    <x v="2"/>
    <n v="8.9583333333333334E-2"/>
    <n v="4752"/>
  </r>
  <r>
    <x v="21"/>
    <x v="2977"/>
    <n v="88"/>
    <n v="85"/>
    <x v="4"/>
    <n v="3"/>
    <x v="1"/>
    <n v="0.17708333333333334"/>
    <n v="3852"/>
  </r>
  <r>
    <x v="21"/>
    <x v="2978"/>
    <n v="114"/>
    <n v="73"/>
    <x v="3"/>
    <n v="41"/>
    <x v="1"/>
    <n v="0.15208333333333332"/>
    <n v="4083"/>
  </r>
  <r>
    <x v="21"/>
    <x v="2979"/>
    <n v="117"/>
    <n v="71"/>
    <x v="6"/>
    <n v="46"/>
    <x v="1"/>
    <n v="0.14791666666666667"/>
    <n v="4129"/>
  </r>
  <r>
    <x v="21"/>
    <x v="2980"/>
    <n v="230"/>
    <n v="46"/>
    <x v="5"/>
    <n v="184"/>
    <x v="2"/>
    <n v="9.583333333333334E-2"/>
    <n v="4680"/>
  </r>
  <r>
    <x v="21"/>
    <x v="2981"/>
    <n v="157"/>
    <n v="105"/>
    <x v="4"/>
    <n v="52"/>
    <x v="0"/>
    <n v="0.21875"/>
    <n v="3436"/>
  </r>
  <r>
    <x v="21"/>
    <x v="2982"/>
    <n v="266"/>
    <n v="94"/>
    <x v="5"/>
    <n v="172"/>
    <x v="1"/>
    <n v="0.19583333333333333"/>
    <n v="3654"/>
  </r>
  <r>
    <x v="21"/>
    <x v="2983"/>
    <n v="233"/>
    <n v="101"/>
    <x v="6"/>
    <n v="132"/>
    <x v="0"/>
    <n v="0.21041666666666667"/>
    <n v="3515"/>
  </r>
  <r>
    <x v="21"/>
    <x v="2984"/>
    <n v="216"/>
    <n v="32"/>
    <x v="6"/>
    <n v="184"/>
    <x v="2"/>
    <n v="6.6666666666666666E-2"/>
    <n v="4983"/>
  </r>
  <r>
    <x v="21"/>
    <x v="2985"/>
    <n v="217"/>
    <n v="159"/>
    <x v="1"/>
    <n v="58"/>
    <x v="0"/>
    <n v="0.33124999999999999"/>
    <n v="2183"/>
  </r>
  <r>
    <x v="21"/>
    <x v="2986"/>
    <n v="97"/>
    <n v="82"/>
    <x v="0"/>
    <n v="15"/>
    <x v="1"/>
    <n v="0.17083333333333334"/>
    <n v="3904"/>
  </r>
  <r>
    <x v="21"/>
    <x v="2987"/>
    <n v="221"/>
    <n v="138"/>
    <x v="4"/>
    <n v="83"/>
    <x v="0"/>
    <n v="0.28749999999999998"/>
    <n v="2660"/>
  </r>
  <r>
    <x v="21"/>
    <x v="2988"/>
    <n v="314"/>
    <n v="51"/>
    <x v="5"/>
    <n v="263"/>
    <x v="1"/>
    <n v="0.10625"/>
    <n v="4578"/>
  </r>
  <r>
    <x v="21"/>
    <x v="2989"/>
    <n v="173"/>
    <n v="92"/>
    <x v="6"/>
    <n v="81"/>
    <x v="1"/>
    <n v="0.19166666666666668"/>
    <n v="3706"/>
  </r>
  <r>
    <x v="21"/>
    <x v="2990"/>
    <n v="242"/>
    <n v="183"/>
    <x v="0"/>
    <n v="59"/>
    <x v="0"/>
    <n v="0.38124999999999998"/>
    <n v="1572"/>
  </r>
  <r>
    <x v="21"/>
    <x v="2991"/>
    <n v="189"/>
    <n v="165"/>
    <x v="2"/>
    <n v="24"/>
    <x v="0"/>
    <n v="0.34375"/>
    <n v="2028"/>
  </r>
  <r>
    <x v="21"/>
    <x v="2992"/>
    <n v="148"/>
    <n v="126"/>
    <x v="2"/>
    <n v="22"/>
    <x v="0"/>
    <n v="0.26250000000000001"/>
    <n v="2934"/>
  </r>
  <r>
    <x v="21"/>
    <x v="2993"/>
    <n v="160"/>
    <n v="148"/>
    <x v="2"/>
    <n v="12"/>
    <x v="0"/>
    <n v="0.30833333333333335"/>
    <n v="2446"/>
  </r>
  <r>
    <x v="21"/>
    <x v="2994"/>
    <n v="220"/>
    <n v="170"/>
    <x v="5"/>
    <n v="50"/>
    <x v="0"/>
    <n v="0.35416666666666669"/>
    <n v="1898"/>
  </r>
  <r>
    <x v="21"/>
    <x v="2995"/>
    <n v="310"/>
    <n v="112"/>
    <x v="1"/>
    <n v="198"/>
    <x v="0"/>
    <n v="0.23333333333333334"/>
    <n v="3267"/>
  </r>
  <r>
    <x v="22"/>
    <x v="2996"/>
    <n v="132"/>
    <n v="35"/>
    <x v="4"/>
    <n v="97"/>
    <x v="2"/>
    <n v="7.2916666666666671E-2"/>
    <n v="4916"/>
  </r>
  <r>
    <x v="22"/>
    <x v="2997"/>
    <n v="155"/>
    <n v="142"/>
    <x v="6"/>
    <n v="13"/>
    <x v="0"/>
    <n v="0.29583333333333334"/>
    <n v="2585"/>
  </r>
  <r>
    <x v="22"/>
    <x v="2998"/>
    <n v="220"/>
    <n v="127"/>
    <x v="5"/>
    <n v="93"/>
    <x v="0"/>
    <n v="0.26458333333333334"/>
    <n v="2909"/>
  </r>
  <r>
    <x v="22"/>
    <x v="2999"/>
    <n v="76"/>
    <n v="68"/>
    <x v="5"/>
    <n v="8"/>
    <x v="1"/>
    <n v="0.14166666666666666"/>
    <n v="4204"/>
  </r>
  <r>
    <x v="22"/>
    <x v="3000"/>
    <n v="180"/>
    <n v="140"/>
    <x v="6"/>
    <n v="40"/>
    <x v="0"/>
    <n v="0.29166666666666669"/>
    <n v="2627"/>
  </r>
  <r>
    <x v="22"/>
    <x v="3001"/>
    <n v="222"/>
    <n v="161"/>
    <x v="1"/>
    <n v="61"/>
    <x v="0"/>
    <n v="0.33541666666666664"/>
    <n v="2129"/>
  </r>
  <r>
    <x v="22"/>
    <x v="3002"/>
    <n v="274"/>
    <n v="39"/>
    <x v="6"/>
    <n v="235"/>
    <x v="2"/>
    <n v="8.1250000000000003E-2"/>
    <n v="4829"/>
  </r>
  <r>
    <x v="22"/>
    <x v="3003"/>
    <n v="291"/>
    <n v="107"/>
    <x v="0"/>
    <n v="184"/>
    <x v="0"/>
    <n v="0.22291666666666668"/>
    <n v="3387"/>
  </r>
  <r>
    <x v="22"/>
    <x v="3004"/>
    <n v="215"/>
    <n v="156"/>
    <x v="1"/>
    <n v="59"/>
    <x v="0"/>
    <n v="0.32500000000000001"/>
    <n v="2251"/>
  </r>
  <r>
    <x v="22"/>
    <x v="3005"/>
    <n v="158"/>
    <n v="128"/>
    <x v="2"/>
    <n v="30"/>
    <x v="0"/>
    <n v="0.26666666666666666"/>
    <n v="2872"/>
  </r>
  <r>
    <x v="22"/>
    <x v="3006"/>
    <n v="208"/>
    <n v="152"/>
    <x v="3"/>
    <n v="56"/>
    <x v="0"/>
    <n v="0.31666666666666665"/>
    <n v="2349"/>
  </r>
  <r>
    <x v="22"/>
    <x v="3007"/>
    <n v="217"/>
    <n v="187"/>
    <x v="3"/>
    <n v="30"/>
    <x v="0"/>
    <n v="0.38958333333333334"/>
    <n v="1455"/>
  </r>
  <r>
    <x v="22"/>
    <x v="3008"/>
    <n v="134"/>
    <n v="112"/>
    <x v="1"/>
    <n v="22"/>
    <x v="0"/>
    <n v="0.23333333333333334"/>
    <n v="3267"/>
  </r>
  <r>
    <x v="22"/>
    <x v="3009"/>
    <n v="147"/>
    <n v="147"/>
    <x v="3"/>
    <n v="0"/>
    <x v="0"/>
    <n v="0.30625000000000002"/>
    <n v="2478"/>
  </r>
  <r>
    <x v="22"/>
    <x v="3010"/>
    <n v="243"/>
    <n v="139"/>
    <x v="1"/>
    <n v="104"/>
    <x v="0"/>
    <n v="0.28958333333333336"/>
    <n v="2647"/>
  </r>
  <r>
    <x v="22"/>
    <x v="3011"/>
    <n v="235"/>
    <n v="149"/>
    <x v="5"/>
    <n v="86"/>
    <x v="0"/>
    <n v="0.31041666666666667"/>
    <n v="2426"/>
  </r>
  <r>
    <x v="22"/>
    <x v="3012"/>
    <n v="179"/>
    <n v="111"/>
    <x v="4"/>
    <n v="68"/>
    <x v="0"/>
    <n v="0.23125000000000001"/>
    <n v="3285"/>
  </r>
  <r>
    <x v="22"/>
    <x v="3013"/>
    <n v="236"/>
    <n v="39"/>
    <x v="3"/>
    <n v="197"/>
    <x v="2"/>
    <n v="8.1250000000000003E-2"/>
    <n v="4829"/>
  </r>
  <r>
    <x v="22"/>
    <x v="3014"/>
    <n v="211"/>
    <n v="163"/>
    <x v="4"/>
    <n v="48"/>
    <x v="0"/>
    <n v="0.33958333333333335"/>
    <n v="2075"/>
  </r>
  <r>
    <x v="22"/>
    <x v="3015"/>
    <n v="242"/>
    <n v="161"/>
    <x v="5"/>
    <n v="81"/>
    <x v="0"/>
    <n v="0.33541666666666664"/>
    <n v="2129"/>
  </r>
  <r>
    <x v="22"/>
    <x v="3016"/>
    <n v="238"/>
    <n v="146"/>
    <x v="2"/>
    <n v="92"/>
    <x v="0"/>
    <n v="0.30416666666666664"/>
    <n v="2499"/>
  </r>
  <r>
    <x v="22"/>
    <x v="3017"/>
    <n v="181"/>
    <n v="100"/>
    <x v="5"/>
    <n v="81"/>
    <x v="1"/>
    <n v="0.20833333333333334"/>
    <n v="3535"/>
  </r>
  <r>
    <x v="22"/>
    <x v="3018"/>
    <n v="309"/>
    <n v="139"/>
    <x v="4"/>
    <n v="170"/>
    <x v="0"/>
    <n v="0.28958333333333336"/>
    <n v="2647"/>
  </r>
  <r>
    <x v="22"/>
    <x v="3019"/>
    <n v="286"/>
    <n v="36"/>
    <x v="3"/>
    <n v="250"/>
    <x v="2"/>
    <n v="7.4999999999999997E-2"/>
    <n v="4893"/>
  </r>
  <r>
    <x v="22"/>
    <x v="3020"/>
    <n v="227"/>
    <n v="189"/>
    <x v="4"/>
    <n v="38"/>
    <x v="0"/>
    <n v="0.39374999999999999"/>
    <n v="1395"/>
  </r>
  <r>
    <x v="22"/>
    <x v="3021"/>
    <n v="188"/>
    <n v="175"/>
    <x v="4"/>
    <n v="13"/>
    <x v="0"/>
    <n v="0.36458333333333331"/>
    <n v="1780"/>
  </r>
  <r>
    <x v="22"/>
    <x v="3022"/>
    <n v="109"/>
    <n v="63"/>
    <x v="1"/>
    <n v="46"/>
    <x v="1"/>
    <n v="0.13125000000000001"/>
    <n v="4322"/>
  </r>
  <r>
    <x v="22"/>
    <x v="3023"/>
    <n v="256"/>
    <n v="161"/>
    <x v="0"/>
    <n v="95"/>
    <x v="0"/>
    <n v="0.33541666666666664"/>
    <n v="2129"/>
  </r>
  <r>
    <x v="22"/>
    <x v="3024"/>
    <n v="194"/>
    <n v="49"/>
    <x v="0"/>
    <n v="145"/>
    <x v="2"/>
    <n v="0.10208333333333333"/>
    <n v="4614"/>
  </r>
  <r>
    <x v="22"/>
    <x v="3025"/>
    <n v="179"/>
    <n v="168"/>
    <x v="6"/>
    <n v="11"/>
    <x v="0"/>
    <n v="0.35"/>
    <n v="1954"/>
  </r>
  <r>
    <x v="22"/>
    <x v="3026"/>
    <n v="220"/>
    <n v="175"/>
    <x v="3"/>
    <n v="45"/>
    <x v="0"/>
    <n v="0.36458333333333331"/>
    <n v="1780"/>
  </r>
  <r>
    <x v="22"/>
    <x v="3027"/>
    <n v="225"/>
    <n v="168"/>
    <x v="2"/>
    <n v="57"/>
    <x v="0"/>
    <n v="0.35"/>
    <n v="1954"/>
  </r>
  <r>
    <x v="22"/>
    <x v="3028"/>
    <n v="155"/>
    <n v="120"/>
    <x v="3"/>
    <n v="35"/>
    <x v="0"/>
    <n v="0.25"/>
    <n v="3066"/>
  </r>
  <r>
    <x v="22"/>
    <x v="3029"/>
    <n v="285"/>
    <n v="142"/>
    <x v="0"/>
    <n v="143"/>
    <x v="0"/>
    <n v="0.29583333333333334"/>
    <n v="2585"/>
  </r>
  <r>
    <x v="22"/>
    <x v="3030"/>
    <n v="152"/>
    <n v="146"/>
    <x v="4"/>
    <n v="6"/>
    <x v="0"/>
    <n v="0.30416666666666664"/>
    <n v="2499"/>
  </r>
  <r>
    <x v="22"/>
    <x v="3031"/>
    <n v="233"/>
    <n v="187"/>
    <x v="5"/>
    <n v="46"/>
    <x v="0"/>
    <n v="0.38958333333333334"/>
    <n v="1455"/>
  </r>
  <r>
    <x v="22"/>
    <x v="3032"/>
    <n v="219"/>
    <n v="145"/>
    <x v="1"/>
    <n v="74"/>
    <x v="0"/>
    <n v="0.30208333333333331"/>
    <n v="2526"/>
  </r>
  <r>
    <x v="22"/>
    <x v="3033"/>
    <n v="238"/>
    <n v="190"/>
    <x v="5"/>
    <n v="48"/>
    <x v="0"/>
    <n v="0.39583333333333331"/>
    <n v="1355"/>
  </r>
  <r>
    <x v="22"/>
    <x v="3034"/>
    <n v="221"/>
    <n v="55"/>
    <x v="6"/>
    <n v="166"/>
    <x v="1"/>
    <n v="0.11458333333333333"/>
    <n v="4497"/>
  </r>
  <r>
    <x v="22"/>
    <x v="3035"/>
    <n v="287"/>
    <n v="42"/>
    <x v="5"/>
    <n v="245"/>
    <x v="2"/>
    <n v="8.7499999999999994E-2"/>
    <n v="4776"/>
  </r>
  <r>
    <x v="22"/>
    <x v="3036"/>
    <n v="141"/>
    <n v="81"/>
    <x v="2"/>
    <n v="60"/>
    <x v="1"/>
    <n v="0.16875000000000001"/>
    <n v="3923"/>
  </r>
  <r>
    <x v="22"/>
    <x v="3037"/>
    <n v="247"/>
    <n v="152"/>
    <x v="4"/>
    <n v="95"/>
    <x v="0"/>
    <n v="0.31666666666666665"/>
    <n v="2349"/>
  </r>
  <r>
    <x v="22"/>
    <x v="3038"/>
    <n v="105"/>
    <n v="86"/>
    <x v="6"/>
    <n v="19"/>
    <x v="1"/>
    <n v="0.17916666666666667"/>
    <n v="3830"/>
  </r>
  <r>
    <x v="22"/>
    <x v="3039"/>
    <n v="298"/>
    <n v="177"/>
    <x v="0"/>
    <n v="121"/>
    <x v="0"/>
    <n v="0.36875000000000002"/>
    <n v="1733"/>
  </r>
  <r>
    <x v="22"/>
    <x v="3040"/>
    <n v="301"/>
    <n v="189"/>
    <x v="3"/>
    <n v="112"/>
    <x v="0"/>
    <n v="0.39374999999999999"/>
    <n v="1395"/>
  </r>
  <r>
    <x v="22"/>
    <x v="3041"/>
    <n v="267"/>
    <n v="117"/>
    <x v="2"/>
    <n v="150"/>
    <x v="0"/>
    <n v="0.24374999999999999"/>
    <n v="3144"/>
  </r>
  <r>
    <x v="22"/>
    <x v="3042"/>
    <n v="214"/>
    <n v="122"/>
    <x v="5"/>
    <n v="92"/>
    <x v="0"/>
    <n v="0.25416666666666665"/>
    <n v="3013"/>
  </r>
  <r>
    <x v="22"/>
    <x v="3043"/>
    <n v="284"/>
    <n v="45"/>
    <x v="5"/>
    <n v="239"/>
    <x v="2"/>
    <n v="9.375E-2"/>
    <n v="4702"/>
  </r>
  <r>
    <x v="22"/>
    <x v="3044"/>
    <n v="260"/>
    <n v="112"/>
    <x v="3"/>
    <n v="148"/>
    <x v="0"/>
    <n v="0.23333333333333334"/>
    <n v="3267"/>
  </r>
  <r>
    <x v="22"/>
    <x v="3045"/>
    <n v="208"/>
    <n v="133"/>
    <x v="0"/>
    <n v="75"/>
    <x v="0"/>
    <n v="0.27708333333333335"/>
    <n v="2758"/>
  </r>
  <r>
    <x v="22"/>
    <x v="3046"/>
    <n v="218"/>
    <n v="178"/>
    <x v="1"/>
    <n v="40"/>
    <x v="0"/>
    <n v="0.37083333333333335"/>
    <n v="1702"/>
  </r>
  <r>
    <x v="22"/>
    <x v="3047"/>
    <n v="237"/>
    <n v="162"/>
    <x v="4"/>
    <n v="75"/>
    <x v="0"/>
    <n v="0.33750000000000002"/>
    <n v="2106"/>
  </r>
  <r>
    <x v="22"/>
    <x v="3048"/>
    <n v="150"/>
    <n v="89"/>
    <x v="5"/>
    <n v="61"/>
    <x v="1"/>
    <n v="0.18541666666666667"/>
    <n v="3772"/>
  </r>
  <r>
    <x v="22"/>
    <x v="3049"/>
    <n v="151"/>
    <n v="145"/>
    <x v="4"/>
    <n v="6"/>
    <x v="0"/>
    <n v="0.30208333333333331"/>
    <n v="2526"/>
  </r>
  <r>
    <x v="22"/>
    <x v="3050"/>
    <n v="222"/>
    <n v="159"/>
    <x v="3"/>
    <n v="63"/>
    <x v="0"/>
    <n v="0.33124999999999999"/>
    <n v="2183"/>
  </r>
  <r>
    <x v="22"/>
    <x v="3051"/>
    <n v="129"/>
    <n v="94"/>
    <x v="0"/>
    <n v="35"/>
    <x v="1"/>
    <n v="0.19583333333333333"/>
    <n v="3654"/>
  </r>
  <r>
    <x v="23"/>
    <x v="3052"/>
    <n v="287"/>
    <n v="173"/>
    <x v="1"/>
    <n v="114"/>
    <x v="0"/>
    <n v="0.36041666666666666"/>
    <n v="1826"/>
  </r>
  <r>
    <x v="23"/>
    <x v="3053"/>
    <n v="221"/>
    <n v="83"/>
    <x v="4"/>
    <n v="138"/>
    <x v="1"/>
    <n v="0.17291666666666666"/>
    <n v="3892"/>
  </r>
  <r>
    <x v="23"/>
    <x v="3054"/>
    <n v="146"/>
    <n v="128"/>
    <x v="2"/>
    <n v="18"/>
    <x v="0"/>
    <n v="0.26666666666666666"/>
    <n v="2872"/>
  </r>
  <r>
    <x v="23"/>
    <x v="3055"/>
    <n v="207"/>
    <n v="167"/>
    <x v="0"/>
    <n v="40"/>
    <x v="0"/>
    <n v="0.34791666666666665"/>
    <n v="1979"/>
  </r>
  <r>
    <x v="23"/>
    <x v="3056"/>
    <n v="195"/>
    <n v="162"/>
    <x v="2"/>
    <n v="33"/>
    <x v="0"/>
    <n v="0.33750000000000002"/>
    <n v="2106"/>
  </r>
  <r>
    <x v="23"/>
    <x v="3057"/>
    <n v="146"/>
    <n v="37"/>
    <x v="1"/>
    <n v="109"/>
    <x v="2"/>
    <n v="7.7083333333333337E-2"/>
    <n v="4863"/>
  </r>
  <r>
    <x v="23"/>
    <x v="3058"/>
    <n v="192"/>
    <n v="75"/>
    <x v="0"/>
    <n v="117"/>
    <x v="1"/>
    <n v="0.15625"/>
    <n v="4041"/>
  </r>
  <r>
    <x v="23"/>
    <x v="3059"/>
    <n v="123"/>
    <n v="37"/>
    <x v="6"/>
    <n v="86"/>
    <x v="2"/>
    <n v="7.7083333333333337E-2"/>
    <n v="4863"/>
  </r>
  <r>
    <x v="23"/>
    <x v="3060"/>
    <n v="313"/>
    <n v="68"/>
    <x v="5"/>
    <n v="245"/>
    <x v="1"/>
    <n v="0.14166666666666666"/>
    <n v="4204"/>
  </r>
  <r>
    <x v="23"/>
    <x v="3061"/>
    <n v="81"/>
    <n v="75"/>
    <x v="4"/>
    <n v="6"/>
    <x v="1"/>
    <n v="0.15625"/>
    <n v="4041"/>
  </r>
  <r>
    <x v="23"/>
    <x v="3062"/>
    <n v="297"/>
    <n v="110"/>
    <x v="3"/>
    <n v="187"/>
    <x v="0"/>
    <n v="0.22916666666666666"/>
    <n v="3302"/>
  </r>
  <r>
    <x v="23"/>
    <x v="3063"/>
    <n v="303"/>
    <n v="167"/>
    <x v="5"/>
    <n v="136"/>
    <x v="0"/>
    <n v="0.34791666666666665"/>
    <n v="1979"/>
  </r>
  <r>
    <x v="23"/>
    <x v="3064"/>
    <n v="165"/>
    <n v="129"/>
    <x v="3"/>
    <n v="36"/>
    <x v="0"/>
    <n v="0.26874999999999999"/>
    <n v="2852"/>
  </r>
  <r>
    <x v="23"/>
    <x v="3065"/>
    <n v="249"/>
    <n v="41"/>
    <x v="1"/>
    <n v="208"/>
    <x v="2"/>
    <n v="8.5416666666666669E-2"/>
    <n v="4789"/>
  </r>
  <r>
    <x v="23"/>
    <x v="3066"/>
    <n v="210"/>
    <n v="146"/>
    <x v="4"/>
    <n v="64"/>
    <x v="0"/>
    <n v="0.30416666666666664"/>
    <n v="2499"/>
  </r>
  <r>
    <x v="23"/>
    <x v="3067"/>
    <n v="190"/>
    <n v="41"/>
    <x v="2"/>
    <n v="149"/>
    <x v="2"/>
    <n v="8.5416666666666669E-2"/>
    <n v="4789"/>
  </r>
  <r>
    <x v="23"/>
    <x v="3068"/>
    <n v="266"/>
    <n v="109"/>
    <x v="3"/>
    <n v="157"/>
    <x v="0"/>
    <n v="0.22708333333333333"/>
    <n v="3338"/>
  </r>
  <r>
    <x v="23"/>
    <x v="3069"/>
    <n v="259"/>
    <n v="175"/>
    <x v="2"/>
    <n v="84"/>
    <x v="0"/>
    <n v="0.36458333333333331"/>
    <n v="1780"/>
  </r>
  <r>
    <x v="23"/>
    <x v="3070"/>
    <n v="215"/>
    <n v="31"/>
    <x v="5"/>
    <n v="184"/>
    <x v="2"/>
    <n v="6.458333333333334E-2"/>
    <n v="5016"/>
  </r>
  <r>
    <x v="23"/>
    <x v="3071"/>
    <n v="316"/>
    <n v="96"/>
    <x v="0"/>
    <n v="220"/>
    <x v="1"/>
    <n v="0.2"/>
    <n v="3616"/>
  </r>
  <r>
    <x v="23"/>
    <x v="3072"/>
    <n v="216"/>
    <n v="35"/>
    <x v="4"/>
    <n v="181"/>
    <x v="2"/>
    <n v="7.2916666666666671E-2"/>
    <n v="4916"/>
  </r>
  <r>
    <x v="23"/>
    <x v="3073"/>
    <n v="314"/>
    <n v="146"/>
    <x v="0"/>
    <n v="168"/>
    <x v="0"/>
    <n v="0.30416666666666664"/>
    <n v="2499"/>
  </r>
  <r>
    <x v="23"/>
    <x v="3074"/>
    <n v="189"/>
    <n v="136"/>
    <x v="5"/>
    <n v="53"/>
    <x v="0"/>
    <n v="0.28333333333333333"/>
    <n v="2692"/>
  </r>
  <r>
    <x v="23"/>
    <x v="3075"/>
    <n v="278"/>
    <n v="135"/>
    <x v="2"/>
    <n v="143"/>
    <x v="0"/>
    <n v="0.28125"/>
    <n v="2714"/>
  </r>
  <r>
    <x v="23"/>
    <x v="3076"/>
    <n v="89"/>
    <n v="67"/>
    <x v="3"/>
    <n v="22"/>
    <x v="1"/>
    <n v="0.13958333333333334"/>
    <n v="4225"/>
  </r>
  <r>
    <x v="23"/>
    <x v="3077"/>
    <n v="184"/>
    <n v="174"/>
    <x v="1"/>
    <n v="10"/>
    <x v="0"/>
    <n v="0.36249999999999999"/>
    <n v="1803"/>
  </r>
  <r>
    <x v="23"/>
    <x v="3078"/>
    <n v="250"/>
    <n v="45"/>
    <x v="4"/>
    <n v="205"/>
    <x v="2"/>
    <n v="9.375E-2"/>
    <n v="4702"/>
  </r>
  <r>
    <x v="23"/>
    <x v="3079"/>
    <n v="244"/>
    <n v="147"/>
    <x v="3"/>
    <n v="97"/>
    <x v="0"/>
    <n v="0.30625000000000002"/>
    <n v="2478"/>
  </r>
  <r>
    <x v="23"/>
    <x v="3080"/>
    <n v="312"/>
    <n v="160"/>
    <x v="2"/>
    <n v="152"/>
    <x v="0"/>
    <n v="0.33333333333333331"/>
    <n v="2154"/>
  </r>
  <r>
    <x v="23"/>
    <x v="3081"/>
    <n v="211"/>
    <n v="162"/>
    <x v="0"/>
    <n v="49"/>
    <x v="0"/>
    <n v="0.33750000000000002"/>
    <n v="2106"/>
  </r>
  <r>
    <x v="23"/>
    <x v="3082"/>
    <n v="61"/>
    <n v="49"/>
    <x v="3"/>
    <n v="12"/>
    <x v="2"/>
    <n v="0.10208333333333333"/>
    <n v="4614"/>
  </r>
  <r>
    <x v="23"/>
    <x v="3083"/>
    <n v="308"/>
    <n v="186"/>
    <x v="2"/>
    <n v="122"/>
    <x v="0"/>
    <n v="0.38750000000000001"/>
    <n v="1478"/>
  </r>
  <r>
    <x v="23"/>
    <x v="3084"/>
    <n v="174"/>
    <n v="153"/>
    <x v="2"/>
    <n v="21"/>
    <x v="0"/>
    <n v="0.31874999999999998"/>
    <n v="2329"/>
  </r>
  <r>
    <x v="23"/>
    <x v="3085"/>
    <n v="98"/>
    <n v="88"/>
    <x v="4"/>
    <n v="10"/>
    <x v="1"/>
    <n v="0.18333333333333332"/>
    <n v="3792"/>
  </r>
  <r>
    <x v="23"/>
    <x v="3086"/>
    <n v="284"/>
    <n v="116"/>
    <x v="5"/>
    <n v="168"/>
    <x v="0"/>
    <n v="0.24166666666666667"/>
    <n v="3173"/>
  </r>
  <r>
    <x v="23"/>
    <x v="3087"/>
    <n v="180"/>
    <n v="155"/>
    <x v="3"/>
    <n v="25"/>
    <x v="0"/>
    <n v="0.32291666666666669"/>
    <n v="2275"/>
  </r>
  <r>
    <x v="23"/>
    <x v="3088"/>
    <n v="310"/>
    <n v="126"/>
    <x v="6"/>
    <n v="184"/>
    <x v="0"/>
    <n v="0.26250000000000001"/>
    <n v="2934"/>
  </r>
  <r>
    <x v="23"/>
    <x v="3089"/>
    <n v="188"/>
    <n v="164"/>
    <x v="6"/>
    <n v="24"/>
    <x v="0"/>
    <n v="0.34166666666666667"/>
    <n v="2049"/>
  </r>
  <r>
    <x v="23"/>
    <x v="3090"/>
    <n v="189"/>
    <n v="33"/>
    <x v="2"/>
    <n v="156"/>
    <x v="2"/>
    <n v="6.8750000000000006E-2"/>
    <n v="4964"/>
  </r>
  <r>
    <x v="23"/>
    <x v="3091"/>
    <n v="268"/>
    <n v="138"/>
    <x v="1"/>
    <n v="130"/>
    <x v="0"/>
    <n v="0.28749999999999998"/>
    <n v="2660"/>
  </r>
  <r>
    <x v="23"/>
    <x v="3092"/>
    <n v="294"/>
    <n v="54"/>
    <x v="2"/>
    <n v="240"/>
    <x v="1"/>
    <n v="0.1125"/>
    <n v="4523"/>
  </r>
  <r>
    <x v="23"/>
    <x v="3093"/>
    <n v="256"/>
    <n v="166"/>
    <x v="6"/>
    <n v="90"/>
    <x v="0"/>
    <n v="0.34583333333333333"/>
    <n v="2007"/>
  </r>
  <r>
    <x v="23"/>
    <x v="3094"/>
    <n v="192"/>
    <n v="103"/>
    <x v="2"/>
    <n v="89"/>
    <x v="0"/>
    <n v="0.21458333333333332"/>
    <n v="3474"/>
  </r>
  <r>
    <x v="23"/>
    <x v="3095"/>
    <n v="159"/>
    <n v="81"/>
    <x v="2"/>
    <n v="78"/>
    <x v="1"/>
    <n v="0.16875000000000001"/>
    <n v="3923"/>
  </r>
  <r>
    <x v="23"/>
    <x v="3096"/>
    <n v="169"/>
    <n v="109"/>
    <x v="0"/>
    <n v="60"/>
    <x v="0"/>
    <n v="0.22708333333333333"/>
    <n v="3338"/>
  </r>
  <r>
    <x v="23"/>
    <x v="3097"/>
    <n v="227"/>
    <n v="150"/>
    <x v="4"/>
    <n v="77"/>
    <x v="0"/>
    <n v="0.3125"/>
    <n v="2400"/>
  </r>
  <r>
    <x v="23"/>
    <x v="3098"/>
    <n v="304"/>
    <n v="167"/>
    <x v="0"/>
    <n v="137"/>
    <x v="0"/>
    <n v="0.34791666666666665"/>
    <n v="1979"/>
  </r>
  <r>
    <x v="23"/>
    <x v="3099"/>
    <n v="315"/>
    <n v="107"/>
    <x v="6"/>
    <n v="208"/>
    <x v="0"/>
    <n v="0.22291666666666668"/>
    <n v="3387"/>
  </r>
  <r>
    <x v="23"/>
    <x v="3100"/>
    <n v="266"/>
    <n v="161"/>
    <x v="5"/>
    <n v="105"/>
    <x v="0"/>
    <n v="0.33541666666666664"/>
    <n v="2129"/>
  </r>
  <r>
    <x v="23"/>
    <x v="3101"/>
    <n v="247"/>
    <n v="65"/>
    <x v="1"/>
    <n v="182"/>
    <x v="1"/>
    <n v="0.13541666666666666"/>
    <n v="4267"/>
  </r>
  <r>
    <x v="23"/>
    <x v="3102"/>
    <n v="161"/>
    <n v="145"/>
    <x v="5"/>
    <n v="16"/>
    <x v="0"/>
    <n v="0.30208333333333331"/>
    <n v="2526"/>
  </r>
  <r>
    <x v="23"/>
    <x v="3103"/>
    <n v="189"/>
    <n v="156"/>
    <x v="3"/>
    <n v="33"/>
    <x v="0"/>
    <n v="0.32500000000000001"/>
    <n v="2251"/>
  </r>
  <r>
    <x v="23"/>
    <x v="3104"/>
    <n v="290"/>
    <n v="61"/>
    <x v="5"/>
    <n v="229"/>
    <x v="1"/>
    <n v="0.12708333333333333"/>
    <n v="4368"/>
  </r>
  <r>
    <x v="23"/>
    <x v="3105"/>
    <n v="189"/>
    <n v="50"/>
    <x v="0"/>
    <n v="139"/>
    <x v="2"/>
    <n v="0.10416666666666667"/>
    <n v="4596"/>
  </r>
  <r>
    <x v="23"/>
    <x v="3106"/>
    <n v="148"/>
    <n v="59"/>
    <x v="0"/>
    <n v="89"/>
    <x v="1"/>
    <n v="0.12291666666666666"/>
    <n v="4416"/>
  </r>
  <r>
    <x v="23"/>
    <x v="3107"/>
    <n v="144"/>
    <n v="110"/>
    <x v="0"/>
    <n v="34"/>
    <x v="0"/>
    <n v="0.22916666666666666"/>
    <n v="3302"/>
  </r>
  <r>
    <x v="23"/>
    <x v="3108"/>
    <n v="173"/>
    <n v="73"/>
    <x v="2"/>
    <n v="100"/>
    <x v="1"/>
    <n v="0.15208333333333332"/>
    <n v="4083"/>
  </r>
  <r>
    <x v="23"/>
    <x v="3109"/>
    <n v="179"/>
    <n v="54"/>
    <x v="1"/>
    <n v="125"/>
    <x v="1"/>
    <n v="0.1125"/>
    <n v="4523"/>
  </r>
  <r>
    <x v="23"/>
    <x v="3110"/>
    <n v="264"/>
    <n v="177"/>
    <x v="1"/>
    <n v="87"/>
    <x v="0"/>
    <n v="0.36875000000000002"/>
    <n v="1733"/>
  </r>
  <r>
    <x v="23"/>
    <x v="3111"/>
    <n v="296"/>
    <n v="152"/>
    <x v="4"/>
    <n v="144"/>
    <x v="0"/>
    <n v="0.31666666666666665"/>
    <n v="2349"/>
  </r>
  <r>
    <x v="23"/>
    <x v="3112"/>
    <n v="283"/>
    <n v="180"/>
    <x v="4"/>
    <n v="103"/>
    <x v="0"/>
    <n v="0.375"/>
    <n v="1635"/>
  </r>
  <r>
    <x v="23"/>
    <x v="3113"/>
    <n v="149"/>
    <n v="59"/>
    <x v="1"/>
    <n v="90"/>
    <x v="1"/>
    <n v="0.12291666666666666"/>
    <n v="4416"/>
  </r>
  <r>
    <x v="23"/>
    <x v="3114"/>
    <n v="106"/>
    <n v="50"/>
    <x v="4"/>
    <n v="56"/>
    <x v="2"/>
    <n v="0.10416666666666667"/>
    <n v="4596"/>
  </r>
  <r>
    <x v="23"/>
    <x v="3115"/>
    <n v="55"/>
    <n v="54"/>
    <x v="2"/>
    <n v="1"/>
    <x v="1"/>
    <n v="0.1125"/>
    <n v="4523"/>
  </r>
  <r>
    <x v="23"/>
    <x v="3116"/>
    <n v="178"/>
    <n v="46"/>
    <x v="5"/>
    <n v="132"/>
    <x v="2"/>
    <n v="9.583333333333334E-2"/>
    <n v="4680"/>
  </r>
  <r>
    <x v="23"/>
    <x v="3117"/>
    <n v="304"/>
    <n v="181"/>
    <x v="2"/>
    <n v="123"/>
    <x v="0"/>
    <n v="0.37708333333333333"/>
    <n v="1609"/>
  </r>
  <r>
    <x v="23"/>
    <x v="3118"/>
    <n v="180"/>
    <n v="133"/>
    <x v="1"/>
    <n v="47"/>
    <x v="0"/>
    <n v="0.27708333333333335"/>
    <n v="2758"/>
  </r>
  <r>
    <x v="23"/>
    <x v="3119"/>
    <n v="122"/>
    <n v="121"/>
    <x v="5"/>
    <n v="1"/>
    <x v="0"/>
    <n v="0.25208333333333333"/>
    <n v="3037"/>
  </r>
  <r>
    <x v="23"/>
    <x v="3120"/>
    <n v="267"/>
    <n v="66"/>
    <x v="1"/>
    <n v="201"/>
    <x v="1"/>
    <n v="0.13750000000000001"/>
    <n v="4247"/>
  </r>
  <r>
    <x v="23"/>
    <x v="3121"/>
    <n v="277"/>
    <n v="90"/>
    <x v="4"/>
    <n v="187"/>
    <x v="1"/>
    <n v="0.1875"/>
    <n v="3750"/>
  </r>
  <r>
    <x v="23"/>
    <x v="3122"/>
    <n v="137"/>
    <n v="114"/>
    <x v="2"/>
    <n v="23"/>
    <x v="0"/>
    <n v="0.23749999999999999"/>
    <n v="3226"/>
  </r>
  <r>
    <x v="23"/>
    <x v="3123"/>
    <n v="302"/>
    <n v="56"/>
    <x v="0"/>
    <n v="246"/>
    <x v="1"/>
    <n v="0.11666666666666667"/>
    <n v="4474"/>
  </r>
  <r>
    <x v="23"/>
    <x v="3124"/>
    <n v="228"/>
    <n v="147"/>
    <x v="2"/>
    <n v="81"/>
    <x v="0"/>
    <n v="0.30625000000000002"/>
    <n v="2478"/>
  </r>
  <r>
    <x v="23"/>
    <x v="3125"/>
    <n v="73"/>
    <n v="60"/>
    <x v="5"/>
    <n v="13"/>
    <x v="1"/>
    <n v="0.125"/>
    <n v="4390"/>
  </r>
  <r>
    <x v="23"/>
    <x v="3126"/>
    <n v="240"/>
    <n v="50"/>
    <x v="2"/>
    <n v="190"/>
    <x v="2"/>
    <n v="0.10416666666666667"/>
    <n v="4596"/>
  </r>
  <r>
    <x v="23"/>
    <x v="3127"/>
    <n v="184"/>
    <n v="109"/>
    <x v="2"/>
    <n v="75"/>
    <x v="0"/>
    <n v="0.22708333333333333"/>
    <n v="3338"/>
  </r>
  <r>
    <x v="23"/>
    <x v="3128"/>
    <n v="231"/>
    <n v="60"/>
    <x v="2"/>
    <n v="171"/>
    <x v="1"/>
    <n v="0.125"/>
    <n v="4390"/>
  </r>
  <r>
    <x v="24"/>
    <x v="3129"/>
    <n v="319"/>
    <n v="33"/>
    <x v="2"/>
    <n v="286"/>
    <x v="2"/>
    <n v="6.8750000000000006E-2"/>
    <n v="4964"/>
  </r>
  <r>
    <x v="24"/>
    <x v="3130"/>
    <n v="272"/>
    <n v="47"/>
    <x v="4"/>
    <n v="225"/>
    <x v="2"/>
    <n v="9.7916666666666666E-2"/>
    <n v="4656"/>
  </r>
  <r>
    <x v="24"/>
    <x v="3131"/>
    <n v="149"/>
    <n v="75"/>
    <x v="2"/>
    <n v="74"/>
    <x v="1"/>
    <n v="0.15625"/>
    <n v="4041"/>
  </r>
  <r>
    <x v="24"/>
    <x v="3132"/>
    <n v="117"/>
    <n v="105"/>
    <x v="0"/>
    <n v="12"/>
    <x v="0"/>
    <n v="0.21875"/>
    <n v="3436"/>
  </r>
  <r>
    <x v="24"/>
    <x v="3133"/>
    <n v="235"/>
    <n v="167"/>
    <x v="1"/>
    <n v="68"/>
    <x v="0"/>
    <n v="0.34791666666666665"/>
    <n v="1979"/>
  </r>
  <r>
    <x v="24"/>
    <x v="3134"/>
    <n v="319"/>
    <n v="81"/>
    <x v="5"/>
    <n v="238"/>
    <x v="1"/>
    <n v="0.16875000000000001"/>
    <n v="3923"/>
  </r>
  <r>
    <x v="24"/>
    <x v="3135"/>
    <n v="254"/>
    <n v="121"/>
    <x v="4"/>
    <n v="133"/>
    <x v="0"/>
    <n v="0.25208333333333333"/>
    <n v="3037"/>
  </r>
  <r>
    <x v="24"/>
    <x v="3136"/>
    <n v="200"/>
    <n v="145"/>
    <x v="2"/>
    <n v="55"/>
    <x v="0"/>
    <n v="0.30208333333333331"/>
    <n v="2526"/>
  </r>
  <r>
    <x v="24"/>
    <x v="3137"/>
    <n v="219"/>
    <n v="67"/>
    <x v="3"/>
    <n v="152"/>
    <x v="1"/>
    <n v="0.13958333333333334"/>
    <n v="4225"/>
  </r>
  <r>
    <x v="24"/>
    <x v="3138"/>
    <n v="195"/>
    <n v="78"/>
    <x v="6"/>
    <n v="117"/>
    <x v="1"/>
    <n v="0.16250000000000001"/>
    <n v="3989"/>
  </r>
  <r>
    <x v="24"/>
    <x v="3139"/>
    <n v="100"/>
    <n v="65"/>
    <x v="4"/>
    <n v="35"/>
    <x v="1"/>
    <n v="0.13541666666666666"/>
    <n v="4267"/>
  </r>
  <r>
    <x v="24"/>
    <x v="3140"/>
    <n v="194"/>
    <n v="142"/>
    <x v="2"/>
    <n v="52"/>
    <x v="0"/>
    <n v="0.29583333333333334"/>
    <n v="2585"/>
  </r>
  <r>
    <x v="24"/>
    <x v="3141"/>
    <n v="211"/>
    <n v="141"/>
    <x v="5"/>
    <n v="70"/>
    <x v="0"/>
    <n v="0.29375000000000001"/>
    <n v="2609"/>
  </r>
  <r>
    <x v="24"/>
    <x v="3142"/>
    <n v="205"/>
    <n v="185"/>
    <x v="0"/>
    <n v="20"/>
    <x v="0"/>
    <n v="0.38541666666666669"/>
    <n v="1517"/>
  </r>
  <r>
    <x v="24"/>
    <x v="3143"/>
    <n v="262"/>
    <n v="179"/>
    <x v="3"/>
    <n v="83"/>
    <x v="0"/>
    <n v="0.37291666666666667"/>
    <n v="1667"/>
  </r>
  <r>
    <x v="24"/>
    <x v="3144"/>
    <n v="298"/>
    <n v="43"/>
    <x v="3"/>
    <n v="255"/>
    <x v="2"/>
    <n v="8.9583333333333334E-2"/>
    <n v="4752"/>
  </r>
  <r>
    <x v="24"/>
    <x v="3145"/>
    <n v="240"/>
    <n v="189"/>
    <x v="6"/>
    <n v="51"/>
    <x v="0"/>
    <n v="0.39374999999999999"/>
    <n v="1395"/>
  </r>
  <r>
    <x v="24"/>
    <x v="3146"/>
    <n v="182"/>
    <n v="128"/>
    <x v="0"/>
    <n v="54"/>
    <x v="0"/>
    <n v="0.26666666666666666"/>
    <n v="2872"/>
  </r>
  <r>
    <x v="24"/>
    <x v="3147"/>
    <n v="186"/>
    <n v="122"/>
    <x v="6"/>
    <n v="64"/>
    <x v="0"/>
    <n v="0.25416666666666665"/>
    <n v="3013"/>
  </r>
  <r>
    <x v="24"/>
    <x v="3148"/>
    <n v="207"/>
    <n v="70"/>
    <x v="1"/>
    <n v="137"/>
    <x v="1"/>
    <n v="0.14583333333333334"/>
    <n v="4153"/>
  </r>
  <r>
    <x v="24"/>
    <x v="3149"/>
    <n v="135"/>
    <n v="98"/>
    <x v="4"/>
    <n v="37"/>
    <x v="1"/>
    <n v="0.20416666666666666"/>
    <n v="3574"/>
  </r>
  <r>
    <x v="24"/>
    <x v="3150"/>
    <n v="88"/>
    <n v="58"/>
    <x v="2"/>
    <n v="30"/>
    <x v="1"/>
    <n v="0.12083333333333333"/>
    <n v="4431"/>
  </r>
  <r>
    <x v="24"/>
    <x v="3151"/>
    <n v="173"/>
    <n v="148"/>
    <x v="5"/>
    <n v="25"/>
    <x v="0"/>
    <n v="0.30833333333333335"/>
    <n v="2446"/>
  </r>
  <r>
    <x v="24"/>
    <x v="3152"/>
    <n v="190"/>
    <n v="168"/>
    <x v="5"/>
    <n v="22"/>
    <x v="0"/>
    <n v="0.35"/>
    <n v="1954"/>
  </r>
  <r>
    <x v="24"/>
    <x v="3153"/>
    <n v="295"/>
    <n v="61"/>
    <x v="3"/>
    <n v="234"/>
    <x v="1"/>
    <n v="0.12708333333333333"/>
    <n v="4368"/>
  </r>
  <r>
    <x v="24"/>
    <x v="3154"/>
    <n v="272"/>
    <n v="79"/>
    <x v="2"/>
    <n v="193"/>
    <x v="1"/>
    <n v="0.16458333333333333"/>
    <n v="3967"/>
  </r>
  <r>
    <x v="24"/>
    <x v="3155"/>
    <n v="78"/>
    <n v="35"/>
    <x v="6"/>
    <n v="43"/>
    <x v="2"/>
    <n v="7.2916666666666671E-2"/>
    <n v="4916"/>
  </r>
  <r>
    <x v="24"/>
    <x v="3156"/>
    <n v="253"/>
    <n v="43"/>
    <x v="4"/>
    <n v="210"/>
    <x v="2"/>
    <n v="8.9583333333333334E-2"/>
    <n v="4752"/>
  </r>
  <r>
    <x v="24"/>
    <x v="3157"/>
    <n v="166"/>
    <n v="63"/>
    <x v="5"/>
    <n v="103"/>
    <x v="1"/>
    <n v="0.13125000000000001"/>
    <n v="4322"/>
  </r>
  <r>
    <x v="24"/>
    <x v="3158"/>
    <n v="282"/>
    <n v="133"/>
    <x v="6"/>
    <n v="149"/>
    <x v="0"/>
    <n v="0.27708333333333335"/>
    <n v="2758"/>
  </r>
  <r>
    <x v="24"/>
    <x v="3159"/>
    <n v="229"/>
    <n v="171"/>
    <x v="2"/>
    <n v="58"/>
    <x v="0"/>
    <n v="0.35625000000000001"/>
    <n v="1866"/>
  </r>
  <r>
    <x v="24"/>
    <x v="3160"/>
    <n v="185"/>
    <n v="128"/>
    <x v="4"/>
    <n v="57"/>
    <x v="0"/>
    <n v="0.26666666666666666"/>
    <n v="2872"/>
  </r>
  <r>
    <x v="24"/>
    <x v="3161"/>
    <n v="249"/>
    <n v="78"/>
    <x v="3"/>
    <n v="171"/>
    <x v="1"/>
    <n v="0.16250000000000001"/>
    <n v="3989"/>
  </r>
  <r>
    <x v="24"/>
    <x v="3162"/>
    <n v="235"/>
    <n v="142"/>
    <x v="2"/>
    <n v="93"/>
    <x v="0"/>
    <n v="0.29583333333333334"/>
    <n v="2585"/>
  </r>
  <r>
    <x v="24"/>
    <x v="3163"/>
    <n v="255"/>
    <n v="159"/>
    <x v="1"/>
    <n v="96"/>
    <x v="0"/>
    <n v="0.33124999999999999"/>
    <n v="2183"/>
  </r>
  <r>
    <x v="24"/>
    <x v="3164"/>
    <n v="151"/>
    <n v="97"/>
    <x v="3"/>
    <n v="54"/>
    <x v="1"/>
    <n v="0.20208333333333334"/>
    <n v="3593"/>
  </r>
  <r>
    <x v="24"/>
    <x v="3165"/>
    <n v="174"/>
    <n v="100"/>
    <x v="5"/>
    <n v="74"/>
    <x v="1"/>
    <n v="0.20833333333333334"/>
    <n v="3535"/>
  </r>
  <r>
    <x v="24"/>
    <x v="3166"/>
    <n v="73"/>
    <n v="70"/>
    <x v="6"/>
    <n v="3"/>
    <x v="1"/>
    <n v="0.14583333333333334"/>
    <n v="4153"/>
  </r>
  <r>
    <x v="24"/>
    <x v="3167"/>
    <n v="163"/>
    <n v="69"/>
    <x v="4"/>
    <n v="94"/>
    <x v="1"/>
    <n v="0.14374999999999999"/>
    <n v="4186"/>
  </r>
  <r>
    <x v="24"/>
    <x v="3168"/>
    <n v="293"/>
    <n v="167"/>
    <x v="0"/>
    <n v="126"/>
    <x v="0"/>
    <n v="0.34791666666666665"/>
    <n v="1979"/>
  </r>
  <r>
    <x v="24"/>
    <x v="3169"/>
    <n v="113"/>
    <n v="88"/>
    <x v="3"/>
    <n v="25"/>
    <x v="1"/>
    <n v="0.18333333333333332"/>
    <n v="3792"/>
  </r>
  <r>
    <x v="24"/>
    <x v="3170"/>
    <n v="275"/>
    <n v="125"/>
    <x v="1"/>
    <n v="150"/>
    <x v="0"/>
    <n v="0.26041666666666669"/>
    <n v="2951"/>
  </r>
  <r>
    <x v="24"/>
    <x v="3171"/>
    <n v="245"/>
    <n v="35"/>
    <x v="6"/>
    <n v="210"/>
    <x v="2"/>
    <n v="7.2916666666666671E-2"/>
    <n v="4916"/>
  </r>
  <r>
    <x v="24"/>
    <x v="3172"/>
    <n v="175"/>
    <n v="120"/>
    <x v="1"/>
    <n v="55"/>
    <x v="0"/>
    <n v="0.25"/>
    <n v="3066"/>
  </r>
  <r>
    <x v="24"/>
    <x v="3173"/>
    <n v="172"/>
    <n v="133"/>
    <x v="3"/>
    <n v="39"/>
    <x v="0"/>
    <n v="0.27708333333333335"/>
    <n v="2758"/>
  </r>
  <r>
    <x v="24"/>
    <x v="3174"/>
    <n v="209"/>
    <n v="33"/>
    <x v="2"/>
    <n v="176"/>
    <x v="2"/>
    <n v="6.8750000000000006E-2"/>
    <n v="4964"/>
  </r>
  <r>
    <x v="24"/>
    <x v="3175"/>
    <n v="65"/>
    <n v="56"/>
    <x v="1"/>
    <n v="9"/>
    <x v="1"/>
    <n v="0.11666666666666667"/>
    <n v="4474"/>
  </r>
  <r>
    <x v="24"/>
    <x v="3176"/>
    <n v="156"/>
    <n v="63"/>
    <x v="0"/>
    <n v="93"/>
    <x v="1"/>
    <n v="0.13125000000000001"/>
    <n v="4322"/>
  </r>
  <r>
    <x v="24"/>
    <x v="3177"/>
    <n v="279"/>
    <n v="116"/>
    <x v="0"/>
    <n v="163"/>
    <x v="0"/>
    <n v="0.24166666666666667"/>
    <n v="3173"/>
  </r>
  <r>
    <x v="24"/>
    <x v="3178"/>
    <n v="284"/>
    <n v="81"/>
    <x v="3"/>
    <n v="203"/>
    <x v="1"/>
    <n v="0.16875000000000001"/>
    <n v="3923"/>
  </r>
  <r>
    <x v="24"/>
    <x v="3179"/>
    <n v="190"/>
    <n v="138"/>
    <x v="3"/>
    <n v="52"/>
    <x v="0"/>
    <n v="0.28749999999999998"/>
    <n v="2660"/>
  </r>
  <r>
    <x v="24"/>
    <x v="3180"/>
    <n v="199"/>
    <n v="189"/>
    <x v="6"/>
    <n v="10"/>
    <x v="0"/>
    <n v="0.39374999999999999"/>
    <n v="1395"/>
  </r>
  <r>
    <x v="24"/>
    <x v="3181"/>
    <n v="185"/>
    <n v="135"/>
    <x v="1"/>
    <n v="50"/>
    <x v="0"/>
    <n v="0.28125"/>
    <n v="2714"/>
  </r>
  <r>
    <x v="24"/>
    <x v="3182"/>
    <n v="161"/>
    <n v="123"/>
    <x v="4"/>
    <n v="38"/>
    <x v="0"/>
    <n v="0.25624999999999998"/>
    <n v="2983"/>
  </r>
  <r>
    <x v="24"/>
    <x v="3183"/>
    <n v="270"/>
    <n v="118"/>
    <x v="6"/>
    <n v="152"/>
    <x v="0"/>
    <n v="0.24583333333333332"/>
    <n v="3122"/>
  </r>
  <r>
    <x v="24"/>
    <x v="3184"/>
    <n v="189"/>
    <n v="181"/>
    <x v="4"/>
    <n v="8"/>
    <x v="0"/>
    <n v="0.37708333333333333"/>
    <n v="1609"/>
  </r>
  <r>
    <x v="24"/>
    <x v="3185"/>
    <n v="300"/>
    <n v="47"/>
    <x v="1"/>
    <n v="253"/>
    <x v="2"/>
    <n v="9.7916666666666666E-2"/>
    <n v="4656"/>
  </r>
  <r>
    <x v="24"/>
    <x v="3186"/>
    <n v="282"/>
    <n v="140"/>
    <x v="3"/>
    <n v="142"/>
    <x v="0"/>
    <n v="0.29166666666666669"/>
    <n v="2627"/>
  </r>
  <r>
    <x v="24"/>
    <x v="3187"/>
    <n v="206"/>
    <n v="58"/>
    <x v="0"/>
    <n v="148"/>
    <x v="1"/>
    <n v="0.12083333333333333"/>
    <n v="4431"/>
  </r>
  <r>
    <x v="24"/>
    <x v="3188"/>
    <n v="168"/>
    <n v="108"/>
    <x v="6"/>
    <n v="60"/>
    <x v="0"/>
    <n v="0.22500000000000001"/>
    <n v="3362"/>
  </r>
  <r>
    <x v="24"/>
    <x v="3189"/>
    <n v="112"/>
    <n v="65"/>
    <x v="1"/>
    <n v="47"/>
    <x v="1"/>
    <n v="0.13541666666666666"/>
    <n v="4267"/>
  </r>
  <r>
    <x v="24"/>
    <x v="3190"/>
    <n v="316"/>
    <n v="120"/>
    <x v="6"/>
    <n v="196"/>
    <x v="0"/>
    <n v="0.25"/>
    <n v="3066"/>
  </r>
  <r>
    <x v="24"/>
    <x v="3191"/>
    <n v="302"/>
    <n v="89"/>
    <x v="0"/>
    <n v="213"/>
    <x v="1"/>
    <n v="0.18541666666666667"/>
    <n v="3772"/>
  </r>
  <r>
    <x v="24"/>
    <x v="3192"/>
    <n v="260"/>
    <n v="85"/>
    <x v="6"/>
    <n v="175"/>
    <x v="1"/>
    <n v="0.17708333333333334"/>
    <n v="3852"/>
  </r>
  <r>
    <x v="24"/>
    <x v="3193"/>
    <n v="184"/>
    <n v="116"/>
    <x v="3"/>
    <n v="68"/>
    <x v="0"/>
    <n v="0.24166666666666667"/>
    <n v="3173"/>
  </r>
  <r>
    <x v="24"/>
    <x v="3194"/>
    <n v="139"/>
    <n v="39"/>
    <x v="3"/>
    <n v="100"/>
    <x v="2"/>
    <n v="8.1250000000000003E-2"/>
    <n v="4829"/>
  </r>
  <r>
    <x v="24"/>
    <x v="3195"/>
    <n v="227"/>
    <n v="124"/>
    <x v="0"/>
    <n v="103"/>
    <x v="0"/>
    <n v="0.25833333333333336"/>
    <n v="2971"/>
  </r>
  <r>
    <x v="24"/>
    <x v="3196"/>
    <n v="249"/>
    <n v="184"/>
    <x v="1"/>
    <n v="65"/>
    <x v="0"/>
    <n v="0.38333333333333336"/>
    <n v="1544"/>
  </r>
  <r>
    <x v="24"/>
    <x v="3197"/>
    <n v="95"/>
    <n v="39"/>
    <x v="4"/>
    <n v="56"/>
    <x v="2"/>
    <n v="8.1250000000000003E-2"/>
    <n v="4829"/>
  </r>
  <r>
    <x v="24"/>
    <x v="3198"/>
    <n v="140"/>
    <n v="36"/>
    <x v="3"/>
    <n v="104"/>
    <x v="2"/>
    <n v="7.4999999999999997E-2"/>
    <n v="4893"/>
  </r>
  <r>
    <x v="24"/>
    <x v="3199"/>
    <n v="177"/>
    <n v="159"/>
    <x v="3"/>
    <n v="18"/>
    <x v="0"/>
    <n v="0.33124999999999999"/>
    <n v="2183"/>
  </r>
  <r>
    <x v="24"/>
    <x v="3200"/>
    <n v="196"/>
    <n v="171"/>
    <x v="1"/>
    <n v="25"/>
    <x v="0"/>
    <n v="0.35625000000000001"/>
    <n v="1866"/>
  </r>
  <r>
    <x v="24"/>
    <x v="3201"/>
    <n v="253"/>
    <n v="99"/>
    <x v="3"/>
    <n v="154"/>
    <x v="1"/>
    <n v="0.20624999999999999"/>
    <n v="3553"/>
  </r>
  <r>
    <x v="24"/>
    <x v="3202"/>
    <n v="223"/>
    <n v="151"/>
    <x v="5"/>
    <n v="72"/>
    <x v="0"/>
    <n v="0.31458333333333333"/>
    <n v="2376"/>
  </r>
  <r>
    <x v="24"/>
    <x v="3203"/>
    <n v="36"/>
    <n v="31"/>
    <x v="4"/>
    <n v="5"/>
    <x v="2"/>
    <n v="6.458333333333334E-2"/>
    <n v="5016"/>
  </r>
  <r>
    <x v="24"/>
    <x v="3204"/>
    <n v="268"/>
    <n v="151"/>
    <x v="2"/>
    <n v="117"/>
    <x v="0"/>
    <n v="0.31458333333333333"/>
    <n v="2376"/>
  </r>
  <r>
    <x v="24"/>
    <x v="3205"/>
    <n v="268"/>
    <n v="148"/>
    <x v="6"/>
    <n v="120"/>
    <x v="0"/>
    <n v="0.30833333333333335"/>
    <n v="2446"/>
  </r>
  <r>
    <x v="24"/>
    <x v="3206"/>
    <n v="239"/>
    <n v="91"/>
    <x v="4"/>
    <n v="148"/>
    <x v="1"/>
    <n v="0.18958333333333333"/>
    <n v="3726"/>
  </r>
  <r>
    <x v="24"/>
    <x v="3207"/>
    <n v="104"/>
    <n v="41"/>
    <x v="6"/>
    <n v="63"/>
    <x v="2"/>
    <n v="8.5416666666666669E-2"/>
    <n v="4789"/>
  </r>
  <r>
    <x v="24"/>
    <x v="3208"/>
    <n v="157"/>
    <n v="61"/>
    <x v="2"/>
    <n v="96"/>
    <x v="1"/>
    <n v="0.12708333333333333"/>
    <n v="4368"/>
  </r>
  <r>
    <x v="24"/>
    <x v="3209"/>
    <n v="271"/>
    <n v="60"/>
    <x v="1"/>
    <n v="211"/>
    <x v="1"/>
    <n v="0.125"/>
    <n v="4390"/>
  </r>
  <r>
    <x v="24"/>
    <x v="3210"/>
    <n v="190"/>
    <n v="118"/>
    <x v="6"/>
    <n v="72"/>
    <x v="0"/>
    <n v="0.24583333333333332"/>
    <n v="3122"/>
  </r>
  <r>
    <x v="24"/>
    <x v="3211"/>
    <n v="261"/>
    <n v="41"/>
    <x v="1"/>
    <n v="220"/>
    <x v="2"/>
    <n v="8.5416666666666669E-2"/>
    <n v="4789"/>
  </r>
  <r>
    <x v="24"/>
    <x v="3212"/>
    <n v="262"/>
    <n v="153"/>
    <x v="3"/>
    <n v="109"/>
    <x v="0"/>
    <n v="0.31874999999999998"/>
    <n v="2329"/>
  </r>
  <r>
    <x v="24"/>
    <x v="3213"/>
    <n v="219"/>
    <n v="162"/>
    <x v="6"/>
    <n v="57"/>
    <x v="0"/>
    <n v="0.33750000000000002"/>
    <n v="2106"/>
  </r>
  <r>
    <x v="24"/>
    <x v="3214"/>
    <n v="238"/>
    <n v="94"/>
    <x v="3"/>
    <n v="144"/>
    <x v="1"/>
    <n v="0.19583333333333333"/>
    <n v="3654"/>
  </r>
  <r>
    <x v="24"/>
    <x v="3215"/>
    <n v="135"/>
    <n v="94"/>
    <x v="3"/>
    <n v="41"/>
    <x v="1"/>
    <n v="0.19583333333333333"/>
    <n v="3654"/>
  </r>
  <r>
    <x v="24"/>
    <x v="3216"/>
    <n v="204"/>
    <n v="47"/>
    <x v="2"/>
    <n v="157"/>
    <x v="2"/>
    <n v="9.7916666666666666E-2"/>
    <n v="4656"/>
  </r>
  <r>
    <x v="24"/>
    <x v="3217"/>
    <n v="218"/>
    <n v="148"/>
    <x v="0"/>
    <n v="70"/>
    <x v="0"/>
    <n v="0.30833333333333335"/>
    <n v="2446"/>
  </r>
  <r>
    <x v="24"/>
    <x v="3218"/>
    <n v="280"/>
    <n v="120"/>
    <x v="3"/>
    <n v="160"/>
    <x v="0"/>
    <n v="0.25"/>
    <n v="3066"/>
  </r>
  <r>
    <x v="24"/>
    <x v="3219"/>
    <n v="208"/>
    <n v="66"/>
    <x v="2"/>
    <n v="142"/>
    <x v="1"/>
    <n v="0.13750000000000001"/>
    <n v="4247"/>
  </r>
  <r>
    <x v="24"/>
    <x v="3220"/>
    <n v="246"/>
    <n v="171"/>
    <x v="3"/>
    <n v="75"/>
    <x v="0"/>
    <n v="0.35625000000000001"/>
    <n v="1866"/>
  </r>
  <r>
    <x v="24"/>
    <x v="3221"/>
    <n v="173"/>
    <n v="142"/>
    <x v="5"/>
    <n v="31"/>
    <x v="0"/>
    <n v="0.29583333333333334"/>
    <n v="2585"/>
  </r>
  <r>
    <x v="24"/>
    <x v="3222"/>
    <n v="195"/>
    <n v="180"/>
    <x v="2"/>
    <n v="15"/>
    <x v="0"/>
    <n v="0.375"/>
    <n v="1635"/>
  </r>
  <r>
    <x v="24"/>
    <x v="3223"/>
    <n v="243"/>
    <n v="113"/>
    <x v="0"/>
    <n v="130"/>
    <x v="0"/>
    <n v="0.23541666666666666"/>
    <n v="3243"/>
  </r>
  <r>
    <x v="24"/>
    <x v="3224"/>
    <n v="193"/>
    <n v="183"/>
    <x v="4"/>
    <n v="10"/>
    <x v="0"/>
    <n v="0.38124999999999998"/>
    <n v="1572"/>
  </r>
  <r>
    <x v="24"/>
    <x v="3225"/>
    <n v="194"/>
    <n v="54"/>
    <x v="1"/>
    <n v="140"/>
    <x v="1"/>
    <n v="0.1125"/>
    <n v="4523"/>
  </r>
  <r>
    <x v="24"/>
    <x v="3226"/>
    <n v="259"/>
    <n v="142"/>
    <x v="4"/>
    <n v="117"/>
    <x v="0"/>
    <n v="0.29583333333333334"/>
    <n v="2585"/>
  </r>
  <r>
    <x v="24"/>
    <x v="3227"/>
    <n v="146"/>
    <n v="146"/>
    <x v="1"/>
    <n v="0"/>
    <x v="0"/>
    <n v="0.30416666666666664"/>
    <n v="2499"/>
  </r>
  <r>
    <x v="24"/>
    <x v="3228"/>
    <n v="216"/>
    <n v="164"/>
    <x v="5"/>
    <n v="52"/>
    <x v="0"/>
    <n v="0.34166666666666667"/>
    <n v="2049"/>
  </r>
  <r>
    <x v="24"/>
    <x v="3229"/>
    <n v="286"/>
    <n v="81"/>
    <x v="3"/>
    <n v="205"/>
    <x v="1"/>
    <n v="0.16875000000000001"/>
    <n v="3923"/>
  </r>
  <r>
    <x v="24"/>
    <x v="3230"/>
    <n v="159"/>
    <n v="51"/>
    <x v="0"/>
    <n v="108"/>
    <x v="1"/>
    <n v="0.10625"/>
    <n v="4578"/>
  </r>
  <r>
    <x v="24"/>
    <x v="3231"/>
    <n v="279"/>
    <n v="114"/>
    <x v="4"/>
    <n v="165"/>
    <x v="0"/>
    <n v="0.23749999999999999"/>
    <n v="3226"/>
  </r>
  <r>
    <x v="24"/>
    <x v="3232"/>
    <n v="159"/>
    <n v="78"/>
    <x v="3"/>
    <n v="81"/>
    <x v="1"/>
    <n v="0.16250000000000001"/>
    <n v="3989"/>
  </r>
  <r>
    <x v="24"/>
    <x v="3233"/>
    <n v="169"/>
    <n v="159"/>
    <x v="4"/>
    <n v="10"/>
    <x v="0"/>
    <n v="0.33124999999999999"/>
    <n v="2183"/>
  </r>
  <r>
    <x v="24"/>
    <x v="3234"/>
    <n v="209"/>
    <n v="93"/>
    <x v="3"/>
    <n v="116"/>
    <x v="1"/>
    <n v="0.19375000000000001"/>
    <n v="3678"/>
  </r>
  <r>
    <x v="24"/>
    <x v="3235"/>
    <n v="314"/>
    <n v="49"/>
    <x v="1"/>
    <n v="265"/>
    <x v="2"/>
    <n v="0.10208333333333333"/>
    <n v="4614"/>
  </r>
  <r>
    <x v="24"/>
    <x v="3236"/>
    <n v="280"/>
    <n v="172"/>
    <x v="3"/>
    <n v="108"/>
    <x v="0"/>
    <n v="0.35833333333333334"/>
    <n v="1852"/>
  </r>
  <r>
    <x v="24"/>
    <x v="3237"/>
    <n v="235"/>
    <n v="156"/>
    <x v="3"/>
    <n v="79"/>
    <x v="0"/>
    <n v="0.32500000000000001"/>
    <n v="2251"/>
  </r>
  <r>
    <x v="24"/>
    <x v="3238"/>
    <n v="232"/>
    <n v="188"/>
    <x v="3"/>
    <n v="44"/>
    <x v="0"/>
    <n v="0.39166666666666666"/>
    <n v="1423"/>
  </r>
  <r>
    <x v="24"/>
    <x v="3239"/>
    <n v="307"/>
    <n v="113"/>
    <x v="5"/>
    <n v="194"/>
    <x v="0"/>
    <n v="0.23541666666666666"/>
    <n v="3243"/>
  </r>
  <r>
    <x v="24"/>
    <x v="3240"/>
    <n v="283"/>
    <n v="176"/>
    <x v="1"/>
    <n v="107"/>
    <x v="0"/>
    <n v="0.36666666666666664"/>
    <n v="1754"/>
  </r>
  <r>
    <x v="24"/>
    <x v="3241"/>
    <n v="232"/>
    <n v="187"/>
    <x v="0"/>
    <n v="45"/>
    <x v="0"/>
    <n v="0.38958333333333334"/>
    <n v="1455"/>
  </r>
  <r>
    <x v="24"/>
    <x v="3242"/>
    <n v="302"/>
    <n v="180"/>
    <x v="2"/>
    <n v="122"/>
    <x v="0"/>
    <n v="0.375"/>
    <n v="1635"/>
  </r>
  <r>
    <x v="24"/>
    <x v="3243"/>
    <n v="257"/>
    <n v="166"/>
    <x v="6"/>
    <n v="91"/>
    <x v="0"/>
    <n v="0.34583333333333333"/>
    <n v="2007"/>
  </r>
  <r>
    <x v="24"/>
    <x v="3244"/>
    <n v="161"/>
    <n v="48"/>
    <x v="3"/>
    <n v="113"/>
    <x v="2"/>
    <n v="0.1"/>
    <n v="4638"/>
  </r>
  <r>
    <x v="24"/>
    <x v="3245"/>
    <n v="276"/>
    <n v="110"/>
    <x v="0"/>
    <n v="166"/>
    <x v="0"/>
    <n v="0.22916666666666666"/>
    <n v="3302"/>
  </r>
  <r>
    <x v="24"/>
    <x v="3246"/>
    <n v="274"/>
    <n v="73"/>
    <x v="3"/>
    <n v="201"/>
    <x v="1"/>
    <n v="0.15208333333333332"/>
    <n v="4083"/>
  </r>
  <r>
    <x v="24"/>
    <x v="3247"/>
    <n v="187"/>
    <n v="101"/>
    <x v="1"/>
    <n v="86"/>
    <x v="0"/>
    <n v="0.21041666666666667"/>
    <n v="3515"/>
  </r>
  <r>
    <x v="24"/>
    <x v="3248"/>
    <n v="301"/>
    <n v="119"/>
    <x v="4"/>
    <n v="182"/>
    <x v="0"/>
    <n v="0.24791666666666667"/>
    <n v="3093"/>
  </r>
  <r>
    <x v="24"/>
    <x v="3249"/>
    <n v="198"/>
    <n v="106"/>
    <x v="1"/>
    <n v="92"/>
    <x v="0"/>
    <n v="0.22083333333333333"/>
    <n v="3413"/>
  </r>
  <r>
    <x v="24"/>
    <x v="3250"/>
    <n v="278"/>
    <n v="60"/>
    <x v="2"/>
    <n v="218"/>
    <x v="1"/>
    <n v="0.125"/>
    <n v="4390"/>
  </r>
  <r>
    <x v="24"/>
    <x v="3251"/>
    <n v="192"/>
    <n v="176"/>
    <x v="6"/>
    <n v="16"/>
    <x v="0"/>
    <n v="0.36666666666666664"/>
    <n v="1754"/>
  </r>
  <r>
    <x v="24"/>
    <x v="3252"/>
    <n v="320"/>
    <n v="84"/>
    <x v="4"/>
    <n v="236"/>
    <x v="1"/>
    <n v="0.17499999999999999"/>
    <n v="3872"/>
  </r>
  <r>
    <x v="24"/>
    <x v="3253"/>
    <n v="210"/>
    <n v="150"/>
    <x v="6"/>
    <n v="60"/>
    <x v="0"/>
    <n v="0.3125"/>
    <n v="2400"/>
  </r>
  <r>
    <x v="24"/>
    <x v="3254"/>
    <n v="186"/>
    <n v="90"/>
    <x v="4"/>
    <n v="96"/>
    <x v="1"/>
    <n v="0.1875"/>
    <n v="3750"/>
  </r>
  <r>
    <x v="24"/>
    <x v="3255"/>
    <n v="243"/>
    <n v="69"/>
    <x v="5"/>
    <n v="174"/>
    <x v="1"/>
    <n v="0.14374999999999999"/>
    <n v="4186"/>
  </r>
  <r>
    <x v="24"/>
    <x v="3256"/>
    <n v="237"/>
    <n v="65"/>
    <x v="0"/>
    <n v="172"/>
    <x v="1"/>
    <n v="0.13541666666666666"/>
    <n v="4267"/>
  </r>
  <r>
    <x v="24"/>
    <x v="3257"/>
    <n v="118"/>
    <n v="47"/>
    <x v="0"/>
    <n v="71"/>
    <x v="2"/>
    <n v="9.7916666666666666E-2"/>
    <n v="4656"/>
  </r>
  <r>
    <x v="24"/>
    <x v="3258"/>
    <n v="188"/>
    <n v="156"/>
    <x v="2"/>
    <n v="32"/>
    <x v="0"/>
    <n v="0.32500000000000001"/>
    <n v="2251"/>
  </r>
  <r>
    <x v="24"/>
    <x v="3259"/>
    <n v="125"/>
    <n v="36"/>
    <x v="4"/>
    <n v="89"/>
    <x v="2"/>
    <n v="7.4999999999999997E-2"/>
    <n v="4893"/>
  </r>
  <r>
    <x v="24"/>
    <x v="3260"/>
    <n v="126"/>
    <n v="102"/>
    <x v="2"/>
    <n v="24"/>
    <x v="0"/>
    <n v="0.21249999999999999"/>
    <n v="3493"/>
  </r>
  <r>
    <x v="24"/>
    <x v="3261"/>
    <n v="177"/>
    <n v="165"/>
    <x v="4"/>
    <n v="12"/>
    <x v="0"/>
    <n v="0.34375"/>
    <n v="2028"/>
  </r>
  <r>
    <x v="24"/>
    <x v="3262"/>
    <n v="248"/>
    <n v="86"/>
    <x v="5"/>
    <n v="162"/>
    <x v="1"/>
    <n v="0.17916666666666667"/>
    <n v="3830"/>
  </r>
  <r>
    <x v="24"/>
    <x v="3263"/>
    <n v="311"/>
    <n v="117"/>
    <x v="0"/>
    <n v="194"/>
    <x v="0"/>
    <n v="0.24374999999999999"/>
    <n v="3144"/>
  </r>
  <r>
    <x v="24"/>
    <x v="3264"/>
    <n v="311"/>
    <n v="34"/>
    <x v="5"/>
    <n v="277"/>
    <x v="2"/>
    <n v="7.0833333333333331E-2"/>
    <n v="4944"/>
  </r>
  <r>
    <x v="24"/>
    <x v="3265"/>
    <n v="224"/>
    <n v="70"/>
    <x v="4"/>
    <n v="154"/>
    <x v="1"/>
    <n v="0.14583333333333334"/>
    <n v="4153"/>
  </r>
  <r>
    <x v="24"/>
    <x v="3266"/>
    <n v="245"/>
    <n v="154"/>
    <x v="1"/>
    <n v="91"/>
    <x v="0"/>
    <n v="0.32083333333333336"/>
    <n v="2307"/>
  </r>
  <r>
    <x v="24"/>
    <x v="3267"/>
    <n v="208"/>
    <n v="183"/>
    <x v="5"/>
    <n v="25"/>
    <x v="0"/>
    <n v="0.38124999999999998"/>
    <n v="1572"/>
  </r>
  <r>
    <x v="24"/>
    <x v="3268"/>
    <n v="126"/>
    <n v="70"/>
    <x v="3"/>
    <n v="56"/>
    <x v="1"/>
    <n v="0.14583333333333334"/>
    <n v="4153"/>
  </r>
  <r>
    <x v="24"/>
    <x v="3269"/>
    <n v="311"/>
    <n v="110"/>
    <x v="4"/>
    <n v="201"/>
    <x v="0"/>
    <n v="0.22916666666666666"/>
    <n v="3302"/>
  </r>
  <r>
    <x v="24"/>
    <x v="3270"/>
    <n v="288"/>
    <n v="101"/>
    <x v="3"/>
    <n v="187"/>
    <x v="0"/>
    <n v="0.21041666666666667"/>
    <n v="3515"/>
  </r>
  <r>
    <x v="24"/>
    <x v="3271"/>
    <n v="242"/>
    <n v="129"/>
    <x v="3"/>
    <n v="113"/>
    <x v="0"/>
    <n v="0.26874999999999999"/>
    <n v="2852"/>
  </r>
  <r>
    <x v="24"/>
    <x v="3272"/>
    <n v="264"/>
    <n v="146"/>
    <x v="1"/>
    <n v="118"/>
    <x v="0"/>
    <n v="0.30416666666666664"/>
    <n v="2499"/>
  </r>
  <r>
    <x v="24"/>
    <x v="3273"/>
    <n v="212"/>
    <n v="31"/>
    <x v="2"/>
    <n v="181"/>
    <x v="2"/>
    <n v="6.458333333333334E-2"/>
    <n v="5016"/>
  </r>
  <r>
    <x v="24"/>
    <x v="3274"/>
    <n v="219"/>
    <n v="157"/>
    <x v="6"/>
    <n v="62"/>
    <x v="0"/>
    <n v="0.32708333333333334"/>
    <n v="2239"/>
  </r>
  <r>
    <x v="24"/>
    <x v="3275"/>
    <n v="204"/>
    <n v="85"/>
    <x v="3"/>
    <n v="119"/>
    <x v="1"/>
    <n v="0.17708333333333334"/>
    <n v="3852"/>
  </r>
  <r>
    <x v="24"/>
    <x v="3276"/>
    <n v="115"/>
    <n v="101"/>
    <x v="3"/>
    <n v="14"/>
    <x v="0"/>
    <n v="0.21041666666666667"/>
    <n v="3515"/>
  </r>
  <r>
    <x v="24"/>
    <x v="3277"/>
    <n v="294"/>
    <n v="39"/>
    <x v="3"/>
    <n v="255"/>
    <x v="2"/>
    <n v="8.1250000000000003E-2"/>
    <n v="4829"/>
  </r>
  <r>
    <x v="24"/>
    <x v="3278"/>
    <n v="126"/>
    <n v="94"/>
    <x v="5"/>
    <n v="32"/>
    <x v="1"/>
    <n v="0.19583333333333333"/>
    <n v="3654"/>
  </r>
  <r>
    <x v="24"/>
    <x v="3279"/>
    <n v="276"/>
    <n v="69"/>
    <x v="3"/>
    <n v="207"/>
    <x v="1"/>
    <n v="0.14374999999999999"/>
    <n v="4186"/>
  </r>
  <r>
    <x v="24"/>
    <x v="3280"/>
    <n v="108"/>
    <n v="41"/>
    <x v="4"/>
    <n v="67"/>
    <x v="2"/>
    <n v="8.5416666666666669E-2"/>
    <n v="4789"/>
  </r>
  <r>
    <x v="24"/>
    <x v="3281"/>
    <n v="197"/>
    <n v="154"/>
    <x v="6"/>
    <n v="43"/>
    <x v="0"/>
    <n v="0.32083333333333336"/>
    <n v="2307"/>
  </r>
  <r>
    <x v="24"/>
    <x v="3282"/>
    <n v="128"/>
    <n v="50"/>
    <x v="6"/>
    <n v="78"/>
    <x v="2"/>
    <n v="0.10416666666666667"/>
    <n v="4596"/>
  </r>
  <r>
    <x v="24"/>
    <x v="3283"/>
    <n v="299"/>
    <n v="154"/>
    <x v="2"/>
    <n v="145"/>
    <x v="0"/>
    <n v="0.32083333333333336"/>
    <n v="2307"/>
  </r>
  <r>
    <x v="24"/>
    <x v="3284"/>
    <n v="166"/>
    <n v="98"/>
    <x v="2"/>
    <n v="68"/>
    <x v="1"/>
    <n v="0.20416666666666666"/>
    <n v="3574"/>
  </r>
  <r>
    <x v="24"/>
    <x v="3285"/>
    <n v="258"/>
    <n v="132"/>
    <x v="1"/>
    <n v="126"/>
    <x v="0"/>
    <n v="0.27500000000000002"/>
    <n v="2792"/>
  </r>
  <r>
    <x v="24"/>
    <x v="3286"/>
    <n v="194"/>
    <n v="89"/>
    <x v="1"/>
    <n v="105"/>
    <x v="1"/>
    <n v="0.18541666666666667"/>
    <n v="3772"/>
  </r>
  <r>
    <x v="24"/>
    <x v="3287"/>
    <n v="204"/>
    <n v="138"/>
    <x v="0"/>
    <n v="66"/>
    <x v="0"/>
    <n v="0.28749999999999998"/>
    <n v="2660"/>
  </r>
  <r>
    <x v="24"/>
    <x v="3288"/>
    <n v="320"/>
    <n v="123"/>
    <x v="2"/>
    <n v="197"/>
    <x v="0"/>
    <n v="0.25624999999999998"/>
    <n v="2983"/>
  </r>
  <r>
    <x v="24"/>
    <x v="3289"/>
    <n v="219"/>
    <n v="135"/>
    <x v="5"/>
    <n v="84"/>
    <x v="0"/>
    <n v="0.28125"/>
    <n v="2714"/>
  </r>
  <r>
    <x v="24"/>
    <x v="3290"/>
    <n v="296"/>
    <n v="73"/>
    <x v="4"/>
    <n v="223"/>
    <x v="1"/>
    <n v="0.15208333333333332"/>
    <n v="4083"/>
  </r>
  <r>
    <x v="24"/>
    <x v="3291"/>
    <n v="172"/>
    <n v="171"/>
    <x v="0"/>
    <n v="1"/>
    <x v="0"/>
    <n v="0.35625000000000001"/>
    <n v="1866"/>
  </r>
  <r>
    <x v="24"/>
    <x v="3292"/>
    <n v="151"/>
    <n v="116"/>
    <x v="5"/>
    <n v="35"/>
    <x v="0"/>
    <n v="0.24166666666666667"/>
    <n v="3173"/>
  </r>
  <r>
    <x v="24"/>
    <x v="3293"/>
    <n v="208"/>
    <n v="117"/>
    <x v="1"/>
    <n v="91"/>
    <x v="0"/>
    <n v="0.24374999999999999"/>
    <n v="3144"/>
  </r>
  <r>
    <x v="24"/>
    <x v="3294"/>
    <n v="249"/>
    <n v="170"/>
    <x v="5"/>
    <n v="79"/>
    <x v="0"/>
    <n v="0.35416666666666669"/>
    <n v="1898"/>
  </r>
  <r>
    <x v="24"/>
    <x v="3295"/>
    <n v="273"/>
    <n v="123"/>
    <x v="0"/>
    <n v="150"/>
    <x v="0"/>
    <n v="0.25624999999999998"/>
    <n v="2983"/>
  </r>
  <r>
    <x v="24"/>
    <x v="3296"/>
    <n v="263"/>
    <n v="181"/>
    <x v="4"/>
    <n v="82"/>
    <x v="0"/>
    <n v="0.37708333333333333"/>
    <n v="1609"/>
  </r>
  <r>
    <x v="24"/>
    <x v="3297"/>
    <n v="189"/>
    <n v="185"/>
    <x v="5"/>
    <n v="4"/>
    <x v="0"/>
    <n v="0.38541666666666669"/>
    <n v="1517"/>
  </r>
  <r>
    <x v="24"/>
    <x v="3298"/>
    <n v="199"/>
    <n v="79"/>
    <x v="6"/>
    <n v="120"/>
    <x v="1"/>
    <n v="0.16458333333333333"/>
    <n v="3967"/>
  </r>
  <r>
    <x v="24"/>
    <x v="3299"/>
    <n v="313"/>
    <n v="70"/>
    <x v="5"/>
    <n v="243"/>
    <x v="1"/>
    <n v="0.14583333333333334"/>
    <n v="4153"/>
  </r>
  <r>
    <x v="24"/>
    <x v="3300"/>
    <n v="295"/>
    <n v="113"/>
    <x v="5"/>
    <n v="182"/>
    <x v="0"/>
    <n v="0.23541666666666666"/>
    <n v="3243"/>
  </r>
  <r>
    <x v="24"/>
    <x v="3301"/>
    <n v="159"/>
    <n v="145"/>
    <x v="5"/>
    <n v="14"/>
    <x v="0"/>
    <n v="0.30208333333333331"/>
    <n v="2526"/>
  </r>
  <r>
    <x v="24"/>
    <x v="3302"/>
    <n v="240"/>
    <n v="93"/>
    <x v="3"/>
    <n v="147"/>
    <x v="1"/>
    <n v="0.19375000000000001"/>
    <n v="3678"/>
  </r>
  <r>
    <x v="24"/>
    <x v="3303"/>
    <n v="90"/>
    <n v="90"/>
    <x v="1"/>
    <n v="0"/>
    <x v="1"/>
    <n v="0.1875"/>
    <n v="3750"/>
  </r>
  <r>
    <x v="24"/>
    <x v="3304"/>
    <n v="222"/>
    <n v="148"/>
    <x v="6"/>
    <n v="74"/>
    <x v="0"/>
    <n v="0.30833333333333335"/>
    <n v="2446"/>
  </r>
  <r>
    <x v="24"/>
    <x v="3305"/>
    <n v="314"/>
    <n v="38"/>
    <x v="3"/>
    <n v="276"/>
    <x v="2"/>
    <n v="7.9166666666666663E-2"/>
    <n v="4845"/>
  </r>
  <r>
    <x v="24"/>
    <x v="3306"/>
    <n v="290"/>
    <n v="88"/>
    <x v="4"/>
    <n v="202"/>
    <x v="1"/>
    <n v="0.18333333333333332"/>
    <n v="3792"/>
  </r>
  <r>
    <x v="24"/>
    <x v="3307"/>
    <n v="137"/>
    <n v="50"/>
    <x v="1"/>
    <n v="87"/>
    <x v="2"/>
    <n v="0.10416666666666667"/>
    <n v="4596"/>
  </r>
  <r>
    <x v="24"/>
    <x v="3308"/>
    <n v="275"/>
    <n v="188"/>
    <x v="4"/>
    <n v="87"/>
    <x v="0"/>
    <n v="0.39166666666666666"/>
    <n v="1423"/>
  </r>
  <r>
    <x v="24"/>
    <x v="3309"/>
    <n v="248"/>
    <n v="181"/>
    <x v="4"/>
    <n v="67"/>
    <x v="0"/>
    <n v="0.37708333333333333"/>
    <n v="1609"/>
  </r>
  <r>
    <x v="24"/>
    <x v="3310"/>
    <n v="245"/>
    <n v="37"/>
    <x v="3"/>
    <n v="208"/>
    <x v="2"/>
    <n v="7.7083333333333337E-2"/>
    <n v="4863"/>
  </r>
  <r>
    <x v="24"/>
    <x v="3311"/>
    <n v="102"/>
    <n v="34"/>
    <x v="0"/>
    <n v="68"/>
    <x v="2"/>
    <n v="7.0833333333333331E-2"/>
    <n v="4944"/>
  </r>
  <r>
    <x v="24"/>
    <x v="3312"/>
    <n v="135"/>
    <n v="121"/>
    <x v="2"/>
    <n v="14"/>
    <x v="0"/>
    <n v="0.25208333333333333"/>
    <n v="3037"/>
  </r>
  <r>
    <x v="24"/>
    <x v="3313"/>
    <n v="66"/>
    <n v="44"/>
    <x v="5"/>
    <n v="22"/>
    <x v="2"/>
    <n v="9.166666666666666E-2"/>
    <n v="4732"/>
  </r>
  <r>
    <x v="24"/>
    <x v="3314"/>
    <n v="171"/>
    <n v="97"/>
    <x v="0"/>
    <n v="74"/>
    <x v="1"/>
    <n v="0.20208333333333334"/>
    <n v="3593"/>
  </r>
  <r>
    <x v="24"/>
    <x v="3315"/>
    <n v="235"/>
    <n v="80"/>
    <x v="3"/>
    <n v="155"/>
    <x v="1"/>
    <n v="0.16666666666666666"/>
    <n v="3948"/>
  </r>
  <r>
    <x v="24"/>
    <x v="3316"/>
    <n v="220"/>
    <n v="81"/>
    <x v="1"/>
    <n v="139"/>
    <x v="1"/>
    <n v="0.16875000000000001"/>
    <n v="3923"/>
  </r>
  <r>
    <x v="24"/>
    <x v="3317"/>
    <n v="99"/>
    <n v="74"/>
    <x v="3"/>
    <n v="25"/>
    <x v="1"/>
    <n v="0.15416666666666667"/>
    <n v="4064"/>
  </r>
  <r>
    <x v="24"/>
    <x v="3318"/>
    <n v="73"/>
    <n v="57"/>
    <x v="3"/>
    <n v="16"/>
    <x v="1"/>
    <n v="0.11874999999999999"/>
    <n v="4452"/>
  </r>
  <r>
    <x v="24"/>
    <x v="3319"/>
    <n v="169"/>
    <n v="125"/>
    <x v="6"/>
    <n v="44"/>
    <x v="0"/>
    <n v="0.26041666666666669"/>
    <n v="2951"/>
  </r>
  <r>
    <x v="24"/>
    <x v="3320"/>
    <n v="319"/>
    <n v="75"/>
    <x v="0"/>
    <n v="244"/>
    <x v="1"/>
    <n v="0.15625"/>
    <n v="4041"/>
  </r>
  <r>
    <x v="24"/>
    <x v="3321"/>
    <n v="91"/>
    <n v="53"/>
    <x v="4"/>
    <n v="38"/>
    <x v="1"/>
    <n v="0.11041666666666666"/>
    <n v="4544"/>
  </r>
  <r>
    <x v="24"/>
    <x v="3322"/>
    <n v="319"/>
    <n v="164"/>
    <x v="1"/>
    <n v="155"/>
    <x v="0"/>
    <n v="0.34166666666666667"/>
    <n v="2049"/>
  </r>
  <r>
    <x v="24"/>
    <x v="3323"/>
    <n v="169"/>
    <n v="164"/>
    <x v="6"/>
    <n v="5"/>
    <x v="0"/>
    <n v="0.34166666666666667"/>
    <n v="2049"/>
  </r>
  <r>
    <x v="24"/>
    <x v="3324"/>
    <n v="249"/>
    <n v="105"/>
    <x v="6"/>
    <n v="144"/>
    <x v="0"/>
    <n v="0.21875"/>
    <n v="3436"/>
  </r>
  <r>
    <x v="24"/>
    <x v="3325"/>
    <n v="202"/>
    <n v="119"/>
    <x v="3"/>
    <n v="83"/>
    <x v="0"/>
    <n v="0.24791666666666667"/>
    <n v="3093"/>
  </r>
  <r>
    <x v="24"/>
    <x v="3326"/>
    <n v="196"/>
    <n v="164"/>
    <x v="5"/>
    <n v="32"/>
    <x v="0"/>
    <n v="0.34166666666666667"/>
    <n v="2049"/>
  </r>
  <r>
    <x v="24"/>
    <x v="3327"/>
    <n v="289"/>
    <n v="45"/>
    <x v="3"/>
    <n v="244"/>
    <x v="2"/>
    <n v="9.375E-2"/>
    <n v="4702"/>
  </r>
  <r>
    <x v="24"/>
    <x v="3328"/>
    <n v="123"/>
    <n v="32"/>
    <x v="3"/>
    <n v="91"/>
    <x v="2"/>
    <n v="6.6666666666666666E-2"/>
    <n v="4983"/>
  </r>
  <r>
    <x v="24"/>
    <x v="3329"/>
    <n v="226"/>
    <n v="123"/>
    <x v="5"/>
    <n v="103"/>
    <x v="0"/>
    <n v="0.25624999999999998"/>
    <n v="2983"/>
  </r>
  <r>
    <x v="24"/>
    <x v="3330"/>
    <n v="197"/>
    <n v="128"/>
    <x v="2"/>
    <n v="69"/>
    <x v="0"/>
    <n v="0.26666666666666666"/>
    <n v="2872"/>
  </r>
  <r>
    <x v="24"/>
    <x v="3331"/>
    <n v="105"/>
    <n v="72"/>
    <x v="6"/>
    <n v="33"/>
    <x v="1"/>
    <n v="0.15"/>
    <n v="4100"/>
  </r>
  <r>
    <x v="24"/>
    <x v="3332"/>
    <n v="311"/>
    <n v="105"/>
    <x v="3"/>
    <n v="206"/>
    <x v="0"/>
    <n v="0.21875"/>
    <n v="3436"/>
  </r>
  <r>
    <x v="24"/>
    <x v="3333"/>
    <n v="113"/>
    <n v="95"/>
    <x v="1"/>
    <n v="18"/>
    <x v="1"/>
    <n v="0.19791666666666666"/>
    <n v="3634"/>
  </r>
  <r>
    <x v="24"/>
    <x v="3334"/>
    <n v="254"/>
    <n v="118"/>
    <x v="1"/>
    <n v="136"/>
    <x v="0"/>
    <n v="0.24583333333333332"/>
    <n v="3122"/>
  </r>
  <r>
    <x v="24"/>
    <x v="3335"/>
    <n v="253"/>
    <n v="57"/>
    <x v="4"/>
    <n v="196"/>
    <x v="1"/>
    <n v="0.11874999999999999"/>
    <n v="4452"/>
  </r>
  <r>
    <x v="24"/>
    <x v="3336"/>
    <n v="319"/>
    <n v="56"/>
    <x v="2"/>
    <n v="263"/>
    <x v="1"/>
    <n v="0.11666666666666667"/>
    <n v="4474"/>
  </r>
  <r>
    <x v="24"/>
    <x v="3337"/>
    <n v="303"/>
    <n v="87"/>
    <x v="3"/>
    <n v="216"/>
    <x v="1"/>
    <n v="0.18124999999999999"/>
    <n v="3813"/>
  </r>
  <r>
    <x v="24"/>
    <x v="3338"/>
    <n v="220"/>
    <n v="185"/>
    <x v="6"/>
    <n v="35"/>
    <x v="0"/>
    <n v="0.38541666666666669"/>
    <n v="1517"/>
  </r>
  <r>
    <x v="25"/>
    <x v="3339"/>
    <n v="303"/>
    <n v="135"/>
    <x v="0"/>
    <n v="168"/>
    <x v="0"/>
    <n v="0.28125"/>
    <n v="2714"/>
  </r>
  <r>
    <x v="25"/>
    <x v="3340"/>
    <n v="152"/>
    <n v="70"/>
    <x v="6"/>
    <n v="82"/>
    <x v="1"/>
    <n v="0.14583333333333334"/>
    <n v="4153"/>
  </r>
  <r>
    <x v="25"/>
    <x v="3341"/>
    <n v="188"/>
    <n v="188"/>
    <x v="0"/>
    <n v="0"/>
    <x v="0"/>
    <n v="0.39166666666666666"/>
    <n v="1423"/>
  </r>
  <r>
    <x v="25"/>
    <x v="3342"/>
    <n v="147"/>
    <n v="62"/>
    <x v="3"/>
    <n v="85"/>
    <x v="1"/>
    <n v="0.12916666666666668"/>
    <n v="4343"/>
  </r>
  <r>
    <x v="25"/>
    <x v="3343"/>
    <n v="116"/>
    <n v="75"/>
    <x v="5"/>
    <n v="41"/>
    <x v="1"/>
    <n v="0.15625"/>
    <n v="4041"/>
  </r>
  <r>
    <x v="25"/>
    <x v="3344"/>
    <n v="305"/>
    <n v="86"/>
    <x v="6"/>
    <n v="219"/>
    <x v="1"/>
    <n v="0.17916666666666667"/>
    <n v="3830"/>
  </r>
  <r>
    <x v="25"/>
    <x v="3345"/>
    <n v="166"/>
    <n v="119"/>
    <x v="3"/>
    <n v="47"/>
    <x v="0"/>
    <n v="0.24791666666666667"/>
    <n v="3093"/>
  </r>
  <r>
    <x v="25"/>
    <x v="3346"/>
    <n v="250"/>
    <n v="105"/>
    <x v="6"/>
    <n v="145"/>
    <x v="0"/>
    <n v="0.21875"/>
    <n v="3436"/>
  </r>
  <r>
    <x v="25"/>
    <x v="3347"/>
    <n v="224"/>
    <n v="120"/>
    <x v="6"/>
    <n v="104"/>
    <x v="0"/>
    <n v="0.25"/>
    <n v="3066"/>
  </r>
  <r>
    <x v="25"/>
    <x v="3348"/>
    <n v="246"/>
    <n v="165"/>
    <x v="2"/>
    <n v="81"/>
    <x v="0"/>
    <n v="0.34375"/>
    <n v="2028"/>
  </r>
  <r>
    <x v="25"/>
    <x v="3349"/>
    <n v="301"/>
    <n v="32"/>
    <x v="2"/>
    <n v="269"/>
    <x v="2"/>
    <n v="6.6666666666666666E-2"/>
    <n v="4983"/>
  </r>
  <r>
    <x v="25"/>
    <x v="3350"/>
    <n v="173"/>
    <n v="100"/>
    <x v="1"/>
    <n v="73"/>
    <x v="1"/>
    <n v="0.20833333333333334"/>
    <n v="3535"/>
  </r>
  <r>
    <x v="25"/>
    <x v="3351"/>
    <n v="131"/>
    <n v="45"/>
    <x v="2"/>
    <n v="86"/>
    <x v="2"/>
    <n v="9.375E-2"/>
    <n v="4702"/>
  </r>
  <r>
    <x v="25"/>
    <x v="3352"/>
    <n v="134"/>
    <n v="49"/>
    <x v="4"/>
    <n v="85"/>
    <x v="2"/>
    <n v="0.10208333333333333"/>
    <n v="4614"/>
  </r>
  <r>
    <x v="25"/>
    <x v="3353"/>
    <n v="194"/>
    <n v="132"/>
    <x v="5"/>
    <n v="62"/>
    <x v="0"/>
    <n v="0.27500000000000002"/>
    <n v="2792"/>
  </r>
  <r>
    <x v="25"/>
    <x v="3354"/>
    <n v="249"/>
    <n v="183"/>
    <x v="0"/>
    <n v="66"/>
    <x v="0"/>
    <n v="0.38124999999999998"/>
    <n v="1572"/>
  </r>
  <r>
    <x v="25"/>
    <x v="3355"/>
    <n v="188"/>
    <n v="89"/>
    <x v="2"/>
    <n v="99"/>
    <x v="1"/>
    <n v="0.18541666666666667"/>
    <n v="3772"/>
  </r>
  <r>
    <x v="25"/>
    <x v="3356"/>
    <n v="163"/>
    <n v="147"/>
    <x v="4"/>
    <n v="16"/>
    <x v="0"/>
    <n v="0.30625000000000002"/>
    <n v="2478"/>
  </r>
  <r>
    <x v="25"/>
    <x v="3357"/>
    <n v="320"/>
    <n v="186"/>
    <x v="4"/>
    <n v="134"/>
    <x v="0"/>
    <n v="0.38750000000000001"/>
    <n v="1478"/>
  </r>
  <r>
    <x v="25"/>
    <x v="3358"/>
    <n v="245"/>
    <n v="97"/>
    <x v="3"/>
    <n v="148"/>
    <x v="1"/>
    <n v="0.20208333333333334"/>
    <n v="3593"/>
  </r>
  <r>
    <x v="25"/>
    <x v="3359"/>
    <n v="178"/>
    <n v="102"/>
    <x v="0"/>
    <n v="76"/>
    <x v="0"/>
    <n v="0.21249999999999999"/>
    <n v="3493"/>
  </r>
  <r>
    <x v="25"/>
    <x v="3360"/>
    <n v="200"/>
    <n v="56"/>
    <x v="0"/>
    <n v="144"/>
    <x v="1"/>
    <n v="0.11666666666666667"/>
    <n v="4474"/>
  </r>
  <r>
    <x v="25"/>
    <x v="3361"/>
    <n v="269"/>
    <n v="190"/>
    <x v="2"/>
    <n v="79"/>
    <x v="0"/>
    <n v="0.39583333333333331"/>
    <n v="1355"/>
  </r>
  <r>
    <x v="25"/>
    <x v="3362"/>
    <n v="66"/>
    <n v="55"/>
    <x v="1"/>
    <n v="11"/>
    <x v="1"/>
    <n v="0.11458333333333333"/>
    <n v="4497"/>
  </r>
  <r>
    <x v="25"/>
    <x v="3363"/>
    <n v="120"/>
    <n v="105"/>
    <x v="0"/>
    <n v="15"/>
    <x v="0"/>
    <n v="0.21875"/>
    <n v="3436"/>
  </r>
  <r>
    <x v="25"/>
    <x v="3364"/>
    <n v="150"/>
    <n v="34"/>
    <x v="0"/>
    <n v="116"/>
    <x v="2"/>
    <n v="7.0833333333333331E-2"/>
    <n v="4944"/>
  </r>
  <r>
    <x v="25"/>
    <x v="3365"/>
    <n v="175"/>
    <n v="168"/>
    <x v="6"/>
    <n v="7"/>
    <x v="0"/>
    <n v="0.35"/>
    <n v="1954"/>
  </r>
  <r>
    <x v="25"/>
    <x v="3366"/>
    <n v="217"/>
    <n v="80"/>
    <x v="1"/>
    <n v="137"/>
    <x v="1"/>
    <n v="0.16666666666666666"/>
    <n v="3948"/>
  </r>
  <r>
    <x v="26"/>
    <x v="3367"/>
    <n v="495"/>
    <n v="294"/>
    <x v="0"/>
    <n v="201"/>
    <x v="4"/>
    <n v="0.61250000000000004"/>
    <n v="884"/>
  </r>
  <r>
    <x v="26"/>
    <x v="3368"/>
    <n v="429"/>
    <n v="268"/>
    <x v="4"/>
    <n v="161"/>
    <x v="4"/>
    <n v="0.55833333333333335"/>
    <n v="1008"/>
  </r>
  <r>
    <x v="26"/>
    <x v="3369"/>
    <n v="444"/>
    <n v="426"/>
    <x v="0"/>
    <n v="18"/>
    <x v="5"/>
    <n v="0.88749999999999996"/>
    <n v="288"/>
  </r>
  <r>
    <x v="26"/>
    <x v="3370"/>
    <n v="479"/>
    <n v="180"/>
    <x v="5"/>
    <n v="299"/>
    <x v="0"/>
    <n v="0.375"/>
    <n v="1635"/>
  </r>
  <r>
    <x v="26"/>
    <x v="3371"/>
    <n v="367"/>
    <n v="300"/>
    <x v="2"/>
    <n v="67"/>
    <x v="4"/>
    <n v="0.625"/>
    <n v="851"/>
  </r>
  <r>
    <x v="26"/>
    <x v="3372"/>
    <n v="471"/>
    <n v="469"/>
    <x v="0"/>
    <n v="2"/>
    <x v="5"/>
    <n v="0.9770833333333333"/>
    <n v="59"/>
  </r>
  <r>
    <x v="26"/>
    <x v="3373"/>
    <n v="426"/>
    <n v="266"/>
    <x v="4"/>
    <n v="160"/>
    <x v="4"/>
    <n v="0.5541666666666667"/>
    <n v="1018"/>
  </r>
  <r>
    <x v="26"/>
    <x v="3374"/>
    <n v="421"/>
    <n v="354"/>
    <x v="0"/>
    <n v="67"/>
    <x v="3"/>
    <n v="0.73750000000000004"/>
    <n v="602"/>
  </r>
  <r>
    <x v="26"/>
    <x v="3375"/>
    <n v="442"/>
    <n v="166"/>
    <x v="0"/>
    <n v="276"/>
    <x v="0"/>
    <n v="0.34583333333333333"/>
    <n v="2007"/>
  </r>
  <r>
    <x v="26"/>
    <x v="3376"/>
    <n v="320"/>
    <n v="320"/>
    <x v="4"/>
    <n v="0"/>
    <x v="3"/>
    <n v="0.66666666666666663"/>
    <n v="778"/>
  </r>
  <r>
    <x v="26"/>
    <x v="3377"/>
    <n v="305"/>
    <n v="194"/>
    <x v="6"/>
    <n v="111"/>
    <x v="0"/>
    <n v="0.40416666666666667"/>
    <n v="1334"/>
  </r>
  <r>
    <x v="26"/>
    <x v="3378"/>
    <n v="385"/>
    <n v="336"/>
    <x v="5"/>
    <n v="49"/>
    <x v="3"/>
    <n v="0.7"/>
    <n v="700"/>
  </r>
  <r>
    <x v="26"/>
    <x v="3379"/>
    <n v="477"/>
    <n v="265"/>
    <x v="5"/>
    <n v="212"/>
    <x v="4"/>
    <n v="0.55208333333333337"/>
    <n v="1022"/>
  </r>
  <r>
    <x v="26"/>
    <x v="3380"/>
    <n v="311"/>
    <n v="185"/>
    <x v="3"/>
    <n v="126"/>
    <x v="0"/>
    <n v="0.38541666666666669"/>
    <n v="1517"/>
  </r>
  <r>
    <x v="26"/>
    <x v="3381"/>
    <n v="423"/>
    <n v="390"/>
    <x v="5"/>
    <n v="33"/>
    <x v="3"/>
    <n v="0.8125"/>
    <n v="441"/>
  </r>
  <r>
    <x v="26"/>
    <x v="3382"/>
    <n v="472"/>
    <n v="414"/>
    <x v="1"/>
    <n v="58"/>
    <x v="5"/>
    <n v="0.86250000000000004"/>
    <n v="329"/>
  </r>
  <r>
    <x v="26"/>
    <x v="3383"/>
    <n v="427"/>
    <n v="367"/>
    <x v="0"/>
    <n v="60"/>
    <x v="3"/>
    <n v="0.76458333333333328"/>
    <n v="551"/>
  </r>
  <r>
    <x v="26"/>
    <x v="3384"/>
    <n v="473"/>
    <n v="448"/>
    <x v="5"/>
    <n v="25"/>
    <x v="5"/>
    <n v="0.93333333333333335"/>
    <n v="166"/>
  </r>
  <r>
    <x v="26"/>
    <x v="3385"/>
    <n v="467"/>
    <n v="449"/>
    <x v="5"/>
    <n v="18"/>
    <x v="5"/>
    <n v="0.93541666666666667"/>
    <n v="161"/>
  </r>
  <r>
    <x v="26"/>
    <x v="3386"/>
    <n v="483"/>
    <n v="455"/>
    <x v="4"/>
    <n v="28"/>
    <x v="5"/>
    <n v="0.94791666666666663"/>
    <n v="126"/>
  </r>
  <r>
    <x v="26"/>
    <x v="3387"/>
    <n v="500"/>
    <n v="464"/>
    <x v="1"/>
    <n v="36"/>
    <x v="5"/>
    <n v="0.96666666666666667"/>
    <n v="86"/>
  </r>
  <r>
    <x v="26"/>
    <x v="3388"/>
    <n v="431"/>
    <n v="427"/>
    <x v="4"/>
    <n v="4"/>
    <x v="5"/>
    <n v="0.88958333333333328"/>
    <n v="281"/>
  </r>
  <r>
    <x v="26"/>
    <x v="3389"/>
    <n v="485"/>
    <n v="460"/>
    <x v="0"/>
    <n v="25"/>
    <x v="5"/>
    <n v="0.95833333333333337"/>
    <n v="107"/>
  </r>
  <r>
    <x v="26"/>
    <x v="3390"/>
    <n v="448"/>
    <n v="403"/>
    <x v="4"/>
    <n v="45"/>
    <x v="5"/>
    <n v="0.83958333333333335"/>
    <n v="378"/>
  </r>
  <r>
    <x v="26"/>
    <x v="3391"/>
    <n v="428"/>
    <n v="336"/>
    <x v="4"/>
    <n v="92"/>
    <x v="3"/>
    <n v="0.7"/>
    <n v="700"/>
  </r>
  <r>
    <x v="26"/>
    <x v="3392"/>
    <n v="423"/>
    <n v="382"/>
    <x v="5"/>
    <n v="41"/>
    <x v="3"/>
    <n v="0.79583333333333328"/>
    <n v="471"/>
  </r>
  <r>
    <x v="26"/>
    <x v="3393"/>
    <n v="358"/>
    <n v="300"/>
    <x v="4"/>
    <n v="58"/>
    <x v="4"/>
    <n v="0.625"/>
    <n v="851"/>
  </r>
  <r>
    <x v="26"/>
    <x v="3394"/>
    <n v="231"/>
    <n v="199"/>
    <x v="2"/>
    <n v="32"/>
    <x v="0"/>
    <n v="0.41458333333333336"/>
    <n v="1314"/>
  </r>
  <r>
    <x v="26"/>
    <x v="3395"/>
    <n v="386"/>
    <n v="194"/>
    <x v="6"/>
    <n v="192"/>
    <x v="0"/>
    <n v="0.40416666666666667"/>
    <n v="1334"/>
  </r>
  <r>
    <x v="26"/>
    <x v="3396"/>
    <n v="466"/>
    <n v="278"/>
    <x v="4"/>
    <n v="188"/>
    <x v="4"/>
    <n v="0.57916666666666672"/>
    <n v="964"/>
  </r>
  <r>
    <x v="26"/>
    <x v="3397"/>
    <n v="375"/>
    <n v="189"/>
    <x v="4"/>
    <n v="186"/>
    <x v="0"/>
    <n v="0.39374999999999999"/>
    <n v="1395"/>
  </r>
  <r>
    <x v="26"/>
    <x v="3398"/>
    <n v="499"/>
    <n v="468"/>
    <x v="1"/>
    <n v="31"/>
    <x v="5"/>
    <n v="0.97499999999999998"/>
    <n v="66"/>
  </r>
  <r>
    <x v="26"/>
    <x v="3399"/>
    <n v="354"/>
    <n v="196"/>
    <x v="6"/>
    <n v="158"/>
    <x v="0"/>
    <n v="0.40833333333333333"/>
    <n v="1329"/>
  </r>
  <r>
    <x v="26"/>
    <x v="3400"/>
    <n v="354"/>
    <n v="185"/>
    <x v="1"/>
    <n v="169"/>
    <x v="0"/>
    <n v="0.38541666666666669"/>
    <n v="1517"/>
  </r>
  <r>
    <x v="26"/>
    <x v="3401"/>
    <n v="373"/>
    <n v="350"/>
    <x v="3"/>
    <n v="23"/>
    <x v="3"/>
    <n v="0.72916666666666663"/>
    <n v="621"/>
  </r>
  <r>
    <x v="26"/>
    <x v="3402"/>
    <n v="451"/>
    <n v="230"/>
    <x v="0"/>
    <n v="221"/>
    <x v="4"/>
    <n v="0.47916666666666669"/>
    <n v="1184"/>
  </r>
  <r>
    <x v="26"/>
    <x v="3403"/>
    <n v="496"/>
    <n v="371"/>
    <x v="0"/>
    <n v="125"/>
    <x v="3"/>
    <n v="0.7729166666666667"/>
    <n v="533"/>
  </r>
  <r>
    <x v="26"/>
    <x v="3404"/>
    <n v="451"/>
    <n v="407"/>
    <x v="0"/>
    <n v="44"/>
    <x v="5"/>
    <n v="0.84791666666666665"/>
    <n v="354"/>
  </r>
  <r>
    <x v="26"/>
    <x v="3405"/>
    <n v="445"/>
    <n v="263"/>
    <x v="4"/>
    <n v="182"/>
    <x v="4"/>
    <n v="0.54791666666666672"/>
    <n v="1031"/>
  </r>
  <r>
    <x v="26"/>
    <x v="3406"/>
    <n v="490"/>
    <n v="434"/>
    <x v="4"/>
    <n v="56"/>
    <x v="5"/>
    <n v="0.90416666666666667"/>
    <n v="242"/>
  </r>
  <r>
    <x v="26"/>
    <x v="3407"/>
    <n v="417"/>
    <n v="175"/>
    <x v="4"/>
    <n v="242"/>
    <x v="0"/>
    <n v="0.36458333333333331"/>
    <n v="1780"/>
  </r>
  <r>
    <x v="26"/>
    <x v="3408"/>
    <n v="339"/>
    <n v="318"/>
    <x v="1"/>
    <n v="21"/>
    <x v="3"/>
    <n v="0.66249999999999998"/>
    <n v="786"/>
  </r>
  <r>
    <x v="26"/>
    <x v="3409"/>
    <n v="245"/>
    <n v="151"/>
    <x v="4"/>
    <n v="94"/>
    <x v="0"/>
    <n v="0.31458333333333333"/>
    <n v="2376"/>
  </r>
  <r>
    <x v="26"/>
    <x v="3410"/>
    <n v="335"/>
    <n v="216"/>
    <x v="4"/>
    <n v="119"/>
    <x v="4"/>
    <n v="0.45"/>
    <n v="1246"/>
  </r>
  <r>
    <x v="26"/>
    <x v="3411"/>
    <n v="360"/>
    <n v="282"/>
    <x v="3"/>
    <n v="78"/>
    <x v="4"/>
    <n v="0.58750000000000002"/>
    <n v="938"/>
  </r>
  <r>
    <x v="26"/>
    <x v="3412"/>
    <n v="443"/>
    <n v="345"/>
    <x v="6"/>
    <n v="98"/>
    <x v="3"/>
    <n v="0.71875"/>
    <n v="651"/>
  </r>
  <r>
    <x v="26"/>
    <x v="3413"/>
    <n v="427"/>
    <n v="420"/>
    <x v="5"/>
    <n v="7"/>
    <x v="5"/>
    <n v="0.875"/>
    <n v="307"/>
  </r>
  <r>
    <x v="26"/>
    <x v="3414"/>
    <n v="391"/>
    <n v="387"/>
    <x v="4"/>
    <n v="4"/>
    <x v="3"/>
    <n v="0.80625000000000002"/>
    <n v="451"/>
  </r>
  <r>
    <x v="26"/>
    <x v="3415"/>
    <n v="445"/>
    <n v="352"/>
    <x v="5"/>
    <n v="93"/>
    <x v="3"/>
    <n v="0.73333333333333328"/>
    <n v="614"/>
  </r>
  <r>
    <x v="26"/>
    <x v="3416"/>
    <n v="498"/>
    <n v="416"/>
    <x v="4"/>
    <n v="82"/>
    <x v="5"/>
    <n v="0.8666666666666667"/>
    <n v="322"/>
  </r>
  <r>
    <x v="26"/>
    <x v="3417"/>
    <n v="441"/>
    <n v="430"/>
    <x v="4"/>
    <n v="11"/>
    <x v="5"/>
    <n v="0.89583333333333337"/>
    <n v="263"/>
  </r>
  <r>
    <x v="26"/>
    <x v="3418"/>
    <n v="284"/>
    <n v="227"/>
    <x v="3"/>
    <n v="57"/>
    <x v="4"/>
    <n v="0.47291666666666665"/>
    <n v="1197"/>
  </r>
  <r>
    <x v="26"/>
    <x v="3419"/>
    <n v="437"/>
    <n v="289"/>
    <x v="4"/>
    <n v="148"/>
    <x v="4"/>
    <n v="0.6020833333333333"/>
    <n v="910"/>
  </r>
  <r>
    <x v="26"/>
    <x v="3420"/>
    <n v="272"/>
    <n v="201"/>
    <x v="4"/>
    <n v="71"/>
    <x v="4"/>
    <n v="0.41875000000000001"/>
    <n v="1305"/>
  </r>
  <r>
    <x v="26"/>
    <x v="3421"/>
    <n v="378"/>
    <n v="254"/>
    <x v="4"/>
    <n v="124"/>
    <x v="4"/>
    <n v="0.52916666666666667"/>
    <n v="1073"/>
  </r>
  <r>
    <x v="26"/>
    <x v="3422"/>
    <n v="449"/>
    <n v="375"/>
    <x v="4"/>
    <n v="74"/>
    <x v="3"/>
    <n v="0.78125"/>
    <n v="514"/>
  </r>
  <r>
    <x v="26"/>
    <x v="3423"/>
    <n v="493"/>
    <n v="443"/>
    <x v="1"/>
    <n v="50"/>
    <x v="5"/>
    <n v="0.92291666666666672"/>
    <n v="188"/>
  </r>
  <r>
    <x v="26"/>
    <x v="3424"/>
    <n v="345"/>
    <n v="323"/>
    <x v="4"/>
    <n v="22"/>
    <x v="3"/>
    <n v="0.67291666666666672"/>
    <n v="765"/>
  </r>
  <r>
    <x v="26"/>
    <x v="3425"/>
    <n v="457"/>
    <n v="186"/>
    <x v="4"/>
    <n v="271"/>
    <x v="0"/>
    <n v="0.38750000000000001"/>
    <n v="1478"/>
  </r>
  <r>
    <x v="26"/>
    <x v="3426"/>
    <n v="486"/>
    <n v="473"/>
    <x v="5"/>
    <n v="13"/>
    <x v="5"/>
    <n v="0.98541666666666672"/>
    <n v="33"/>
  </r>
  <r>
    <x v="26"/>
    <x v="3427"/>
    <n v="399"/>
    <n v="382"/>
    <x v="4"/>
    <n v="17"/>
    <x v="3"/>
    <n v="0.79583333333333328"/>
    <n v="471"/>
  </r>
  <r>
    <x v="26"/>
    <x v="3428"/>
    <n v="439"/>
    <n v="242"/>
    <x v="4"/>
    <n v="197"/>
    <x v="4"/>
    <n v="0.50416666666666665"/>
    <n v="1134"/>
  </r>
  <r>
    <x v="26"/>
    <x v="3429"/>
    <n v="374"/>
    <n v="262"/>
    <x v="6"/>
    <n v="112"/>
    <x v="4"/>
    <n v="0.54583333333333328"/>
    <n v="1035"/>
  </r>
  <r>
    <x v="26"/>
    <x v="3430"/>
    <n v="395"/>
    <n v="300"/>
    <x v="0"/>
    <n v="95"/>
    <x v="4"/>
    <n v="0.625"/>
    <n v="851"/>
  </r>
  <r>
    <x v="26"/>
    <x v="3431"/>
    <n v="482"/>
    <n v="461"/>
    <x v="1"/>
    <n v="21"/>
    <x v="5"/>
    <n v="0.9604166666666667"/>
    <n v="102"/>
  </r>
  <r>
    <x v="26"/>
    <x v="3432"/>
    <n v="422"/>
    <n v="173"/>
    <x v="1"/>
    <n v="249"/>
    <x v="0"/>
    <n v="0.36041666666666666"/>
    <n v="1826"/>
  </r>
  <r>
    <x v="26"/>
    <x v="3433"/>
    <n v="360"/>
    <n v="264"/>
    <x v="5"/>
    <n v="96"/>
    <x v="4"/>
    <n v="0.55000000000000004"/>
    <n v="1028"/>
  </r>
  <r>
    <x v="26"/>
    <x v="3434"/>
    <n v="403"/>
    <n v="354"/>
    <x v="0"/>
    <n v="49"/>
    <x v="3"/>
    <n v="0.73750000000000004"/>
    <n v="602"/>
  </r>
  <r>
    <x v="26"/>
    <x v="3435"/>
    <n v="340"/>
    <n v="291"/>
    <x v="3"/>
    <n v="49"/>
    <x v="4"/>
    <n v="0.60624999999999996"/>
    <n v="898"/>
  </r>
  <r>
    <x v="26"/>
    <x v="3436"/>
    <n v="444"/>
    <n v="191"/>
    <x v="6"/>
    <n v="253"/>
    <x v="0"/>
    <n v="0.39791666666666664"/>
    <n v="1351"/>
  </r>
  <r>
    <x v="26"/>
    <x v="3437"/>
    <n v="466"/>
    <n v="438"/>
    <x v="5"/>
    <n v="28"/>
    <x v="5"/>
    <n v="0.91249999999999998"/>
    <n v="218"/>
  </r>
  <r>
    <x v="26"/>
    <x v="3438"/>
    <n v="463"/>
    <n v="181"/>
    <x v="4"/>
    <n v="282"/>
    <x v="0"/>
    <n v="0.37708333333333333"/>
    <n v="1609"/>
  </r>
  <r>
    <x v="26"/>
    <x v="3439"/>
    <n v="485"/>
    <n v="478"/>
    <x v="4"/>
    <n v="7"/>
    <x v="5"/>
    <n v="0.99583333333333335"/>
    <n v="11"/>
  </r>
  <r>
    <x v="26"/>
    <x v="3440"/>
    <n v="449"/>
    <n v="365"/>
    <x v="5"/>
    <n v="84"/>
    <x v="3"/>
    <n v="0.76041666666666663"/>
    <n v="556"/>
  </r>
  <r>
    <x v="26"/>
    <x v="3441"/>
    <n v="263"/>
    <n v="169"/>
    <x v="0"/>
    <n v="94"/>
    <x v="0"/>
    <n v="0.35208333333333336"/>
    <n v="1925"/>
  </r>
  <r>
    <x v="26"/>
    <x v="3442"/>
    <n v="326"/>
    <n v="192"/>
    <x v="1"/>
    <n v="134"/>
    <x v="0"/>
    <n v="0.4"/>
    <n v="1347"/>
  </r>
  <r>
    <x v="26"/>
    <x v="3443"/>
    <n v="310"/>
    <n v="192"/>
    <x v="1"/>
    <n v="118"/>
    <x v="0"/>
    <n v="0.4"/>
    <n v="1347"/>
  </r>
  <r>
    <x v="26"/>
    <x v="3444"/>
    <n v="431"/>
    <n v="375"/>
    <x v="4"/>
    <n v="56"/>
    <x v="3"/>
    <n v="0.78125"/>
    <n v="514"/>
  </r>
  <r>
    <x v="26"/>
    <x v="3445"/>
    <n v="474"/>
    <n v="438"/>
    <x v="1"/>
    <n v="36"/>
    <x v="5"/>
    <n v="0.91249999999999998"/>
    <n v="218"/>
  </r>
  <r>
    <x v="26"/>
    <x v="3446"/>
    <n v="320"/>
    <n v="275"/>
    <x v="4"/>
    <n v="45"/>
    <x v="4"/>
    <n v="0.57291666666666663"/>
    <n v="980"/>
  </r>
  <r>
    <x v="26"/>
    <x v="3447"/>
    <n v="458"/>
    <n v="390"/>
    <x v="5"/>
    <n v="68"/>
    <x v="3"/>
    <n v="0.8125"/>
    <n v="441"/>
  </r>
  <r>
    <x v="26"/>
    <x v="3448"/>
    <n v="355"/>
    <n v="342"/>
    <x v="5"/>
    <n v="13"/>
    <x v="3"/>
    <n v="0.71250000000000002"/>
    <n v="670"/>
  </r>
  <r>
    <x v="26"/>
    <x v="3449"/>
    <n v="446"/>
    <n v="380"/>
    <x v="1"/>
    <n v="66"/>
    <x v="3"/>
    <n v="0.79166666666666663"/>
    <n v="482"/>
  </r>
  <r>
    <x v="26"/>
    <x v="3450"/>
    <n v="289"/>
    <n v="210"/>
    <x v="4"/>
    <n v="79"/>
    <x v="4"/>
    <n v="0.4375"/>
    <n v="1272"/>
  </r>
  <r>
    <x v="26"/>
    <x v="3451"/>
    <n v="499"/>
    <n v="453"/>
    <x v="4"/>
    <n v="46"/>
    <x v="5"/>
    <n v="0.94374999999999998"/>
    <n v="141"/>
  </r>
  <r>
    <x v="26"/>
    <x v="3452"/>
    <n v="272"/>
    <n v="167"/>
    <x v="4"/>
    <n v="105"/>
    <x v="0"/>
    <n v="0.34791666666666665"/>
    <n v="1979"/>
  </r>
  <r>
    <x v="26"/>
    <x v="3453"/>
    <n v="473"/>
    <n v="470"/>
    <x v="1"/>
    <n v="3"/>
    <x v="5"/>
    <n v="0.97916666666666663"/>
    <n v="53"/>
  </r>
  <r>
    <x v="26"/>
    <x v="3454"/>
    <n v="460"/>
    <n v="221"/>
    <x v="4"/>
    <n v="239"/>
    <x v="4"/>
    <n v="0.46041666666666664"/>
    <n v="1224"/>
  </r>
  <r>
    <x v="26"/>
    <x v="3455"/>
    <n v="429"/>
    <n v="409"/>
    <x v="0"/>
    <n v="20"/>
    <x v="5"/>
    <n v="0.8520833333333333"/>
    <n v="348"/>
  </r>
  <r>
    <x v="26"/>
    <x v="3456"/>
    <n v="380"/>
    <n v="325"/>
    <x v="4"/>
    <n v="55"/>
    <x v="3"/>
    <n v="0.67708333333333337"/>
    <n v="755"/>
  </r>
  <r>
    <x v="26"/>
    <x v="3457"/>
    <n v="330"/>
    <n v="165"/>
    <x v="2"/>
    <n v="165"/>
    <x v="0"/>
    <n v="0.34375"/>
    <n v="2028"/>
  </r>
  <r>
    <x v="26"/>
    <x v="3458"/>
    <n v="418"/>
    <n v="389"/>
    <x v="0"/>
    <n v="29"/>
    <x v="3"/>
    <n v="0.81041666666666667"/>
    <n v="446"/>
  </r>
  <r>
    <x v="26"/>
    <x v="3459"/>
    <n v="452"/>
    <n v="324"/>
    <x v="4"/>
    <n v="128"/>
    <x v="3"/>
    <n v="0.67500000000000004"/>
    <n v="760"/>
  </r>
  <r>
    <x v="26"/>
    <x v="3460"/>
    <n v="404"/>
    <n v="369"/>
    <x v="4"/>
    <n v="35"/>
    <x v="3"/>
    <n v="0.76875000000000004"/>
    <n v="543"/>
  </r>
  <r>
    <x v="26"/>
    <x v="3461"/>
    <n v="290"/>
    <n v="157"/>
    <x v="4"/>
    <n v="133"/>
    <x v="0"/>
    <n v="0.32708333333333334"/>
    <n v="2239"/>
  </r>
  <r>
    <x v="26"/>
    <x v="3462"/>
    <n v="469"/>
    <n v="418"/>
    <x v="0"/>
    <n v="51"/>
    <x v="5"/>
    <n v="0.87083333333333335"/>
    <n v="312"/>
  </r>
  <r>
    <x v="26"/>
    <x v="3463"/>
    <n v="457"/>
    <n v="300"/>
    <x v="6"/>
    <n v="157"/>
    <x v="4"/>
    <n v="0.625"/>
    <n v="851"/>
  </r>
  <r>
    <x v="26"/>
    <x v="3464"/>
    <n v="488"/>
    <n v="456"/>
    <x v="5"/>
    <n v="32"/>
    <x v="5"/>
    <n v="0.95"/>
    <n v="122"/>
  </r>
  <r>
    <x v="26"/>
    <x v="3465"/>
    <n v="475"/>
    <n v="438"/>
    <x v="4"/>
    <n v="37"/>
    <x v="5"/>
    <n v="0.91249999999999998"/>
    <n v="218"/>
  </r>
  <r>
    <x v="26"/>
    <x v="3466"/>
    <n v="486"/>
    <n v="388"/>
    <x v="1"/>
    <n v="98"/>
    <x v="3"/>
    <n v="0.80833333333333335"/>
    <n v="448"/>
  </r>
  <r>
    <x v="26"/>
    <x v="3467"/>
    <n v="482"/>
    <n v="430"/>
    <x v="4"/>
    <n v="52"/>
    <x v="5"/>
    <n v="0.89583333333333337"/>
    <n v="263"/>
  </r>
  <r>
    <x v="26"/>
    <x v="3468"/>
    <n v="435"/>
    <n v="432"/>
    <x v="1"/>
    <n v="3"/>
    <x v="5"/>
    <n v="0.9"/>
    <n v="254"/>
  </r>
  <r>
    <x v="26"/>
    <x v="3469"/>
    <n v="479"/>
    <n v="421"/>
    <x v="1"/>
    <n v="58"/>
    <x v="5"/>
    <n v="0.87708333333333333"/>
    <n v="301"/>
  </r>
  <r>
    <x v="26"/>
    <x v="3470"/>
    <n v="200"/>
    <n v="164"/>
    <x v="6"/>
    <n v="36"/>
    <x v="0"/>
    <n v="0.34166666666666667"/>
    <n v="2049"/>
  </r>
  <r>
    <x v="26"/>
    <x v="3471"/>
    <n v="483"/>
    <n v="469"/>
    <x v="5"/>
    <n v="14"/>
    <x v="5"/>
    <n v="0.9770833333333333"/>
    <n v="59"/>
  </r>
  <r>
    <x v="26"/>
    <x v="3472"/>
    <n v="316"/>
    <n v="236"/>
    <x v="4"/>
    <n v="80"/>
    <x v="4"/>
    <n v="0.49166666666666664"/>
    <n v="1162"/>
  </r>
  <r>
    <x v="26"/>
    <x v="3473"/>
    <n v="482"/>
    <n v="475"/>
    <x v="5"/>
    <n v="7"/>
    <x v="5"/>
    <n v="0.98958333333333337"/>
    <n v="22"/>
  </r>
  <r>
    <x v="26"/>
    <x v="3474"/>
    <n v="491"/>
    <n v="372"/>
    <x v="4"/>
    <n v="119"/>
    <x v="3"/>
    <n v="0.77500000000000002"/>
    <n v="529"/>
  </r>
  <r>
    <x v="26"/>
    <x v="3475"/>
    <n v="436"/>
    <n v="312"/>
    <x v="3"/>
    <n v="124"/>
    <x v="3"/>
    <n v="0.65"/>
    <n v="812"/>
  </r>
  <r>
    <x v="26"/>
    <x v="3476"/>
    <n v="455"/>
    <n v="383"/>
    <x v="1"/>
    <n v="72"/>
    <x v="3"/>
    <n v="0.79791666666666672"/>
    <n v="468"/>
  </r>
  <r>
    <x v="26"/>
    <x v="3477"/>
    <n v="496"/>
    <n v="249"/>
    <x v="4"/>
    <n v="247"/>
    <x v="4"/>
    <n v="0.51875000000000004"/>
    <n v="1096"/>
  </r>
  <r>
    <x v="26"/>
    <x v="3478"/>
    <n v="220"/>
    <n v="150"/>
    <x v="4"/>
    <n v="70"/>
    <x v="0"/>
    <n v="0.3125"/>
    <n v="2400"/>
  </r>
  <r>
    <x v="26"/>
    <x v="3479"/>
    <n v="461"/>
    <n v="383"/>
    <x v="4"/>
    <n v="78"/>
    <x v="3"/>
    <n v="0.79791666666666672"/>
    <n v="468"/>
  </r>
  <r>
    <x v="26"/>
    <x v="3480"/>
    <n v="381"/>
    <n v="250"/>
    <x v="2"/>
    <n v="131"/>
    <x v="4"/>
    <n v="0.52083333333333337"/>
    <n v="1092"/>
  </r>
  <r>
    <x v="26"/>
    <x v="3481"/>
    <n v="499"/>
    <n v="475"/>
    <x v="0"/>
    <n v="24"/>
    <x v="5"/>
    <n v="0.98958333333333337"/>
    <n v="22"/>
  </r>
  <r>
    <x v="26"/>
    <x v="3482"/>
    <n v="491"/>
    <n v="297"/>
    <x v="4"/>
    <n v="194"/>
    <x v="4"/>
    <n v="0.61875000000000002"/>
    <n v="868"/>
  </r>
  <r>
    <x v="26"/>
    <x v="3483"/>
    <n v="472"/>
    <n v="340"/>
    <x v="3"/>
    <n v="132"/>
    <x v="3"/>
    <n v="0.70833333333333337"/>
    <n v="678"/>
  </r>
  <r>
    <x v="26"/>
    <x v="3484"/>
    <n v="258"/>
    <n v="235"/>
    <x v="4"/>
    <n v="23"/>
    <x v="4"/>
    <n v="0.48958333333333331"/>
    <n v="1166"/>
  </r>
  <r>
    <x v="26"/>
    <x v="3485"/>
    <n v="473"/>
    <n v="441"/>
    <x v="1"/>
    <n v="32"/>
    <x v="5"/>
    <n v="0.91874999999999996"/>
    <n v="203"/>
  </r>
  <r>
    <x v="26"/>
    <x v="3486"/>
    <n v="497"/>
    <n v="472"/>
    <x v="1"/>
    <n v="25"/>
    <x v="5"/>
    <n v="0.98333333333333328"/>
    <n v="43"/>
  </r>
  <r>
    <x v="26"/>
    <x v="3487"/>
    <n v="296"/>
    <n v="227"/>
    <x v="1"/>
    <n v="69"/>
    <x v="4"/>
    <n v="0.47291666666666665"/>
    <n v="1197"/>
  </r>
  <r>
    <x v="26"/>
    <x v="3488"/>
    <n v="153"/>
    <n v="151"/>
    <x v="5"/>
    <n v="2"/>
    <x v="0"/>
    <n v="0.31458333333333333"/>
    <n v="2376"/>
  </r>
  <r>
    <x v="26"/>
    <x v="3489"/>
    <n v="490"/>
    <n v="296"/>
    <x v="0"/>
    <n v="194"/>
    <x v="4"/>
    <n v="0.6166666666666667"/>
    <n v="874"/>
  </r>
  <r>
    <x v="26"/>
    <x v="3490"/>
    <n v="388"/>
    <n v="318"/>
    <x v="4"/>
    <n v="70"/>
    <x v="3"/>
    <n v="0.66249999999999998"/>
    <n v="786"/>
  </r>
  <r>
    <x v="26"/>
    <x v="3491"/>
    <n v="402"/>
    <n v="328"/>
    <x v="5"/>
    <n v="74"/>
    <x v="3"/>
    <n v="0.68333333333333335"/>
    <n v="741"/>
  </r>
  <r>
    <x v="26"/>
    <x v="3492"/>
    <n v="276"/>
    <n v="218"/>
    <x v="4"/>
    <n v="58"/>
    <x v="4"/>
    <n v="0.45416666666666666"/>
    <n v="1238"/>
  </r>
  <r>
    <x v="26"/>
    <x v="3493"/>
    <n v="472"/>
    <n v="416"/>
    <x v="5"/>
    <n v="56"/>
    <x v="5"/>
    <n v="0.8666666666666667"/>
    <n v="322"/>
  </r>
  <r>
    <x v="26"/>
    <x v="3494"/>
    <n v="461"/>
    <n v="352"/>
    <x v="0"/>
    <n v="109"/>
    <x v="3"/>
    <n v="0.73333333333333328"/>
    <n v="614"/>
  </r>
  <r>
    <x v="26"/>
    <x v="3495"/>
    <n v="420"/>
    <n v="258"/>
    <x v="4"/>
    <n v="162"/>
    <x v="4"/>
    <n v="0.53749999999999998"/>
    <n v="1052"/>
  </r>
  <r>
    <x v="26"/>
    <x v="3496"/>
    <n v="494"/>
    <n v="455"/>
    <x v="5"/>
    <n v="39"/>
    <x v="5"/>
    <n v="0.94791666666666663"/>
    <n v="126"/>
  </r>
  <r>
    <x v="26"/>
    <x v="3497"/>
    <n v="301"/>
    <n v="269"/>
    <x v="5"/>
    <n v="32"/>
    <x v="4"/>
    <n v="0.56041666666666667"/>
    <n v="1004"/>
  </r>
  <r>
    <x v="26"/>
    <x v="3498"/>
    <n v="488"/>
    <n v="432"/>
    <x v="1"/>
    <n v="56"/>
    <x v="5"/>
    <n v="0.9"/>
    <n v="254"/>
  </r>
  <r>
    <x v="26"/>
    <x v="3499"/>
    <n v="363"/>
    <n v="321"/>
    <x v="1"/>
    <n v="42"/>
    <x v="3"/>
    <n v="0.66874999999999996"/>
    <n v="770"/>
  </r>
  <r>
    <x v="26"/>
    <x v="3500"/>
    <n v="462"/>
    <n v="426"/>
    <x v="5"/>
    <n v="36"/>
    <x v="5"/>
    <n v="0.88749999999999996"/>
    <n v="288"/>
  </r>
  <r>
    <x v="26"/>
    <x v="3501"/>
    <n v="383"/>
    <n v="364"/>
    <x v="1"/>
    <n v="19"/>
    <x v="3"/>
    <n v="0.7583333333333333"/>
    <n v="561"/>
  </r>
  <r>
    <x v="26"/>
    <x v="3502"/>
    <n v="413"/>
    <n v="258"/>
    <x v="5"/>
    <n v="155"/>
    <x v="4"/>
    <n v="0.53749999999999998"/>
    <n v="1052"/>
  </r>
  <r>
    <x v="26"/>
    <x v="3503"/>
    <n v="424"/>
    <n v="397"/>
    <x v="0"/>
    <n v="27"/>
    <x v="3"/>
    <n v="0.82708333333333328"/>
    <n v="412"/>
  </r>
  <r>
    <x v="26"/>
    <x v="3504"/>
    <n v="459"/>
    <n v="403"/>
    <x v="4"/>
    <n v="56"/>
    <x v="5"/>
    <n v="0.83958333333333335"/>
    <n v="378"/>
  </r>
  <r>
    <x v="26"/>
    <x v="3505"/>
    <n v="364"/>
    <n v="257"/>
    <x v="3"/>
    <n v="107"/>
    <x v="4"/>
    <n v="0.53541666666666665"/>
    <n v="1058"/>
  </r>
  <r>
    <x v="26"/>
    <x v="3506"/>
    <n v="414"/>
    <n v="346"/>
    <x v="4"/>
    <n v="68"/>
    <x v="3"/>
    <n v="0.72083333333333333"/>
    <n v="646"/>
  </r>
  <r>
    <x v="26"/>
    <x v="3507"/>
    <n v="457"/>
    <n v="448"/>
    <x v="1"/>
    <n v="9"/>
    <x v="5"/>
    <n v="0.93333333333333335"/>
    <n v="166"/>
  </r>
  <r>
    <x v="26"/>
    <x v="3508"/>
    <n v="439"/>
    <n v="375"/>
    <x v="4"/>
    <n v="64"/>
    <x v="3"/>
    <n v="0.78125"/>
    <n v="514"/>
  </r>
  <r>
    <x v="26"/>
    <x v="3509"/>
    <n v="414"/>
    <n v="247"/>
    <x v="4"/>
    <n v="167"/>
    <x v="4"/>
    <n v="0.51458333333333328"/>
    <n v="1112"/>
  </r>
  <r>
    <x v="26"/>
    <x v="3510"/>
    <n v="475"/>
    <n v="269"/>
    <x v="4"/>
    <n v="206"/>
    <x v="4"/>
    <n v="0.56041666666666667"/>
    <n v="1004"/>
  </r>
  <r>
    <x v="26"/>
    <x v="3511"/>
    <n v="277"/>
    <n v="213"/>
    <x v="4"/>
    <n v="64"/>
    <x v="4"/>
    <n v="0.44374999999999998"/>
    <n v="1260"/>
  </r>
  <r>
    <x v="26"/>
    <x v="3512"/>
    <n v="243"/>
    <n v="212"/>
    <x v="4"/>
    <n v="31"/>
    <x v="4"/>
    <n v="0.44166666666666665"/>
    <n v="1265"/>
  </r>
  <r>
    <x v="26"/>
    <x v="3513"/>
    <n v="437"/>
    <n v="316"/>
    <x v="4"/>
    <n v="121"/>
    <x v="3"/>
    <n v="0.65833333333333333"/>
    <n v="799"/>
  </r>
  <r>
    <x v="26"/>
    <x v="3514"/>
    <n v="318"/>
    <n v="151"/>
    <x v="2"/>
    <n v="167"/>
    <x v="0"/>
    <n v="0.31458333333333333"/>
    <n v="2376"/>
  </r>
  <r>
    <x v="26"/>
    <x v="3515"/>
    <n v="482"/>
    <n v="475"/>
    <x v="5"/>
    <n v="7"/>
    <x v="5"/>
    <n v="0.98958333333333337"/>
    <n v="22"/>
  </r>
  <r>
    <x v="26"/>
    <x v="3516"/>
    <n v="361"/>
    <n v="328"/>
    <x v="3"/>
    <n v="33"/>
    <x v="3"/>
    <n v="0.68333333333333335"/>
    <n v="741"/>
  </r>
  <r>
    <x v="26"/>
    <x v="3517"/>
    <n v="408"/>
    <n v="332"/>
    <x v="6"/>
    <n v="76"/>
    <x v="3"/>
    <n v="0.69166666666666665"/>
    <n v="725"/>
  </r>
  <r>
    <x v="26"/>
    <x v="3518"/>
    <n v="410"/>
    <n v="217"/>
    <x v="1"/>
    <n v="193"/>
    <x v="4"/>
    <n v="0.45208333333333334"/>
    <n v="1242"/>
  </r>
  <r>
    <x v="26"/>
    <x v="3519"/>
    <n v="350"/>
    <n v="250"/>
    <x v="5"/>
    <n v="100"/>
    <x v="4"/>
    <n v="0.52083333333333337"/>
    <n v="1092"/>
  </r>
  <r>
    <x v="26"/>
    <x v="3520"/>
    <n v="489"/>
    <n v="470"/>
    <x v="0"/>
    <n v="19"/>
    <x v="5"/>
    <n v="0.97916666666666663"/>
    <n v="53"/>
  </r>
  <r>
    <x v="27"/>
    <x v="3521"/>
    <n v="340"/>
    <n v="240"/>
    <x v="4"/>
    <n v="100"/>
    <x v="4"/>
    <n v="0.5"/>
    <n v="1143"/>
  </r>
  <r>
    <x v="27"/>
    <x v="3522"/>
    <n v="283"/>
    <n v="270"/>
    <x v="2"/>
    <n v="13"/>
    <x v="4"/>
    <n v="0.5625"/>
    <n v="999"/>
  </r>
  <r>
    <x v="27"/>
    <x v="3523"/>
    <n v="276"/>
    <n v="237"/>
    <x v="6"/>
    <n v="39"/>
    <x v="4"/>
    <n v="0.49375000000000002"/>
    <n v="1157"/>
  </r>
  <r>
    <x v="27"/>
    <x v="3524"/>
    <n v="284"/>
    <n v="174"/>
    <x v="1"/>
    <n v="110"/>
    <x v="0"/>
    <n v="0.36249999999999999"/>
    <n v="1803"/>
  </r>
  <r>
    <x v="27"/>
    <x v="3525"/>
    <n v="266"/>
    <n v="225"/>
    <x v="2"/>
    <n v="41"/>
    <x v="4"/>
    <n v="0.46875"/>
    <n v="1204"/>
  </r>
  <r>
    <x v="27"/>
    <x v="3526"/>
    <n v="360"/>
    <n v="253"/>
    <x v="2"/>
    <n v="107"/>
    <x v="4"/>
    <n v="0.52708333333333335"/>
    <n v="1080"/>
  </r>
  <r>
    <x v="27"/>
    <x v="3527"/>
    <n v="490"/>
    <n v="288"/>
    <x v="6"/>
    <n v="202"/>
    <x v="4"/>
    <n v="0.6"/>
    <n v="916"/>
  </r>
  <r>
    <x v="27"/>
    <x v="3528"/>
    <n v="435"/>
    <n v="402"/>
    <x v="5"/>
    <n v="33"/>
    <x v="5"/>
    <n v="0.83750000000000002"/>
    <n v="386"/>
  </r>
  <r>
    <x v="27"/>
    <x v="3529"/>
    <n v="474"/>
    <n v="350"/>
    <x v="5"/>
    <n v="124"/>
    <x v="3"/>
    <n v="0.72916666666666663"/>
    <n v="621"/>
  </r>
  <r>
    <x v="27"/>
    <x v="3530"/>
    <n v="320"/>
    <n v="221"/>
    <x v="3"/>
    <n v="99"/>
    <x v="4"/>
    <n v="0.46041666666666664"/>
    <n v="1224"/>
  </r>
  <r>
    <x v="27"/>
    <x v="3531"/>
    <n v="454"/>
    <n v="398"/>
    <x v="5"/>
    <n v="56"/>
    <x v="3"/>
    <n v="0.82916666666666672"/>
    <n v="404"/>
  </r>
  <r>
    <x v="27"/>
    <x v="3532"/>
    <n v="359"/>
    <n v="276"/>
    <x v="6"/>
    <n v="83"/>
    <x v="4"/>
    <n v="0.57499999999999996"/>
    <n v="974"/>
  </r>
  <r>
    <x v="27"/>
    <x v="3533"/>
    <n v="376"/>
    <n v="352"/>
    <x v="1"/>
    <n v="24"/>
    <x v="3"/>
    <n v="0.73333333333333328"/>
    <n v="614"/>
  </r>
  <r>
    <x v="27"/>
    <x v="3534"/>
    <n v="257"/>
    <n v="169"/>
    <x v="1"/>
    <n v="88"/>
    <x v="0"/>
    <n v="0.35208333333333336"/>
    <n v="1925"/>
  </r>
  <r>
    <x v="27"/>
    <x v="3535"/>
    <n v="307"/>
    <n v="255"/>
    <x v="3"/>
    <n v="52"/>
    <x v="4"/>
    <n v="0.53125"/>
    <n v="1070"/>
  </r>
  <r>
    <x v="27"/>
    <x v="3536"/>
    <n v="394"/>
    <n v="259"/>
    <x v="6"/>
    <n v="135"/>
    <x v="4"/>
    <n v="0.5395833333333333"/>
    <n v="1046"/>
  </r>
  <r>
    <x v="27"/>
    <x v="3537"/>
    <n v="314"/>
    <n v="299"/>
    <x v="6"/>
    <n v="15"/>
    <x v="4"/>
    <n v="0.62291666666666667"/>
    <n v="860"/>
  </r>
  <r>
    <x v="27"/>
    <x v="3538"/>
    <n v="449"/>
    <n v="338"/>
    <x v="0"/>
    <n v="111"/>
    <x v="3"/>
    <n v="0.70416666666666672"/>
    <n v="687"/>
  </r>
  <r>
    <x v="27"/>
    <x v="3539"/>
    <n v="500"/>
    <n v="458"/>
    <x v="1"/>
    <n v="42"/>
    <x v="5"/>
    <n v="0.95416666666666672"/>
    <n v="115"/>
  </r>
  <r>
    <x v="27"/>
    <x v="3540"/>
    <n v="467"/>
    <n v="460"/>
    <x v="0"/>
    <n v="7"/>
    <x v="5"/>
    <n v="0.95833333333333337"/>
    <n v="107"/>
  </r>
  <r>
    <x v="27"/>
    <x v="3541"/>
    <n v="329"/>
    <n v="191"/>
    <x v="5"/>
    <n v="138"/>
    <x v="0"/>
    <n v="0.39791666666666664"/>
    <n v="1351"/>
  </r>
  <r>
    <x v="27"/>
    <x v="3542"/>
    <n v="240"/>
    <n v="214"/>
    <x v="4"/>
    <n v="26"/>
    <x v="4"/>
    <n v="0.44583333333333336"/>
    <n v="1257"/>
  </r>
  <r>
    <x v="27"/>
    <x v="3543"/>
    <n v="160"/>
    <n v="152"/>
    <x v="4"/>
    <n v="8"/>
    <x v="0"/>
    <n v="0.31666666666666665"/>
    <n v="2349"/>
  </r>
  <r>
    <x v="27"/>
    <x v="3544"/>
    <n v="300"/>
    <n v="281"/>
    <x v="3"/>
    <n v="19"/>
    <x v="4"/>
    <n v="0.5854166666666667"/>
    <n v="946"/>
  </r>
  <r>
    <x v="27"/>
    <x v="3545"/>
    <n v="422"/>
    <n v="368"/>
    <x v="1"/>
    <n v="54"/>
    <x v="3"/>
    <n v="0.76666666666666672"/>
    <n v="550"/>
  </r>
  <r>
    <x v="27"/>
    <x v="3546"/>
    <n v="422"/>
    <n v="248"/>
    <x v="4"/>
    <n v="174"/>
    <x v="4"/>
    <n v="0.51666666666666672"/>
    <n v="1104"/>
  </r>
  <r>
    <x v="27"/>
    <x v="3547"/>
    <n v="388"/>
    <n v="254"/>
    <x v="6"/>
    <n v="134"/>
    <x v="4"/>
    <n v="0.52916666666666667"/>
    <n v="1073"/>
  </r>
  <r>
    <x v="27"/>
    <x v="3548"/>
    <n v="421"/>
    <n v="165"/>
    <x v="3"/>
    <n v="256"/>
    <x v="0"/>
    <n v="0.34375"/>
    <n v="2028"/>
  </r>
  <r>
    <x v="27"/>
    <x v="3549"/>
    <n v="310"/>
    <n v="150"/>
    <x v="5"/>
    <n v="160"/>
    <x v="0"/>
    <n v="0.3125"/>
    <n v="2400"/>
  </r>
  <r>
    <x v="27"/>
    <x v="3550"/>
    <n v="441"/>
    <n v="411"/>
    <x v="0"/>
    <n v="30"/>
    <x v="5"/>
    <n v="0.85624999999999996"/>
    <n v="340"/>
  </r>
  <r>
    <x v="27"/>
    <x v="3551"/>
    <n v="461"/>
    <n v="430"/>
    <x v="1"/>
    <n v="31"/>
    <x v="5"/>
    <n v="0.89583333333333337"/>
    <n v="263"/>
  </r>
  <r>
    <x v="27"/>
    <x v="3552"/>
    <n v="471"/>
    <n v="371"/>
    <x v="0"/>
    <n v="100"/>
    <x v="3"/>
    <n v="0.7729166666666667"/>
    <n v="533"/>
  </r>
  <r>
    <x v="27"/>
    <x v="3553"/>
    <n v="490"/>
    <n v="231"/>
    <x v="2"/>
    <n v="259"/>
    <x v="4"/>
    <n v="0.48125000000000001"/>
    <n v="1179"/>
  </r>
  <r>
    <x v="27"/>
    <x v="3554"/>
    <n v="482"/>
    <n v="474"/>
    <x v="5"/>
    <n v="8"/>
    <x v="5"/>
    <n v="0.98750000000000004"/>
    <n v="28"/>
  </r>
  <r>
    <x v="27"/>
    <x v="3555"/>
    <n v="498"/>
    <n v="410"/>
    <x v="1"/>
    <n v="88"/>
    <x v="5"/>
    <n v="0.85416666666666663"/>
    <n v="341"/>
  </r>
  <r>
    <x v="27"/>
    <x v="3556"/>
    <n v="435"/>
    <n v="379"/>
    <x v="0"/>
    <n v="56"/>
    <x v="3"/>
    <n v="0.7895833333333333"/>
    <n v="485"/>
  </r>
  <r>
    <x v="27"/>
    <x v="3557"/>
    <n v="358"/>
    <n v="358"/>
    <x v="0"/>
    <n v="0"/>
    <x v="3"/>
    <n v="0.74583333333333335"/>
    <n v="586"/>
  </r>
  <r>
    <x v="27"/>
    <x v="3558"/>
    <n v="422"/>
    <n v="339"/>
    <x v="2"/>
    <n v="83"/>
    <x v="3"/>
    <n v="0.70625000000000004"/>
    <n v="681"/>
  </r>
  <r>
    <x v="27"/>
    <x v="3559"/>
    <n v="486"/>
    <n v="421"/>
    <x v="0"/>
    <n v="65"/>
    <x v="5"/>
    <n v="0.87708333333333333"/>
    <n v="301"/>
  </r>
  <r>
    <x v="27"/>
    <x v="3560"/>
    <n v="488"/>
    <n v="168"/>
    <x v="1"/>
    <n v="320"/>
    <x v="0"/>
    <n v="0.35"/>
    <n v="1954"/>
  </r>
  <r>
    <x v="27"/>
    <x v="3561"/>
    <n v="458"/>
    <n v="452"/>
    <x v="5"/>
    <n v="6"/>
    <x v="5"/>
    <n v="0.94166666666666665"/>
    <n v="150"/>
  </r>
  <r>
    <x v="27"/>
    <x v="3562"/>
    <n v="475"/>
    <n v="473"/>
    <x v="0"/>
    <n v="2"/>
    <x v="5"/>
    <n v="0.98541666666666672"/>
    <n v="33"/>
  </r>
  <r>
    <x v="27"/>
    <x v="3563"/>
    <n v="497"/>
    <n v="432"/>
    <x v="1"/>
    <n v="65"/>
    <x v="5"/>
    <n v="0.9"/>
    <n v="254"/>
  </r>
  <r>
    <x v="27"/>
    <x v="3564"/>
    <n v="422"/>
    <n v="398"/>
    <x v="0"/>
    <n v="24"/>
    <x v="3"/>
    <n v="0.82916666666666672"/>
    <n v="404"/>
  </r>
  <r>
    <x v="27"/>
    <x v="3565"/>
    <n v="480"/>
    <n v="275"/>
    <x v="3"/>
    <n v="205"/>
    <x v="4"/>
    <n v="0.57291666666666663"/>
    <n v="980"/>
  </r>
  <r>
    <x v="27"/>
    <x v="3566"/>
    <n v="498"/>
    <n v="432"/>
    <x v="0"/>
    <n v="66"/>
    <x v="5"/>
    <n v="0.9"/>
    <n v="254"/>
  </r>
  <r>
    <x v="27"/>
    <x v="3567"/>
    <n v="392"/>
    <n v="367"/>
    <x v="0"/>
    <n v="25"/>
    <x v="3"/>
    <n v="0.76458333333333328"/>
    <n v="551"/>
  </r>
  <r>
    <x v="27"/>
    <x v="3568"/>
    <n v="487"/>
    <n v="464"/>
    <x v="5"/>
    <n v="23"/>
    <x v="5"/>
    <n v="0.96666666666666667"/>
    <n v="86"/>
  </r>
  <r>
    <x v="27"/>
    <x v="3569"/>
    <n v="477"/>
    <n v="381"/>
    <x v="5"/>
    <n v="96"/>
    <x v="3"/>
    <n v="0.79374999999999996"/>
    <n v="478"/>
  </r>
  <r>
    <x v="27"/>
    <x v="3570"/>
    <n v="350"/>
    <n v="196"/>
    <x v="0"/>
    <n v="154"/>
    <x v="0"/>
    <n v="0.40833333333333333"/>
    <n v="1329"/>
  </r>
  <r>
    <x v="27"/>
    <x v="3571"/>
    <n v="404"/>
    <n v="313"/>
    <x v="3"/>
    <n v="91"/>
    <x v="3"/>
    <n v="0.65208333333333335"/>
    <n v="809"/>
  </r>
  <r>
    <x v="27"/>
    <x v="3572"/>
    <n v="379"/>
    <n v="315"/>
    <x v="4"/>
    <n v="64"/>
    <x v="3"/>
    <n v="0.65625"/>
    <n v="804"/>
  </r>
  <r>
    <x v="27"/>
    <x v="3573"/>
    <n v="407"/>
    <n v="200"/>
    <x v="2"/>
    <n v="207"/>
    <x v="0"/>
    <n v="0.41666666666666669"/>
    <n v="1311"/>
  </r>
  <r>
    <x v="27"/>
    <x v="3574"/>
    <n v="445"/>
    <n v="374"/>
    <x v="1"/>
    <n v="71"/>
    <x v="3"/>
    <n v="0.77916666666666667"/>
    <n v="521"/>
  </r>
  <r>
    <x v="27"/>
    <x v="3575"/>
    <n v="294"/>
    <n v="153"/>
    <x v="1"/>
    <n v="141"/>
    <x v="0"/>
    <n v="0.31874999999999998"/>
    <n v="2329"/>
  </r>
  <r>
    <x v="27"/>
    <x v="3576"/>
    <n v="476"/>
    <n v="189"/>
    <x v="3"/>
    <n v="287"/>
    <x v="0"/>
    <n v="0.39374999999999999"/>
    <n v="1395"/>
  </r>
  <r>
    <x v="27"/>
    <x v="3577"/>
    <n v="446"/>
    <n v="229"/>
    <x v="3"/>
    <n v="217"/>
    <x v="4"/>
    <n v="0.47708333333333336"/>
    <n v="1190"/>
  </r>
  <r>
    <x v="27"/>
    <x v="3578"/>
    <n v="401"/>
    <n v="343"/>
    <x v="5"/>
    <n v="58"/>
    <x v="3"/>
    <n v="0.71458333333333335"/>
    <n v="662"/>
  </r>
  <r>
    <x v="27"/>
    <x v="3579"/>
    <n v="406"/>
    <n v="338"/>
    <x v="1"/>
    <n v="68"/>
    <x v="3"/>
    <n v="0.70416666666666672"/>
    <n v="687"/>
  </r>
  <r>
    <x v="27"/>
    <x v="3580"/>
    <n v="461"/>
    <n v="394"/>
    <x v="5"/>
    <n v="67"/>
    <x v="3"/>
    <n v="0.8208333333333333"/>
    <n v="425"/>
  </r>
  <r>
    <x v="27"/>
    <x v="3581"/>
    <n v="229"/>
    <n v="178"/>
    <x v="1"/>
    <n v="51"/>
    <x v="0"/>
    <n v="0.37083333333333335"/>
    <n v="1702"/>
  </r>
  <r>
    <x v="27"/>
    <x v="3582"/>
    <n v="381"/>
    <n v="339"/>
    <x v="1"/>
    <n v="42"/>
    <x v="3"/>
    <n v="0.70625000000000004"/>
    <n v="681"/>
  </r>
  <r>
    <x v="27"/>
    <x v="3583"/>
    <n v="332"/>
    <n v="256"/>
    <x v="3"/>
    <n v="76"/>
    <x v="4"/>
    <n v="0.53333333333333333"/>
    <n v="1063"/>
  </r>
  <r>
    <x v="27"/>
    <x v="3584"/>
    <n v="382"/>
    <n v="325"/>
    <x v="4"/>
    <n v="57"/>
    <x v="3"/>
    <n v="0.67708333333333337"/>
    <n v="755"/>
  </r>
  <r>
    <x v="27"/>
    <x v="3585"/>
    <n v="367"/>
    <n v="249"/>
    <x v="5"/>
    <n v="118"/>
    <x v="4"/>
    <n v="0.51875000000000004"/>
    <n v="1096"/>
  </r>
  <r>
    <x v="27"/>
    <x v="3586"/>
    <n v="385"/>
    <n v="237"/>
    <x v="6"/>
    <n v="148"/>
    <x v="4"/>
    <n v="0.49375000000000002"/>
    <n v="1157"/>
  </r>
  <r>
    <x v="27"/>
    <x v="3587"/>
    <n v="462"/>
    <n v="317"/>
    <x v="0"/>
    <n v="145"/>
    <x v="3"/>
    <n v="0.66041666666666665"/>
    <n v="791"/>
  </r>
  <r>
    <x v="27"/>
    <x v="3588"/>
    <n v="241"/>
    <n v="196"/>
    <x v="3"/>
    <n v="45"/>
    <x v="0"/>
    <n v="0.40833333333333333"/>
    <n v="1329"/>
  </r>
  <r>
    <x v="27"/>
    <x v="3589"/>
    <n v="493"/>
    <n v="198"/>
    <x v="1"/>
    <n v="295"/>
    <x v="0"/>
    <n v="0.41249999999999998"/>
    <n v="1319"/>
  </r>
  <r>
    <x v="27"/>
    <x v="3590"/>
    <n v="397"/>
    <n v="175"/>
    <x v="3"/>
    <n v="222"/>
    <x v="0"/>
    <n v="0.36458333333333331"/>
    <n v="1780"/>
  </r>
  <r>
    <x v="27"/>
    <x v="3591"/>
    <n v="407"/>
    <n v="376"/>
    <x v="0"/>
    <n v="31"/>
    <x v="3"/>
    <n v="0.78333333333333333"/>
    <n v="507"/>
  </r>
  <r>
    <x v="27"/>
    <x v="3592"/>
    <n v="253"/>
    <n v="154"/>
    <x v="0"/>
    <n v="99"/>
    <x v="0"/>
    <n v="0.32083333333333336"/>
    <n v="2307"/>
  </r>
  <r>
    <x v="27"/>
    <x v="3593"/>
    <n v="446"/>
    <n v="207"/>
    <x v="5"/>
    <n v="239"/>
    <x v="4"/>
    <n v="0.43125000000000002"/>
    <n v="1287"/>
  </r>
  <r>
    <x v="27"/>
    <x v="3594"/>
    <n v="360"/>
    <n v="205"/>
    <x v="4"/>
    <n v="155"/>
    <x v="4"/>
    <n v="0.42708333333333331"/>
    <n v="1298"/>
  </r>
  <r>
    <x v="27"/>
    <x v="3595"/>
    <n v="487"/>
    <n v="456"/>
    <x v="0"/>
    <n v="31"/>
    <x v="5"/>
    <n v="0.95"/>
    <n v="122"/>
  </r>
  <r>
    <x v="27"/>
    <x v="3596"/>
    <n v="304"/>
    <n v="217"/>
    <x v="2"/>
    <n v="87"/>
    <x v="4"/>
    <n v="0.45208333333333334"/>
    <n v="1242"/>
  </r>
  <r>
    <x v="27"/>
    <x v="3597"/>
    <n v="497"/>
    <n v="267"/>
    <x v="1"/>
    <n v="230"/>
    <x v="4"/>
    <n v="0.55625000000000002"/>
    <n v="1011"/>
  </r>
  <r>
    <x v="27"/>
    <x v="3598"/>
    <n v="446"/>
    <n v="349"/>
    <x v="6"/>
    <n v="97"/>
    <x v="3"/>
    <n v="0.7270833333333333"/>
    <n v="631"/>
  </r>
  <r>
    <x v="27"/>
    <x v="3599"/>
    <n v="483"/>
    <n v="433"/>
    <x v="1"/>
    <n v="50"/>
    <x v="5"/>
    <n v="0.90208333333333335"/>
    <n v="250"/>
  </r>
  <r>
    <x v="27"/>
    <x v="3600"/>
    <n v="398"/>
    <n v="164"/>
    <x v="0"/>
    <n v="234"/>
    <x v="0"/>
    <n v="0.34166666666666667"/>
    <n v="2049"/>
  </r>
  <r>
    <x v="27"/>
    <x v="3601"/>
    <n v="481"/>
    <n v="398"/>
    <x v="1"/>
    <n v="83"/>
    <x v="3"/>
    <n v="0.82916666666666672"/>
    <n v="404"/>
  </r>
  <r>
    <x v="27"/>
    <x v="3602"/>
    <n v="484"/>
    <n v="274"/>
    <x v="6"/>
    <n v="210"/>
    <x v="4"/>
    <n v="0.5708333333333333"/>
    <n v="984"/>
  </r>
  <r>
    <x v="27"/>
    <x v="3603"/>
    <n v="414"/>
    <n v="225"/>
    <x v="1"/>
    <n v="189"/>
    <x v="4"/>
    <n v="0.46875"/>
    <n v="1204"/>
  </r>
  <r>
    <x v="27"/>
    <x v="3604"/>
    <n v="414"/>
    <n v="371"/>
    <x v="1"/>
    <n v="43"/>
    <x v="3"/>
    <n v="0.7729166666666667"/>
    <n v="533"/>
  </r>
  <r>
    <x v="27"/>
    <x v="3605"/>
    <n v="458"/>
    <n v="164"/>
    <x v="1"/>
    <n v="294"/>
    <x v="0"/>
    <n v="0.34166666666666667"/>
    <n v="2049"/>
  </r>
  <r>
    <x v="27"/>
    <x v="3606"/>
    <n v="374"/>
    <n v="241"/>
    <x v="2"/>
    <n v="133"/>
    <x v="4"/>
    <n v="0.50208333333333333"/>
    <n v="1139"/>
  </r>
  <r>
    <x v="27"/>
    <x v="3607"/>
    <n v="470"/>
    <n v="469"/>
    <x v="1"/>
    <n v="1"/>
    <x v="5"/>
    <n v="0.9770833333333333"/>
    <n v="59"/>
  </r>
  <r>
    <x v="27"/>
    <x v="3608"/>
    <n v="288"/>
    <n v="233"/>
    <x v="5"/>
    <n v="55"/>
    <x v="4"/>
    <n v="0.48541666666666666"/>
    <n v="1175"/>
  </r>
  <r>
    <x v="27"/>
    <x v="3609"/>
    <n v="322"/>
    <n v="277"/>
    <x v="5"/>
    <n v="45"/>
    <x v="4"/>
    <n v="0.57708333333333328"/>
    <n v="968"/>
  </r>
  <r>
    <x v="27"/>
    <x v="3610"/>
    <n v="500"/>
    <n v="431"/>
    <x v="5"/>
    <n v="69"/>
    <x v="5"/>
    <n v="0.8979166666666667"/>
    <n v="260"/>
  </r>
  <r>
    <x v="27"/>
    <x v="3611"/>
    <n v="401"/>
    <n v="400"/>
    <x v="1"/>
    <n v="1"/>
    <x v="3"/>
    <n v="0.83333333333333337"/>
    <n v="392"/>
  </r>
  <r>
    <x v="27"/>
    <x v="3612"/>
    <n v="446"/>
    <n v="439"/>
    <x v="5"/>
    <n v="7"/>
    <x v="5"/>
    <n v="0.9145833333333333"/>
    <n v="215"/>
  </r>
  <r>
    <x v="27"/>
    <x v="3613"/>
    <n v="289"/>
    <n v="271"/>
    <x v="5"/>
    <n v="18"/>
    <x v="4"/>
    <n v="0.56458333333333333"/>
    <n v="995"/>
  </r>
  <r>
    <x v="27"/>
    <x v="3614"/>
    <n v="393"/>
    <n v="267"/>
    <x v="2"/>
    <n v="126"/>
    <x v="4"/>
    <n v="0.55625000000000002"/>
    <n v="1011"/>
  </r>
  <r>
    <x v="27"/>
    <x v="3615"/>
    <n v="396"/>
    <n v="309"/>
    <x v="6"/>
    <n v="87"/>
    <x v="3"/>
    <n v="0.64375000000000004"/>
    <n v="822"/>
  </r>
  <r>
    <x v="27"/>
    <x v="3616"/>
    <n v="390"/>
    <n v="180"/>
    <x v="5"/>
    <n v="210"/>
    <x v="0"/>
    <n v="0.375"/>
    <n v="1635"/>
  </r>
  <r>
    <x v="27"/>
    <x v="3617"/>
    <n v="346"/>
    <n v="216"/>
    <x v="1"/>
    <n v="130"/>
    <x v="4"/>
    <n v="0.45"/>
    <n v="1246"/>
  </r>
  <r>
    <x v="27"/>
    <x v="3618"/>
    <n v="400"/>
    <n v="382"/>
    <x v="5"/>
    <n v="18"/>
    <x v="3"/>
    <n v="0.79583333333333328"/>
    <n v="471"/>
  </r>
  <r>
    <x v="27"/>
    <x v="3619"/>
    <n v="379"/>
    <n v="348"/>
    <x v="0"/>
    <n v="31"/>
    <x v="3"/>
    <n v="0.72499999999999998"/>
    <n v="641"/>
  </r>
  <r>
    <x v="27"/>
    <x v="3620"/>
    <n v="462"/>
    <n v="405"/>
    <x v="1"/>
    <n v="57"/>
    <x v="5"/>
    <n v="0.84375"/>
    <n v="370"/>
  </r>
  <r>
    <x v="27"/>
    <x v="3621"/>
    <n v="410"/>
    <n v="173"/>
    <x v="3"/>
    <n v="237"/>
    <x v="0"/>
    <n v="0.36041666666666666"/>
    <n v="1826"/>
  </r>
  <r>
    <x v="27"/>
    <x v="3622"/>
    <n v="413"/>
    <n v="209"/>
    <x v="6"/>
    <n v="204"/>
    <x v="4"/>
    <n v="0.43541666666666667"/>
    <n v="1277"/>
  </r>
  <r>
    <x v="27"/>
    <x v="3623"/>
    <n v="289"/>
    <n v="256"/>
    <x v="4"/>
    <n v="33"/>
    <x v="4"/>
    <n v="0.53333333333333333"/>
    <n v="1063"/>
  </r>
  <r>
    <x v="27"/>
    <x v="3624"/>
    <n v="390"/>
    <n v="372"/>
    <x v="1"/>
    <n v="18"/>
    <x v="3"/>
    <n v="0.77500000000000002"/>
    <n v="529"/>
  </r>
  <r>
    <x v="27"/>
    <x v="3625"/>
    <n v="481"/>
    <n v="339"/>
    <x v="1"/>
    <n v="142"/>
    <x v="3"/>
    <n v="0.70625000000000004"/>
    <n v="681"/>
  </r>
  <r>
    <x v="27"/>
    <x v="3626"/>
    <n v="384"/>
    <n v="180"/>
    <x v="2"/>
    <n v="204"/>
    <x v="0"/>
    <n v="0.375"/>
    <n v="1635"/>
  </r>
  <r>
    <x v="27"/>
    <x v="3627"/>
    <n v="446"/>
    <n v="441"/>
    <x v="0"/>
    <n v="5"/>
    <x v="5"/>
    <n v="0.91874999999999996"/>
    <n v="203"/>
  </r>
  <r>
    <x v="27"/>
    <x v="3628"/>
    <n v="474"/>
    <n v="432"/>
    <x v="1"/>
    <n v="42"/>
    <x v="5"/>
    <n v="0.9"/>
    <n v="254"/>
  </r>
  <r>
    <x v="27"/>
    <x v="3629"/>
    <n v="389"/>
    <n v="224"/>
    <x v="2"/>
    <n v="165"/>
    <x v="4"/>
    <n v="0.46666666666666667"/>
    <n v="1211"/>
  </r>
  <r>
    <x v="27"/>
    <x v="3630"/>
    <n v="286"/>
    <n v="266"/>
    <x v="2"/>
    <n v="20"/>
    <x v="4"/>
    <n v="0.5541666666666667"/>
    <n v="1018"/>
  </r>
  <r>
    <x v="27"/>
    <x v="3631"/>
    <n v="474"/>
    <n v="337"/>
    <x v="2"/>
    <n v="137"/>
    <x v="3"/>
    <n v="0.70208333333333328"/>
    <n v="694"/>
  </r>
  <r>
    <x v="27"/>
    <x v="3632"/>
    <n v="427"/>
    <n v="274"/>
    <x v="4"/>
    <n v="153"/>
    <x v="4"/>
    <n v="0.5708333333333333"/>
    <n v="984"/>
  </r>
  <r>
    <x v="27"/>
    <x v="3633"/>
    <n v="313"/>
    <n v="270"/>
    <x v="4"/>
    <n v="43"/>
    <x v="4"/>
    <n v="0.5625"/>
    <n v="999"/>
  </r>
  <r>
    <x v="27"/>
    <x v="3634"/>
    <n v="450"/>
    <n v="387"/>
    <x v="5"/>
    <n v="63"/>
    <x v="3"/>
    <n v="0.80625000000000002"/>
    <n v="451"/>
  </r>
  <r>
    <x v="27"/>
    <x v="3635"/>
    <n v="463"/>
    <n v="455"/>
    <x v="5"/>
    <n v="8"/>
    <x v="5"/>
    <n v="0.94791666666666663"/>
    <n v="126"/>
  </r>
  <r>
    <x v="27"/>
    <x v="3636"/>
    <n v="435"/>
    <n v="256"/>
    <x v="0"/>
    <n v="179"/>
    <x v="4"/>
    <n v="0.53333333333333333"/>
    <n v="1063"/>
  </r>
  <r>
    <x v="27"/>
    <x v="3637"/>
    <n v="459"/>
    <n v="414"/>
    <x v="0"/>
    <n v="45"/>
    <x v="5"/>
    <n v="0.86250000000000004"/>
    <n v="329"/>
  </r>
  <r>
    <x v="27"/>
    <x v="3638"/>
    <n v="487"/>
    <n v="479"/>
    <x v="0"/>
    <n v="8"/>
    <x v="5"/>
    <n v="0.99791666666666667"/>
    <n v="6"/>
  </r>
  <r>
    <x v="27"/>
    <x v="3639"/>
    <n v="365"/>
    <n v="354"/>
    <x v="1"/>
    <n v="11"/>
    <x v="3"/>
    <n v="0.73750000000000004"/>
    <n v="602"/>
  </r>
  <r>
    <x v="27"/>
    <x v="3640"/>
    <n v="494"/>
    <n v="338"/>
    <x v="5"/>
    <n v="156"/>
    <x v="3"/>
    <n v="0.70416666666666672"/>
    <n v="687"/>
  </r>
  <r>
    <x v="27"/>
    <x v="3641"/>
    <n v="440"/>
    <n v="426"/>
    <x v="0"/>
    <n v="14"/>
    <x v="5"/>
    <n v="0.88749999999999996"/>
    <n v="288"/>
  </r>
  <r>
    <x v="27"/>
    <x v="3642"/>
    <n v="448"/>
    <n v="271"/>
    <x v="0"/>
    <n v="177"/>
    <x v="4"/>
    <n v="0.56458333333333333"/>
    <n v="995"/>
  </r>
  <r>
    <x v="27"/>
    <x v="3643"/>
    <n v="496"/>
    <n v="265"/>
    <x v="6"/>
    <n v="231"/>
    <x v="4"/>
    <n v="0.55208333333333337"/>
    <n v="1022"/>
  </r>
  <r>
    <x v="27"/>
    <x v="3644"/>
    <n v="493"/>
    <n v="298"/>
    <x v="6"/>
    <n v="195"/>
    <x v="4"/>
    <n v="0.62083333333333335"/>
    <n v="866"/>
  </r>
  <r>
    <x v="27"/>
    <x v="3645"/>
    <n v="418"/>
    <n v="345"/>
    <x v="0"/>
    <n v="73"/>
    <x v="3"/>
    <n v="0.71875"/>
    <n v="651"/>
  </r>
  <r>
    <x v="27"/>
    <x v="3646"/>
    <n v="298"/>
    <n v="190"/>
    <x v="2"/>
    <n v="108"/>
    <x v="0"/>
    <n v="0.39583333333333331"/>
    <n v="1355"/>
  </r>
  <r>
    <x v="27"/>
    <x v="3647"/>
    <n v="493"/>
    <n v="194"/>
    <x v="3"/>
    <n v="299"/>
    <x v="0"/>
    <n v="0.40416666666666667"/>
    <n v="1334"/>
  </r>
  <r>
    <x v="27"/>
    <x v="3648"/>
    <n v="353"/>
    <n v="187"/>
    <x v="4"/>
    <n v="166"/>
    <x v="0"/>
    <n v="0.38958333333333334"/>
    <n v="1455"/>
  </r>
  <r>
    <x v="27"/>
    <x v="3649"/>
    <n v="419"/>
    <n v="150"/>
    <x v="3"/>
    <n v="269"/>
    <x v="0"/>
    <n v="0.3125"/>
    <n v="2400"/>
  </r>
  <r>
    <x v="27"/>
    <x v="3650"/>
    <n v="474"/>
    <n v="292"/>
    <x v="6"/>
    <n v="182"/>
    <x v="4"/>
    <n v="0.60833333333333328"/>
    <n v="892"/>
  </r>
  <r>
    <x v="27"/>
    <x v="3651"/>
    <n v="349"/>
    <n v="271"/>
    <x v="5"/>
    <n v="78"/>
    <x v="4"/>
    <n v="0.56458333333333333"/>
    <n v="995"/>
  </r>
  <r>
    <x v="27"/>
    <x v="3652"/>
    <n v="267"/>
    <n v="257"/>
    <x v="0"/>
    <n v="10"/>
    <x v="4"/>
    <n v="0.53541666666666665"/>
    <n v="1058"/>
  </r>
  <r>
    <x v="27"/>
    <x v="3653"/>
    <n v="454"/>
    <n v="446"/>
    <x v="1"/>
    <n v="8"/>
    <x v="5"/>
    <n v="0.9291666666666667"/>
    <n v="180"/>
  </r>
  <r>
    <x v="27"/>
    <x v="3654"/>
    <n v="469"/>
    <n v="454"/>
    <x v="1"/>
    <n v="15"/>
    <x v="5"/>
    <n v="0.9458333333333333"/>
    <n v="131"/>
  </r>
  <r>
    <x v="27"/>
    <x v="3655"/>
    <n v="480"/>
    <n v="455"/>
    <x v="1"/>
    <n v="25"/>
    <x v="5"/>
    <n v="0.94791666666666663"/>
    <n v="126"/>
  </r>
  <r>
    <x v="27"/>
    <x v="3656"/>
    <n v="283"/>
    <n v="156"/>
    <x v="0"/>
    <n v="127"/>
    <x v="0"/>
    <n v="0.32500000000000001"/>
    <n v="2251"/>
  </r>
  <r>
    <x v="27"/>
    <x v="3657"/>
    <n v="329"/>
    <n v="155"/>
    <x v="4"/>
    <n v="174"/>
    <x v="0"/>
    <n v="0.32291666666666669"/>
    <n v="2275"/>
  </r>
  <r>
    <x v="27"/>
    <x v="3658"/>
    <n v="495"/>
    <n v="473"/>
    <x v="0"/>
    <n v="22"/>
    <x v="5"/>
    <n v="0.98541666666666672"/>
    <n v="33"/>
  </r>
  <r>
    <x v="27"/>
    <x v="3659"/>
    <n v="442"/>
    <n v="175"/>
    <x v="2"/>
    <n v="267"/>
    <x v="0"/>
    <n v="0.36458333333333331"/>
    <n v="1780"/>
  </r>
  <r>
    <x v="27"/>
    <x v="3660"/>
    <n v="441"/>
    <n v="428"/>
    <x v="5"/>
    <n v="13"/>
    <x v="5"/>
    <n v="0.89166666666666672"/>
    <n v="273"/>
  </r>
  <r>
    <x v="27"/>
    <x v="3661"/>
    <n v="460"/>
    <n v="415"/>
    <x v="0"/>
    <n v="45"/>
    <x v="5"/>
    <n v="0.86458333333333337"/>
    <n v="325"/>
  </r>
  <r>
    <x v="27"/>
    <x v="3662"/>
    <n v="465"/>
    <n v="429"/>
    <x v="1"/>
    <n v="36"/>
    <x v="5"/>
    <n v="0.89375000000000004"/>
    <n v="270"/>
  </r>
  <r>
    <x v="27"/>
    <x v="3663"/>
    <n v="352"/>
    <n v="293"/>
    <x v="2"/>
    <n v="59"/>
    <x v="4"/>
    <n v="0.61041666666666672"/>
    <n v="888"/>
  </r>
  <r>
    <x v="27"/>
    <x v="3664"/>
    <n v="341"/>
    <n v="247"/>
    <x v="5"/>
    <n v="94"/>
    <x v="4"/>
    <n v="0.51458333333333328"/>
    <n v="1112"/>
  </r>
  <r>
    <x v="27"/>
    <x v="3665"/>
    <n v="353"/>
    <n v="334"/>
    <x v="2"/>
    <n v="19"/>
    <x v="3"/>
    <n v="0.6958333333333333"/>
    <n v="717"/>
  </r>
  <r>
    <x v="27"/>
    <x v="3666"/>
    <n v="423"/>
    <n v="400"/>
    <x v="5"/>
    <n v="23"/>
    <x v="3"/>
    <n v="0.83333333333333337"/>
    <n v="392"/>
  </r>
  <r>
    <x v="27"/>
    <x v="3667"/>
    <n v="476"/>
    <n v="296"/>
    <x v="1"/>
    <n v="180"/>
    <x v="4"/>
    <n v="0.6166666666666667"/>
    <n v="874"/>
  </r>
  <r>
    <x v="27"/>
    <x v="3668"/>
    <n v="459"/>
    <n v="207"/>
    <x v="5"/>
    <n v="252"/>
    <x v="4"/>
    <n v="0.43125000000000002"/>
    <n v="1287"/>
  </r>
  <r>
    <x v="27"/>
    <x v="3669"/>
    <n v="436"/>
    <n v="296"/>
    <x v="1"/>
    <n v="140"/>
    <x v="4"/>
    <n v="0.6166666666666667"/>
    <n v="874"/>
  </r>
  <r>
    <x v="27"/>
    <x v="3670"/>
    <n v="464"/>
    <n v="445"/>
    <x v="1"/>
    <n v="19"/>
    <x v="5"/>
    <n v="0.92708333333333337"/>
    <n v="185"/>
  </r>
  <r>
    <x v="27"/>
    <x v="3671"/>
    <n v="342"/>
    <n v="197"/>
    <x v="6"/>
    <n v="145"/>
    <x v="0"/>
    <n v="0.41041666666666665"/>
    <n v="1323"/>
  </r>
  <r>
    <x v="27"/>
    <x v="3672"/>
    <n v="318"/>
    <n v="265"/>
    <x v="6"/>
    <n v="53"/>
    <x v="4"/>
    <n v="0.55208333333333337"/>
    <n v="1022"/>
  </r>
  <r>
    <x v="27"/>
    <x v="3673"/>
    <n v="431"/>
    <n v="326"/>
    <x v="1"/>
    <n v="105"/>
    <x v="3"/>
    <n v="0.6791666666666667"/>
    <n v="747"/>
  </r>
  <r>
    <x v="27"/>
    <x v="3674"/>
    <n v="437"/>
    <n v="188"/>
    <x v="0"/>
    <n v="249"/>
    <x v="0"/>
    <n v="0.39166666666666666"/>
    <n v="1423"/>
  </r>
  <r>
    <x v="27"/>
    <x v="3675"/>
    <n v="392"/>
    <n v="280"/>
    <x v="4"/>
    <n v="112"/>
    <x v="4"/>
    <n v="0.58333333333333337"/>
    <n v="954"/>
  </r>
  <r>
    <x v="27"/>
    <x v="3676"/>
    <n v="495"/>
    <n v="380"/>
    <x v="1"/>
    <n v="115"/>
    <x v="3"/>
    <n v="0.79166666666666663"/>
    <n v="482"/>
  </r>
  <r>
    <x v="27"/>
    <x v="3677"/>
    <n v="221"/>
    <n v="218"/>
    <x v="2"/>
    <n v="3"/>
    <x v="4"/>
    <n v="0.45416666666666666"/>
    <n v="1238"/>
  </r>
  <r>
    <x v="27"/>
    <x v="3678"/>
    <n v="380"/>
    <n v="195"/>
    <x v="3"/>
    <n v="185"/>
    <x v="0"/>
    <n v="0.40625"/>
    <n v="1332"/>
  </r>
  <r>
    <x v="27"/>
    <x v="3679"/>
    <n v="385"/>
    <n v="335"/>
    <x v="4"/>
    <n v="50"/>
    <x v="3"/>
    <n v="0.69791666666666663"/>
    <n v="712"/>
  </r>
  <r>
    <x v="27"/>
    <x v="3680"/>
    <n v="440"/>
    <n v="437"/>
    <x v="5"/>
    <n v="3"/>
    <x v="5"/>
    <n v="0.91041666666666665"/>
    <n v="225"/>
  </r>
  <r>
    <x v="27"/>
    <x v="3681"/>
    <n v="208"/>
    <n v="163"/>
    <x v="2"/>
    <n v="45"/>
    <x v="0"/>
    <n v="0.33958333333333335"/>
    <n v="2075"/>
  </r>
  <r>
    <x v="27"/>
    <x v="3682"/>
    <n v="355"/>
    <n v="291"/>
    <x v="1"/>
    <n v="64"/>
    <x v="4"/>
    <n v="0.60624999999999996"/>
    <n v="898"/>
  </r>
  <r>
    <x v="27"/>
    <x v="3683"/>
    <n v="346"/>
    <n v="215"/>
    <x v="6"/>
    <n v="131"/>
    <x v="4"/>
    <n v="0.44791666666666669"/>
    <n v="1251"/>
  </r>
  <r>
    <x v="27"/>
    <x v="3684"/>
    <n v="365"/>
    <n v="181"/>
    <x v="0"/>
    <n v="184"/>
    <x v="0"/>
    <n v="0.37708333333333333"/>
    <n v="1609"/>
  </r>
  <r>
    <x v="27"/>
    <x v="3685"/>
    <n v="455"/>
    <n v="198"/>
    <x v="1"/>
    <n v="257"/>
    <x v="0"/>
    <n v="0.41249999999999998"/>
    <n v="1319"/>
  </r>
  <r>
    <x v="27"/>
    <x v="3686"/>
    <n v="494"/>
    <n v="187"/>
    <x v="0"/>
    <n v="307"/>
    <x v="0"/>
    <n v="0.38958333333333334"/>
    <n v="1455"/>
  </r>
  <r>
    <x v="27"/>
    <x v="3687"/>
    <n v="455"/>
    <n v="422"/>
    <x v="5"/>
    <n v="33"/>
    <x v="5"/>
    <n v="0.87916666666666665"/>
    <n v="299"/>
  </r>
  <r>
    <x v="27"/>
    <x v="3688"/>
    <n v="494"/>
    <n v="410"/>
    <x v="0"/>
    <n v="84"/>
    <x v="5"/>
    <n v="0.85416666666666663"/>
    <n v="341"/>
  </r>
  <r>
    <x v="27"/>
    <x v="3689"/>
    <n v="483"/>
    <n v="448"/>
    <x v="5"/>
    <n v="35"/>
    <x v="5"/>
    <n v="0.93333333333333335"/>
    <n v="166"/>
  </r>
  <r>
    <x v="27"/>
    <x v="3690"/>
    <n v="479"/>
    <n v="441"/>
    <x v="1"/>
    <n v="38"/>
    <x v="5"/>
    <n v="0.91874999999999996"/>
    <n v="203"/>
  </r>
  <r>
    <x v="27"/>
    <x v="3691"/>
    <n v="403"/>
    <n v="370"/>
    <x v="1"/>
    <n v="33"/>
    <x v="3"/>
    <n v="0.77083333333333337"/>
    <n v="538"/>
  </r>
  <r>
    <x v="27"/>
    <x v="3692"/>
    <n v="460"/>
    <n v="326"/>
    <x v="4"/>
    <n v="134"/>
    <x v="3"/>
    <n v="0.6791666666666667"/>
    <n v="747"/>
  </r>
  <r>
    <x v="27"/>
    <x v="3693"/>
    <n v="425"/>
    <n v="364"/>
    <x v="5"/>
    <n v="61"/>
    <x v="3"/>
    <n v="0.7583333333333333"/>
    <n v="561"/>
  </r>
  <r>
    <x v="27"/>
    <x v="3694"/>
    <n v="497"/>
    <n v="473"/>
    <x v="5"/>
    <n v="24"/>
    <x v="5"/>
    <n v="0.98541666666666672"/>
    <n v="33"/>
  </r>
  <r>
    <x v="27"/>
    <x v="3695"/>
    <n v="473"/>
    <n v="420"/>
    <x v="5"/>
    <n v="53"/>
    <x v="5"/>
    <n v="0.875"/>
    <n v="307"/>
  </r>
  <r>
    <x v="27"/>
    <x v="3696"/>
    <n v="439"/>
    <n v="428"/>
    <x v="5"/>
    <n v="11"/>
    <x v="5"/>
    <n v="0.89166666666666672"/>
    <n v="273"/>
  </r>
  <r>
    <x v="27"/>
    <x v="3697"/>
    <n v="479"/>
    <n v="440"/>
    <x v="5"/>
    <n v="39"/>
    <x v="5"/>
    <n v="0.91666666666666663"/>
    <n v="208"/>
  </r>
  <r>
    <x v="27"/>
    <x v="3698"/>
    <n v="397"/>
    <n v="151"/>
    <x v="5"/>
    <n v="246"/>
    <x v="0"/>
    <n v="0.31458333333333333"/>
    <n v="2376"/>
  </r>
  <r>
    <x v="27"/>
    <x v="3699"/>
    <n v="441"/>
    <n v="302"/>
    <x v="3"/>
    <n v="139"/>
    <x v="3"/>
    <n v="0.62916666666666665"/>
    <n v="839"/>
  </r>
  <r>
    <x v="27"/>
    <x v="3700"/>
    <n v="451"/>
    <n v="446"/>
    <x v="0"/>
    <n v="5"/>
    <x v="5"/>
    <n v="0.9291666666666667"/>
    <n v="180"/>
  </r>
  <r>
    <x v="27"/>
    <x v="3701"/>
    <n v="439"/>
    <n v="255"/>
    <x v="2"/>
    <n v="184"/>
    <x v="4"/>
    <n v="0.53125"/>
    <n v="1070"/>
  </r>
  <r>
    <x v="27"/>
    <x v="3702"/>
    <n v="497"/>
    <n v="475"/>
    <x v="5"/>
    <n v="22"/>
    <x v="5"/>
    <n v="0.98958333333333337"/>
    <n v="22"/>
  </r>
  <r>
    <x v="27"/>
    <x v="3703"/>
    <n v="481"/>
    <n v="462"/>
    <x v="0"/>
    <n v="19"/>
    <x v="5"/>
    <n v="0.96250000000000002"/>
    <n v="92"/>
  </r>
  <r>
    <x v="27"/>
    <x v="3704"/>
    <n v="412"/>
    <n v="150"/>
    <x v="4"/>
    <n v="262"/>
    <x v="0"/>
    <n v="0.3125"/>
    <n v="2400"/>
  </r>
  <r>
    <x v="27"/>
    <x v="3705"/>
    <n v="424"/>
    <n v="413"/>
    <x v="0"/>
    <n v="11"/>
    <x v="5"/>
    <n v="0.86041666666666672"/>
    <n v="332"/>
  </r>
  <r>
    <x v="27"/>
    <x v="3706"/>
    <n v="487"/>
    <n v="418"/>
    <x v="5"/>
    <n v="69"/>
    <x v="5"/>
    <n v="0.87083333333333335"/>
    <n v="312"/>
  </r>
  <r>
    <x v="27"/>
    <x v="3707"/>
    <n v="432"/>
    <n v="182"/>
    <x v="6"/>
    <n v="250"/>
    <x v="0"/>
    <n v="0.37916666666666665"/>
    <n v="1593"/>
  </r>
  <r>
    <x v="27"/>
    <x v="3708"/>
    <n v="484"/>
    <n v="434"/>
    <x v="5"/>
    <n v="50"/>
    <x v="5"/>
    <n v="0.90416666666666667"/>
    <n v="242"/>
  </r>
  <r>
    <x v="27"/>
    <x v="3709"/>
    <n v="259"/>
    <n v="216"/>
    <x v="5"/>
    <n v="43"/>
    <x v="4"/>
    <n v="0.45"/>
    <n v="1246"/>
  </r>
  <r>
    <x v="27"/>
    <x v="3710"/>
    <n v="452"/>
    <n v="260"/>
    <x v="3"/>
    <n v="192"/>
    <x v="4"/>
    <n v="0.54166666666666663"/>
    <n v="1040"/>
  </r>
  <r>
    <x v="27"/>
    <x v="3711"/>
    <n v="343"/>
    <n v="252"/>
    <x v="4"/>
    <n v="91"/>
    <x v="4"/>
    <n v="0.52500000000000002"/>
    <n v="1084"/>
  </r>
  <r>
    <x v="27"/>
    <x v="3712"/>
    <n v="484"/>
    <n v="434"/>
    <x v="1"/>
    <n v="50"/>
    <x v="5"/>
    <n v="0.90416666666666667"/>
    <n v="242"/>
  </r>
  <r>
    <x v="27"/>
    <x v="3713"/>
    <n v="381"/>
    <n v="375"/>
    <x v="0"/>
    <n v="6"/>
    <x v="3"/>
    <n v="0.78125"/>
    <n v="514"/>
  </r>
  <r>
    <x v="27"/>
    <x v="3714"/>
    <n v="491"/>
    <n v="308"/>
    <x v="0"/>
    <n v="183"/>
    <x v="3"/>
    <n v="0.64166666666666672"/>
    <n v="824"/>
  </r>
  <r>
    <x v="27"/>
    <x v="3715"/>
    <n v="267"/>
    <n v="219"/>
    <x v="2"/>
    <n v="48"/>
    <x v="4"/>
    <n v="0.45624999999999999"/>
    <n v="1232"/>
  </r>
  <r>
    <x v="27"/>
    <x v="3716"/>
    <n v="469"/>
    <n v="423"/>
    <x v="5"/>
    <n v="46"/>
    <x v="5"/>
    <n v="0.88124999999999998"/>
    <n v="295"/>
  </r>
  <r>
    <x v="27"/>
    <x v="3717"/>
    <n v="167"/>
    <n v="159"/>
    <x v="2"/>
    <n v="8"/>
    <x v="0"/>
    <n v="0.33124999999999999"/>
    <n v="2183"/>
  </r>
  <r>
    <x v="27"/>
    <x v="3718"/>
    <n v="470"/>
    <n v="187"/>
    <x v="1"/>
    <n v="283"/>
    <x v="0"/>
    <n v="0.38958333333333334"/>
    <n v="1455"/>
  </r>
  <r>
    <x v="27"/>
    <x v="3719"/>
    <n v="490"/>
    <n v="473"/>
    <x v="1"/>
    <n v="17"/>
    <x v="5"/>
    <n v="0.98541666666666672"/>
    <n v="33"/>
  </r>
  <r>
    <x v="27"/>
    <x v="3720"/>
    <n v="463"/>
    <n v="369"/>
    <x v="5"/>
    <n v="94"/>
    <x v="3"/>
    <n v="0.76875000000000004"/>
    <n v="543"/>
  </r>
  <r>
    <x v="27"/>
    <x v="3721"/>
    <n v="314"/>
    <n v="161"/>
    <x v="0"/>
    <n v="153"/>
    <x v="0"/>
    <n v="0.33541666666666664"/>
    <n v="2129"/>
  </r>
  <r>
    <x v="27"/>
    <x v="3722"/>
    <n v="500"/>
    <n v="407"/>
    <x v="0"/>
    <n v="93"/>
    <x v="5"/>
    <n v="0.84791666666666665"/>
    <n v="354"/>
  </r>
  <r>
    <x v="27"/>
    <x v="3723"/>
    <n v="455"/>
    <n v="181"/>
    <x v="6"/>
    <n v="274"/>
    <x v="0"/>
    <n v="0.37708333333333333"/>
    <n v="1609"/>
  </r>
  <r>
    <x v="27"/>
    <x v="3724"/>
    <n v="400"/>
    <n v="358"/>
    <x v="1"/>
    <n v="42"/>
    <x v="3"/>
    <n v="0.74583333333333335"/>
    <n v="586"/>
  </r>
  <r>
    <x v="27"/>
    <x v="3725"/>
    <n v="314"/>
    <n v="247"/>
    <x v="4"/>
    <n v="67"/>
    <x v="4"/>
    <n v="0.51458333333333328"/>
    <n v="1112"/>
  </r>
  <r>
    <x v="27"/>
    <x v="3726"/>
    <n v="325"/>
    <n v="230"/>
    <x v="1"/>
    <n v="95"/>
    <x v="4"/>
    <n v="0.47916666666666669"/>
    <n v="1184"/>
  </r>
  <r>
    <x v="27"/>
    <x v="3727"/>
    <n v="482"/>
    <n v="365"/>
    <x v="1"/>
    <n v="117"/>
    <x v="3"/>
    <n v="0.76041666666666663"/>
    <n v="556"/>
  </r>
  <r>
    <x v="27"/>
    <x v="3728"/>
    <n v="467"/>
    <n v="317"/>
    <x v="6"/>
    <n v="150"/>
    <x v="3"/>
    <n v="0.66041666666666665"/>
    <n v="791"/>
  </r>
  <r>
    <x v="27"/>
    <x v="3729"/>
    <n v="383"/>
    <n v="305"/>
    <x v="6"/>
    <n v="78"/>
    <x v="3"/>
    <n v="0.63541666666666663"/>
    <n v="833"/>
  </r>
  <r>
    <x v="27"/>
    <x v="3730"/>
    <n v="264"/>
    <n v="209"/>
    <x v="5"/>
    <n v="55"/>
    <x v="4"/>
    <n v="0.43541666666666667"/>
    <n v="1277"/>
  </r>
  <r>
    <x v="27"/>
    <x v="3731"/>
    <n v="487"/>
    <n v="457"/>
    <x v="1"/>
    <n v="30"/>
    <x v="5"/>
    <n v="0.95208333333333328"/>
    <n v="120"/>
  </r>
  <r>
    <x v="27"/>
    <x v="3732"/>
    <n v="447"/>
    <n v="321"/>
    <x v="5"/>
    <n v="126"/>
    <x v="3"/>
    <n v="0.66874999999999996"/>
    <n v="770"/>
  </r>
  <r>
    <x v="27"/>
    <x v="3733"/>
    <n v="489"/>
    <n v="239"/>
    <x v="4"/>
    <n v="250"/>
    <x v="4"/>
    <n v="0.49791666666666667"/>
    <n v="1145"/>
  </r>
  <r>
    <x v="27"/>
    <x v="3734"/>
    <n v="404"/>
    <n v="316"/>
    <x v="3"/>
    <n v="88"/>
    <x v="3"/>
    <n v="0.65833333333333333"/>
    <n v="799"/>
  </r>
  <r>
    <x v="27"/>
    <x v="3735"/>
    <n v="441"/>
    <n v="407"/>
    <x v="0"/>
    <n v="34"/>
    <x v="5"/>
    <n v="0.84791666666666665"/>
    <n v="354"/>
  </r>
  <r>
    <x v="27"/>
    <x v="3736"/>
    <n v="461"/>
    <n v="417"/>
    <x v="0"/>
    <n v="44"/>
    <x v="5"/>
    <n v="0.86875000000000002"/>
    <n v="316"/>
  </r>
  <r>
    <x v="27"/>
    <x v="3737"/>
    <n v="379"/>
    <n v="197"/>
    <x v="4"/>
    <n v="182"/>
    <x v="0"/>
    <n v="0.41041666666666665"/>
    <n v="1323"/>
  </r>
  <r>
    <x v="27"/>
    <x v="3738"/>
    <n v="391"/>
    <n v="336"/>
    <x v="6"/>
    <n v="55"/>
    <x v="3"/>
    <n v="0.7"/>
    <n v="700"/>
  </r>
  <r>
    <x v="27"/>
    <x v="3739"/>
    <n v="471"/>
    <n v="332"/>
    <x v="1"/>
    <n v="139"/>
    <x v="3"/>
    <n v="0.69166666666666665"/>
    <n v="725"/>
  </r>
  <r>
    <x v="27"/>
    <x v="3740"/>
    <n v="328"/>
    <n v="311"/>
    <x v="2"/>
    <n v="17"/>
    <x v="3"/>
    <n v="0.6479166666666667"/>
    <n v="815"/>
  </r>
  <r>
    <x v="27"/>
    <x v="3741"/>
    <n v="472"/>
    <n v="396"/>
    <x v="0"/>
    <n v="76"/>
    <x v="3"/>
    <n v="0.82499999999999996"/>
    <n v="415"/>
  </r>
  <r>
    <x v="27"/>
    <x v="3742"/>
    <n v="494"/>
    <n v="400"/>
    <x v="1"/>
    <n v="94"/>
    <x v="3"/>
    <n v="0.83333333333333337"/>
    <n v="392"/>
  </r>
  <r>
    <x v="27"/>
    <x v="3743"/>
    <n v="450"/>
    <n v="338"/>
    <x v="6"/>
    <n v="112"/>
    <x v="3"/>
    <n v="0.70416666666666672"/>
    <n v="687"/>
  </r>
  <r>
    <x v="27"/>
    <x v="3744"/>
    <n v="477"/>
    <n v="331"/>
    <x v="3"/>
    <n v="146"/>
    <x v="3"/>
    <n v="0.68958333333333333"/>
    <n v="731"/>
  </r>
  <r>
    <x v="27"/>
    <x v="3745"/>
    <n v="256"/>
    <n v="224"/>
    <x v="5"/>
    <n v="32"/>
    <x v="4"/>
    <n v="0.46666666666666667"/>
    <n v="1211"/>
  </r>
  <r>
    <x v="27"/>
    <x v="3746"/>
    <n v="448"/>
    <n v="407"/>
    <x v="1"/>
    <n v="41"/>
    <x v="5"/>
    <n v="0.84791666666666665"/>
    <n v="354"/>
  </r>
  <r>
    <x v="27"/>
    <x v="3747"/>
    <n v="278"/>
    <n v="251"/>
    <x v="5"/>
    <n v="27"/>
    <x v="4"/>
    <n v="0.5229166666666667"/>
    <n v="1087"/>
  </r>
  <r>
    <x v="27"/>
    <x v="3748"/>
    <n v="463"/>
    <n v="454"/>
    <x v="5"/>
    <n v="9"/>
    <x v="5"/>
    <n v="0.9458333333333333"/>
    <n v="131"/>
  </r>
  <r>
    <x v="27"/>
    <x v="3749"/>
    <n v="366"/>
    <n v="349"/>
    <x v="1"/>
    <n v="17"/>
    <x v="3"/>
    <n v="0.7270833333333333"/>
    <n v="631"/>
  </r>
  <r>
    <x v="27"/>
    <x v="3750"/>
    <n v="363"/>
    <n v="280"/>
    <x v="1"/>
    <n v="83"/>
    <x v="4"/>
    <n v="0.58333333333333337"/>
    <n v="954"/>
  </r>
  <r>
    <x v="27"/>
    <x v="3751"/>
    <n v="496"/>
    <n v="349"/>
    <x v="5"/>
    <n v="147"/>
    <x v="3"/>
    <n v="0.7270833333333333"/>
    <n v="631"/>
  </r>
  <r>
    <x v="28"/>
    <x v="3752"/>
    <n v="228"/>
    <n v="90"/>
    <x v="6"/>
    <n v="138"/>
    <x v="1"/>
    <n v="0.1875"/>
    <n v="3750"/>
  </r>
  <r>
    <x v="28"/>
    <x v="3753"/>
    <n v="189"/>
    <n v="138"/>
    <x v="4"/>
    <n v="51"/>
    <x v="0"/>
    <n v="0.28749999999999998"/>
    <n v="2660"/>
  </r>
  <r>
    <x v="28"/>
    <x v="3754"/>
    <n v="303"/>
    <n v="184"/>
    <x v="3"/>
    <n v="119"/>
    <x v="0"/>
    <n v="0.38333333333333336"/>
    <n v="1544"/>
  </r>
  <r>
    <x v="28"/>
    <x v="3755"/>
    <n v="258"/>
    <n v="168"/>
    <x v="1"/>
    <n v="90"/>
    <x v="0"/>
    <n v="0.35"/>
    <n v="1954"/>
  </r>
  <r>
    <x v="28"/>
    <x v="3756"/>
    <n v="278"/>
    <n v="143"/>
    <x v="6"/>
    <n v="135"/>
    <x v="0"/>
    <n v="0.29791666666666666"/>
    <n v="2567"/>
  </r>
  <r>
    <x v="28"/>
    <x v="3757"/>
    <n v="197"/>
    <n v="72"/>
    <x v="3"/>
    <n v="125"/>
    <x v="1"/>
    <n v="0.15"/>
    <n v="4100"/>
  </r>
  <r>
    <x v="28"/>
    <x v="3758"/>
    <n v="132"/>
    <n v="115"/>
    <x v="6"/>
    <n v="17"/>
    <x v="0"/>
    <n v="0.23958333333333334"/>
    <n v="3206"/>
  </r>
  <r>
    <x v="28"/>
    <x v="3759"/>
    <n v="209"/>
    <n v="79"/>
    <x v="3"/>
    <n v="130"/>
    <x v="1"/>
    <n v="0.16458333333333333"/>
    <n v="3967"/>
  </r>
  <r>
    <x v="28"/>
    <x v="3760"/>
    <n v="320"/>
    <n v="139"/>
    <x v="5"/>
    <n v="181"/>
    <x v="0"/>
    <n v="0.28958333333333336"/>
    <n v="2647"/>
  </r>
  <r>
    <x v="28"/>
    <x v="3761"/>
    <n v="218"/>
    <n v="133"/>
    <x v="4"/>
    <n v="85"/>
    <x v="0"/>
    <n v="0.27708333333333335"/>
    <n v="2758"/>
  </r>
  <r>
    <x v="28"/>
    <x v="3762"/>
    <n v="99"/>
    <n v="36"/>
    <x v="2"/>
    <n v="63"/>
    <x v="2"/>
    <n v="7.4999999999999997E-2"/>
    <n v="4893"/>
  </r>
  <r>
    <x v="28"/>
    <x v="3763"/>
    <n v="273"/>
    <n v="58"/>
    <x v="0"/>
    <n v="215"/>
    <x v="1"/>
    <n v="0.12083333333333333"/>
    <n v="4431"/>
  </r>
  <r>
    <x v="28"/>
    <x v="3764"/>
    <n v="315"/>
    <n v="68"/>
    <x v="6"/>
    <n v="247"/>
    <x v="1"/>
    <n v="0.14166666666666666"/>
    <n v="4204"/>
  </r>
  <r>
    <x v="28"/>
    <x v="3765"/>
    <n v="285"/>
    <n v="78"/>
    <x v="4"/>
    <n v="207"/>
    <x v="1"/>
    <n v="0.16250000000000001"/>
    <n v="3989"/>
  </r>
  <r>
    <x v="28"/>
    <x v="3766"/>
    <n v="145"/>
    <n v="131"/>
    <x v="4"/>
    <n v="14"/>
    <x v="0"/>
    <n v="0.27291666666666664"/>
    <n v="2815"/>
  </r>
  <r>
    <x v="28"/>
    <x v="3767"/>
    <n v="228"/>
    <n v="164"/>
    <x v="4"/>
    <n v="64"/>
    <x v="0"/>
    <n v="0.34166666666666667"/>
    <n v="2049"/>
  </r>
  <r>
    <x v="28"/>
    <x v="3768"/>
    <n v="280"/>
    <n v="147"/>
    <x v="3"/>
    <n v="133"/>
    <x v="0"/>
    <n v="0.30625000000000002"/>
    <n v="2478"/>
  </r>
  <r>
    <x v="28"/>
    <x v="3769"/>
    <n v="298"/>
    <n v="190"/>
    <x v="1"/>
    <n v="108"/>
    <x v="0"/>
    <n v="0.39583333333333331"/>
    <n v="1355"/>
  </r>
  <r>
    <x v="28"/>
    <x v="3770"/>
    <n v="267"/>
    <n v="43"/>
    <x v="3"/>
    <n v="224"/>
    <x v="2"/>
    <n v="8.9583333333333334E-2"/>
    <n v="4752"/>
  </r>
  <r>
    <x v="28"/>
    <x v="3771"/>
    <n v="106"/>
    <n v="30"/>
    <x v="1"/>
    <n v="76"/>
    <x v="2"/>
    <n v="6.25E-2"/>
    <n v="5042"/>
  </r>
  <r>
    <x v="28"/>
    <x v="3772"/>
    <n v="191"/>
    <n v="141"/>
    <x v="1"/>
    <n v="50"/>
    <x v="0"/>
    <n v="0.29375000000000001"/>
    <n v="2609"/>
  </r>
  <r>
    <x v="28"/>
    <x v="3773"/>
    <n v="105"/>
    <n v="49"/>
    <x v="6"/>
    <n v="56"/>
    <x v="2"/>
    <n v="0.10208333333333333"/>
    <n v="4614"/>
  </r>
  <r>
    <x v="28"/>
    <x v="3774"/>
    <n v="251"/>
    <n v="111"/>
    <x v="1"/>
    <n v="140"/>
    <x v="0"/>
    <n v="0.23125000000000001"/>
    <n v="3285"/>
  </r>
  <r>
    <x v="28"/>
    <x v="3775"/>
    <n v="236"/>
    <n v="111"/>
    <x v="0"/>
    <n v="125"/>
    <x v="0"/>
    <n v="0.23125000000000001"/>
    <n v="3285"/>
  </r>
  <r>
    <x v="28"/>
    <x v="3776"/>
    <n v="166"/>
    <n v="32"/>
    <x v="4"/>
    <n v="134"/>
    <x v="2"/>
    <n v="6.6666666666666666E-2"/>
    <n v="4983"/>
  </r>
  <r>
    <x v="28"/>
    <x v="3777"/>
    <n v="172"/>
    <n v="69"/>
    <x v="6"/>
    <n v="103"/>
    <x v="1"/>
    <n v="0.14374999999999999"/>
    <n v="4186"/>
  </r>
  <r>
    <x v="28"/>
    <x v="3778"/>
    <n v="152"/>
    <n v="41"/>
    <x v="6"/>
    <n v="111"/>
    <x v="2"/>
    <n v="8.5416666666666669E-2"/>
    <n v="4789"/>
  </r>
  <r>
    <x v="28"/>
    <x v="3779"/>
    <n v="180"/>
    <n v="123"/>
    <x v="6"/>
    <n v="57"/>
    <x v="0"/>
    <n v="0.25624999999999998"/>
    <n v="2983"/>
  </r>
  <r>
    <x v="29"/>
    <x v="3780"/>
    <n v="294"/>
    <n v="172"/>
    <x v="1"/>
    <n v="122"/>
    <x v="0"/>
    <n v="0.35833333333333334"/>
    <n v="1852"/>
  </r>
  <r>
    <x v="29"/>
    <x v="3781"/>
    <n v="315"/>
    <n v="123"/>
    <x v="3"/>
    <n v="192"/>
    <x v="0"/>
    <n v="0.25624999999999998"/>
    <n v="2983"/>
  </r>
  <r>
    <x v="29"/>
    <x v="3782"/>
    <n v="220"/>
    <n v="64"/>
    <x v="3"/>
    <n v="156"/>
    <x v="1"/>
    <n v="0.13333333333333333"/>
    <n v="4293"/>
  </r>
  <r>
    <x v="29"/>
    <x v="3783"/>
    <n v="155"/>
    <n v="150"/>
    <x v="5"/>
    <n v="5"/>
    <x v="0"/>
    <n v="0.3125"/>
    <n v="2400"/>
  </r>
  <r>
    <x v="29"/>
    <x v="3784"/>
    <n v="68"/>
    <n v="41"/>
    <x v="6"/>
    <n v="27"/>
    <x v="2"/>
    <n v="8.5416666666666669E-2"/>
    <n v="4789"/>
  </r>
  <r>
    <x v="29"/>
    <x v="3785"/>
    <n v="312"/>
    <n v="176"/>
    <x v="1"/>
    <n v="136"/>
    <x v="0"/>
    <n v="0.36666666666666664"/>
    <n v="1754"/>
  </r>
  <r>
    <x v="29"/>
    <x v="3786"/>
    <n v="188"/>
    <n v="66"/>
    <x v="1"/>
    <n v="122"/>
    <x v="1"/>
    <n v="0.13750000000000001"/>
    <n v="4247"/>
  </r>
  <r>
    <x v="29"/>
    <x v="3787"/>
    <n v="70"/>
    <n v="67"/>
    <x v="3"/>
    <n v="3"/>
    <x v="1"/>
    <n v="0.13958333333333334"/>
    <n v="4225"/>
  </r>
  <r>
    <x v="29"/>
    <x v="3788"/>
    <n v="298"/>
    <n v="141"/>
    <x v="1"/>
    <n v="157"/>
    <x v="0"/>
    <n v="0.29375000000000001"/>
    <n v="2609"/>
  </r>
  <r>
    <x v="29"/>
    <x v="3789"/>
    <n v="210"/>
    <n v="78"/>
    <x v="0"/>
    <n v="132"/>
    <x v="1"/>
    <n v="0.16250000000000001"/>
    <n v="3989"/>
  </r>
  <r>
    <x v="29"/>
    <x v="3790"/>
    <n v="176"/>
    <n v="167"/>
    <x v="5"/>
    <n v="9"/>
    <x v="0"/>
    <n v="0.34791666666666665"/>
    <n v="1979"/>
  </r>
  <r>
    <x v="29"/>
    <x v="3791"/>
    <n v="150"/>
    <n v="96"/>
    <x v="1"/>
    <n v="54"/>
    <x v="1"/>
    <n v="0.2"/>
    <n v="3616"/>
  </r>
  <r>
    <x v="29"/>
    <x v="3792"/>
    <n v="234"/>
    <n v="94"/>
    <x v="0"/>
    <n v="140"/>
    <x v="1"/>
    <n v="0.19583333333333333"/>
    <n v="3654"/>
  </r>
  <r>
    <x v="29"/>
    <x v="3793"/>
    <n v="105"/>
    <n v="65"/>
    <x v="4"/>
    <n v="40"/>
    <x v="1"/>
    <n v="0.13541666666666666"/>
    <n v="4267"/>
  </r>
  <r>
    <x v="29"/>
    <x v="3794"/>
    <n v="203"/>
    <n v="52"/>
    <x v="2"/>
    <n v="151"/>
    <x v="1"/>
    <n v="0.10833333333333334"/>
    <n v="4564"/>
  </r>
  <r>
    <x v="29"/>
    <x v="3795"/>
    <n v="68"/>
    <n v="49"/>
    <x v="2"/>
    <n v="19"/>
    <x v="2"/>
    <n v="0.10208333333333333"/>
    <n v="4614"/>
  </r>
  <r>
    <x v="29"/>
    <x v="3796"/>
    <n v="318"/>
    <n v="180"/>
    <x v="6"/>
    <n v="138"/>
    <x v="0"/>
    <n v="0.375"/>
    <n v="1635"/>
  </r>
  <r>
    <x v="29"/>
    <x v="3797"/>
    <n v="221"/>
    <n v="148"/>
    <x v="2"/>
    <n v="73"/>
    <x v="0"/>
    <n v="0.30833333333333335"/>
    <n v="2446"/>
  </r>
  <r>
    <x v="29"/>
    <x v="3798"/>
    <n v="197"/>
    <n v="158"/>
    <x v="0"/>
    <n v="39"/>
    <x v="0"/>
    <n v="0.32916666666666666"/>
    <n v="2207"/>
  </r>
  <r>
    <x v="29"/>
    <x v="3799"/>
    <n v="201"/>
    <n v="72"/>
    <x v="2"/>
    <n v="129"/>
    <x v="1"/>
    <n v="0.15"/>
    <n v="4100"/>
  </r>
  <r>
    <x v="29"/>
    <x v="3800"/>
    <n v="211"/>
    <n v="160"/>
    <x v="3"/>
    <n v="51"/>
    <x v="0"/>
    <n v="0.33333333333333331"/>
    <n v="2154"/>
  </r>
  <r>
    <x v="29"/>
    <x v="3801"/>
    <n v="232"/>
    <n v="155"/>
    <x v="0"/>
    <n v="77"/>
    <x v="0"/>
    <n v="0.32291666666666669"/>
    <n v="2275"/>
  </r>
  <r>
    <x v="29"/>
    <x v="3802"/>
    <n v="254"/>
    <n v="119"/>
    <x v="0"/>
    <n v="135"/>
    <x v="0"/>
    <n v="0.24791666666666667"/>
    <n v="3093"/>
  </r>
  <r>
    <x v="29"/>
    <x v="3803"/>
    <n v="113"/>
    <n v="77"/>
    <x v="3"/>
    <n v="36"/>
    <x v="1"/>
    <n v="0.16041666666666668"/>
    <n v="4006"/>
  </r>
  <r>
    <x v="29"/>
    <x v="3804"/>
    <n v="240"/>
    <n v="140"/>
    <x v="3"/>
    <n v="100"/>
    <x v="0"/>
    <n v="0.29166666666666669"/>
    <n v="2627"/>
  </r>
  <r>
    <x v="29"/>
    <x v="3805"/>
    <n v="165"/>
    <n v="66"/>
    <x v="5"/>
    <n v="99"/>
    <x v="1"/>
    <n v="0.13750000000000001"/>
    <n v="4247"/>
  </r>
  <r>
    <x v="29"/>
    <x v="3806"/>
    <n v="160"/>
    <n v="30"/>
    <x v="5"/>
    <n v="130"/>
    <x v="2"/>
    <n v="6.25E-2"/>
    <n v="5042"/>
  </r>
  <r>
    <x v="29"/>
    <x v="3807"/>
    <n v="143"/>
    <n v="62"/>
    <x v="4"/>
    <n v="81"/>
    <x v="1"/>
    <n v="0.12916666666666668"/>
    <n v="4343"/>
  </r>
  <r>
    <x v="29"/>
    <x v="3808"/>
    <n v="206"/>
    <n v="141"/>
    <x v="3"/>
    <n v="65"/>
    <x v="0"/>
    <n v="0.29375000000000001"/>
    <n v="2609"/>
  </r>
  <r>
    <x v="29"/>
    <x v="3809"/>
    <n v="231"/>
    <n v="34"/>
    <x v="2"/>
    <n v="197"/>
    <x v="2"/>
    <n v="7.0833333333333331E-2"/>
    <n v="4944"/>
  </r>
  <r>
    <x v="29"/>
    <x v="3810"/>
    <n v="283"/>
    <n v="92"/>
    <x v="5"/>
    <n v="191"/>
    <x v="1"/>
    <n v="0.19166666666666668"/>
    <n v="3706"/>
  </r>
  <r>
    <x v="29"/>
    <x v="3811"/>
    <n v="261"/>
    <n v="129"/>
    <x v="2"/>
    <n v="132"/>
    <x v="0"/>
    <n v="0.26874999999999999"/>
    <n v="2852"/>
  </r>
  <r>
    <x v="29"/>
    <x v="3812"/>
    <n v="136"/>
    <n v="135"/>
    <x v="1"/>
    <n v="1"/>
    <x v="0"/>
    <n v="0.28125"/>
    <n v="2714"/>
  </r>
  <r>
    <x v="29"/>
    <x v="3813"/>
    <n v="190"/>
    <n v="120"/>
    <x v="2"/>
    <n v="70"/>
    <x v="0"/>
    <n v="0.25"/>
    <n v="3066"/>
  </r>
  <r>
    <x v="29"/>
    <x v="3814"/>
    <n v="274"/>
    <n v="167"/>
    <x v="3"/>
    <n v="107"/>
    <x v="0"/>
    <n v="0.34791666666666665"/>
    <n v="1979"/>
  </r>
  <r>
    <x v="29"/>
    <x v="3815"/>
    <n v="255"/>
    <n v="177"/>
    <x v="5"/>
    <n v="78"/>
    <x v="0"/>
    <n v="0.36875000000000002"/>
    <n v="1733"/>
  </r>
  <r>
    <x v="29"/>
    <x v="3816"/>
    <n v="183"/>
    <n v="101"/>
    <x v="2"/>
    <n v="82"/>
    <x v="0"/>
    <n v="0.21041666666666667"/>
    <n v="3515"/>
  </r>
  <r>
    <x v="29"/>
    <x v="3817"/>
    <n v="169"/>
    <n v="118"/>
    <x v="3"/>
    <n v="51"/>
    <x v="0"/>
    <n v="0.24583333333333332"/>
    <n v="3122"/>
  </r>
  <r>
    <x v="29"/>
    <x v="3818"/>
    <n v="288"/>
    <n v="121"/>
    <x v="1"/>
    <n v="167"/>
    <x v="0"/>
    <n v="0.25208333333333333"/>
    <n v="3037"/>
  </r>
  <r>
    <x v="29"/>
    <x v="3819"/>
    <n v="245"/>
    <n v="100"/>
    <x v="0"/>
    <n v="145"/>
    <x v="1"/>
    <n v="0.20833333333333334"/>
    <n v="3535"/>
  </r>
  <r>
    <x v="29"/>
    <x v="3820"/>
    <n v="301"/>
    <n v="147"/>
    <x v="0"/>
    <n v="154"/>
    <x v="0"/>
    <n v="0.30625000000000002"/>
    <n v="2478"/>
  </r>
  <r>
    <x v="29"/>
    <x v="3821"/>
    <n v="189"/>
    <n v="183"/>
    <x v="4"/>
    <n v="6"/>
    <x v="0"/>
    <n v="0.38124999999999998"/>
    <n v="1572"/>
  </r>
  <r>
    <x v="29"/>
    <x v="3822"/>
    <n v="266"/>
    <n v="178"/>
    <x v="4"/>
    <n v="88"/>
    <x v="0"/>
    <n v="0.37083333333333335"/>
    <n v="1702"/>
  </r>
  <r>
    <x v="29"/>
    <x v="3823"/>
    <n v="227"/>
    <n v="150"/>
    <x v="2"/>
    <n v="77"/>
    <x v="0"/>
    <n v="0.3125"/>
    <n v="2400"/>
  </r>
  <r>
    <x v="29"/>
    <x v="3824"/>
    <n v="250"/>
    <n v="179"/>
    <x v="3"/>
    <n v="71"/>
    <x v="0"/>
    <n v="0.37291666666666667"/>
    <n v="1667"/>
  </r>
  <r>
    <x v="29"/>
    <x v="3825"/>
    <n v="200"/>
    <n v="66"/>
    <x v="5"/>
    <n v="134"/>
    <x v="1"/>
    <n v="0.13750000000000001"/>
    <n v="4247"/>
  </r>
  <r>
    <x v="29"/>
    <x v="3826"/>
    <n v="308"/>
    <n v="72"/>
    <x v="2"/>
    <n v="236"/>
    <x v="1"/>
    <n v="0.15"/>
    <n v="4100"/>
  </r>
  <r>
    <x v="29"/>
    <x v="3827"/>
    <n v="81"/>
    <n v="46"/>
    <x v="1"/>
    <n v="35"/>
    <x v="2"/>
    <n v="9.583333333333334E-2"/>
    <n v="4680"/>
  </r>
  <r>
    <x v="29"/>
    <x v="3828"/>
    <n v="296"/>
    <n v="66"/>
    <x v="2"/>
    <n v="230"/>
    <x v="1"/>
    <n v="0.13750000000000001"/>
    <n v="4247"/>
  </r>
  <r>
    <x v="29"/>
    <x v="3829"/>
    <n v="99"/>
    <n v="64"/>
    <x v="5"/>
    <n v="35"/>
    <x v="1"/>
    <n v="0.13333333333333333"/>
    <n v="4293"/>
  </r>
  <r>
    <x v="29"/>
    <x v="3830"/>
    <n v="216"/>
    <n v="34"/>
    <x v="3"/>
    <n v="182"/>
    <x v="2"/>
    <n v="7.0833333333333331E-2"/>
    <n v="4944"/>
  </r>
  <r>
    <x v="29"/>
    <x v="3831"/>
    <n v="156"/>
    <n v="150"/>
    <x v="5"/>
    <n v="6"/>
    <x v="0"/>
    <n v="0.3125"/>
    <n v="2400"/>
  </r>
  <r>
    <x v="29"/>
    <x v="3832"/>
    <n v="227"/>
    <n v="108"/>
    <x v="3"/>
    <n v="119"/>
    <x v="0"/>
    <n v="0.22500000000000001"/>
    <n v="3362"/>
  </r>
  <r>
    <x v="29"/>
    <x v="3833"/>
    <n v="208"/>
    <n v="171"/>
    <x v="3"/>
    <n v="37"/>
    <x v="0"/>
    <n v="0.35625000000000001"/>
    <n v="1866"/>
  </r>
  <r>
    <x v="29"/>
    <x v="3834"/>
    <n v="288"/>
    <n v="114"/>
    <x v="0"/>
    <n v="174"/>
    <x v="0"/>
    <n v="0.23749999999999999"/>
    <n v="3226"/>
  </r>
  <r>
    <x v="29"/>
    <x v="3835"/>
    <n v="308"/>
    <n v="113"/>
    <x v="1"/>
    <n v="195"/>
    <x v="0"/>
    <n v="0.23541666666666666"/>
    <n v="3243"/>
  </r>
  <r>
    <x v="29"/>
    <x v="3836"/>
    <n v="285"/>
    <n v="90"/>
    <x v="0"/>
    <n v="195"/>
    <x v="1"/>
    <n v="0.1875"/>
    <n v="3750"/>
  </r>
  <r>
    <x v="29"/>
    <x v="3837"/>
    <n v="245"/>
    <n v="46"/>
    <x v="6"/>
    <n v="199"/>
    <x v="2"/>
    <n v="9.583333333333334E-2"/>
    <n v="4680"/>
  </r>
  <r>
    <x v="29"/>
    <x v="3838"/>
    <n v="302"/>
    <n v="150"/>
    <x v="5"/>
    <n v="152"/>
    <x v="0"/>
    <n v="0.3125"/>
    <n v="2400"/>
  </r>
  <r>
    <x v="29"/>
    <x v="3839"/>
    <n v="312"/>
    <n v="49"/>
    <x v="0"/>
    <n v="263"/>
    <x v="2"/>
    <n v="0.10208333333333333"/>
    <n v="4614"/>
  </r>
  <r>
    <x v="29"/>
    <x v="3840"/>
    <n v="275"/>
    <n v="182"/>
    <x v="0"/>
    <n v="93"/>
    <x v="0"/>
    <n v="0.37916666666666665"/>
    <n v="1593"/>
  </r>
  <r>
    <x v="29"/>
    <x v="3841"/>
    <n v="245"/>
    <n v="188"/>
    <x v="6"/>
    <n v="57"/>
    <x v="0"/>
    <n v="0.39166666666666666"/>
    <n v="1423"/>
  </r>
  <r>
    <x v="29"/>
    <x v="3842"/>
    <n v="244"/>
    <n v="83"/>
    <x v="0"/>
    <n v="161"/>
    <x v="1"/>
    <n v="0.17291666666666666"/>
    <n v="3892"/>
  </r>
  <r>
    <x v="29"/>
    <x v="3843"/>
    <n v="58"/>
    <n v="55"/>
    <x v="3"/>
    <n v="3"/>
    <x v="1"/>
    <n v="0.11458333333333333"/>
    <n v="4497"/>
  </r>
  <r>
    <x v="29"/>
    <x v="3844"/>
    <n v="272"/>
    <n v="84"/>
    <x v="6"/>
    <n v="188"/>
    <x v="1"/>
    <n v="0.17499999999999999"/>
    <n v="3872"/>
  </r>
  <r>
    <x v="29"/>
    <x v="3845"/>
    <n v="100"/>
    <n v="65"/>
    <x v="5"/>
    <n v="35"/>
    <x v="1"/>
    <n v="0.13541666666666666"/>
    <n v="4267"/>
  </r>
  <r>
    <x v="29"/>
    <x v="3846"/>
    <n v="313"/>
    <n v="72"/>
    <x v="6"/>
    <n v="241"/>
    <x v="1"/>
    <n v="0.15"/>
    <n v="4100"/>
  </r>
  <r>
    <x v="29"/>
    <x v="3847"/>
    <n v="246"/>
    <n v="97"/>
    <x v="1"/>
    <n v="149"/>
    <x v="1"/>
    <n v="0.20208333333333334"/>
    <n v="3593"/>
  </r>
  <r>
    <x v="29"/>
    <x v="3848"/>
    <n v="273"/>
    <n v="109"/>
    <x v="1"/>
    <n v="164"/>
    <x v="0"/>
    <n v="0.22708333333333333"/>
    <n v="3338"/>
  </r>
  <r>
    <x v="29"/>
    <x v="3849"/>
    <n v="313"/>
    <n v="70"/>
    <x v="1"/>
    <n v="243"/>
    <x v="1"/>
    <n v="0.14583333333333334"/>
    <n v="4153"/>
  </r>
  <r>
    <x v="29"/>
    <x v="3850"/>
    <n v="249"/>
    <n v="165"/>
    <x v="4"/>
    <n v="84"/>
    <x v="0"/>
    <n v="0.34375"/>
    <n v="2028"/>
  </r>
  <r>
    <x v="29"/>
    <x v="3851"/>
    <n v="305"/>
    <n v="174"/>
    <x v="6"/>
    <n v="131"/>
    <x v="0"/>
    <n v="0.36249999999999999"/>
    <n v="1803"/>
  </r>
  <r>
    <x v="29"/>
    <x v="3852"/>
    <n v="120"/>
    <n v="74"/>
    <x v="5"/>
    <n v="46"/>
    <x v="1"/>
    <n v="0.15416666666666667"/>
    <n v="4064"/>
  </r>
  <r>
    <x v="29"/>
    <x v="3853"/>
    <n v="153"/>
    <n v="79"/>
    <x v="6"/>
    <n v="74"/>
    <x v="1"/>
    <n v="0.16458333333333333"/>
    <n v="3967"/>
  </r>
  <r>
    <x v="29"/>
    <x v="3854"/>
    <n v="253"/>
    <n v="179"/>
    <x v="1"/>
    <n v="74"/>
    <x v="0"/>
    <n v="0.37291666666666667"/>
    <n v="1667"/>
  </r>
  <r>
    <x v="29"/>
    <x v="3855"/>
    <n v="169"/>
    <n v="39"/>
    <x v="3"/>
    <n v="130"/>
    <x v="2"/>
    <n v="8.1250000000000003E-2"/>
    <n v="4829"/>
  </r>
  <r>
    <x v="29"/>
    <x v="3856"/>
    <n v="307"/>
    <n v="97"/>
    <x v="4"/>
    <n v="210"/>
    <x v="1"/>
    <n v="0.20208333333333334"/>
    <n v="3593"/>
  </r>
  <r>
    <x v="29"/>
    <x v="3857"/>
    <n v="294"/>
    <n v="76"/>
    <x v="1"/>
    <n v="218"/>
    <x v="1"/>
    <n v="0.15833333333333333"/>
    <n v="4023"/>
  </r>
  <r>
    <x v="29"/>
    <x v="3858"/>
    <n v="257"/>
    <n v="176"/>
    <x v="4"/>
    <n v="81"/>
    <x v="0"/>
    <n v="0.36666666666666664"/>
    <n v="1754"/>
  </r>
  <r>
    <x v="29"/>
    <x v="3859"/>
    <n v="195"/>
    <n v="32"/>
    <x v="6"/>
    <n v="163"/>
    <x v="2"/>
    <n v="6.6666666666666666E-2"/>
    <n v="4983"/>
  </r>
  <r>
    <x v="29"/>
    <x v="3860"/>
    <n v="115"/>
    <n v="111"/>
    <x v="1"/>
    <n v="4"/>
    <x v="0"/>
    <n v="0.23125000000000001"/>
    <n v="3285"/>
  </r>
  <r>
    <x v="29"/>
    <x v="3861"/>
    <n v="134"/>
    <n v="70"/>
    <x v="1"/>
    <n v="64"/>
    <x v="1"/>
    <n v="0.14583333333333334"/>
    <n v="4153"/>
  </r>
  <r>
    <x v="29"/>
    <x v="3862"/>
    <n v="166"/>
    <n v="136"/>
    <x v="2"/>
    <n v="30"/>
    <x v="0"/>
    <n v="0.28333333333333333"/>
    <n v="2692"/>
  </r>
  <r>
    <x v="29"/>
    <x v="3863"/>
    <n v="183"/>
    <n v="81"/>
    <x v="0"/>
    <n v="102"/>
    <x v="1"/>
    <n v="0.16875000000000001"/>
    <n v="3923"/>
  </r>
  <r>
    <x v="29"/>
    <x v="3864"/>
    <n v="296"/>
    <n v="35"/>
    <x v="5"/>
    <n v="261"/>
    <x v="2"/>
    <n v="7.2916666666666671E-2"/>
    <n v="4916"/>
  </r>
  <r>
    <x v="29"/>
    <x v="3865"/>
    <n v="278"/>
    <n v="30"/>
    <x v="1"/>
    <n v="248"/>
    <x v="2"/>
    <n v="6.25E-2"/>
    <n v="5042"/>
  </r>
  <r>
    <x v="29"/>
    <x v="3866"/>
    <n v="233"/>
    <n v="181"/>
    <x v="0"/>
    <n v="52"/>
    <x v="0"/>
    <n v="0.37708333333333333"/>
    <n v="1609"/>
  </r>
  <r>
    <x v="29"/>
    <x v="3867"/>
    <n v="251"/>
    <n v="178"/>
    <x v="4"/>
    <n v="73"/>
    <x v="0"/>
    <n v="0.37083333333333335"/>
    <n v="1702"/>
  </r>
  <r>
    <x v="29"/>
    <x v="3868"/>
    <n v="225"/>
    <n v="30"/>
    <x v="6"/>
    <n v="195"/>
    <x v="2"/>
    <n v="6.25E-2"/>
    <n v="5042"/>
  </r>
  <r>
    <x v="29"/>
    <x v="3869"/>
    <n v="291"/>
    <n v="81"/>
    <x v="3"/>
    <n v="210"/>
    <x v="1"/>
    <n v="0.16875000000000001"/>
    <n v="3923"/>
  </r>
  <r>
    <x v="29"/>
    <x v="3870"/>
    <n v="133"/>
    <n v="125"/>
    <x v="6"/>
    <n v="8"/>
    <x v="0"/>
    <n v="0.26041666666666669"/>
    <n v="2951"/>
  </r>
  <r>
    <x v="29"/>
    <x v="3871"/>
    <n v="176"/>
    <n v="93"/>
    <x v="1"/>
    <n v="83"/>
    <x v="1"/>
    <n v="0.19375000000000001"/>
    <n v="3678"/>
  </r>
  <r>
    <x v="29"/>
    <x v="3872"/>
    <n v="247"/>
    <n v="140"/>
    <x v="3"/>
    <n v="107"/>
    <x v="0"/>
    <n v="0.29166666666666669"/>
    <n v="2627"/>
  </r>
  <r>
    <x v="29"/>
    <x v="3873"/>
    <n v="304"/>
    <n v="107"/>
    <x v="4"/>
    <n v="197"/>
    <x v="0"/>
    <n v="0.22291666666666668"/>
    <n v="3387"/>
  </r>
  <r>
    <x v="29"/>
    <x v="3874"/>
    <n v="191"/>
    <n v="89"/>
    <x v="2"/>
    <n v="102"/>
    <x v="1"/>
    <n v="0.18541666666666667"/>
    <n v="3772"/>
  </r>
  <r>
    <x v="29"/>
    <x v="3875"/>
    <n v="316"/>
    <n v="148"/>
    <x v="2"/>
    <n v="168"/>
    <x v="0"/>
    <n v="0.30833333333333335"/>
    <n v="2446"/>
  </r>
  <r>
    <x v="29"/>
    <x v="3876"/>
    <n v="283"/>
    <n v="117"/>
    <x v="0"/>
    <n v="166"/>
    <x v="0"/>
    <n v="0.24374999999999999"/>
    <n v="3144"/>
  </r>
  <r>
    <x v="29"/>
    <x v="3877"/>
    <n v="208"/>
    <n v="179"/>
    <x v="2"/>
    <n v="29"/>
    <x v="0"/>
    <n v="0.37291666666666667"/>
    <n v="1667"/>
  </r>
  <r>
    <x v="29"/>
    <x v="3878"/>
    <n v="131"/>
    <n v="52"/>
    <x v="0"/>
    <n v="79"/>
    <x v="1"/>
    <n v="0.10833333333333334"/>
    <n v="4564"/>
  </r>
  <r>
    <x v="29"/>
    <x v="3879"/>
    <n v="120"/>
    <n v="36"/>
    <x v="6"/>
    <n v="84"/>
    <x v="2"/>
    <n v="7.4999999999999997E-2"/>
    <n v="4893"/>
  </r>
  <r>
    <x v="29"/>
    <x v="3880"/>
    <n v="258"/>
    <n v="119"/>
    <x v="6"/>
    <n v="139"/>
    <x v="0"/>
    <n v="0.24791666666666667"/>
    <n v="3093"/>
  </r>
  <r>
    <x v="29"/>
    <x v="3881"/>
    <n v="243"/>
    <n v="158"/>
    <x v="0"/>
    <n v="85"/>
    <x v="0"/>
    <n v="0.32916666666666666"/>
    <n v="2207"/>
  </r>
  <r>
    <x v="29"/>
    <x v="3882"/>
    <n v="243"/>
    <n v="148"/>
    <x v="0"/>
    <n v="95"/>
    <x v="0"/>
    <n v="0.30833333333333335"/>
    <n v="2446"/>
  </r>
  <r>
    <x v="29"/>
    <x v="3883"/>
    <n v="79"/>
    <n v="76"/>
    <x v="3"/>
    <n v="3"/>
    <x v="1"/>
    <n v="0.15833333333333333"/>
    <n v="4023"/>
  </r>
  <r>
    <x v="29"/>
    <x v="3884"/>
    <n v="241"/>
    <n v="157"/>
    <x v="2"/>
    <n v="84"/>
    <x v="0"/>
    <n v="0.32708333333333334"/>
    <n v="2239"/>
  </r>
  <r>
    <x v="29"/>
    <x v="3885"/>
    <n v="142"/>
    <n v="45"/>
    <x v="3"/>
    <n v="97"/>
    <x v="2"/>
    <n v="9.375E-2"/>
    <n v="4702"/>
  </r>
  <r>
    <x v="29"/>
    <x v="3886"/>
    <n v="228"/>
    <n v="127"/>
    <x v="5"/>
    <n v="101"/>
    <x v="0"/>
    <n v="0.26458333333333334"/>
    <n v="2909"/>
  </r>
  <r>
    <x v="29"/>
    <x v="3887"/>
    <n v="208"/>
    <n v="112"/>
    <x v="0"/>
    <n v="96"/>
    <x v="0"/>
    <n v="0.23333333333333334"/>
    <n v="3267"/>
  </r>
  <r>
    <x v="29"/>
    <x v="3888"/>
    <n v="292"/>
    <n v="97"/>
    <x v="1"/>
    <n v="195"/>
    <x v="1"/>
    <n v="0.20208333333333334"/>
    <n v="3593"/>
  </r>
  <r>
    <x v="29"/>
    <x v="3889"/>
    <n v="199"/>
    <n v="149"/>
    <x v="2"/>
    <n v="50"/>
    <x v="0"/>
    <n v="0.31041666666666667"/>
    <n v="2426"/>
  </r>
  <r>
    <x v="29"/>
    <x v="3890"/>
    <n v="124"/>
    <n v="83"/>
    <x v="0"/>
    <n v="41"/>
    <x v="1"/>
    <n v="0.17291666666666666"/>
    <n v="3892"/>
  </r>
  <r>
    <x v="29"/>
    <x v="3891"/>
    <n v="265"/>
    <n v="45"/>
    <x v="3"/>
    <n v="220"/>
    <x v="2"/>
    <n v="9.375E-2"/>
    <n v="4702"/>
  </r>
  <r>
    <x v="29"/>
    <x v="3892"/>
    <n v="225"/>
    <n v="59"/>
    <x v="6"/>
    <n v="166"/>
    <x v="1"/>
    <n v="0.12291666666666666"/>
    <n v="4416"/>
  </r>
  <r>
    <x v="29"/>
    <x v="3893"/>
    <n v="208"/>
    <n v="152"/>
    <x v="3"/>
    <n v="56"/>
    <x v="0"/>
    <n v="0.31666666666666665"/>
    <n v="2349"/>
  </r>
  <r>
    <x v="29"/>
    <x v="3894"/>
    <n v="156"/>
    <n v="106"/>
    <x v="3"/>
    <n v="50"/>
    <x v="0"/>
    <n v="0.22083333333333333"/>
    <n v="3413"/>
  </r>
  <r>
    <x v="29"/>
    <x v="3895"/>
    <n v="184"/>
    <n v="49"/>
    <x v="5"/>
    <n v="135"/>
    <x v="2"/>
    <n v="0.10208333333333333"/>
    <n v="4614"/>
  </r>
  <r>
    <x v="29"/>
    <x v="3896"/>
    <n v="226"/>
    <n v="184"/>
    <x v="4"/>
    <n v="42"/>
    <x v="0"/>
    <n v="0.38333333333333336"/>
    <n v="1544"/>
  </r>
  <r>
    <x v="29"/>
    <x v="3897"/>
    <n v="240"/>
    <n v="53"/>
    <x v="3"/>
    <n v="187"/>
    <x v="1"/>
    <n v="0.11041666666666666"/>
    <n v="4544"/>
  </r>
  <r>
    <x v="29"/>
    <x v="3898"/>
    <n v="255"/>
    <n v="152"/>
    <x v="5"/>
    <n v="103"/>
    <x v="0"/>
    <n v="0.31666666666666665"/>
    <n v="2349"/>
  </r>
  <r>
    <x v="29"/>
    <x v="3899"/>
    <n v="295"/>
    <n v="124"/>
    <x v="3"/>
    <n v="171"/>
    <x v="0"/>
    <n v="0.25833333333333336"/>
    <n v="2971"/>
  </r>
  <r>
    <x v="29"/>
    <x v="3900"/>
    <n v="230"/>
    <n v="165"/>
    <x v="4"/>
    <n v="65"/>
    <x v="0"/>
    <n v="0.34375"/>
    <n v="2028"/>
  </r>
  <r>
    <x v="29"/>
    <x v="3901"/>
    <n v="223"/>
    <n v="142"/>
    <x v="1"/>
    <n v="81"/>
    <x v="0"/>
    <n v="0.29583333333333334"/>
    <n v="2585"/>
  </r>
  <r>
    <x v="29"/>
    <x v="3902"/>
    <n v="240"/>
    <n v="48"/>
    <x v="5"/>
    <n v="192"/>
    <x v="2"/>
    <n v="0.1"/>
    <n v="4638"/>
  </r>
  <r>
    <x v="29"/>
    <x v="3903"/>
    <n v="319"/>
    <n v="107"/>
    <x v="1"/>
    <n v="212"/>
    <x v="0"/>
    <n v="0.22291666666666668"/>
    <n v="3387"/>
  </r>
  <r>
    <x v="29"/>
    <x v="3904"/>
    <n v="299"/>
    <n v="59"/>
    <x v="4"/>
    <n v="240"/>
    <x v="1"/>
    <n v="0.12291666666666666"/>
    <n v="4416"/>
  </r>
  <r>
    <x v="29"/>
    <x v="3905"/>
    <n v="90"/>
    <n v="40"/>
    <x v="4"/>
    <n v="50"/>
    <x v="2"/>
    <n v="8.3333333333333329E-2"/>
    <n v="4808"/>
  </r>
  <r>
    <x v="29"/>
    <x v="3906"/>
    <n v="302"/>
    <n v="73"/>
    <x v="0"/>
    <n v="229"/>
    <x v="1"/>
    <n v="0.15208333333333332"/>
    <n v="4083"/>
  </r>
  <r>
    <x v="29"/>
    <x v="3907"/>
    <n v="195"/>
    <n v="183"/>
    <x v="4"/>
    <n v="12"/>
    <x v="0"/>
    <n v="0.38124999999999998"/>
    <n v="1572"/>
  </r>
  <r>
    <x v="29"/>
    <x v="3908"/>
    <n v="307"/>
    <n v="166"/>
    <x v="2"/>
    <n v="141"/>
    <x v="0"/>
    <n v="0.34583333333333333"/>
    <n v="2007"/>
  </r>
  <r>
    <x v="29"/>
    <x v="3909"/>
    <n v="171"/>
    <n v="140"/>
    <x v="0"/>
    <n v="31"/>
    <x v="0"/>
    <n v="0.29166666666666669"/>
    <n v="2627"/>
  </r>
  <r>
    <x v="29"/>
    <x v="3910"/>
    <n v="274"/>
    <n v="179"/>
    <x v="5"/>
    <n v="95"/>
    <x v="0"/>
    <n v="0.37291666666666667"/>
    <n v="1667"/>
  </r>
  <r>
    <x v="29"/>
    <x v="3911"/>
    <n v="67"/>
    <n v="30"/>
    <x v="5"/>
    <n v="37"/>
    <x v="2"/>
    <n v="6.25E-2"/>
    <n v="5042"/>
  </r>
  <r>
    <x v="29"/>
    <x v="3912"/>
    <n v="124"/>
    <n v="63"/>
    <x v="6"/>
    <n v="61"/>
    <x v="1"/>
    <n v="0.13125000000000001"/>
    <n v="4322"/>
  </r>
  <r>
    <x v="29"/>
    <x v="3913"/>
    <n v="214"/>
    <n v="190"/>
    <x v="5"/>
    <n v="24"/>
    <x v="0"/>
    <n v="0.39583333333333331"/>
    <n v="1355"/>
  </r>
  <r>
    <x v="29"/>
    <x v="3914"/>
    <n v="193"/>
    <n v="187"/>
    <x v="3"/>
    <n v="6"/>
    <x v="0"/>
    <n v="0.38958333333333334"/>
    <n v="1455"/>
  </r>
  <r>
    <x v="29"/>
    <x v="3915"/>
    <n v="203"/>
    <n v="185"/>
    <x v="5"/>
    <n v="18"/>
    <x v="0"/>
    <n v="0.38541666666666669"/>
    <n v="1517"/>
  </r>
  <r>
    <x v="29"/>
    <x v="3916"/>
    <n v="274"/>
    <n v="51"/>
    <x v="3"/>
    <n v="223"/>
    <x v="1"/>
    <n v="0.10625"/>
    <n v="4578"/>
  </r>
  <r>
    <x v="29"/>
    <x v="3917"/>
    <n v="289"/>
    <n v="63"/>
    <x v="4"/>
    <n v="226"/>
    <x v="1"/>
    <n v="0.13125000000000001"/>
    <n v="4322"/>
  </r>
  <r>
    <x v="29"/>
    <x v="3918"/>
    <n v="267"/>
    <n v="112"/>
    <x v="4"/>
    <n v="155"/>
    <x v="0"/>
    <n v="0.23333333333333334"/>
    <n v="3267"/>
  </r>
  <r>
    <x v="29"/>
    <x v="3919"/>
    <n v="293"/>
    <n v="170"/>
    <x v="2"/>
    <n v="123"/>
    <x v="0"/>
    <n v="0.35416666666666669"/>
    <n v="1898"/>
  </r>
  <r>
    <x v="29"/>
    <x v="3920"/>
    <n v="305"/>
    <n v="110"/>
    <x v="5"/>
    <n v="195"/>
    <x v="0"/>
    <n v="0.22916666666666666"/>
    <n v="3302"/>
  </r>
  <r>
    <x v="29"/>
    <x v="3921"/>
    <n v="234"/>
    <n v="81"/>
    <x v="5"/>
    <n v="153"/>
    <x v="1"/>
    <n v="0.16875000000000001"/>
    <n v="3923"/>
  </r>
  <r>
    <x v="29"/>
    <x v="3922"/>
    <n v="232"/>
    <n v="85"/>
    <x v="6"/>
    <n v="147"/>
    <x v="1"/>
    <n v="0.17708333333333334"/>
    <n v="3852"/>
  </r>
  <r>
    <x v="29"/>
    <x v="3923"/>
    <n v="230"/>
    <n v="179"/>
    <x v="4"/>
    <n v="51"/>
    <x v="0"/>
    <n v="0.37291666666666667"/>
    <n v="1667"/>
  </r>
  <r>
    <x v="29"/>
    <x v="3924"/>
    <n v="277"/>
    <n v="163"/>
    <x v="3"/>
    <n v="114"/>
    <x v="0"/>
    <n v="0.33958333333333335"/>
    <n v="2075"/>
  </r>
  <r>
    <x v="29"/>
    <x v="3925"/>
    <n v="228"/>
    <n v="33"/>
    <x v="2"/>
    <n v="195"/>
    <x v="2"/>
    <n v="6.8750000000000006E-2"/>
    <n v="4964"/>
  </r>
  <r>
    <x v="29"/>
    <x v="3926"/>
    <n v="230"/>
    <n v="102"/>
    <x v="2"/>
    <n v="128"/>
    <x v="0"/>
    <n v="0.21249999999999999"/>
    <n v="3493"/>
  </r>
  <r>
    <x v="29"/>
    <x v="3927"/>
    <n v="68"/>
    <n v="36"/>
    <x v="1"/>
    <n v="32"/>
    <x v="2"/>
    <n v="7.4999999999999997E-2"/>
    <n v="4893"/>
  </r>
  <r>
    <x v="29"/>
    <x v="3928"/>
    <n v="200"/>
    <n v="106"/>
    <x v="1"/>
    <n v="94"/>
    <x v="0"/>
    <n v="0.22083333333333333"/>
    <n v="3413"/>
  </r>
  <r>
    <x v="29"/>
    <x v="3929"/>
    <n v="291"/>
    <n v="133"/>
    <x v="1"/>
    <n v="158"/>
    <x v="0"/>
    <n v="0.27708333333333335"/>
    <n v="2758"/>
  </r>
  <r>
    <x v="29"/>
    <x v="3930"/>
    <n v="123"/>
    <n v="33"/>
    <x v="3"/>
    <n v="90"/>
    <x v="2"/>
    <n v="6.8750000000000006E-2"/>
    <n v="4964"/>
  </r>
  <r>
    <x v="29"/>
    <x v="3931"/>
    <n v="283"/>
    <n v="127"/>
    <x v="5"/>
    <n v="156"/>
    <x v="0"/>
    <n v="0.26458333333333334"/>
    <n v="2909"/>
  </r>
  <r>
    <x v="29"/>
    <x v="3932"/>
    <n v="81"/>
    <n v="75"/>
    <x v="5"/>
    <n v="6"/>
    <x v="1"/>
    <n v="0.15625"/>
    <n v="4041"/>
  </r>
  <r>
    <x v="29"/>
    <x v="3933"/>
    <n v="318"/>
    <n v="128"/>
    <x v="5"/>
    <n v="190"/>
    <x v="0"/>
    <n v="0.26666666666666666"/>
    <n v="2872"/>
  </r>
  <r>
    <x v="29"/>
    <x v="3934"/>
    <n v="233"/>
    <n v="60"/>
    <x v="4"/>
    <n v="173"/>
    <x v="1"/>
    <n v="0.125"/>
    <n v="4390"/>
  </r>
  <r>
    <x v="29"/>
    <x v="3935"/>
    <n v="280"/>
    <n v="130"/>
    <x v="6"/>
    <n v="150"/>
    <x v="0"/>
    <n v="0.27083333333333331"/>
    <n v="2832"/>
  </r>
  <r>
    <x v="29"/>
    <x v="3936"/>
    <n v="166"/>
    <n v="137"/>
    <x v="6"/>
    <n v="29"/>
    <x v="0"/>
    <n v="0.28541666666666665"/>
    <n v="2677"/>
  </r>
  <r>
    <x v="29"/>
    <x v="3937"/>
    <n v="103"/>
    <n v="67"/>
    <x v="5"/>
    <n v="36"/>
    <x v="1"/>
    <n v="0.13958333333333334"/>
    <n v="4225"/>
  </r>
  <r>
    <x v="29"/>
    <x v="3938"/>
    <n v="160"/>
    <n v="80"/>
    <x v="1"/>
    <n v="80"/>
    <x v="1"/>
    <n v="0.16666666666666666"/>
    <n v="3948"/>
  </r>
  <r>
    <x v="29"/>
    <x v="3939"/>
    <n v="259"/>
    <n v="144"/>
    <x v="2"/>
    <n v="115"/>
    <x v="0"/>
    <n v="0.3"/>
    <n v="2550"/>
  </r>
  <r>
    <x v="29"/>
    <x v="3940"/>
    <n v="287"/>
    <n v="158"/>
    <x v="6"/>
    <n v="129"/>
    <x v="0"/>
    <n v="0.32916666666666666"/>
    <n v="2207"/>
  </r>
  <r>
    <x v="29"/>
    <x v="3941"/>
    <n v="92"/>
    <n v="70"/>
    <x v="6"/>
    <n v="22"/>
    <x v="1"/>
    <n v="0.14583333333333334"/>
    <n v="4153"/>
  </r>
  <r>
    <x v="29"/>
    <x v="3942"/>
    <n v="228"/>
    <n v="75"/>
    <x v="5"/>
    <n v="153"/>
    <x v="1"/>
    <n v="0.15625"/>
    <n v="4041"/>
  </r>
  <r>
    <x v="29"/>
    <x v="3943"/>
    <n v="268"/>
    <n v="140"/>
    <x v="5"/>
    <n v="128"/>
    <x v="0"/>
    <n v="0.29166666666666669"/>
    <n v="2627"/>
  </r>
  <r>
    <x v="29"/>
    <x v="3944"/>
    <n v="165"/>
    <n v="152"/>
    <x v="0"/>
    <n v="13"/>
    <x v="0"/>
    <n v="0.31666666666666665"/>
    <n v="2349"/>
  </r>
  <r>
    <x v="29"/>
    <x v="3945"/>
    <n v="279"/>
    <n v="47"/>
    <x v="1"/>
    <n v="232"/>
    <x v="2"/>
    <n v="9.7916666666666666E-2"/>
    <n v="4656"/>
  </r>
  <r>
    <x v="29"/>
    <x v="3946"/>
    <n v="86"/>
    <n v="74"/>
    <x v="4"/>
    <n v="12"/>
    <x v="1"/>
    <n v="0.15416666666666667"/>
    <n v="4064"/>
  </r>
  <r>
    <x v="29"/>
    <x v="3947"/>
    <n v="279"/>
    <n v="161"/>
    <x v="5"/>
    <n v="118"/>
    <x v="0"/>
    <n v="0.33541666666666664"/>
    <n v="2129"/>
  </r>
  <r>
    <x v="29"/>
    <x v="3948"/>
    <n v="104"/>
    <n v="56"/>
    <x v="2"/>
    <n v="48"/>
    <x v="1"/>
    <n v="0.11666666666666667"/>
    <n v="4474"/>
  </r>
  <r>
    <x v="29"/>
    <x v="3949"/>
    <n v="247"/>
    <n v="142"/>
    <x v="1"/>
    <n v="105"/>
    <x v="0"/>
    <n v="0.29583333333333334"/>
    <n v="2585"/>
  </r>
  <r>
    <x v="29"/>
    <x v="3950"/>
    <n v="279"/>
    <n v="120"/>
    <x v="3"/>
    <n v="159"/>
    <x v="0"/>
    <n v="0.25"/>
    <n v="3066"/>
  </r>
  <r>
    <x v="29"/>
    <x v="3951"/>
    <n v="319"/>
    <n v="160"/>
    <x v="1"/>
    <n v="159"/>
    <x v="0"/>
    <n v="0.33333333333333331"/>
    <n v="2154"/>
  </r>
  <r>
    <x v="29"/>
    <x v="3952"/>
    <n v="223"/>
    <n v="179"/>
    <x v="4"/>
    <n v="44"/>
    <x v="0"/>
    <n v="0.37291666666666667"/>
    <n v="1667"/>
  </r>
  <r>
    <x v="29"/>
    <x v="3953"/>
    <n v="226"/>
    <n v="146"/>
    <x v="1"/>
    <n v="80"/>
    <x v="0"/>
    <n v="0.30416666666666664"/>
    <n v="2499"/>
  </r>
  <r>
    <x v="29"/>
    <x v="3954"/>
    <n v="208"/>
    <n v="66"/>
    <x v="2"/>
    <n v="142"/>
    <x v="1"/>
    <n v="0.13750000000000001"/>
    <n v="4247"/>
  </r>
  <r>
    <x v="29"/>
    <x v="3955"/>
    <n v="228"/>
    <n v="189"/>
    <x v="4"/>
    <n v="39"/>
    <x v="0"/>
    <n v="0.39374999999999999"/>
    <n v="1395"/>
  </r>
  <r>
    <x v="29"/>
    <x v="3956"/>
    <n v="258"/>
    <n v="175"/>
    <x v="5"/>
    <n v="83"/>
    <x v="0"/>
    <n v="0.36458333333333331"/>
    <n v="1780"/>
  </r>
  <r>
    <x v="29"/>
    <x v="3957"/>
    <n v="92"/>
    <n v="71"/>
    <x v="0"/>
    <n v="21"/>
    <x v="1"/>
    <n v="0.14791666666666667"/>
    <n v="4129"/>
  </r>
  <r>
    <x v="29"/>
    <x v="3958"/>
    <n v="269"/>
    <n v="45"/>
    <x v="4"/>
    <n v="224"/>
    <x v="2"/>
    <n v="9.375E-2"/>
    <n v="4702"/>
  </r>
  <r>
    <x v="29"/>
    <x v="3959"/>
    <n v="295"/>
    <n v="116"/>
    <x v="0"/>
    <n v="179"/>
    <x v="0"/>
    <n v="0.24166666666666667"/>
    <n v="3173"/>
  </r>
  <r>
    <x v="29"/>
    <x v="3960"/>
    <n v="225"/>
    <n v="138"/>
    <x v="4"/>
    <n v="87"/>
    <x v="0"/>
    <n v="0.28749999999999998"/>
    <n v="2660"/>
  </r>
  <r>
    <x v="29"/>
    <x v="3961"/>
    <n v="297"/>
    <n v="70"/>
    <x v="6"/>
    <n v="227"/>
    <x v="1"/>
    <n v="0.14583333333333334"/>
    <n v="4153"/>
  </r>
  <r>
    <x v="29"/>
    <x v="3962"/>
    <n v="148"/>
    <n v="63"/>
    <x v="6"/>
    <n v="85"/>
    <x v="1"/>
    <n v="0.13125000000000001"/>
    <n v="4322"/>
  </r>
  <r>
    <x v="29"/>
    <x v="3963"/>
    <n v="172"/>
    <n v="161"/>
    <x v="2"/>
    <n v="11"/>
    <x v="0"/>
    <n v="0.33541666666666664"/>
    <n v="2129"/>
  </r>
  <r>
    <x v="29"/>
    <x v="3964"/>
    <n v="154"/>
    <n v="73"/>
    <x v="2"/>
    <n v="81"/>
    <x v="1"/>
    <n v="0.15208333333333332"/>
    <n v="4083"/>
  </r>
  <r>
    <x v="29"/>
    <x v="3965"/>
    <n v="277"/>
    <n v="146"/>
    <x v="4"/>
    <n v="131"/>
    <x v="0"/>
    <n v="0.30416666666666664"/>
    <n v="2499"/>
  </r>
  <r>
    <x v="29"/>
    <x v="3966"/>
    <n v="289"/>
    <n v="169"/>
    <x v="6"/>
    <n v="120"/>
    <x v="0"/>
    <n v="0.35208333333333336"/>
    <n v="1925"/>
  </r>
  <r>
    <x v="29"/>
    <x v="3967"/>
    <n v="307"/>
    <n v="188"/>
    <x v="4"/>
    <n v="119"/>
    <x v="0"/>
    <n v="0.39166666666666666"/>
    <n v="1423"/>
  </r>
  <r>
    <x v="29"/>
    <x v="3968"/>
    <n v="184"/>
    <n v="141"/>
    <x v="2"/>
    <n v="43"/>
    <x v="0"/>
    <n v="0.29375000000000001"/>
    <n v="2609"/>
  </r>
  <r>
    <x v="29"/>
    <x v="3969"/>
    <n v="252"/>
    <n v="36"/>
    <x v="0"/>
    <n v="216"/>
    <x v="2"/>
    <n v="7.4999999999999997E-2"/>
    <n v="4893"/>
  </r>
  <r>
    <x v="29"/>
    <x v="3970"/>
    <n v="256"/>
    <n v="92"/>
    <x v="6"/>
    <n v="164"/>
    <x v="1"/>
    <n v="0.19166666666666668"/>
    <n v="3706"/>
  </r>
  <r>
    <x v="29"/>
    <x v="3971"/>
    <n v="261"/>
    <n v="168"/>
    <x v="4"/>
    <n v="93"/>
    <x v="0"/>
    <n v="0.35"/>
    <n v="1954"/>
  </r>
  <r>
    <x v="29"/>
    <x v="3972"/>
    <n v="107"/>
    <n v="92"/>
    <x v="3"/>
    <n v="15"/>
    <x v="1"/>
    <n v="0.19166666666666668"/>
    <n v="3706"/>
  </r>
  <r>
    <x v="29"/>
    <x v="3973"/>
    <n v="280"/>
    <n v="83"/>
    <x v="2"/>
    <n v="197"/>
    <x v="1"/>
    <n v="0.17291666666666666"/>
    <n v="3892"/>
  </r>
  <r>
    <x v="29"/>
    <x v="3974"/>
    <n v="163"/>
    <n v="103"/>
    <x v="2"/>
    <n v="60"/>
    <x v="0"/>
    <n v="0.21458333333333332"/>
    <n v="3474"/>
  </r>
  <r>
    <x v="29"/>
    <x v="3975"/>
    <n v="160"/>
    <n v="83"/>
    <x v="4"/>
    <n v="77"/>
    <x v="1"/>
    <n v="0.17291666666666666"/>
    <n v="3892"/>
  </r>
  <r>
    <x v="29"/>
    <x v="3976"/>
    <n v="307"/>
    <n v="79"/>
    <x v="6"/>
    <n v="228"/>
    <x v="1"/>
    <n v="0.16458333333333333"/>
    <n v="3967"/>
  </r>
  <r>
    <x v="29"/>
    <x v="3977"/>
    <n v="170"/>
    <n v="56"/>
    <x v="2"/>
    <n v="114"/>
    <x v="1"/>
    <n v="0.11666666666666667"/>
    <n v="4474"/>
  </r>
  <r>
    <x v="29"/>
    <x v="3978"/>
    <n v="286"/>
    <n v="113"/>
    <x v="6"/>
    <n v="173"/>
    <x v="0"/>
    <n v="0.23541666666666666"/>
    <n v="3243"/>
  </r>
  <r>
    <x v="29"/>
    <x v="3979"/>
    <n v="194"/>
    <n v="115"/>
    <x v="2"/>
    <n v="79"/>
    <x v="0"/>
    <n v="0.23958333333333334"/>
    <n v="3206"/>
  </r>
  <r>
    <x v="29"/>
    <x v="3980"/>
    <n v="282"/>
    <n v="36"/>
    <x v="6"/>
    <n v="246"/>
    <x v="2"/>
    <n v="7.4999999999999997E-2"/>
    <n v="4893"/>
  </r>
  <r>
    <x v="29"/>
    <x v="3981"/>
    <n v="258"/>
    <n v="89"/>
    <x v="5"/>
    <n v="169"/>
    <x v="1"/>
    <n v="0.18541666666666667"/>
    <n v="3772"/>
  </r>
  <r>
    <x v="29"/>
    <x v="3982"/>
    <n v="288"/>
    <n v="107"/>
    <x v="2"/>
    <n v="181"/>
    <x v="0"/>
    <n v="0.22291666666666668"/>
    <n v="3387"/>
  </r>
  <r>
    <x v="29"/>
    <x v="3983"/>
    <n v="194"/>
    <n v="139"/>
    <x v="3"/>
    <n v="55"/>
    <x v="0"/>
    <n v="0.28958333333333336"/>
    <n v="2647"/>
  </r>
  <r>
    <x v="29"/>
    <x v="3984"/>
    <n v="101"/>
    <n v="57"/>
    <x v="1"/>
    <n v="44"/>
    <x v="1"/>
    <n v="0.11874999999999999"/>
    <n v="4452"/>
  </r>
  <r>
    <x v="29"/>
    <x v="3985"/>
    <n v="133"/>
    <n v="128"/>
    <x v="2"/>
    <n v="5"/>
    <x v="0"/>
    <n v="0.26666666666666666"/>
    <n v="2872"/>
  </r>
  <r>
    <x v="29"/>
    <x v="3986"/>
    <n v="213"/>
    <n v="148"/>
    <x v="5"/>
    <n v="65"/>
    <x v="0"/>
    <n v="0.30833333333333335"/>
    <n v="2446"/>
  </r>
  <r>
    <x v="29"/>
    <x v="3987"/>
    <n v="82"/>
    <n v="56"/>
    <x v="0"/>
    <n v="26"/>
    <x v="1"/>
    <n v="0.11666666666666667"/>
    <n v="4474"/>
  </r>
  <r>
    <x v="29"/>
    <x v="3988"/>
    <n v="168"/>
    <n v="56"/>
    <x v="5"/>
    <n v="112"/>
    <x v="1"/>
    <n v="0.11666666666666667"/>
    <n v="4474"/>
  </r>
  <r>
    <x v="29"/>
    <x v="3989"/>
    <n v="240"/>
    <n v="173"/>
    <x v="6"/>
    <n v="67"/>
    <x v="0"/>
    <n v="0.36041666666666666"/>
    <n v="1826"/>
  </r>
  <r>
    <x v="29"/>
    <x v="3990"/>
    <n v="291"/>
    <n v="84"/>
    <x v="5"/>
    <n v="207"/>
    <x v="1"/>
    <n v="0.17499999999999999"/>
    <n v="3872"/>
  </r>
  <r>
    <x v="29"/>
    <x v="3991"/>
    <n v="215"/>
    <n v="95"/>
    <x v="2"/>
    <n v="120"/>
    <x v="1"/>
    <n v="0.19791666666666666"/>
    <n v="3634"/>
  </r>
  <r>
    <x v="29"/>
    <x v="3992"/>
    <n v="178"/>
    <n v="75"/>
    <x v="1"/>
    <n v="103"/>
    <x v="1"/>
    <n v="0.15625"/>
    <n v="4041"/>
  </r>
  <r>
    <x v="29"/>
    <x v="3993"/>
    <n v="288"/>
    <n v="146"/>
    <x v="2"/>
    <n v="142"/>
    <x v="0"/>
    <n v="0.30416666666666664"/>
    <n v="2499"/>
  </r>
  <r>
    <x v="29"/>
    <x v="3994"/>
    <n v="226"/>
    <n v="143"/>
    <x v="0"/>
    <n v="83"/>
    <x v="0"/>
    <n v="0.29791666666666666"/>
    <n v="2567"/>
  </r>
  <r>
    <x v="29"/>
    <x v="3995"/>
    <n v="201"/>
    <n v="116"/>
    <x v="3"/>
    <n v="85"/>
    <x v="0"/>
    <n v="0.24166666666666667"/>
    <n v="3173"/>
  </r>
  <r>
    <x v="29"/>
    <x v="3996"/>
    <n v="274"/>
    <n v="64"/>
    <x v="3"/>
    <n v="210"/>
    <x v="1"/>
    <n v="0.13333333333333333"/>
    <n v="4293"/>
  </r>
  <r>
    <x v="29"/>
    <x v="3997"/>
    <n v="116"/>
    <n v="101"/>
    <x v="0"/>
    <n v="15"/>
    <x v="0"/>
    <n v="0.21041666666666667"/>
    <n v="3515"/>
  </r>
  <r>
    <x v="29"/>
    <x v="3998"/>
    <n v="208"/>
    <n v="171"/>
    <x v="0"/>
    <n v="37"/>
    <x v="0"/>
    <n v="0.35625000000000001"/>
    <n v="1866"/>
  </r>
  <r>
    <x v="29"/>
    <x v="3999"/>
    <n v="102"/>
    <n v="39"/>
    <x v="0"/>
    <n v="63"/>
    <x v="2"/>
    <n v="8.1250000000000003E-2"/>
    <n v="4829"/>
  </r>
  <r>
    <x v="29"/>
    <x v="4000"/>
    <n v="295"/>
    <n v="69"/>
    <x v="0"/>
    <n v="226"/>
    <x v="1"/>
    <n v="0.14374999999999999"/>
    <n v="4186"/>
  </r>
  <r>
    <x v="29"/>
    <x v="4001"/>
    <n v="108"/>
    <n v="88"/>
    <x v="2"/>
    <n v="20"/>
    <x v="1"/>
    <n v="0.18333333333333332"/>
    <n v="3792"/>
  </r>
  <r>
    <x v="29"/>
    <x v="4002"/>
    <n v="239"/>
    <n v="129"/>
    <x v="5"/>
    <n v="110"/>
    <x v="0"/>
    <n v="0.26874999999999999"/>
    <n v="2852"/>
  </r>
  <r>
    <x v="29"/>
    <x v="4003"/>
    <n v="158"/>
    <n v="80"/>
    <x v="5"/>
    <n v="78"/>
    <x v="1"/>
    <n v="0.16666666666666666"/>
    <n v="3948"/>
  </r>
  <r>
    <x v="30"/>
    <x v="4004"/>
    <n v="107"/>
    <n v="54"/>
    <x v="2"/>
    <n v="53"/>
    <x v="1"/>
    <n v="0.1125"/>
    <n v="4523"/>
  </r>
  <r>
    <x v="30"/>
    <x v="4005"/>
    <n v="291"/>
    <n v="150"/>
    <x v="3"/>
    <n v="141"/>
    <x v="0"/>
    <n v="0.3125"/>
    <n v="2400"/>
  </r>
  <r>
    <x v="30"/>
    <x v="4006"/>
    <n v="151"/>
    <n v="73"/>
    <x v="1"/>
    <n v="78"/>
    <x v="1"/>
    <n v="0.15208333333333332"/>
    <n v="4083"/>
  </r>
  <r>
    <x v="30"/>
    <x v="4007"/>
    <n v="256"/>
    <n v="90"/>
    <x v="2"/>
    <n v="166"/>
    <x v="1"/>
    <n v="0.1875"/>
    <n v="3750"/>
  </r>
  <r>
    <x v="30"/>
    <x v="4008"/>
    <n v="75"/>
    <n v="63"/>
    <x v="0"/>
    <n v="12"/>
    <x v="1"/>
    <n v="0.13125000000000001"/>
    <n v="4322"/>
  </r>
  <r>
    <x v="30"/>
    <x v="4009"/>
    <n v="125"/>
    <n v="119"/>
    <x v="0"/>
    <n v="6"/>
    <x v="0"/>
    <n v="0.24791666666666667"/>
    <n v="3093"/>
  </r>
  <r>
    <x v="30"/>
    <x v="4010"/>
    <n v="205"/>
    <n v="161"/>
    <x v="1"/>
    <n v="44"/>
    <x v="0"/>
    <n v="0.33541666666666664"/>
    <n v="2129"/>
  </r>
  <r>
    <x v="30"/>
    <x v="4011"/>
    <n v="139"/>
    <n v="65"/>
    <x v="5"/>
    <n v="74"/>
    <x v="1"/>
    <n v="0.13541666666666666"/>
    <n v="4267"/>
  </r>
  <r>
    <x v="30"/>
    <x v="4012"/>
    <n v="128"/>
    <n v="116"/>
    <x v="2"/>
    <n v="12"/>
    <x v="0"/>
    <n v="0.24166666666666667"/>
    <n v="3173"/>
  </r>
  <r>
    <x v="30"/>
    <x v="4013"/>
    <n v="136"/>
    <n v="119"/>
    <x v="6"/>
    <n v="17"/>
    <x v="0"/>
    <n v="0.24791666666666667"/>
    <n v="3093"/>
  </r>
  <r>
    <x v="30"/>
    <x v="4014"/>
    <n v="219"/>
    <n v="190"/>
    <x v="3"/>
    <n v="29"/>
    <x v="0"/>
    <n v="0.39583333333333331"/>
    <n v="1355"/>
  </r>
  <r>
    <x v="30"/>
    <x v="4015"/>
    <n v="173"/>
    <n v="51"/>
    <x v="6"/>
    <n v="122"/>
    <x v="1"/>
    <n v="0.10625"/>
    <n v="4578"/>
  </r>
  <r>
    <x v="30"/>
    <x v="4016"/>
    <n v="101"/>
    <n v="85"/>
    <x v="3"/>
    <n v="16"/>
    <x v="1"/>
    <n v="0.17708333333333334"/>
    <n v="3852"/>
  </r>
  <r>
    <x v="30"/>
    <x v="4017"/>
    <n v="306"/>
    <n v="96"/>
    <x v="5"/>
    <n v="210"/>
    <x v="1"/>
    <n v="0.2"/>
    <n v="3616"/>
  </r>
  <r>
    <x v="30"/>
    <x v="4018"/>
    <n v="318"/>
    <n v="30"/>
    <x v="3"/>
    <n v="288"/>
    <x v="2"/>
    <n v="6.25E-2"/>
    <n v="5042"/>
  </r>
  <r>
    <x v="30"/>
    <x v="4019"/>
    <n v="182"/>
    <n v="121"/>
    <x v="1"/>
    <n v="61"/>
    <x v="0"/>
    <n v="0.25208333333333333"/>
    <n v="3037"/>
  </r>
  <r>
    <x v="30"/>
    <x v="4020"/>
    <n v="100"/>
    <n v="33"/>
    <x v="5"/>
    <n v="67"/>
    <x v="2"/>
    <n v="6.8750000000000006E-2"/>
    <n v="4964"/>
  </r>
  <r>
    <x v="30"/>
    <x v="4021"/>
    <n v="139"/>
    <n v="81"/>
    <x v="0"/>
    <n v="58"/>
    <x v="1"/>
    <n v="0.16875000000000001"/>
    <n v="3923"/>
  </r>
  <r>
    <x v="30"/>
    <x v="4022"/>
    <n v="281"/>
    <n v="143"/>
    <x v="0"/>
    <n v="138"/>
    <x v="0"/>
    <n v="0.29791666666666666"/>
    <n v="2567"/>
  </r>
  <r>
    <x v="30"/>
    <x v="4023"/>
    <n v="305"/>
    <n v="101"/>
    <x v="0"/>
    <n v="204"/>
    <x v="0"/>
    <n v="0.21041666666666667"/>
    <n v="3515"/>
  </r>
  <r>
    <x v="30"/>
    <x v="4024"/>
    <n v="268"/>
    <n v="40"/>
    <x v="4"/>
    <n v="228"/>
    <x v="2"/>
    <n v="8.3333333333333329E-2"/>
    <n v="4808"/>
  </r>
  <r>
    <x v="30"/>
    <x v="4025"/>
    <n v="222"/>
    <n v="123"/>
    <x v="4"/>
    <n v="99"/>
    <x v="0"/>
    <n v="0.25624999999999998"/>
    <n v="2983"/>
  </r>
  <r>
    <x v="30"/>
    <x v="4026"/>
    <n v="312"/>
    <n v="135"/>
    <x v="1"/>
    <n v="177"/>
    <x v="0"/>
    <n v="0.28125"/>
    <n v="2714"/>
  </r>
  <r>
    <x v="30"/>
    <x v="4027"/>
    <n v="192"/>
    <n v="185"/>
    <x v="2"/>
    <n v="7"/>
    <x v="0"/>
    <n v="0.38541666666666669"/>
    <n v="1517"/>
  </r>
  <r>
    <x v="30"/>
    <x v="4028"/>
    <n v="264"/>
    <n v="168"/>
    <x v="5"/>
    <n v="96"/>
    <x v="0"/>
    <n v="0.35"/>
    <n v="1954"/>
  </r>
  <r>
    <x v="30"/>
    <x v="4029"/>
    <n v="232"/>
    <n v="116"/>
    <x v="2"/>
    <n v="116"/>
    <x v="0"/>
    <n v="0.24166666666666667"/>
    <n v="3173"/>
  </r>
  <r>
    <x v="30"/>
    <x v="4030"/>
    <n v="294"/>
    <n v="82"/>
    <x v="0"/>
    <n v="212"/>
    <x v="1"/>
    <n v="0.17083333333333334"/>
    <n v="3904"/>
  </r>
  <r>
    <x v="30"/>
    <x v="4031"/>
    <n v="112"/>
    <n v="37"/>
    <x v="5"/>
    <n v="75"/>
    <x v="2"/>
    <n v="7.7083333333333337E-2"/>
    <n v="4863"/>
  </r>
  <r>
    <x v="30"/>
    <x v="4032"/>
    <n v="212"/>
    <n v="64"/>
    <x v="3"/>
    <n v="148"/>
    <x v="1"/>
    <n v="0.13333333333333333"/>
    <n v="4293"/>
  </r>
  <r>
    <x v="30"/>
    <x v="4033"/>
    <n v="181"/>
    <n v="45"/>
    <x v="5"/>
    <n v="136"/>
    <x v="2"/>
    <n v="9.375E-2"/>
    <n v="4702"/>
  </r>
  <r>
    <x v="30"/>
    <x v="4034"/>
    <n v="64"/>
    <n v="62"/>
    <x v="6"/>
    <n v="2"/>
    <x v="1"/>
    <n v="0.12916666666666668"/>
    <n v="4343"/>
  </r>
  <r>
    <x v="30"/>
    <x v="4035"/>
    <n v="175"/>
    <n v="37"/>
    <x v="1"/>
    <n v="138"/>
    <x v="2"/>
    <n v="7.7083333333333337E-2"/>
    <n v="4863"/>
  </r>
  <r>
    <x v="30"/>
    <x v="4036"/>
    <n v="286"/>
    <n v="168"/>
    <x v="4"/>
    <n v="118"/>
    <x v="0"/>
    <n v="0.35"/>
    <n v="1954"/>
  </r>
  <r>
    <x v="30"/>
    <x v="4037"/>
    <n v="178"/>
    <n v="124"/>
    <x v="6"/>
    <n v="54"/>
    <x v="0"/>
    <n v="0.25833333333333336"/>
    <n v="2971"/>
  </r>
  <r>
    <x v="30"/>
    <x v="4038"/>
    <n v="179"/>
    <n v="173"/>
    <x v="2"/>
    <n v="6"/>
    <x v="0"/>
    <n v="0.36041666666666666"/>
    <n v="1826"/>
  </r>
  <r>
    <x v="30"/>
    <x v="4039"/>
    <n v="238"/>
    <n v="101"/>
    <x v="1"/>
    <n v="137"/>
    <x v="0"/>
    <n v="0.21041666666666667"/>
    <n v="3515"/>
  </r>
  <r>
    <x v="30"/>
    <x v="4040"/>
    <n v="187"/>
    <n v="175"/>
    <x v="5"/>
    <n v="12"/>
    <x v="0"/>
    <n v="0.36458333333333331"/>
    <n v="1780"/>
  </r>
  <r>
    <x v="30"/>
    <x v="4041"/>
    <n v="163"/>
    <n v="101"/>
    <x v="6"/>
    <n v="62"/>
    <x v="0"/>
    <n v="0.21041666666666667"/>
    <n v="3515"/>
  </r>
  <r>
    <x v="30"/>
    <x v="4042"/>
    <n v="281"/>
    <n v="189"/>
    <x v="1"/>
    <n v="92"/>
    <x v="0"/>
    <n v="0.39374999999999999"/>
    <n v="1395"/>
  </r>
  <r>
    <x v="30"/>
    <x v="4043"/>
    <n v="217"/>
    <n v="64"/>
    <x v="6"/>
    <n v="153"/>
    <x v="1"/>
    <n v="0.13333333333333333"/>
    <n v="4293"/>
  </r>
  <r>
    <x v="30"/>
    <x v="4044"/>
    <n v="283"/>
    <n v="161"/>
    <x v="6"/>
    <n v="122"/>
    <x v="0"/>
    <n v="0.33541666666666664"/>
    <n v="2129"/>
  </r>
  <r>
    <x v="30"/>
    <x v="4045"/>
    <n v="138"/>
    <n v="113"/>
    <x v="6"/>
    <n v="25"/>
    <x v="0"/>
    <n v="0.23541666666666666"/>
    <n v="3243"/>
  </r>
  <r>
    <x v="30"/>
    <x v="4046"/>
    <n v="197"/>
    <n v="96"/>
    <x v="6"/>
    <n v="101"/>
    <x v="1"/>
    <n v="0.2"/>
    <n v="3616"/>
  </r>
  <r>
    <x v="30"/>
    <x v="4047"/>
    <n v="319"/>
    <n v="135"/>
    <x v="0"/>
    <n v="184"/>
    <x v="0"/>
    <n v="0.28125"/>
    <n v="2714"/>
  </r>
  <r>
    <x v="30"/>
    <x v="4048"/>
    <n v="184"/>
    <n v="150"/>
    <x v="1"/>
    <n v="34"/>
    <x v="0"/>
    <n v="0.3125"/>
    <n v="2400"/>
  </r>
  <r>
    <x v="30"/>
    <x v="4049"/>
    <n v="160"/>
    <n v="56"/>
    <x v="0"/>
    <n v="104"/>
    <x v="1"/>
    <n v="0.11666666666666667"/>
    <n v="4474"/>
  </r>
  <r>
    <x v="30"/>
    <x v="4050"/>
    <n v="298"/>
    <n v="82"/>
    <x v="4"/>
    <n v="216"/>
    <x v="1"/>
    <n v="0.17083333333333334"/>
    <n v="3904"/>
  </r>
  <r>
    <x v="30"/>
    <x v="4051"/>
    <n v="222"/>
    <n v="31"/>
    <x v="1"/>
    <n v="191"/>
    <x v="2"/>
    <n v="6.458333333333334E-2"/>
    <n v="5016"/>
  </r>
  <r>
    <x v="30"/>
    <x v="4052"/>
    <n v="244"/>
    <n v="148"/>
    <x v="1"/>
    <n v="96"/>
    <x v="0"/>
    <n v="0.30833333333333335"/>
    <n v="2446"/>
  </r>
  <r>
    <x v="30"/>
    <x v="4053"/>
    <n v="250"/>
    <n v="49"/>
    <x v="6"/>
    <n v="201"/>
    <x v="2"/>
    <n v="0.10208333333333333"/>
    <n v="4614"/>
  </r>
  <r>
    <x v="30"/>
    <x v="4054"/>
    <n v="280"/>
    <n v="108"/>
    <x v="1"/>
    <n v="172"/>
    <x v="0"/>
    <n v="0.22500000000000001"/>
    <n v="3362"/>
  </r>
  <r>
    <x v="30"/>
    <x v="4055"/>
    <n v="299"/>
    <n v="144"/>
    <x v="4"/>
    <n v="155"/>
    <x v="0"/>
    <n v="0.3"/>
    <n v="2550"/>
  </r>
  <r>
    <x v="30"/>
    <x v="4056"/>
    <n v="152"/>
    <n v="103"/>
    <x v="1"/>
    <n v="49"/>
    <x v="0"/>
    <n v="0.21458333333333332"/>
    <n v="3474"/>
  </r>
  <r>
    <x v="30"/>
    <x v="4057"/>
    <n v="263"/>
    <n v="178"/>
    <x v="4"/>
    <n v="85"/>
    <x v="0"/>
    <n v="0.37083333333333335"/>
    <n v="1702"/>
  </r>
  <r>
    <x v="30"/>
    <x v="4058"/>
    <n v="232"/>
    <n v="63"/>
    <x v="2"/>
    <n v="169"/>
    <x v="1"/>
    <n v="0.13125000000000001"/>
    <n v="4322"/>
  </r>
  <r>
    <x v="30"/>
    <x v="4059"/>
    <n v="189"/>
    <n v="128"/>
    <x v="0"/>
    <n v="61"/>
    <x v="0"/>
    <n v="0.26666666666666666"/>
    <n v="2872"/>
  </r>
  <r>
    <x v="30"/>
    <x v="4060"/>
    <n v="299"/>
    <n v="117"/>
    <x v="1"/>
    <n v="182"/>
    <x v="0"/>
    <n v="0.24374999999999999"/>
    <n v="3144"/>
  </r>
  <r>
    <x v="30"/>
    <x v="4061"/>
    <n v="200"/>
    <n v="136"/>
    <x v="0"/>
    <n v="64"/>
    <x v="0"/>
    <n v="0.28333333333333333"/>
    <n v="2692"/>
  </r>
  <r>
    <x v="30"/>
    <x v="4062"/>
    <n v="208"/>
    <n v="137"/>
    <x v="2"/>
    <n v="71"/>
    <x v="0"/>
    <n v="0.28541666666666665"/>
    <n v="2677"/>
  </r>
  <r>
    <x v="30"/>
    <x v="4063"/>
    <n v="186"/>
    <n v="181"/>
    <x v="6"/>
    <n v="5"/>
    <x v="0"/>
    <n v="0.37708333333333333"/>
    <n v="1609"/>
  </r>
  <r>
    <x v="30"/>
    <x v="4064"/>
    <n v="308"/>
    <n v="109"/>
    <x v="2"/>
    <n v="199"/>
    <x v="0"/>
    <n v="0.22708333333333333"/>
    <n v="3338"/>
  </r>
  <r>
    <x v="30"/>
    <x v="4065"/>
    <n v="271"/>
    <n v="127"/>
    <x v="4"/>
    <n v="144"/>
    <x v="0"/>
    <n v="0.26458333333333334"/>
    <n v="2909"/>
  </r>
  <r>
    <x v="30"/>
    <x v="4066"/>
    <n v="230"/>
    <n v="78"/>
    <x v="5"/>
    <n v="152"/>
    <x v="1"/>
    <n v="0.16250000000000001"/>
    <n v="3989"/>
  </r>
  <r>
    <x v="30"/>
    <x v="4067"/>
    <n v="92"/>
    <n v="31"/>
    <x v="0"/>
    <n v="61"/>
    <x v="2"/>
    <n v="6.458333333333334E-2"/>
    <n v="5016"/>
  </r>
  <r>
    <x v="30"/>
    <x v="4068"/>
    <n v="318"/>
    <n v="139"/>
    <x v="1"/>
    <n v="179"/>
    <x v="0"/>
    <n v="0.28958333333333336"/>
    <n v="2647"/>
  </r>
  <r>
    <x v="30"/>
    <x v="4069"/>
    <n v="268"/>
    <n v="80"/>
    <x v="0"/>
    <n v="188"/>
    <x v="1"/>
    <n v="0.16666666666666666"/>
    <n v="3948"/>
  </r>
  <r>
    <x v="30"/>
    <x v="4070"/>
    <n v="290"/>
    <n v="186"/>
    <x v="5"/>
    <n v="104"/>
    <x v="0"/>
    <n v="0.38750000000000001"/>
    <n v="1478"/>
  </r>
  <r>
    <x v="30"/>
    <x v="4071"/>
    <n v="224"/>
    <n v="94"/>
    <x v="2"/>
    <n v="130"/>
    <x v="1"/>
    <n v="0.19583333333333333"/>
    <n v="3654"/>
  </r>
  <r>
    <x v="30"/>
    <x v="4072"/>
    <n v="232"/>
    <n v="107"/>
    <x v="0"/>
    <n v="125"/>
    <x v="0"/>
    <n v="0.22291666666666668"/>
    <n v="3387"/>
  </r>
  <r>
    <x v="30"/>
    <x v="4073"/>
    <n v="205"/>
    <n v="88"/>
    <x v="2"/>
    <n v="117"/>
    <x v="1"/>
    <n v="0.18333333333333332"/>
    <n v="3792"/>
  </r>
  <r>
    <x v="30"/>
    <x v="4074"/>
    <n v="163"/>
    <n v="160"/>
    <x v="1"/>
    <n v="3"/>
    <x v="0"/>
    <n v="0.33333333333333331"/>
    <n v="2154"/>
  </r>
  <r>
    <x v="30"/>
    <x v="4075"/>
    <n v="149"/>
    <n v="88"/>
    <x v="1"/>
    <n v="61"/>
    <x v="1"/>
    <n v="0.18333333333333332"/>
    <n v="3792"/>
  </r>
  <r>
    <x v="30"/>
    <x v="4076"/>
    <n v="197"/>
    <n v="130"/>
    <x v="6"/>
    <n v="67"/>
    <x v="0"/>
    <n v="0.27083333333333331"/>
    <n v="2832"/>
  </r>
  <r>
    <x v="30"/>
    <x v="4077"/>
    <n v="205"/>
    <n v="55"/>
    <x v="2"/>
    <n v="150"/>
    <x v="1"/>
    <n v="0.11458333333333333"/>
    <n v="4497"/>
  </r>
  <r>
    <x v="30"/>
    <x v="4078"/>
    <n v="206"/>
    <n v="113"/>
    <x v="2"/>
    <n v="93"/>
    <x v="0"/>
    <n v="0.23541666666666666"/>
    <n v="3243"/>
  </r>
  <r>
    <x v="30"/>
    <x v="4079"/>
    <n v="163"/>
    <n v="124"/>
    <x v="4"/>
    <n v="39"/>
    <x v="0"/>
    <n v="0.25833333333333336"/>
    <n v="2971"/>
  </r>
  <r>
    <x v="30"/>
    <x v="4080"/>
    <n v="143"/>
    <n v="132"/>
    <x v="3"/>
    <n v="11"/>
    <x v="0"/>
    <n v="0.27500000000000002"/>
    <n v="2792"/>
  </r>
  <r>
    <x v="30"/>
    <x v="4081"/>
    <n v="240"/>
    <n v="99"/>
    <x v="5"/>
    <n v="141"/>
    <x v="1"/>
    <n v="0.20624999999999999"/>
    <n v="3553"/>
  </r>
  <r>
    <x v="30"/>
    <x v="4082"/>
    <n v="235"/>
    <n v="121"/>
    <x v="1"/>
    <n v="114"/>
    <x v="0"/>
    <n v="0.25208333333333333"/>
    <n v="3037"/>
  </r>
  <r>
    <x v="30"/>
    <x v="4083"/>
    <n v="121"/>
    <n v="92"/>
    <x v="5"/>
    <n v="29"/>
    <x v="1"/>
    <n v="0.19166666666666668"/>
    <n v="3706"/>
  </r>
  <r>
    <x v="30"/>
    <x v="4084"/>
    <n v="277"/>
    <n v="77"/>
    <x v="3"/>
    <n v="200"/>
    <x v="1"/>
    <n v="0.16041666666666668"/>
    <n v="4006"/>
  </r>
  <r>
    <x v="30"/>
    <x v="4085"/>
    <n v="287"/>
    <n v="186"/>
    <x v="6"/>
    <n v="101"/>
    <x v="0"/>
    <n v="0.38750000000000001"/>
    <n v="1478"/>
  </r>
  <r>
    <x v="30"/>
    <x v="4086"/>
    <n v="244"/>
    <n v="167"/>
    <x v="4"/>
    <n v="77"/>
    <x v="0"/>
    <n v="0.34791666666666665"/>
    <n v="1979"/>
  </r>
  <r>
    <x v="30"/>
    <x v="4087"/>
    <n v="272"/>
    <n v="37"/>
    <x v="3"/>
    <n v="235"/>
    <x v="2"/>
    <n v="7.7083333333333337E-2"/>
    <n v="4863"/>
  </r>
  <r>
    <x v="30"/>
    <x v="4088"/>
    <n v="195"/>
    <n v="178"/>
    <x v="4"/>
    <n v="17"/>
    <x v="0"/>
    <n v="0.37083333333333335"/>
    <n v="1702"/>
  </r>
  <r>
    <x v="30"/>
    <x v="4089"/>
    <n v="257"/>
    <n v="126"/>
    <x v="6"/>
    <n v="131"/>
    <x v="0"/>
    <n v="0.26250000000000001"/>
    <n v="2934"/>
  </r>
  <r>
    <x v="30"/>
    <x v="4090"/>
    <n v="314"/>
    <n v="42"/>
    <x v="3"/>
    <n v="272"/>
    <x v="2"/>
    <n v="8.7499999999999994E-2"/>
    <n v="4776"/>
  </r>
  <r>
    <x v="30"/>
    <x v="4091"/>
    <n v="312"/>
    <n v="89"/>
    <x v="1"/>
    <n v="223"/>
    <x v="1"/>
    <n v="0.18541666666666667"/>
    <n v="3772"/>
  </r>
  <r>
    <x v="30"/>
    <x v="4092"/>
    <n v="123"/>
    <n v="117"/>
    <x v="4"/>
    <n v="6"/>
    <x v="0"/>
    <n v="0.24374999999999999"/>
    <n v="3144"/>
  </r>
  <r>
    <x v="30"/>
    <x v="4093"/>
    <n v="154"/>
    <n v="85"/>
    <x v="5"/>
    <n v="69"/>
    <x v="1"/>
    <n v="0.17708333333333334"/>
    <n v="3852"/>
  </r>
  <r>
    <x v="30"/>
    <x v="4094"/>
    <n v="274"/>
    <n v="42"/>
    <x v="4"/>
    <n v="232"/>
    <x v="2"/>
    <n v="8.7499999999999994E-2"/>
    <n v="4776"/>
  </r>
  <r>
    <x v="30"/>
    <x v="4095"/>
    <n v="255"/>
    <n v="55"/>
    <x v="0"/>
    <n v="200"/>
    <x v="1"/>
    <n v="0.11458333333333333"/>
    <n v="4497"/>
  </r>
  <r>
    <x v="30"/>
    <x v="4096"/>
    <n v="217"/>
    <n v="174"/>
    <x v="2"/>
    <n v="43"/>
    <x v="0"/>
    <n v="0.36249999999999999"/>
    <n v="1803"/>
  </r>
  <r>
    <x v="30"/>
    <x v="4097"/>
    <n v="208"/>
    <n v="73"/>
    <x v="5"/>
    <n v="135"/>
    <x v="1"/>
    <n v="0.15208333333333332"/>
    <n v="4083"/>
  </r>
  <r>
    <x v="30"/>
    <x v="4098"/>
    <n v="94"/>
    <n v="38"/>
    <x v="4"/>
    <n v="56"/>
    <x v="2"/>
    <n v="7.9166666666666663E-2"/>
    <n v="4845"/>
  </r>
  <r>
    <x v="30"/>
    <x v="4099"/>
    <n v="224"/>
    <n v="110"/>
    <x v="3"/>
    <n v="114"/>
    <x v="0"/>
    <n v="0.22916666666666666"/>
    <n v="3302"/>
  </r>
  <r>
    <x v="30"/>
    <x v="4100"/>
    <n v="123"/>
    <n v="123"/>
    <x v="1"/>
    <n v="0"/>
    <x v="0"/>
    <n v="0.25624999999999998"/>
    <n v="2983"/>
  </r>
  <r>
    <x v="30"/>
    <x v="4101"/>
    <n v="123"/>
    <n v="72"/>
    <x v="6"/>
    <n v="51"/>
    <x v="1"/>
    <n v="0.15"/>
    <n v="4100"/>
  </r>
  <r>
    <x v="30"/>
    <x v="4102"/>
    <n v="198"/>
    <n v="168"/>
    <x v="5"/>
    <n v="30"/>
    <x v="0"/>
    <n v="0.35"/>
    <n v="1954"/>
  </r>
  <r>
    <x v="30"/>
    <x v="4103"/>
    <n v="272"/>
    <n v="85"/>
    <x v="6"/>
    <n v="187"/>
    <x v="1"/>
    <n v="0.17708333333333334"/>
    <n v="3852"/>
  </r>
  <r>
    <x v="30"/>
    <x v="4104"/>
    <n v="136"/>
    <n v="131"/>
    <x v="4"/>
    <n v="5"/>
    <x v="0"/>
    <n v="0.27291666666666664"/>
    <n v="2815"/>
  </r>
  <r>
    <x v="30"/>
    <x v="4105"/>
    <n v="142"/>
    <n v="86"/>
    <x v="5"/>
    <n v="56"/>
    <x v="1"/>
    <n v="0.17916666666666667"/>
    <n v="3830"/>
  </r>
  <r>
    <x v="30"/>
    <x v="4106"/>
    <n v="205"/>
    <n v="177"/>
    <x v="0"/>
    <n v="28"/>
    <x v="0"/>
    <n v="0.36875000000000002"/>
    <n v="1733"/>
  </r>
  <r>
    <x v="30"/>
    <x v="4107"/>
    <n v="224"/>
    <n v="179"/>
    <x v="6"/>
    <n v="45"/>
    <x v="0"/>
    <n v="0.37291666666666667"/>
    <n v="1667"/>
  </r>
  <r>
    <x v="30"/>
    <x v="4108"/>
    <n v="50"/>
    <n v="32"/>
    <x v="6"/>
    <n v="18"/>
    <x v="2"/>
    <n v="6.6666666666666666E-2"/>
    <n v="4983"/>
  </r>
  <r>
    <x v="30"/>
    <x v="4109"/>
    <n v="196"/>
    <n v="119"/>
    <x v="6"/>
    <n v="77"/>
    <x v="0"/>
    <n v="0.24791666666666667"/>
    <n v="3093"/>
  </r>
  <r>
    <x v="30"/>
    <x v="4110"/>
    <n v="146"/>
    <n v="59"/>
    <x v="2"/>
    <n v="87"/>
    <x v="1"/>
    <n v="0.12291666666666666"/>
    <n v="4416"/>
  </r>
  <r>
    <x v="30"/>
    <x v="4111"/>
    <n v="274"/>
    <n v="61"/>
    <x v="2"/>
    <n v="213"/>
    <x v="1"/>
    <n v="0.12708333333333333"/>
    <n v="4368"/>
  </r>
  <r>
    <x v="30"/>
    <x v="4112"/>
    <n v="169"/>
    <n v="136"/>
    <x v="3"/>
    <n v="33"/>
    <x v="0"/>
    <n v="0.28333333333333333"/>
    <n v="2692"/>
  </r>
  <r>
    <x v="30"/>
    <x v="4113"/>
    <n v="285"/>
    <n v="106"/>
    <x v="4"/>
    <n v="179"/>
    <x v="0"/>
    <n v="0.22083333333333333"/>
    <n v="3413"/>
  </r>
  <r>
    <x v="30"/>
    <x v="4114"/>
    <n v="175"/>
    <n v="76"/>
    <x v="1"/>
    <n v="99"/>
    <x v="1"/>
    <n v="0.15833333333333333"/>
    <n v="4023"/>
  </r>
  <r>
    <x v="30"/>
    <x v="4115"/>
    <n v="214"/>
    <n v="147"/>
    <x v="4"/>
    <n v="67"/>
    <x v="0"/>
    <n v="0.30625000000000002"/>
    <n v="2478"/>
  </r>
  <r>
    <x v="30"/>
    <x v="4116"/>
    <n v="138"/>
    <n v="107"/>
    <x v="0"/>
    <n v="31"/>
    <x v="0"/>
    <n v="0.22291666666666668"/>
    <n v="3387"/>
  </r>
  <r>
    <x v="30"/>
    <x v="4117"/>
    <n v="303"/>
    <n v="70"/>
    <x v="6"/>
    <n v="233"/>
    <x v="1"/>
    <n v="0.14583333333333334"/>
    <n v="4153"/>
  </r>
  <r>
    <x v="30"/>
    <x v="4118"/>
    <n v="319"/>
    <n v="164"/>
    <x v="6"/>
    <n v="155"/>
    <x v="0"/>
    <n v="0.34166666666666667"/>
    <n v="2049"/>
  </r>
  <r>
    <x v="30"/>
    <x v="4119"/>
    <n v="243"/>
    <n v="178"/>
    <x v="0"/>
    <n v="65"/>
    <x v="0"/>
    <n v="0.37083333333333335"/>
    <n v="1702"/>
  </r>
  <r>
    <x v="30"/>
    <x v="4120"/>
    <n v="143"/>
    <n v="86"/>
    <x v="5"/>
    <n v="57"/>
    <x v="1"/>
    <n v="0.17916666666666667"/>
    <n v="3830"/>
  </r>
  <r>
    <x v="30"/>
    <x v="4121"/>
    <n v="241"/>
    <n v="120"/>
    <x v="2"/>
    <n v="121"/>
    <x v="0"/>
    <n v="0.25"/>
    <n v="3066"/>
  </r>
  <r>
    <x v="30"/>
    <x v="4122"/>
    <n v="202"/>
    <n v="153"/>
    <x v="5"/>
    <n v="49"/>
    <x v="0"/>
    <n v="0.31874999999999998"/>
    <n v="2329"/>
  </r>
  <r>
    <x v="30"/>
    <x v="4123"/>
    <n v="177"/>
    <n v="168"/>
    <x v="2"/>
    <n v="9"/>
    <x v="0"/>
    <n v="0.35"/>
    <n v="1954"/>
  </r>
  <r>
    <x v="30"/>
    <x v="4124"/>
    <n v="202"/>
    <n v="176"/>
    <x v="3"/>
    <n v="26"/>
    <x v="0"/>
    <n v="0.36666666666666664"/>
    <n v="1754"/>
  </r>
  <r>
    <x v="30"/>
    <x v="4125"/>
    <n v="313"/>
    <n v="56"/>
    <x v="5"/>
    <n v="257"/>
    <x v="1"/>
    <n v="0.11666666666666667"/>
    <n v="4474"/>
  </r>
  <r>
    <x v="30"/>
    <x v="4126"/>
    <n v="226"/>
    <n v="109"/>
    <x v="5"/>
    <n v="117"/>
    <x v="0"/>
    <n v="0.22708333333333333"/>
    <n v="3338"/>
  </r>
  <r>
    <x v="30"/>
    <x v="4127"/>
    <n v="194"/>
    <n v="147"/>
    <x v="4"/>
    <n v="47"/>
    <x v="0"/>
    <n v="0.30625000000000002"/>
    <n v="2478"/>
  </r>
  <r>
    <x v="30"/>
    <x v="4128"/>
    <n v="223"/>
    <n v="78"/>
    <x v="1"/>
    <n v="145"/>
    <x v="1"/>
    <n v="0.16250000000000001"/>
    <n v="3989"/>
  </r>
  <r>
    <x v="30"/>
    <x v="4129"/>
    <n v="290"/>
    <n v="174"/>
    <x v="0"/>
    <n v="116"/>
    <x v="0"/>
    <n v="0.36249999999999999"/>
    <n v="1803"/>
  </r>
  <r>
    <x v="30"/>
    <x v="4130"/>
    <n v="257"/>
    <n v="171"/>
    <x v="0"/>
    <n v="86"/>
    <x v="0"/>
    <n v="0.35625000000000001"/>
    <n v="1866"/>
  </r>
  <r>
    <x v="30"/>
    <x v="4131"/>
    <n v="185"/>
    <n v="135"/>
    <x v="1"/>
    <n v="50"/>
    <x v="0"/>
    <n v="0.28125"/>
    <n v="2714"/>
  </r>
  <r>
    <x v="30"/>
    <x v="4132"/>
    <n v="220"/>
    <n v="184"/>
    <x v="2"/>
    <n v="36"/>
    <x v="0"/>
    <n v="0.38333333333333336"/>
    <n v="1544"/>
  </r>
  <r>
    <x v="30"/>
    <x v="4133"/>
    <n v="113"/>
    <n v="35"/>
    <x v="3"/>
    <n v="78"/>
    <x v="2"/>
    <n v="7.2916666666666671E-2"/>
    <n v="4916"/>
  </r>
  <r>
    <x v="30"/>
    <x v="4134"/>
    <n v="211"/>
    <n v="91"/>
    <x v="2"/>
    <n v="120"/>
    <x v="1"/>
    <n v="0.18958333333333333"/>
    <n v="3726"/>
  </r>
  <r>
    <x v="30"/>
    <x v="4135"/>
    <n v="234"/>
    <n v="64"/>
    <x v="3"/>
    <n v="170"/>
    <x v="1"/>
    <n v="0.13333333333333333"/>
    <n v="4293"/>
  </r>
  <r>
    <x v="30"/>
    <x v="4136"/>
    <n v="233"/>
    <n v="67"/>
    <x v="0"/>
    <n v="166"/>
    <x v="1"/>
    <n v="0.13958333333333334"/>
    <n v="4225"/>
  </r>
  <r>
    <x v="30"/>
    <x v="4137"/>
    <n v="171"/>
    <n v="54"/>
    <x v="2"/>
    <n v="117"/>
    <x v="1"/>
    <n v="0.1125"/>
    <n v="4523"/>
  </r>
  <r>
    <x v="30"/>
    <x v="4138"/>
    <n v="64"/>
    <n v="46"/>
    <x v="6"/>
    <n v="18"/>
    <x v="2"/>
    <n v="9.583333333333334E-2"/>
    <n v="4680"/>
  </r>
  <r>
    <x v="30"/>
    <x v="4139"/>
    <n v="204"/>
    <n v="185"/>
    <x v="4"/>
    <n v="19"/>
    <x v="0"/>
    <n v="0.38541666666666669"/>
    <n v="1517"/>
  </r>
  <r>
    <x v="30"/>
    <x v="4140"/>
    <n v="234"/>
    <n v="81"/>
    <x v="5"/>
    <n v="153"/>
    <x v="1"/>
    <n v="0.16875000000000001"/>
    <n v="3923"/>
  </r>
  <r>
    <x v="30"/>
    <x v="4141"/>
    <n v="212"/>
    <n v="163"/>
    <x v="2"/>
    <n v="49"/>
    <x v="0"/>
    <n v="0.33958333333333335"/>
    <n v="2075"/>
  </r>
  <r>
    <x v="30"/>
    <x v="4142"/>
    <n v="219"/>
    <n v="70"/>
    <x v="0"/>
    <n v="149"/>
    <x v="1"/>
    <n v="0.14583333333333334"/>
    <n v="4153"/>
  </r>
  <r>
    <x v="30"/>
    <x v="4143"/>
    <n v="235"/>
    <n v="93"/>
    <x v="5"/>
    <n v="142"/>
    <x v="1"/>
    <n v="0.19375000000000001"/>
    <n v="3678"/>
  </r>
  <r>
    <x v="30"/>
    <x v="4144"/>
    <n v="287"/>
    <n v="148"/>
    <x v="3"/>
    <n v="139"/>
    <x v="0"/>
    <n v="0.30833333333333335"/>
    <n v="2446"/>
  </r>
  <r>
    <x v="30"/>
    <x v="4145"/>
    <n v="122"/>
    <n v="41"/>
    <x v="5"/>
    <n v="81"/>
    <x v="2"/>
    <n v="8.5416666666666669E-2"/>
    <n v="4789"/>
  </r>
  <r>
    <x v="30"/>
    <x v="4146"/>
    <n v="106"/>
    <n v="64"/>
    <x v="2"/>
    <n v="42"/>
    <x v="1"/>
    <n v="0.13333333333333333"/>
    <n v="4293"/>
  </r>
  <r>
    <x v="30"/>
    <x v="4147"/>
    <n v="300"/>
    <n v="123"/>
    <x v="3"/>
    <n v="177"/>
    <x v="0"/>
    <n v="0.25624999999999998"/>
    <n v="2983"/>
  </r>
  <r>
    <x v="30"/>
    <x v="4148"/>
    <n v="244"/>
    <n v="71"/>
    <x v="3"/>
    <n v="173"/>
    <x v="1"/>
    <n v="0.14791666666666667"/>
    <n v="4129"/>
  </r>
  <r>
    <x v="30"/>
    <x v="4149"/>
    <n v="187"/>
    <n v="45"/>
    <x v="1"/>
    <n v="142"/>
    <x v="2"/>
    <n v="9.375E-2"/>
    <n v="4702"/>
  </r>
  <r>
    <x v="30"/>
    <x v="4150"/>
    <n v="311"/>
    <n v="127"/>
    <x v="0"/>
    <n v="184"/>
    <x v="0"/>
    <n v="0.26458333333333334"/>
    <n v="2909"/>
  </r>
  <r>
    <x v="30"/>
    <x v="4151"/>
    <n v="227"/>
    <n v="141"/>
    <x v="4"/>
    <n v="86"/>
    <x v="0"/>
    <n v="0.29375000000000001"/>
    <n v="2609"/>
  </r>
  <r>
    <x v="30"/>
    <x v="4152"/>
    <n v="223"/>
    <n v="110"/>
    <x v="0"/>
    <n v="113"/>
    <x v="0"/>
    <n v="0.22916666666666666"/>
    <n v="3302"/>
  </r>
  <r>
    <x v="30"/>
    <x v="4153"/>
    <n v="293"/>
    <n v="88"/>
    <x v="5"/>
    <n v="205"/>
    <x v="1"/>
    <n v="0.18333333333333332"/>
    <n v="3792"/>
  </r>
  <r>
    <x v="30"/>
    <x v="4154"/>
    <n v="225"/>
    <n v="109"/>
    <x v="6"/>
    <n v="116"/>
    <x v="0"/>
    <n v="0.22708333333333333"/>
    <n v="3338"/>
  </r>
  <r>
    <x v="30"/>
    <x v="4155"/>
    <n v="127"/>
    <n v="31"/>
    <x v="2"/>
    <n v="96"/>
    <x v="2"/>
    <n v="6.458333333333334E-2"/>
    <n v="5016"/>
  </r>
  <r>
    <x v="30"/>
    <x v="4156"/>
    <n v="289"/>
    <n v="71"/>
    <x v="3"/>
    <n v="218"/>
    <x v="1"/>
    <n v="0.14791666666666667"/>
    <n v="4129"/>
  </r>
  <r>
    <x v="30"/>
    <x v="4157"/>
    <n v="302"/>
    <n v="179"/>
    <x v="5"/>
    <n v="123"/>
    <x v="0"/>
    <n v="0.37291666666666667"/>
    <n v="1667"/>
  </r>
  <r>
    <x v="30"/>
    <x v="4158"/>
    <n v="190"/>
    <n v="116"/>
    <x v="4"/>
    <n v="74"/>
    <x v="0"/>
    <n v="0.24166666666666667"/>
    <n v="3173"/>
  </r>
  <r>
    <x v="30"/>
    <x v="4159"/>
    <n v="263"/>
    <n v="161"/>
    <x v="5"/>
    <n v="102"/>
    <x v="0"/>
    <n v="0.33541666666666664"/>
    <n v="2129"/>
  </r>
  <r>
    <x v="30"/>
    <x v="4160"/>
    <n v="289"/>
    <n v="126"/>
    <x v="0"/>
    <n v="163"/>
    <x v="0"/>
    <n v="0.26250000000000001"/>
    <n v="2934"/>
  </r>
  <r>
    <x v="30"/>
    <x v="4161"/>
    <n v="120"/>
    <n v="97"/>
    <x v="6"/>
    <n v="23"/>
    <x v="1"/>
    <n v="0.20208333333333334"/>
    <n v="3593"/>
  </r>
  <r>
    <x v="30"/>
    <x v="4162"/>
    <n v="93"/>
    <n v="80"/>
    <x v="1"/>
    <n v="13"/>
    <x v="1"/>
    <n v="0.16666666666666666"/>
    <n v="3948"/>
  </r>
  <r>
    <x v="30"/>
    <x v="4163"/>
    <n v="283"/>
    <n v="189"/>
    <x v="6"/>
    <n v="94"/>
    <x v="0"/>
    <n v="0.39374999999999999"/>
    <n v="1395"/>
  </r>
  <r>
    <x v="30"/>
    <x v="4164"/>
    <n v="280"/>
    <n v="97"/>
    <x v="1"/>
    <n v="183"/>
    <x v="1"/>
    <n v="0.20208333333333334"/>
    <n v="3593"/>
  </r>
  <r>
    <x v="30"/>
    <x v="4165"/>
    <n v="218"/>
    <n v="187"/>
    <x v="1"/>
    <n v="31"/>
    <x v="0"/>
    <n v="0.38958333333333334"/>
    <n v="1455"/>
  </r>
  <r>
    <x v="30"/>
    <x v="4166"/>
    <n v="169"/>
    <n v="92"/>
    <x v="4"/>
    <n v="77"/>
    <x v="1"/>
    <n v="0.19166666666666668"/>
    <n v="3706"/>
  </r>
  <r>
    <x v="30"/>
    <x v="4167"/>
    <n v="202"/>
    <n v="86"/>
    <x v="5"/>
    <n v="116"/>
    <x v="1"/>
    <n v="0.17916666666666667"/>
    <n v="3830"/>
  </r>
  <r>
    <x v="30"/>
    <x v="4168"/>
    <n v="269"/>
    <n v="67"/>
    <x v="2"/>
    <n v="202"/>
    <x v="1"/>
    <n v="0.13958333333333334"/>
    <n v="4225"/>
  </r>
  <r>
    <x v="30"/>
    <x v="4169"/>
    <n v="253"/>
    <n v="90"/>
    <x v="3"/>
    <n v="163"/>
    <x v="1"/>
    <n v="0.1875"/>
    <n v="3750"/>
  </r>
  <r>
    <x v="30"/>
    <x v="4170"/>
    <n v="313"/>
    <n v="178"/>
    <x v="0"/>
    <n v="135"/>
    <x v="0"/>
    <n v="0.37083333333333335"/>
    <n v="1702"/>
  </r>
  <r>
    <x v="30"/>
    <x v="4171"/>
    <n v="295"/>
    <n v="169"/>
    <x v="2"/>
    <n v="126"/>
    <x v="0"/>
    <n v="0.35208333333333336"/>
    <n v="1925"/>
  </r>
  <r>
    <x v="30"/>
    <x v="4172"/>
    <n v="260"/>
    <n v="55"/>
    <x v="4"/>
    <n v="205"/>
    <x v="1"/>
    <n v="0.11458333333333333"/>
    <n v="4497"/>
  </r>
  <r>
    <x v="30"/>
    <x v="4173"/>
    <n v="163"/>
    <n v="113"/>
    <x v="6"/>
    <n v="50"/>
    <x v="0"/>
    <n v="0.23541666666666666"/>
    <n v="3243"/>
  </r>
  <r>
    <x v="30"/>
    <x v="4174"/>
    <n v="288"/>
    <n v="115"/>
    <x v="4"/>
    <n v="173"/>
    <x v="0"/>
    <n v="0.23958333333333334"/>
    <n v="3206"/>
  </r>
  <r>
    <x v="30"/>
    <x v="4175"/>
    <n v="250"/>
    <n v="162"/>
    <x v="0"/>
    <n v="88"/>
    <x v="0"/>
    <n v="0.33750000000000002"/>
    <n v="2106"/>
  </r>
  <r>
    <x v="30"/>
    <x v="4176"/>
    <n v="299"/>
    <n v="119"/>
    <x v="6"/>
    <n v="180"/>
    <x v="0"/>
    <n v="0.24791666666666667"/>
    <n v="3093"/>
  </r>
  <r>
    <x v="30"/>
    <x v="4177"/>
    <n v="156"/>
    <n v="125"/>
    <x v="5"/>
    <n v="31"/>
    <x v="0"/>
    <n v="0.26041666666666669"/>
    <n v="2951"/>
  </r>
  <r>
    <x v="30"/>
    <x v="4178"/>
    <n v="99"/>
    <n v="47"/>
    <x v="0"/>
    <n v="52"/>
    <x v="2"/>
    <n v="9.7916666666666666E-2"/>
    <n v="4656"/>
  </r>
  <r>
    <x v="30"/>
    <x v="4179"/>
    <n v="203"/>
    <n v="176"/>
    <x v="6"/>
    <n v="27"/>
    <x v="0"/>
    <n v="0.36666666666666664"/>
    <n v="1754"/>
  </r>
  <r>
    <x v="30"/>
    <x v="4180"/>
    <n v="237"/>
    <n v="72"/>
    <x v="0"/>
    <n v="165"/>
    <x v="1"/>
    <n v="0.15"/>
    <n v="4100"/>
  </r>
  <r>
    <x v="30"/>
    <x v="4181"/>
    <n v="133"/>
    <n v="79"/>
    <x v="0"/>
    <n v="54"/>
    <x v="1"/>
    <n v="0.16458333333333333"/>
    <n v="3967"/>
  </r>
  <r>
    <x v="30"/>
    <x v="4182"/>
    <n v="311"/>
    <n v="62"/>
    <x v="0"/>
    <n v="249"/>
    <x v="1"/>
    <n v="0.12916666666666668"/>
    <n v="4343"/>
  </r>
  <r>
    <x v="30"/>
    <x v="4183"/>
    <n v="209"/>
    <n v="86"/>
    <x v="0"/>
    <n v="123"/>
    <x v="1"/>
    <n v="0.17916666666666667"/>
    <n v="3830"/>
  </r>
  <r>
    <x v="30"/>
    <x v="4184"/>
    <n v="204"/>
    <n v="162"/>
    <x v="4"/>
    <n v="42"/>
    <x v="0"/>
    <n v="0.33750000000000002"/>
    <n v="2106"/>
  </r>
  <r>
    <x v="30"/>
    <x v="4185"/>
    <n v="286"/>
    <n v="173"/>
    <x v="0"/>
    <n v="113"/>
    <x v="0"/>
    <n v="0.36041666666666666"/>
    <n v="1826"/>
  </r>
  <r>
    <x v="30"/>
    <x v="4186"/>
    <n v="311"/>
    <n v="148"/>
    <x v="4"/>
    <n v="163"/>
    <x v="0"/>
    <n v="0.30833333333333335"/>
    <n v="2446"/>
  </r>
  <r>
    <x v="30"/>
    <x v="4187"/>
    <n v="251"/>
    <n v="181"/>
    <x v="3"/>
    <n v="70"/>
    <x v="0"/>
    <n v="0.37708333333333333"/>
    <n v="1609"/>
  </r>
  <r>
    <x v="30"/>
    <x v="4188"/>
    <n v="310"/>
    <n v="169"/>
    <x v="2"/>
    <n v="141"/>
    <x v="0"/>
    <n v="0.35208333333333336"/>
    <n v="1925"/>
  </r>
  <r>
    <x v="30"/>
    <x v="4189"/>
    <n v="177"/>
    <n v="133"/>
    <x v="3"/>
    <n v="44"/>
    <x v="0"/>
    <n v="0.27708333333333335"/>
    <n v="2758"/>
  </r>
  <r>
    <x v="30"/>
    <x v="4190"/>
    <n v="122"/>
    <n v="80"/>
    <x v="2"/>
    <n v="42"/>
    <x v="1"/>
    <n v="0.16666666666666666"/>
    <n v="3948"/>
  </r>
  <r>
    <x v="30"/>
    <x v="4191"/>
    <n v="320"/>
    <n v="56"/>
    <x v="6"/>
    <n v="264"/>
    <x v="1"/>
    <n v="0.11666666666666667"/>
    <n v="4474"/>
  </r>
  <r>
    <x v="30"/>
    <x v="4192"/>
    <n v="204"/>
    <n v="186"/>
    <x v="2"/>
    <n v="18"/>
    <x v="0"/>
    <n v="0.38750000000000001"/>
    <n v="1478"/>
  </r>
  <r>
    <x v="30"/>
    <x v="4193"/>
    <n v="276"/>
    <n v="120"/>
    <x v="0"/>
    <n v="156"/>
    <x v="0"/>
    <n v="0.25"/>
    <n v="3066"/>
  </r>
  <r>
    <x v="30"/>
    <x v="4194"/>
    <n v="226"/>
    <n v="104"/>
    <x v="0"/>
    <n v="122"/>
    <x v="0"/>
    <n v="0.21666666666666667"/>
    <n v="3454"/>
  </r>
  <r>
    <x v="30"/>
    <x v="4195"/>
    <n v="144"/>
    <n v="116"/>
    <x v="6"/>
    <n v="28"/>
    <x v="0"/>
    <n v="0.24166666666666667"/>
    <n v="3173"/>
  </r>
  <r>
    <x v="30"/>
    <x v="4196"/>
    <n v="282"/>
    <n v="179"/>
    <x v="4"/>
    <n v="103"/>
    <x v="0"/>
    <n v="0.37291666666666667"/>
    <n v="1667"/>
  </r>
  <r>
    <x v="30"/>
    <x v="4197"/>
    <n v="245"/>
    <n v="49"/>
    <x v="6"/>
    <n v="196"/>
    <x v="2"/>
    <n v="0.10208333333333333"/>
    <n v="4614"/>
  </r>
  <r>
    <x v="30"/>
    <x v="4198"/>
    <n v="101"/>
    <n v="99"/>
    <x v="1"/>
    <n v="2"/>
    <x v="1"/>
    <n v="0.20624999999999999"/>
    <n v="3553"/>
  </r>
  <r>
    <x v="30"/>
    <x v="4199"/>
    <n v="289"/>
    <n v="154"/>
    <x v="5"/>
    <n v="135"/>
    <x v="0"/>
    <n v="0.32083333333333336"/>
    <n v="2307"/>
  </r>
  <r>
    <x v="30"/>
    <x v="4200"/>
    <n v="168"/>
    <n v="131"/>
    <x v="1"/>
    <n v="37"/>
    <x v="0"/>
    <n v="0.27291666666666664"/>
    <n v="2815"/>
  </r>
  <r>
    <x v="30"/>
    <x v="4201"/>
    <n v="236"/>
    <n v="162"/>
    <x v="6"/>
    <n v="74"/>
    <x v="0"/>
    <n v="0.33750000000000002"/>
    <n v="2106"/>
  </r>
  <r>
    <x v="30"/>
    <x v="4202"/>
    <n v="149"/>
    <n v="119"/>
    <x v="3"/>
    <n v="30"/>
    <x v="0"/>
    <n v="0.24791666666666667"/>
    <n v="3093"/>
  </r>
  <r>
    <x v="30"/>
    <x v="4203"/>
    <n v="253"/>
    <n v="67"/>
    <x v="5"/>
    <n v="186"/>
    <x v="1"/>
    <n v="0.13958333333333334"/>
    <n v="4225"/>
  </r>
  <r>
    <x v="30"/>
    <x v="4204"/>
    <n v="223"/>
    <n v="95"/>
    <x v="6"/>
    <n v="128"/>
    <x v="1"/>
    <n v="0.19791666666666666"/>
    <n v="3634"/>
  </r>
  <r>
    <x v="30"/>
    <x v="4205"/>
    <n v="106"/>
    <n v="84"/>
    <x v="1"/>
    <n v="22"/>
    <x v="1"/>
    <n v="0.17499999999999999"/>
    <n v="3872"/>
  </r>
  <r>
    <x v="30"/>
    <x v="4206"/>
    <n v="147"/>
    <n v="103"/>
    <x v="5"/>
    <n v="44"/>
    <x v="0"/>
    <n v="0.21458333333333332"/>
    <n v="3474"/>
  </r>
  <r>
    <x v="30"/>
    <x v="4207"/>
    <n v="56"/>
    <n v="52"/>
    <x v="6"/>
    <n v="4"/>
    <x v="1"/>
    <n v="0.10833333333333334"/>
    <n v="4564"/>
  </r>
  <r>
    <x v="30"/>
    <x v="4208"/>
    <n v="211"/>
    <n v="145"/>
    <x v="4"/>
    <n v="66"/>
    <x v="0"/>
    <n v="0.30208333333333331"/>
    <n v="2526"/>
  </r>
  <r>
    <x v="30"/>
    <x v="4209"/>
    <n v="242"/>
    <n v="142"/>
    <x v="0"/>
    <n v="100"/>
    <x v="0"/>
    <n v="0.29583333333333334"/>
    <n v="2585"/>
  </r>
  <r>
    <x v="30"/>
    <x v="4210"/>
    <n v="253"/>
    <n v="34"/>
    <x v="6"/>
    <n v="219"/>
    <x v="2"/>
    <n v="7.0833333333333331E-2"/>
    <n v="4944"/>
  </r>
  <r>
    <x v="30"/>
    <x v="4211"/>
    <n v="222"/>
    <n v="173"/>
    <x v="1"/>
    <n v="49"/>
    <x v="0"/>
    <n v="0.36041666666666666"/>
    <n v="1826"/>
  </r>
  <r>
    <x v="30"/>
    <x v="4212"/>
    <n v="316"/>
    <n v="90"/>
    <x v="2"/>
    <n v="226"/>
    <x v="1"/>
    <n v="0.1875"/>
    <n v="3750"/>
  </r>
  <r>
    <x v="30"/>
    <x v="4213"/>
    <n v="312"/>
    <n v="163"/>
    <x v="6"/>
    <n v="149"/>
    <x v="0"/>
    <n v="0.33958333333333335"/>
    <n v="2075"/>
  </r>
  <r>
    <x v="30"/>
    <x v="4214"/>
    <n v="200"/>
    <n v="117"/>
    <x v="1"/>
    <n v="83"/>
    <x v="0"/>
    <n v="0.24374999999999999"/>
    <n v="3144"/>
  </r>
  <r>
    <x v="30"/>
    <x v="4215"/>
    <n v="276"/>
    <n v="127"/>
    <x v="5"/>
    <n v="149"/>
    <x v="0"/>
    <n v="0.26458333333333334"/>
    <n v="2909"/>
  </r>
  <r>
    <x v="30"/>
    <x v="4216"/>
    <n v="220"/>
    <n v="123"/>
    <x v="2"/>
    <n v="97"/>
    <x v="0"/>
    <n v="0.25624999999999998"/>
    <n v="2983"/>
  </r>
  <r>
    <x v="30"/>
    <x v="4217"/>
    <n v="219"/>
    <n v="143"/>
    <x v="6"/>
    <n v="76"/>
    <x v="0"/>
    <n v="0.29791666666666666"/>
    <n v="2567"/>
  </r>
  <r>
    <x v="30"/>
    <x v="4218"/>
    <n v="150"/>
    <n v="32"/>
    <x v="5"/>
    <n v="118"/>
    <x v="2"/>
    <n v="6.6666666666666666E-2"/>
    <n v="4983"/>
  </r>
  <r>
    <x v="30"/>
    <x v="4219"/>
    <n v="276"/>
    <n v="110"/>
    <x v="5"/>
    <n v="166"/>
    <x v="0"/>
    <n v="0.22916666666666666"/>
    <n v="3302"/>
  </r>
  <r>
    <x v="30"/>
    <x v="4220"/>
    <n v="129"/>
    <n v="62"/>
    <x v="6"/>
    <n v="67"/>
    <x v="1"/>
    <n v="0.12916666666666668"/>
    <n v="4343"/>
  </r>
  <r>
    <x v="31"/>
    <x v="4221"/>
    <n v="136"/>
    <n v="121"/>
    <x v="3"/>
    <n v="15"/>
    <x v="0"/>
    <n v="0.25208333333333333"/>
    <n v="3037"/>
  </r>
  <r>
    <x v="31"/>
    <x v="4222"/>
    <n v="183"/>
    <n v="110"/>
    <x v="2"/>
    <n v="73"/>
    <x v="0"/>
    <n v="0.22916666666666666"/>
    <n v="3302"/>
  </r>
  <r>
    <x v="31"/>
    <x v="4223"/>
    <n v="208"/>
    <n v="108"/>
    <x v="2"/>
    <n v="100"/>
    <x v="0"/>
    <n v="0.22500000000000001"/>
    <n v="3362"/>
  </r>
  <r>
    <x v="31"/>
    <x v="4224"/>
    <n v="267"/>
    <n v="132"/>
    <x v="1"/>
    <n v="135"/>
    <x v="0"/>
    <n v="0.27500000000000002"/>
    <n v="2792"/>
  </r>
  <r>
    <x v="31"/>
    <x v="4225"/>
    <n v="268"/>
    <n v="186"/>
    <x v="4"/>
    <n v="82"/>
    <x v="0"/>
    <n v="0.38750000000000001"/>
    <n v="1478"/>
  </r>
  <r>
    <x v="31"/>
    <x v="4226"/>
    <n v="289"/>
    <n v="133"/>
    <x v="6"/>
    <n v="156"/>
    <x v="0"/>
    <n v="0.27708333333333335"/>
    <n v="2758"/>
  </r>
  <r>
    <x v="31"/>
    <x v="4227"/>
    <n v="125"/>
    <n v="52"/>
    <x v="2"/>
    <n v="73"/>
    <x v="1"/>
    <n v="0.10833333333333334"/>
    <n v="4564"/>
  </r>
  <r>
    <x v="31"/>
    <x v="4228"/>
    <n v="160"/>
    <n v="130"/>
    <x v="3"/>
    <n v="30"/>
    <x v="0"/>
    <n v="0.27083333333333331"/>
    <n v="2832"/>
  </r>
  <r>
    <x v="31"/>
    <x v="4229"/>
    <n v="224"/>
    <n v="117"/>
    <x v="3"/>
    <n v="107"/>
    <x v="0"/>
    <n v="0.24374999999999999"/>
    <n v="3144"/>
  </r>
  <r>
    <x v="31"/>
    <x v="4230"/>
    <n v="136"/>
    <n v="70"/>
    <x v="5"/>
    <n v="66"/>
    <x v="1"/>
    <n v="0.14583333333333334"/>
    <n v="4153"/>
  </r>
  <r>
    <x v="31"/>
    <x v="4231"/>
    <n v="260"/>
    <n v="49"/>
    <x v="3"/>
    <n v="211"/>
    <x v="2"/>
    <n v="0.10208333333333333"/>
    <n v="4614"/>
  </r>
  <r>
    <x v="31"/>
    <x v="4232"/>
    <n v="213"/>
    <n v="46"/>
    <x v="3"/>
    <n v="167"/>
    <x v="2"/>
    <n v="9.583333333333334E-2"/>
    <n v="4680"/>
  </r>
  <r>
    <x v="31"/>
    <x v="4233"/>
    <n v="84"/>
    <n v="49"/>
    <x v="1"/>
    <n v="35"/>
    <x v="2"/>
    <n v="0.10208333333333333"/>
    <n v="4614"/>
  </r>
  <r>
    <x v="31"/>
    <x v="4234"/>
    <n v="140"/>
    <n v="47"/>
    <x v="1"/>
    <n v="93"/>
    <x v="2"/>
    <n v="9.7916666666666666E-2"/>
    <n v="4656"/>
  </r>
  <r>
    <x v="31"/>
    <x v="4235"/>
    <n v="175"/>
    <n v="70"/>
    <x v="2"/>
    <n v="105"/>
    <x v="1"/>
    <n v="0.14583333333333334"/>
    <n v="4153"/>
  </r>
  <r>
    <x v="31"/>
    <x v="4236"/>
    <n v="185"/>
    <n v="61"/>
    <x v="5"/>
    <n v="124"/>
    <x v="1"/>
    <n v="0.12708333333333333"/>
    <n v="4368"/>
  </r>
  <r>
    <x v="31"/>
    <x v="4237"/>
    <n v="112"/>
    <n v="38"/>
    <x v="1"/>
    <n v="74"/>
    <x v="2"/>
    <n v="7.9166666666666663E-2"/>
    <n v="4845"/>
  </r>
  <r>
    <x v="31"/>
    <x v="4238"/>
    <n v="255"/>
    <n v="79"/>
    <x v="4"/>
    <n v="176"/>
    <x v="1"/>
    <n v="0.16458333333333333"/>
    <n v="3967"/>
  </r>
  <r>
    <x v="31"/>
    <x v="4239"/>
    <n v="313"/>
    <n v="87"/>
    <x v="3"/>
    <n v="226"/>
    <x v="1"/>
    <n v="0.18124999999999999"/>
    <n v="3813"/>
  </r>
  <r>
    <x v="31"/>
    <x v="4240"/>
    <n v="257"/>
    <n v="186"/>
    <x v="3"/>
    <n v="71"/>
    <x v="0"/>
    <n v="0.38750000000000001"/>
    <n v="1478"/>
  </r>
  <r>
    <x v="31"/>
    <x v="4241"/>
    <n v="202"/>
    <n v="168"/>
    <x v="6"/>
    <n v="34"/>
    <x v="0"/>
    <n v="0.35"/>
    <n v="1954"/>
  </r>
  <r>
    <x v="31"/>
    <x v="4242"/>
    <n v="74"/>
    <n v="39"/>
    <x v="1"/>
    <n v="35"/>
    <x v="2"/>
    <n v="8.1250000000000003E-2"/>
    <n v="4829"/>
  </r>
  <r>
    <x v="31"/>
    <x v="4243"/>
    <n v="130"/>
    <n v="102"/>
    <x v="5"/>
    <n v="28"/>
    <x v="0"/>
    <n v="0.21249999999999999"/>
    <n v="3493"/>
  </r>
  <r>
    <x v="31"/>
    <x v="4244"/>
    <n v="230"/>
    <n v="92"/>
    <x v="1"/>
    <n v="138"/>
    <x v="1"/>
    <n v="0.19166666666666668"/>
    <n v="3706"/>
  </r>
  <r>
    <x v="31"/>
    <x v="4245"/>
    <n v="200"/>
    <n v="129"/>
    <x v="5"/>
    <n v="71"/>
    <x v="0"/>
    <n v="0.26874999999999999"/>
    <n v="2852"/>
  </r>
  <r>
    <x v="31"/>
    <x v="4246"/>
    <n v="225"/>
    <n v="123"/>
    <x v="5"/>
    <n v="102"/>
    <x v="0"/>
    <n v="0.25624999999999998"/>
    <n v="2983"/>
  </r>
  <r>
    <x v="31"/>
    <x v="4247"/>
    <n v="163"/>
    <n v="140"/>
    <x v="2"/>
    <n v="23"/>
    <x v="0"/>
    <n v="0.29166666666666669"/>
    <n v="2627"/>
  </r>
  <r>
    <x v="31"/>
    <x v="4248"/>
    <n v="305"/>
    <n v="109"/>
    <x v="2"/>
    <n v="196"/>
    <x v="0"/>
    <n v="0.22708333333333333"/>
    <n v="3338"/>
  </r>
  <r>
    <x v="31"/>
    <x v="4249"/>
    <n v="189"/>
    <n v="72"/>
    <x v="5"/>
    <n v="117"/>
    <x v="1"/>
    <n v="0.15"/>
    <n v="4100"/>
  </r>
  <r>
    <x v="31"/>
    <x v="4250"/>
    <n v="187"/>
    <n v="102"/>
    <x v="3"/>
    <n v="85"/>
    <x v="0"/>
    <n v="0.21249999999999999"/>
    <n v="3493"/>
  </r>
  <r>
    <x v="31"/>
    <x v="4251"/>
    <n v="183"/>
    <n v="155"/>
    <x v="0"/>
    <n v="28"/>
    <x v="0"/>
    <n v="0.32291666666666669"/>
    <n v="2275"/>
  </r>
  <r>
    <x v="31"/>
    <x v="4252"/>
    <n v="198"/>
    <n v="185"/>
    <x v="0"/>
    <n v="13"/>
    <x v="0"/>
    <n v="0.38541666666666669"/>
    <n v="1517"/>
  </r>
  <r>
    <x v="31"/>
    <x v="4253"/>
    <n v="158"/>
    <n v="114"/>
    <x v="4"/>
    <n v="44"/>
    <x v="0"/>
    <n v="0.23749999999999999"/>
    <n v="3226"/>
  </r>
  <r>
    <x v="31"/>
    <x v="4254"/>
    <n v="231"/>
    <n v="155"/>
    <x v="2"/>
    <n v="76"/>
    <x v="0"/>
    <n v="0.32291666666666669"/>
    <n v="2275"/>
  </r>
  <r>
    <x v="31"/>
    <x v="4255"/>
    <n v="175"/>
    <n v="169"/>
    <x v="1"/>
    <n v="6"/>
    <x v="0"/>
    <n v="0.35208333333333336"/>
    <n v="1925"/>
  </r>
  <r>
    <x v="31"/>
    <x v="4256"/>
    <n v="129"/>
    <n v="101"/>
    <x v="4"/>
    <n v="28"/>
    <x v="0"/>
    <n v="0.21041666666666667"/>
    <n v="3515"/>
  </r>
  <r>
    <x v="31"/>
    <x v="4257"/>
    <n v="200"/>
    <n v="186"/>
    <x v="2"/>
    <n v="14"/>
    <x v="0"/>
    <n v="0.38750000000000001"/>
    <n v="1478"/>
  </r>
  <r>
    <x v="31"/>
    <x v="4258"/>
    <n v="211"/>
    <n v="136"/>
    <x v="2"/>
    <n v="75"/>
    <x v="0"/>
    <n v="0.28333333333333333"/>
    <n v="2692"/>
  </r>
  <r>
    <x v="31"/>
    <x v="4259"/>
    <n v="303"/>
    <n v="50"/>
    <x v="6"/>
    <n v="253"/>
    <x v="2"/>
    <n v="0.10416666666666667"/>
    <n v="4596"/>
  </r>
  <r>
    <x v="31"/>
    <x v="4260"/>
    <n v="159"/>
    <n v="108"/>
    <x v="6"/>
    <n v="51"/>
    <x v="0"/>
    <n v="0.22500000000000001"/>
    <n v="3362"/>
  </r>
  <r>
    <x v="31"/>
    <x v="4261"/>
    <n v="221"/>
    <n v="158"/>
    <x v="5"/>
    <n v="63"/>
    <x v="0"/>
    <n v="0.32916666666666666"/>
    <n v="2207"/>
  </r>
  <r>
    <x v="31"/>
    <x v="4262"/>
    <n v="102"/>
    <n v="56"/>
    <x v="6"/>
    <n v="46"/>
    <x v="1"/>
    <n v="0.11666666666666667"/>
    <n v="4474"/>
  </r>
  <r>
    <x v="31"/>
    <x v="4263"/>
    <n v="58"/>
    <n v="40"/>
    <x v="6"/>
    <n v="18"/>
    <x v="2"/>
    <n v="8.3333333333333329E-2"/>
    <n v="4808"/>
  </r>
  <r>
    <x v="31"/>
    <x v="4264"/>
    <n v="297"/>
    <n v="32"/>
    <x v="4"/>
    <n v="265"/>
    <x v="2"/>
    <n v="6.6666666666666666E-2"/>
    <n v="4983"/>
  </r>
  <r>
    <x v="31"/>
    <x v="4265"/>
    <n v="162"/>
    <n v="64"/>
    <x v="4"/>
    <n v="98"/>
    <x v="1"/>
    <n v="0.13333333333333333"/>
    <n v="4293"/>
  </r>
  <r>
    <x v="31"/>
    <x v="4266"/>
    <n v="267"/>
    <n v="151"/>
    <x v="3"/>
    <n v="116"/>
    <x v="0"/>
    <n v="0.31458333333333333"/>
    <n v="2376"/>
  </r>
  <r>
    <x v="31"/>
    <x v="4267"/>
    <n v="220"/>
    <n v="88"/>
    <x v="6"/>
    <n v="132"/>
    <x v="1"/>
    <n v="0.18333333333333332"/>
    <n v="3792"/>
  </r>
  <r>
    <x v="31"/>
    <x v="4268"/>
    <n v="164"/>
    <n v="111"/>
    <x v="0"/>
    <n v="53"/>
    <x v="0"/>
    <n v="0.23125000000000001"/>
    <n v="3285"/>
  </r>
  <r>
    <x v="31"/>
    <x v="4269"/>
    <n v="281"/>
    <n v="133"/>
    <x v="2"/>
    <n v="148"/>
    <x v="0"/>
    <n v="0.27708333333333335"/>
    <n v="2758"/>
  </r>
  <r>
    <x v="31"/>
    <x v="4270"/>
    <n v="290"/>
    <n v="62"/>
    <x v="0"/>
    <n v="228"/>
    <x v="1"/>
    <n v="0.12916666666666668"/>
    <n v="4343"/>
  </r>
  <r>
    <x v="31"/>
    <x v="4271"/>
    <n v="191"/>
    <n v="190"/>
    <x v="1"/>
    <n v="1"/>
    <x v="0"/>
    <n v="0.39583333333333331"/>
    <n v="1355"/>
  </r>
  <r>
    <x v="31"/>
    <x v="4272"/>
    <n v="58"/>
    <n v="44"/>
    <x v="3"/>
    <n v="14"/>
    <x v="2"/>
    <n v="9.166666666666666E-2"/>
    <n v="4732"/>
  </r>
  <r>
    <x v="31"/>
    <x v="4273"/>
    <n v="231"/>
    <n v="37"/>
    <x v="0"/>
    <n v="194"/>
    <x v="2"/>
    <n v="7.7083333333333337E-2"/>
    <n v="4863"/>
  </r>
  <r>
    <x v="31"/>
    <x v="4274"/>
    <n v="149"/>
    <n v="116"/>
    <x v="6"/>
    <n v="33"/>
    <x v="0"/>
    <n v="0.24166666666666667"/>
    <n v="3173"/>
  </r>
  <r>
    <x v="31"/>
    <x v="4275"/>
    <n v="316"/>
    <n v="178"/>
    <x v="5"/>
    <n v="138"/>
    <x v="0"/>
    <n v="0.37083333333333335"/>
    <n v="1702"/>
  </r>
  <r>
    <x v="31"/>
    <x v="4276"/>
    <n v="308"/>
    <n v="164"/>
    <x v="2"/>
    <n v="144"/>
    <x v="0"/>
    <n v="0.34166666666666667"/>
    <n v="2049"/>
  </r>
  <r>
    <x v="32"/>
    <x v="4277"/>
    <n v="500"/>
    <n v="406"/>
    <x v="5"/>
    <n v="94"/>
    <x v="5"/>
    <n v="0.84583333333333333"/>
    <n v="366"/>
  </r>
  <r>
    <x v="32"/>
    <x v="4278"/>
    <n v="244"/>
    <n v="221"/>
    <x v="3"/>
    <n v="23"/>
    <x v="4"/>
    <n v="0.46041666666666664"/>
    <n v="1224"/>
  </r>
  <r>
    <x v="32"/>
    <x v="4279"/>
    <n v="488"/>
    <n v="462"/>
    <x v="5"/>
    <n v="26"/>
    <x v="5"/>
    <n v="0.96250000000000002"/>
    <n v="92"/>
  </r>
  <r>
    <x v="32"/>
    <x v="4280"/>
    <n v="467"/>
    <n v="259"/>
    <x v="6"/>
    <n v="208"/>
    <x v="4"/>
    <n v="0.5395833333333333"/>
    <n v="1046"/>
  </r>
  <r>
    <x v="32"/>
    <x v="4281"/>
    <n v="490"/>
    <n v="245"/>
    <x v="6"/>
    <n v="245"/>
    <x v="4"/>
    <n v="0.51041666666666663"/>
    <n v="1121"/>
  </r>
  <r>
    <x v="32"/>
    <x v="4282"/>
    <n v="482"/>
    <n v="429"/>
    <x v="5"/>
    <n v="53"/>
    <x v="5"/>
    <n v="0.89375000000000004"/>
    <n v="270"/>
  </r>
  <r>
    <x v="32"/>
    <x v="4283"/>
    <n v="498"/>
    <n v="343"/>
    <x v="0"/>
    <n v="155"/>
    <x v="3"/>
    <n v="0.71458333333333335"/>
    <n v="662"/>
  </r>
  <r>
    <x v="32"/>
    <x v="4284"/>
    <n v="426"/>
    <n v="409"/>
    <x v="1"/>
    <n v="17"/>
    <x v="5"/>
    <n v="0.8520833333333333"/>
    <n v="348"/>
  </r>
  <r>
    <x v="32"/>
    <x v="4285"/>
    <n v="482"/>
    <n v="478"/>
    <x v="1"/>
    <n v="4"/>
    <x v="5"/>
    <n v="0.99583333333333335"/>
    <n v="11"/>
  </r>
  <r>
    <x v="32"/>
    <x v="4286"/>
    <n v="341"/>
    <n v="291"/>
    <x v="6"/>
    <n v="50"/>
    <x v="4"/>
    <n v="0.60624999999999996"/>
    <n v="898"/>
  </r>
  <r>
    <x v="32"/>
    <x v="4287"/>
    <n v="454"/>
    <n v="378"/>
    <x v="1"/>
    <n v="76"/>
    <x v="3"/>
    <n v="0.78749999999999998"/>
    <n v="493"/>
  </r>
  <r>
    <x v="32"/>
    <x v="4288"/>
    <n v="381"/>
    <n v="276"/>
    <x v="6"/>
    <n v="105"/>
    <x v="4"/>
    <n v="0.57499999999999996"/>
    <n v="974"/>
  </r>
  <r>
    <x v="32"/>
    <x v="4289"/>
    <n v="313"/>
    <n v="155"/>
    <x v="1"/>
    <n v="158"/>
    <x v="0"/>
    <n v="0.32291666666666669"/>
    <n v="2275"/>
  </r>
  <r>
    <x v="32"/>
    <x v="4290"/>
    <n v="487"/>
    <n v="288"/>
    <x v="1"/>
    <n v="199"/>
    <x v="4"/>
    <n v="0.6"/>
    <n v="916"/>
  </r>
  <r>
    <x v="32"/>
    <x v="4291"/>
    <n v="424"/>
    <n v="304"/>
    <x v="0"/>
    <n v="120"/>
    <x v="3"/>
    <n v="0.6333333333333333"/>
    <n v="835"/>
  </r>
  <r>
    <x v="32"/>
    <x v="4292"/>
    <n v="473"/>
    <n v="436"/>
    <x v="0"/>
    <n v="37"/>
    <x v="5"/>
    <n v="0.90833333333333333"/>
    <n v="230"/>
  </r>
  <r>
    <x v="32"/>
    <x v="4293"/>
    <n v="473"/>
    <n v="315"/>
    <x v="3"/>
    <n v="158"/>
    <x v="3"/>
    <n v="0.65625"/>
    <n v="804"/>
  </r>
  <r>
    <x v="32"/>
    <x v="4294"/>
    <n v="333"/>
    <n v="325"/>
    <x v="3"/>
    <n v="8"/>
    <x v="3"/>
    <n v="0.67708333333333337"/>
    <n v="755"/>
  </r>
  <r>
    <x v="32"/>
    <x v="4295"/>
    <n v="323"/>
    <n v="315"/>
    <x v="2"/>
    <n v="8"/>
    <x v="3"/>
    <n v="0.65625"/>
    <n v="804"/>
  </r>
  <r>
    <x v="32"/>
    <x v="4296"/>
    <n v="458"/>
    <n v="395"/>
    <x v="5"/>
    <n v="63"/>
    <x v="3"/>
    <n v="0.82291666666666663"/>
    <n v="420"/>
  </r>
  <r>
    <x v="32"/>
    <x v="4297"/>
    <n v="384"/>
    <n v="164"/>
    <x v="6"/>
    <n v="220"/>
    <x v="0"/>
    <n v="0.34166666666666667"/>
    <n v="2049"/>
  </r>
  <r>
    <x v="32"/>
    <x v="4298"/>
    <n v="485"/>
    <n v="336"/>
    <x v="2"/>
    <n v="149"/>
    <x v="3"/>
    <n v="0.7"/>
    <n v="700"/>
  </r>
  <r>
    <x v="32"/>
    <x v="4299"/>
    <n v="492"/>
    <n v="342"/>
    <x v="4"/>
    <n v="150"/>
    <x v="3"/>
    <n v="0.71250000000000002"/>
    <n v="670"/>
  </r>
  <r>
    <x v="32"/>
    <x v="4300"/>
    <n v="372"/>
    <n v="326"/>
    <x v="0"/>
    <n v="46"/>
    <x v="3"/>
    <n v="0.6791666666666667"/>
    <n v="747"/>
  </r>
  <r>
    <x v="32"/>
    <x v="4301"/>
    <n v="329"/>
    <n v="210"/>
    <x v="0"/>
    <n v="119"/>
    <x v="4"/>
    <n v="0.4375"/>
    <n v="1272"/>
  </r>
  <r>
    <x v="32"/>
    <x v="4302"/>
    <n v="488"/>
    <n v="393"/>
    <x v="0"/>
    <n v="95"/>
    <x v="3"/>
    <n v="0.81874999999999998"/>
    <n v="428"/>
  </r>
  <r>
    <x v="32"/>
    <x v="4303"/>
    <n v="301"/>
    <n v="211"/>
    <x v="1"/>
    <n v="90"/>
    <x v="4"/>
    <n v="0.43958333333333333"/>
    <n v="1268"/>
  </r>
  <r>
    <x v="32"/>
    <x v="4304"/>
    <n v="450"/>
    <n v="190"/>
    <x v="4"/>
    <n v="260"/>
    <x v="0"/>
    <n v="0.39583333333333331"/>
    <n v="1355"/>
  </r>
  <r>
    <x v="32"/>
    <x v="4305"/>
    <n v="470"/>
    <n v="188"/>
    <x v="6"/>
    <n v="282"/>
    <x v="0"/>
    <n v="0.39166666666666666"/>
    <n v="1423"/>
  </r>
  <r>
    <x v="32"/>
    <x v="4306"/>
    <n v="228"/>
    <n v="189"/>
    <x v="5"/>
    <n v="39"/>
    <x v="0"/>
    <n v="0.39374999999999999"/>
    <n v="1395"/>
  </r>
  <r>
    <x v="32"/>
    <x v="4307"/>
    <n v="428"/>
    <n v="428"/>
    <x v="0"/>
    <n v="0"/>
    <x v="5"/>
    <n v="0.89166666666666672"/>
    <n v="273"/>
  </r>
  <r>
    <x v="32"/>
    <x v="4308"/>
    <n v="352"/>
    <n v="295"/>
    <x v="0"/>
    <n v="57"/>
    <x v="4"/>
    <n v="0.61458333333333337"/>
    <n v="881"/>
  </r>
  <r>
    <x v="32"/>
    <x v="4309"/>
    <n v="499"/>
    <n v="469"/>
    <x v="0"/>
    <n v="30"/>
    <x v="5"/>
    <n v="0.9770833333333333"/>
    <n v="59"/>
  </r>
  <r>
    <x v="32"/>
    <x v="4310"/>
    <n v="459"/>
    <n v="180"/>
    <x v="0"/>
    <n v="279"/>
    <x v="0"/>
    <n v="0.375"/>
    <n v="1635"/>
  </r>
  <r>
    <x v="32"/>
    <x v="4311"/>
    <n v="496"/>
    <n v="466"/>
    <x v="1"/>
    <n v="30"/>
    <x v="5"/>
    <n v="0.97083333333333333"/>
    <n v="74"/>
  </r>
  <r>
    <x v="32"/>
    <x v="4312"/>
    <n v="443"/>
    <n v="361"/>
    <x v="1"/>
    <n v="82"/>
    <x v="3"/>
    <n v="0.75208333333333333"/>
    <n v="570"/>
  </r>
  <r>
    <x v="32"/>
    <x v="4313"/>
    <n v="204"/>
    <n v="165"/>
    <x v="3"/>
    <n v="39"/>
    <x v="0"/>
    <n v="0.34375"/>
    <n v="2028"/>
  </r>
  <r>
    <x v="32"/>
    <x v="4314"/>
    <n v="478"/>
    <n v="473"/>
    <x v="5"/>
    <n v="5"/>
    <x v="5"/>
    <n v="0.98541666666666672"/>
    <n v="33"/>
  </r>
  <r>
    <x v="32"/>
    <x v="4315"/>
    <n v="481"/>
    <n v="259"/>
    <x v="6"/>
    <n v="222"/>
    <x v="4"/>
    <n v="0.5395833333333333"/>
    <n v="1046"/>
  </r>
  <r>
    <x v="32"/>
    <x v="4316"/>
    <n v="454"/>
    <n v="335"/>
    <x v="4"/>
    <n v="119"/>
    <x v="3"/>
    <n v="0.69791666666666663"/>
    <n v="712"/>
  </r>
  <r>
    <x v="32"/>
    <x v="4317"/>
    <n v="400"/>
    <n v="293"/>
    <x v="6"/>
    <n v="107"/>
    <x v="4"/>
    <n v="0.61041666666666672"/>
    <n v="888"/>
  </r>
  <r>
    <x v="32"/>
    <x v="4318"/>
    <n v="365"/>
    <n v="320"/>
    <x v="5"/>
    <n v="45"/>
    <x v="3"/>
    <n v="0.66666666666666663"/>
    <n v="778"/>
  </r>
  <r>
    <x v="32"/>
    <x v="4319"/>
    <n v="424"/>
    <n v="304"/>
    <x v="2"/>
    <n v="120"/>
    <x v="3"/>
    <n v="0.6333333333333333"/>
    <n v="835"/>
  </r>
  <r>
    <x v="32"/>
    <x v="4320"/>
    <n v="495"/>
    <n v="479"/>
    <x v="0"/>
    <n v="16"/>
    <x v="5"/>
    <n v="0.99791666666666667"/>
    <n v="6"/>
  </r>
  <r>
    <x v="32"/>
    <x v="4321"/>
    <n v="474"/>
    <n v="357"/>
    <x v="0"/>
    <n v="117"/>
    <x v="3"/>
    <n v="0.74375000000000002"/>
    <n v="592"/>
  </r>
  <r>
    <x v="32"/>
    <x v="4322"/>
    <n v="159"/>
    <n v="158"/>
    <x v="6"/>
    <n v="1"/>
    <x v="0"/>
    <n v="0.32916666666666666"/>
    <n v="2207"/>
  </r>
  <r>
    <x v="32"/>
    <x v="4323"/>
    <n v="380"/>
    <n v="162"/>
    <x v="4"/>
    <n v="218"/>
    <x v="0"/>
    <n v="0.33750000000000002"/>
    <n v="2106"/>
  </r>
  <r>
    <x v="32"/>
    <x v="4324"/>
    <n v="428"/>
    <n v="421"/>
    <x v="1"/>
    <n v="7"/>
    <x v="5"/>
    <n v="0.87708333333333333"/>
    <n v="301"/>
  </r>
  <r>
    <x v="32"/>
    <x v="4325"/>
    <n v="372"/>
    <n v="210"/>
    <x v="0"/>
    <n v="162"/>
    <x v="4"/>
    <n v="0.4375"/>
    <n v="1272"/>
  </r>
  <r>
    <x v="32"/>
    <x v="4326"/>
    <n v="463"/>
    <n v="260"/>
    <x v="5"/>
    <n v="203"/>
    <x v="4"/>
    <n v="0.54166666666666663"/>
    <n v="1040"/>
  </r>
  <r>
    <x v="32"/>
    <x v="4327"/>
    <n v="309"/>
    <n v="276"/>
    <x v="2"/>
    <n v="33"/>
    <x v="4"/>
    <n v="0.57499999999999996"/>
    <n v="974"/>
  </r>
  <r>
    <x v="32"/>
    <x v="4328"/>
    <n v="306"/>
    <n v="213"/>
    <x v="6"/>
    <n v="93"/>
    <x v="4"/>
    <n v="0.44374999999999998"/>
    <n v="1260"/>
  </r>
  <r>
    <x v="32"/>
    <x v="4329"/>
    <n v="300"/>
    <n v="179"/>
    <x v="6"/>
    <n v="121"/>
    <x v="0"/>
    <n v="0.37291666666666667"/>
    <n v="1667"/>
  </r>
  <r>
    <x v="32"/>
    <x v="4330"/>
    <n v="384"/>
    <n v="273"/>
    <x v="1"/>
    <n v="111"/>
    <x v="4"/>
    <n v="0.56874999999999998"/>
    <n v="988"/>
  </r>
  <r>
    <x v="32"/>
    <x v="4331"/>
    <n v="494"/>
    <n v="454"/>
    <x v="1"/>
    <n v="40"/>
    <x v="5"/>
    <n v="0.9458333333333333"/>
    <n v="131"/>
  </r>
  <r>
    <x v="32"/>
    <x v="4332"/>
    <n v="453"/>
    <n v="378"/>
    <x v="5"/>
    <n v="75"/>
    <x v="3"/>
    <n v="0.78749999999999998"/>
    <n v="493"/>
  </r>
  <r>
    <x v="32"/>
    <x v="4333"/>
    <n v="453"/>
    <n v="224"/>
    <x v="2"/>
    <n v="229"/>
    <x v="4"/>
    <n v="0.46666666666666667"/>
    <n v="1211"/>
  </r>
  <r>
    <x v="32"/>
    <x v="4334"/>
    <n v="427"/>
    <n v="349"/>
    <x v="2"/>
    <n v="78"/>
    <x v="3"/>
    <n v="0.7270833333333333"/>
    <n v="631"/>
  </r>
  <r>
    <x v="32"/>
    <x v="4335"/>
    <n v="320"/>
    <n v="267"/>
    <x v="2"/>
    <n v="53"/>
    <x v="4"/>
    <n v="0.55625000000000002"/>
    <n v="1011"/>
  </r>
  <r>
    <x v="32"/>
    <x v="4336"/>
    <n v="494"/>
    <n v="436"/>
    <x v="1"/>
    <n v="58"/>
    <x v="5"/>
    <n v="0.90833333333333333"/>
    <n v="230"/>
  </r>
  <r>
    <x v="32"/>
    <x v="4337"/>
    <n v="473"/>
    <n v="463"/>
    <x v="5"/>
    <n v="10"/>
    <x v="5"/>
    <n v="0.96458333333333335"/>
    <n v="90"/>
  </r>
  <r>
    <x v="32"/>
    <x v="4338"/>
    <n v="498"/>
    <n v="341"/>
    <x v="0"/>
    <n v="157"/>
    <x v="3"/>
    <n v="0.7104166666666667"/>
    <n v="674"/>
  </r>
  <r>
    <x v="32"/>
    <x v="4339"/>
    <n v="334"/>
    <n v="171"/>
    <x v="6"/>
    <n v="163"/>
    <x v="0"/>
    <n v="0.35625000000000001"/>
    <n v="1866"/>
  </r>
  <r>
    <x v="32"/>
    <x v="4340"/>
    <n v="482"/>
    <n v="330"/>
    <x v="3"/>
    <n v="152"/>
    <x v="3"/>
    <n v="0.6875"/>
    <n v="734"/>
  </r>
  <r>
    <x v="32"/>
    <x v="4341"/>
    <n v="424"/>
    <n v="336"/>
    <x v="5"/>
    <n v="88"/>
    <x v="3"/>
    <n v="0.7"/>
    <n v="700"/>
  </r>
  <r>
    <x v="32"/>
    <x v="4342"/>
    <n v="315"/>
    <n v="164"/>
    <x v="5"/>
    <n v="151"/>
    <x v="0"/>
    <n v="0.34166666666666667"/>
    <n v="2049"/>
  </r>
  <r>
    <x v="32"/>
    <x v="4343"/>
    <n v="459"/>
    <n v="427"/>
    <x v="5"/>
    <n v="32"/>
    <x v="5"/>
    <n v="0.88958333333333328"/>
    <n v="281"/>
  </r>
  <r>
    <x v="32"/>
    <x v="4344"/>
    <n v="311"/>
    <n v="187"/>
    <x v="1"/>
    <n v="124"/>
    <x v="0"/>
    <n v="0.38958333333333334"/>
    <n v="1455"/>
  </r>
  <r>
    <x v="32"/>
    <x v="4345"/>
    <n v="419"/>
    <n v="348"/>
    <x v="5"/>
    <n v="71"/>
    <x v="3"/>
    <n v="0.72499999999999998"/>
    <n v="641"/>
  </r>
  <r>
    <x v="32"/>
    <x v="4346"/>
    <n v="243"/>
    <n v="238"/>
    <x v="0"/>
    <n v="5"/>
    <x v="4"/>
    <n v="0.49583333333333335"/>
    <n v="1154"/>
  </r>
  <r>
    <x v="32"/>
    <x v="4347"/>
    <n v="424"/>
    <n v="384"/>
    <x v="5"/>
    <n v="40"/>
    <x v="3"/>
    <n v="0.8"/>
    <n v="463"/>
  </r>
  <r>
    <x v="32"/>
    <x v="4348"/>
    <n v="324"/>
    <n v="318"/>
    <x v="3"/>
    <n v="6"/>
    <x v="3"/>
    <n v="0.66249999999999998"/>
    <n v="786"/>
  </r>
  <r>
    <x v="32"/>
    <x v="4349"/>
    <n v="448"/>
    <n v="213"/>
    <x v="3"/>
    <n v="235"/>
    <x v="4"/>
    <n v="0.44374999999999998"/>
    <n v="1260"/>
  </r>
  <r>
    <x v="32"/>
    <x v="4350"/>
    <n v="494"/>
    <n v="375"/>
    <x v="1"/>
    <n v="119"/>
    <x v="3"/>
    <n v="0.78125"/>
    <n v="514"/>
  </r>
  <r>
    <x v="32"/>
    <x v="4351"/>
    <n v="444"/>
    <n v="353"/>
    <x v="1"/>
    <n v="91"/>
    <x v="3"/>
    <n v="0.73541666666666672"/>
    <n v="611"/>
  </r>
  <r>
    <x v="32"/>
    <x v="4352"/>
    <n v="429"/>
    <n v="417"/>
    <x v="1"/>
    <n v="12"/>
    <x v="5"/>
    <n v="0.86875000000000002"/>
    <n v="316"/>
  </r>
  <r>
    <x v="32"/>
    <x v="4353"/>
    <n v="378"/>
    <n v="228"/>
    <x v="3"/>
    <n v="150"/>
    <x v="4"/>
    <n v="0.47499999999999998"/>
    <n v="1195"/>
  </r>
  <r>
    <x v="32"/>
    <x v="756"/>
    <n v="485"/>
    <n v="230"/>
    <x v="4"/>
    <n v="255"/>
    <x v="4"/>
    <n v="0.47916666666666669"/>
    <n v="1184"/>
  </r>
  <r>
    <x v="32"/>
    <x v="757"/>
    <n v="479"/>
    <n v="467"/>
    <x v="0"/>
    <n v="12"/>
    <x v="5"/>
    <n v="0.97291666666666665"/>
    <n v="70"/>
  </r>
  <r>
    <x v="32"/>
    <x v="758"/>
    <n v="435"/>
    <n v="211"/>
    <x v="1"/>
    <n v="224"/>
    <x v="4"/>
    <n v="0.43958333333333333"/>
    <n v="1268"/>
  </r>
  <r>
    <x v="32"/>
    <x v="759"/>
    <n v="469"/>
    <n v="260"/>
    <x v="1"/>
    <n v="209"/>
    <x v="4"/>
    <n v="0.54166666666666663"/>
    <n v="1040"/>
  </r>
  <r>
    <x v="32"/>
    <x v="760"/>
    <n v="453"/>
    <n v="398"/>
    <x v="0"/>
    <n v="55"/>
    <x v="3"/>
    <n v="0.82916666666666672"/>
    <n v="404"/>
  </r>
  <r>
    <x v="32"/>
    <x v="761"/>
    <n v="453"/>
    <n v="344"/>
    <x v="3"/>
    <n v="109"/>
    <x v="3"/>
    <n v="0.71666666666666667"/>
    <n v="656"/>
  </r>
  <r>
    <x v="32"/>
    <x v="762"/>
    <n v="487"/>
    <n v="465"/>
    <x v="5"/>
    <n v="22"/>
    <x v="5"/>
    <n v="0.96875"/>
    <n v="78"/>
  </r>
  <r>
    <x v="32"/>
    <x v="4354"/>
    <n v="280"/>
    <n v="248"/>
    <x v="3"/>
    <n v="32"/>
    <x v="4"/>
    <n v="0.51666666666666672"/>
    <n v="1104"/>
  </r>
  <r>
    <x v="32"/>
    <x v="4355"/>
    <n v="489"/>
    <n v="199"/>
    <x v="3"/>
    <n v="290"/>
    <x v="0"/>
    <n v="0.41458333333333336"/>
    <n v="1314"/>
  </r>
  <r>
    <x v="32"/>
    <x v="4356"/>
    <n v="322"/>
    <n v="321"/>
    <x v="4"/>
    <n v="1"/>
    <x v="3"/>
    <n v="0.66874999999999996"/>
    <n v="770"/>
  </r>
  <r>
    <x v="32"/>
    <x v="4357"/>
    <n v="384"/>
    <n v="170"/>
    <x v="0"/>
    <n v="214"/>
    <x v="0"/>
    <n v="0.35416666666666669"/>
    <n v="1898"/>
  </r>
  <r>
    <x v="32"/>
    <x v="4358"/>
    <n v="475"/>
    <n v="436"/>
    <x v="1"/>
    <n v="39"/>
    <x v="5"/>
    <n v="0.90833333333333333"/>
    <n v="230"/>
  </r>
  <r>
    <x v="32"/>
    <x v="4359"/>
    <n v="455"/>
    <n v="354"/>
    <x v="0"/>
    <n v="101"/>
    <x v="3"/>
    <n v="0.73750000000000004"/>
    <n v="602"/>
  </r>
  <r>
    <x v="32"/>
    <x v="4360"/>
    <n v="446"/>
    <n v="443"/>
    <x v="1"/>
    <n v="3"/>
    <x v="5"/>
    <n v="0.92291666666666672"/>
    <n v="188"/>
  </r>
  <r>
    <x v="32"/>
    <x v="4361"/>
    <n v="261"/>
    <n v="233"/>
    <x v="3"/>
    <n v="28"/>
    <x v="4"/>
    <n v="0.48541666666666666"/>
    <n v="1175"/>
  </r>
  <r>
    <x v="32"/>
    <x v="4362"/>
    <n v="473"/>
    <n v="379"/>
    <x v="1"/>
    <n v="94"/>
    <x v="3"/>
    <n v="0.7895833333333333"/>
    <n v="485"/>
  </r>
  <r>
    <x v="32"/>
    <x v="4363"/>
    <n v="387"/>
    <n v="343"/>
    <x v="2"/>
    <n v="44"/>
    <x v="3"/>
    <n v="0.71458333333333335"/>
    <n v="662"/>
  </r>
  <r>
    <x v="32"/>
    <x v="4364"/>
    <n v="444"/>
    <n v="230"/>
    <x v="3"/>
    <n v="214"/>
    <x v="4"/>
    <n v="0.47916666666666669"/>
    <n v="1184"/>
  </r>
  <r>
    <x v="32"/>
    <x v="4365"/>
    <n v="258"/>
    <n v="215"/>
    <x v="3"/>
    <n v="43"/>
    <x v="4"/>
    <n v="0.44791666666666669"/>
    <n v="1251"/>
  </r>
  <r>
    <x v="32"/>
    <x v="4366"/>
    <n v="231"/>
    <n v="167"/>
    <x v="4"/>
    <n v="64"/>
    <x v="0"/>
    <n v="0.34791666666666665"/>
    <n v="1979"/>
  </r>
  <r>
    <x v="32"/>
    <x v="4367"/>
    <n v="317"/>
    <n v="209"/>
    <x v="6"/>
    <n v="108"/>
    <x v="4"/>
    <n v="0.43541666666666667"/>
    <n v="1277"/>
  </r>
  <r>
    <x v="32"/>
    <x v="4368"/>
    <n v="470"/>
    <n v="276"/>
    <x v="2"/>
    <n v="194"/>
    <x v="4"/>
    <n v="0.57499999999999996"/>
    <n v="974"/>
  </r>
  <r>
    <x v="32"/>
    <x v="4369"/>
    <n v="483"/>
    <n v="466"/>
    <x v="1"/>
    <n v="17"/>
    <x v="5"/>
    <n v="0.97083333333333333"/>
    <n v="74"/>
  </r>
  <r>
    <x v="32"/>
    <x v="4370"/>
    <n v="263"/>
    <n v="244"/>
    <x v="1"/>
    <n v="19"/>
    <x v="4"/>
    <n v="0.5083333333333333"/>
    <n v="1127"/>
  </r>
  <r>
    <x v="32"/>
    <x v="4371"/>
    <n v="363"/>
    <n v="347"/>
    <x v="3"/>
    <n v="16"/>
    <x v="3"/>
    <n v="0.72291666666666665"/>
    <n v="645"/>
  </r>
  <r>
    <x v="32"/>
    <x v="4372"/>
    <n v="468"/>
    <n v="376"/>
    <x v="0"/>
    <n v="92"/>
    <x v="3"/>
    <n v="0.78333333333333333"/>
    <n v="507"/>
  </r>
  <r>
    <x v="32"/>
    <x v="4373"/>
    <n v="267"/>
    <n v="194"/>
    <x v="6"/>
    <n v="73"/>
    <x v="0"/>
    <n v="0.40416666666666667"/>
    <n v="1334"/>
  </r>
  <r>
    <x v="32"/>
    <x v="4374"/>
    <n v="481"/>
    <n v="299"/>
    <x v="4"/>
    <n v="182"/>
    <x v="4"/>
    <n v="0.62291666666666667"/>
    <n v="860"/>
  </r>
  <r>
    <x v="32"/>
    <x v="4375"/>
    <n v="463"/>
    <n v="379"/>
    <x v="1"/>
    <n v="84"/>
    <x v="3"/>
    <n v="0.7895833333333333"/>
    <n v="485"/>
  </r>
  <r>
    <x v="32"/>
    <x v="4376"/>
    <n v="324"/>
    <n v="282"/>
    <x v="3"/>
    <n v="42"/>
    <x v="4"/>
    <n v="0.58750000000000002"/>
    <n v="938"/>
  </r>
  <r>
    <x v="32"/>
    <x v="4377"/>
    <n v="409"/>
    <n v="292"/>
    <x v="0"/>
    <n v="117"/>
    <x v="4"/>
    <n v="0.60833333333333328"/>
    <n v="892"/>
  </r>
  <r>
    <x v="32"/>
    <x v="4378"/>
    <n v="397"/>
    <n v="199"/>
    <x v="4"/>
    <n v="198"/>
    <x v="0"/>
    <n v="0.41458333333333336"/>
    <n v="1314"/>
  </r>
  <r>
    <x v="32"/>
    <x v="4379"/>
    <n v="256"/>
    <n v="237"/>
    <x v="1"/>
    <n v="19"/>
    <x v="4"/>
    <n v="0.49375000000000002"/>
    <n v="1157"/>
  </r>
  <r>
    <x v="32"/>
    <x v="4380"/>
    <n v="491"/>
    <n v="415"/>
    <x v="1"/>
    <n v="76"/>
    <x v="5"/>
    <n v="0.86458333333333337"/>
    <n v="325"/>
  </r>
  <r>
    <x v="32"/>
    <x v="4381"/>
    <n v="397"/>
    <n v="197"/>
    <x v="4"/>
    <n v="200"/>
    <x v="0"/>
    <n v="0.41041666666666665"/>
    <n v="1323"/>
  </r>
  <r>
    <x v="32"/>
    <x v="4382"/>
    <n v="467"/>
    <n v="407"/>
    <x v="5"/>
    <n v="60"/>
    <x v="5"/>
    <n v="0.84791666666666665"/>
    <n v="354"/>
  </r>
  <r>
    <x v="32"/>
    <x v="4383"/>
    <n v="422"/>
    <n v="398"/>
    <x v="5"/>
    <n v="24"/>
    <x v="3"/>
    <n v="0.82916666666666672"/>
    <n v="404"/>
  </r>
  <r>
    <x v="32"/>
    <x v="4384"/>
    <n v="436"/>
    <n v="350"/>
    <x v="4"/>
    <n v="86"/>
    <x v="3"/>
    <n v="0.72916666666666663"/>
    <n v="621"/>
  </r>
  <r>
    <x v="32"/>
    <x v="4385"/>
    <n v="500"/>
    <n v="434"/>
    <x v="0"/>
    <n v="66"/>
    <x v="5"/>
    <n v="0.90416666666666667"/>
    <n v="242"/>
  </r>
  <r>
    <x v="32"/>
    <x v="4386"/>
    <n v="484"/>
    <n v="421"/>
    <x v="5"/>
    <n v="63"/>
    <x v="5"/>
    <n v="0.87708333333333333"/>
    <n v="301"/>
  </r>
  <r>
    <x v="32"/>
    <x v="4387"/>
    <n v="453"/>
    <n v="290"/>
    <x v="6"/>
    <n v="163"/>
    <x v="4"/>
    <n v="0.60416666666666663"/>
    <n v="905"/>
  </r>
  <r>
    <x v="32"/>
    <x v="4388"/>
    <n v="333"/>
    <n v="285"/>
    <x v="3"/>
    <n v="48"/>
    <x v="4"/>
    <n v="0.59375"/>
    <n v="928"/>
  </r>
  <r>
    <x v="32"/>
    <x v="4389"/>
    <n v="481"/>
    <n v="472"/>
    <x v="0"/>
    <n v="9"/>
    <x v="5"/>
    <n v="0.98333333333333328"/>
    <n v="43"/>
  </r>
  <r>
    <x v="32"/>
    <x v="4390"/>
    <n v="299"/>
    <n v="279"/>
    <x v="5"/>
    <n v="20"/>
    <x v="4"/>
    <n v="0.58125000000000004"/>
    <n v="957"/>
  </r>
  <r>
    <x v="32"/>
    <x v="4391"/>
    <n v="406"/>
    <n v="339"/>
    <x v="6"/>
    <n v="67"/>
    <x v="3"/>
    <n v="0.70625000000000004"/>
    <n v="681"/>
  </r>
  <r>
    <x v="32"/>
    <x v="4392"/>
    <n v="336"/>
    <n v="290"/>
    <x v="5"/>
    <n v="46"/>
    <x v="4"/>
    <n v="0.60416666666666663"/>
    <n v="905"/>
  </r>
  <r>
    <x v="32"/>
    <x v="4393"/>
    <n v="246"/>
    <n v="178"/>
    <x v="0"/>
    <n v="68"/>
    <x v="0"/>
    <n v="0.37083333333333335"/>
    <n v="1702"/>
  </r>
  <r>
    <x v="32"/>
    <x v="4394"/>
    <n v="466"/>
    <n v="248"/>
    <x v="0"/>
    <n v="218"/>
    <x v="4"/>
    <n v="0.51666666666666672"/>
    <n v="1104"/>
  </r>
  <r>
    <x v="32"/>
    <x v="4395"/>
    <n v="484"/>
    <n v="441"/>
    <x v="1"/>
    <n v="43"/>
    <x v="5"/>
    <n v="0.91874999999999996"/>
    <n v="203"/>
  </r>
  <r>
    <x v="32"/>
    <x v="4396"/>
    <n v="407"/>
    <n v="339"/>
    <x v="3"/>
    <n v="68"/>
    <x v="3"/>
    <n v="0.70625000000000004"/>
    <n v="681"/>
  </r>
  <r>
    <x v="32"/>
    <x v="4397"/>
    <n v="224"/>
    <n v="160"/>
    <x v="6"/>
    <n v="64"/>
    <x v="0"/>
    <n v="0.33333333333333331"/>
    <n v="2154"/>
  </r>
  <r>
    <x v="32"/>
    <x v="4398"/>
    <n v="386"/>
    <n v="360"/>
    <x v="5"/>
    <n v="26"/>
    <x v="3"/>
    <n v="0.75"/>
    <n v="574"/>
  </r>
  <r>
    <x v="32"/>
    <x v="4399"/>
    <n v="407"/>
    <n v="289"/>
    <x v="3"/>
    <n v="118"/>
    <x v="4"/>
    <n v="0.6020833333333333"/>
    <n v="910"/>
  </r>
  <r>
    <x v="32"/>
    <x v="4400"/>
    <n v="463"/>
    <n v="392"/>
    <x v="1"/>
    <n v="71"/>
    <x v="3"/>
    <n v="0.81666666666666665"/>
    <n v="431"/>
  </r>
  <r>
    <x v="32"/>
    <x v="4401"/>
    <n v="396"/>
    <n v="343"/>
    <x v="1"/>
    <n v="53"/>
    <x v="3"/>
    <n v="0.71458333333333335"/>
    <n v="662"/>
  </r>
  <r>
    <x v="32"/>
    <x v="4402"/>
    <n v="420"/>
    <n v="214"/>
    <x v="4"/>
    <n v="206"/>
    <x v="4"/>
    <n v="0.44583333333333336"/>
    <n v="1257"/>
  </r>
  <r>
    <x v="32"/>
    <x v="4403"/>
    <n v="455"/>
    <n v="239"/>
    <x v="2"/>
    <n v="216"/>
    <x v="4"/>
    <n v="0.49791666666666667"/>
    <n v="1145"/>
  </r>
  <r>
    <x v="32"/>
    <x v="4404"/>
    <n v="217"/>
    <n v="188"/>
    <x v="2"/>
    <n v="29"/>
    <x v="0"/>
    <n v="0.39166666666666666"/>
    <n v="1423"/>
  </r>
  <r>
    <x v="32"/>
    <x v="4405"/>
    <n v="401"/>
    <n v="293"/>
    <x v="5"/>
    <n v="108"/>
    <x v="4"/>
    <n v="0.61041666666666672"/>
    <n v="888"/>
  </r>
  <r>
    <x v="32"/>
    <x v="4406"/>
    <n v="489"/>
    <n v="443"/>
    <x v="5"/>
    <n v="46"/>
    <x v="5"/>
    <n v="0.92291666666666672"/>
    <n v="188"/>
  </r>
  <r>
    <x v="32"/>
    <x v="4407"/>
    <n v="344"/>
    <n v="191"/>
    <x v="2"/>
    <n v="153"/>
    <x v="0"/>
    <n v="0.39791666666666664"/>
    <n v="1351"/>
  </r>
  <r>
    <x v="32"/>
    <x v="4408"/>
    <n v="443"/>
    <n v="330"/>
    <x v="1"/>
    <n v="113"/>
    <x v="3"/>
    <n v="0.6875"/>
    <n v="734"/>
  </r>
  <r>
    <x v="32"/>
    <x v="4409"/>
    <n v="449"/>
    <n v="401"/>
    <x v="1"/>
    <n v="48"/>
    <x v="5"/>
    <n v="0.8354166666666667"/>
    <n v="388"/>
  </r>
  <r>
    <x v="32"/>
    <x v="4410"/>
    <n v="369"/>
    <n v="325"/>
    <x v="1"/>
    <n v="44"/>
    <x v="3"/>
    <n v="0.67708333333333337"/>
    <n v="755"/>
  </r>
  <r>
    <x v="32"/>
    <x v="4411"/>
    <n v="332"/>
    <n v="325"/>
    <x v="6"/>
    <n v="7"/>
    <x v="3"/>
    <n v="0.67708333333333337"/>
    <n v="755"/>
  </r>
  <r>
    <x v="32"/>
    <x v="4412"/>
    <n v="498"/>
    <n v="231"/>
    <x v="2"/>
    <n v="267"/>
    <x v="4"/>
    <n v="0.48125000000000001"/>
    <n v="1179"/>
  </r>
  <r>
    <x v="32"/>
    <x v="4413"/>
    <n v="349"/>
    <n v="349"/>
    <x v="2"/>
    <n v="0"/>
    <x v="3"/>
    <n v="0.7270833333333333"/>
    <n v="631"/>
  </r>
  <r>
    <x v="32"/>
    <x v="4414"/>
    <n v="485"/>
    <n v="460"/>
    <x v="0"/>
    <n v="25"/>
    <x v="5"/>
    <n v="0.95833333333333337"/>
    <n v="107"/>
  </r>
  <r>
    <x v="32"/>
    <x v="4415"/>
    <n v="296"/>
    <n v="248"/>
    <x v="3"/>
    <n v="48"/>
    <x v="4"/>
    <n v="0.51666666666666672"/>
    <n v="1104"/>
  </r>
  <r>
    <x v="32"/>
    <x v="4416"/>
    <n v="360"/>
    <n v="317"/>
    <x v="6"/>
    <n v="43"/>
    <x v="3"/>
    <n v="0.66041666666666665"/>
    <n v="791"/>
  </r>
  <r>
    <x v="32"/>
    <x v="4417"/>
    <n v="439"/>
    <n v="331"/>
    <x v="0"/>
    <n v="108"/>
    <x v="3"/>
    <n v="0.68958333333333333"/>
    <n v="731"/>
  </r>
  <r>
    <x v="32"/>
    <x v="4418"/>
    <n v="294"/>
    <n v="183"/>
    <x v="3"/>
    <n v="111"/>
    <x v="0"/>
    <n v="0.38124999999999998"/>
    <n v="1572"/>
  </r>
  <r>
    <x v="32"/>
    <x v="4419"/>
    <n v="367"/>
    <n v="236"/>
    <x v="3"/>
    <n v="131"/>
    <x v="4"/>
    <n v="0.49166666666666664"/>
    <n v="1162"/>
  </r>
  <r>
    <x v="32"/>
    <x v="4420"/>
    <n v="411"/>
    <n v="245"/>
    <x v="6"/>
    <n v="166"/>
    <x v="4"/>
    <n v="0.51041666666666663"/>
    <n v="1121"/>
  </r>
  <r>
    <x v="32"/>
    <x v="4421"/>
    <n v="277"/>
    <n v="211"/>
    <x v="4"/>
    <n v="66"/>
    <x v="4"/>
    <n v="0.43958333333333333"/>
    <n v="1268"/>
  </r>
  <r>
    <x v="32"/>
    <x v="4422"/>
    <n v="468"/>
    <n v="336"/>
    <x v="3"/>
    <n v="132"/>
    <x v="3"/>
    <n v="0.7"/>
    <n v="700"/>
  </r>
  <r>
    <x v="32"/>
    <x v="4423"/>
    <n v="382"/>
    <n v="248"/>
    <x v="0"/>
    <n v="134"/>
    <x v="4"/>
    <n v="0.51666666666666672"/>
    <n v="1104"/>
  </r>
  <r>
    <x v="32"/>
    <x v="4424"/>
    <n v="445"/>
    <n v="249"/>
    <x v="1"/>
    <n v="196"/>
    <x v="4"/>
    <n v="0.51875000000000004"/>
    <n v="1096"/>
  </r>
  <r>
    <x v="32"/>
    <x v="4425"/>
    <n v="490"/>
    <n v="193"/>
    <x v="5"/>
    <n v="297"/>
    <x v="0"/>
    <n v="0.40208333333333335"/>
    <n v="1342"/>
  </r>
  <r>
    <x v="32"/>
    <x v="4426"/>
    <n v="292"/>
    <n v="242"/>
    <x v="2"/>
    <n v="50"/>
    <x v="4"/>
    <n v="0.50416666666666665"/>
    <n v="1134"/>
  </r>
  <r>
    <x v="32"/>
    <x v="4427"/>
    <n v="438"/>
    <n v="326"/>
    <x v="4"/>
    <n v="112"/>
    <x v="3"/>
    <n v="0.6791666666666667"/>
    <n v="747"/>
  </r>
  <r>
    <x v="32"/>
    <x v="4428"/>
    <n v="439"/>
    <n v="319"/>
    <x v="2"/>
    <n v="120"/>
    <x v="3"/>
    <n v="0.6645833333333333"/>
    <n v="782"/>
  </r>
  <r>
    <x v="32"/>
    <x v="4429"/>
    <n v="459"/>
    <n v="448"/>
    <x v="0"/>
    <n v="11"/>
    <x v="5"/>
    <n v="0.93333333333333335"/>
    <n v="166"/>
  </r>
  <r>
    <x v="32"/>
    <x v="4430"/>
    <n v="467"/>
    <n v="428"/>
    <x v="0"/>
    <n v="39"/>
    <x v="5"/>
    <n v="0.89166666666666672"/>
    <n v="273"/>
  </r>
  <r>
    <x v="32"/>
    <x v="4431"/>
    <n v="319"/>
    <n v="246"/>
    <x v="4"/>
    <n v="73"/>
    <x v="4"/>
    <n v="0.51249999999999996"/>
    <n v="1118"/>
  </r>
  <r>
    <x v="32"/>
    <x v="4432"/>
    <n v="419"/>
    <n v="329"/>
    <x v="4"/>
    <n v="90"/>
    <x v="3"/>
    <n v="0.68541666666666667"/>
    <n v="738"/>
  </r>
  <r>
    <x v="32"/>
    <x v="4433"/>
    <n v="430"/>
    <n v="396"/>
    <x v="5"/>
    <n v="34"/>
    <x v="3"/>
    <n v="0.82499999999999996"/>
    <n v="415"/>
  </r>
  <r>
    <x v="32"/>
    <x v="4434"/>
    <n v="454"/>
    <n v="284"/>
    <x v="3"/>
    <n v="170"/>
    <x v="4"/>
    <n v="0.59166666666666667"/>
    <n v="932"/>
  </r>
  <r>
    <x v="32"/>
    <x v="4435"/>
    <n v="401"/>
    <n v="225"/>
    <x v="4"/>
    <n v="176"/>
    <x v="4"/>
    <n v="0.46875"/>
    <n v="1204"/>
  </r>
  <r>
    <x v="32"/>
    <x v="4436"/>
    <n v="275"/>
    <n v="219"/>
    <x v="5"/>
    <n v="56"/>
    <x v="4"/>
    <n v="0.45624999999999999"/>
    <n v="1232"/>
  </r>
  <r>
    <x v="32"/>
    <x v="4437"/>
    <n v="488"/>
    <n v="480"/>
    <x v="0"/>
    <n v="8"/>
    <x v="5"/>
    <n v="1"/>
    <n v="1"/>
  </r>
  <r>
    <x v="32"/>
    <x v="4438"/>
    <n v="420"/>
    <n v="372"/>
    <x v="0"/>
    <n v="48"/>
    <x v="3"/>
    <n v="0.77500000000000002"/>
    <n v="529"/>
  </r>
  <r>
    <x v="32"/>
    <x v="4439"/>
    <n v="360"/>
    <n v="324"/>
    <x v="0"/>
    <n v="36"/>
    <x v="3"/>
    <n v="0.67500000000000004"/>
    <n v="760"/>
  </r>
  <r>
    <x v="32"/>
    <x v="4440"/>
    <n v="457"/>
    <n v="179"/>
    <x v="6"/>
    <n v="278"/>
    <x v="0"/>
    <n v="0.37291666666666667"/>
    <n v="1667"/>
  </r>
  <r>
    <x v="32"/>
    <x v="4441"/>
    <n v="456"/>
    <n v="323"/>
    <x v="4"/>
    <n v="133"/>
    <x v="3"/>
    <n v="0.67291666666666672"/>
    <n v="765"/>
  </r>
  <r>
    <x v="32"/>
    <x v="4442"/>
    <n v="410"/>
    <n v="282"/>
    <x v="3"/>
    <n v="128"/>
    <x v="4"/>
    <n v="0.58750000000000002"/>
    <n v="938"/>
  </r>
  <r>
    <x v="32"/>
    <x v="4443"/>
    <n v="211"/>
    <n v="180"/>
    <x v="2"/>
    <n v="31"/>
    <x v="0"/>
    <n v="0.375"/>
    <n v="1635"/>
  </r>
  <r>
    <x v="32"/>
    <x v="4444"/>
    <n v="425"/>
    <n v="400"/>
    <x v="1"/>
    <n v="25"/>
    <x v="3"/>
    <n v="0.83333333333333337"/>
    <n v="392"/>
  </r>
  <r>
    <x v="32"/>
    <x v="4445"/>
    <n v="407"/>
    <n v="294"/>
    <x v="2"/>
    <n v="113"/>
    <x v="4"/>
    <n v="0.61250000000000004"/>
    <n v="884"/>
  </r>
  <r>
    <x v="32"/>
    <x v="4446"/>
    <n v="401"/>
    <n v="274"/>
    <x v="4"/>
    <n v="127"/>
    <x v="4"/>
    <n v="0.5708333333333333"/>
    <n v="984"/>
  </r>
  <r>
    <x v="32"/>
    <x v="4447"/>
    <n v="471"/>
    <n v="370"/>
    <x v="5"/>
    <n v="101"/>
    <x v="3"/>
    <n v="0.77083333333333337"/>
    <n v="538"/>
  </r>
  <r>
    <x v="32"/>
    <x v="4448"/>
    <n v="496"/>
    <n v="278"/>
    <x v="4"/>
    <n v="218"/>
    <x v="4"/>
    <n v="0.57916666666666672"/>
    <n v="964"/>
  </r>
  <r>
    <x v="32"/>
    <x v="4449"/>
    <n v="485"/>
    <n v="461"/>
    <x v="5"/>
    <n v="24"/>
    <x v="5"/>
    <n v="0.9604166666666667"/>
    <n v="102"/>
  </r>
  <r>
    <x v="32"/>
    <x v="4450"/>
    <n v="471"/>
    <n v="470"/>
    <x v="5"/>
    <n v="1"/>
    <x v="5"/>
    <n v="0.97916666666666663"/>
    <n v="53"/>
  </r>
  <r>
    <x v="32"/>
    <x v="4451"/>
    <n v="460"/>
    <n v="452"/>
    <x v="0"/>
    <n v="8"/>
    <x v="5"/>
    <n v="0.94166666666666665"/>
    <n v="150"/>
  </r>
  <r>
    <x v="32"/>
    <x v="4452"/>
    <n v="379"/>
    <n v="370"/>
    <x v="5"/>
    <n v="9"/>
    <x v="3"/>
    <n v="0.77083333333333337"/>
    <n v="538"/>
  </r>
  <r>
    <x v="32"/>
    <x v="4453"/>
    <n v="321"/>
    <n v="188"/>
    <x v="5"/>
    <n v="133"/>
    <x v="0"/>
    <n v="0.39166666666666666"/>
    <n v="1423"/>
  </r>
  <r>
    <x v="32"/>
    <x v="4454"/>
    <n v="488"/>
    <n v="454"/>
    <x v="1"/>
    <n v="34"/>
    <x v="5"/>
    <n v="0.9458333333333333"/>
    <n v="131"/>
  </r>
  <r>
    <x v="32"/>
    <x v="4455"/>
    <n v="300"/>
    <n v="280"/>
    <x v="2"/>
    <n v="20"/>
    <x v="4"/>
    <n v="0.58333333333333337"/>
    <n v="954"/>
  </r>
  <r>
    <x v="32"/>
    <x v="4456"/>
    <n v="466"/>
    <n v="458"/>
    <x v="5"/>
    <n v="8"/>
    <x v="5"/>
    <n v="0.95416666666666672"/>
    <n v="115"/>
  </r>
  <r>
    <x v="32"/>
    <x v="4457"/>
    <n v="493"/>
    <n v="421"/>
    <x v="5"/>
    <n v="72"/>
    <x v="5"/>
    <n v="0.87708333333333333"/>
    <n v="301"/>
  </r>
  <r>
    <x v="32"/>
    <x v="4458"/>
    <n v="271"/>
    <n v="160"/>
    <x v="1"/>
    <n v="111"/>
    <x v="0"/>
    <n v="0.33333333333333331"/>
    <n v="2154"/>
  </r>
  <r>
    <x v="32"/>
    <x v="4459"/>
    <n v="489"/>
    <n v="428"/>
    <x v="0"/>
    <n v="61"/>
    <x v="5"/>
    <n v="0.89166666666666672"/>
    <n v="273"/>
  </r>
  <r>
    <x v="32"/>
    <x v="4460"/>
    <n v="321"/>
    <n v="279"/>
    <x v="1"/>
    <n v="42"/>
    <x v="4"/>
    <n v="0.58125000000000004"/>
    <n v="957"/>
  </r>
  <r>
    <x v="32"/>
    <x v="4461"/>
    <n v="452"/>
    <n v="438"/>
    <x v="0"/>
    <n v="14"/>
    <x v="5"/>
    <n v="0.91249999999999998"/>
    <n v="218"/>
  </r>
  <r>
    <x v="32"/>
    <x v="4462"/>
    <n v="316"/>
    <n v="226"/>
    <x v="6"/>
    <n v="90"/>
    <x v="4"/>
    <n v="0.47083333333333333"/>
    <n v="1200"/>
  </r>
  <r>
    <x v="32"/>
    <x v="4463"/>
    <n v="367"/>
    <n v="257"/>
    <x v="1"/>
    <n v="110"/>
    <x v="4"/>
    <n v="0.53541666666666665"/>
    <n v="1058"/>
  </r>
  <r>
    <x v="32"/>
    <x v="4464"/>
    <n v="345"/>
    <n v="180"/>
    <x v="5"/>
    <n v="165"/>
    <x v="0"/>
    <n v="0.375"/>
    <n v="1635"/>
  </r>
  <r>
    <x v="32"/>
    <x v="4465"/>
    <n v="277"/>
    <n v="234"/>
    <x v="4"/>
    <n v="43"/>
    <x v="4"/>
    <n v="0.48749999999999999"/>
    <n v="1172"/>
  </r>
  <r>
    <x v="32"/>
    <x v="4466"/>
    <n v="324"/>
    <n v="158"/>
    <x v="3"/>
    <n v="166"/>
    <x v="0"/>
    <n v="0.32916666666666666"/>
    <n v="2207"/>
  </r>
  <r>
    <x v="32"/>
    <x v="4467"/>
    <n v="423"/>
    <n v="409"/>
    <x v="1"/>
    <n v="14"/>
    <x v="5"/>
    <n v="0.8520833333333333"/>
    <n v="348"/>
  </r>
  <r>
    <x v="32"/>
    <x v="4468"/>
    <n v="321"/>
    <n v="160"/>
    <x v="2"/>
    <n v="161"/>
    <x v="0"/>
    <n v="0.33333333333333331"/>
    <n v="2154"/>
  </r>
  <r>
    <x v="32"/>
    <x v="4469"/>
    <n v="459"/>
    <n v="391"/>
    <x v="5"/>
    <n v="68"/>
    <x v="3"/>
    <n v="0.81458333333333333"/>
    <n v="437"/>
  </r>
  <r>
    <x v="32"/>
    <x v="4470"/>
    <n v="419"/>
    <n v="417"/>
    <x v="1"/>
    <n v="2"/>
    <x v="5"/>
    <n v="0.86875000000000002"/>
    <n v="316"/>
  </r>
  <r>
    <x v="32"/>
    <x v="4471"/>
    <n v="477"/>
    <n v="282"/>
    <x v="5"/>
    <n v="195"/>
    <x v="4"/>
    <n v="0.58750000000000002"/>
    <n v="938"/>
  </r>
  <r>
    <x v="32"/>
    <x v="4472"/>
    <n v="323"/>
    <n v="251"/>
    <x v="3"/>
    <n v="72"/>
    <x v="4"/>
    <n v="0.5229166666666667"/>
    <n v="1087"/>
  </r>
  <r>
    <x v="32"/>
    <x v="4473"/>
    <n v="430"/>
    <n v="308"/>
    <x v="5"/>
    <n v="122"/>
    <x v="3"/>
    <n v="0.64166666666666672"/>
    <n v="824"/>
  </r>
  <r>
    <x v="32"/>
    <x v="4474"/>
    <n v="491"/>
    <n v="416"/>
    <x v="0"/>
    <n v="75"/>
    <x v="5"/>
    <n v="0.8666666666666667"/>
    <n v="322"/>
  </r>
  <r>
    <x v="32"/>
    <x v="4475"/>
    <n v="451"/>
    <n v="332"/>
    <x v="5"/>
    <n v="119"/>
    <x v="3"/>
    <n v="0.69166666666666665"/>
    <n v="725"/>
  </r>
  <r>
    <x v="32"/>
    <x v="4476"/>
    <n v="394"/>
    <n v="352"/>
    <x v="1"/>
    <n v="42"/>
    <x v="3"/>
    <n v="0.73333333333333328"/>
    <n v="614"/>
  </r>
  <r>
    <x v="32"/>
    <x v="4477"/>
    <n v="483"/>
    <n v="472"/>
    <x v="0"/>
    <n v="11"/>
    <x v="5"/>
    <n v="0.98333333333333328"/>
    <n v="43"/>
  </r>
  <r>
    <x v="32"/>
    <x v="4478"/>
    <n v="473"/>
    <n v="434"/>
    <x v="5"/>
    <n v="39"/>
    <x v="5"/>
    <n v="0.90416666666666667"/>
    <n v="242"/>
  </r>
  <r>
    <x v="32"/>
    <x v="4479"/>
    <n v="499"/>
    <n v="450"/>
    <x v="5"/>
    <n v="49"/>
    <x v="5"/>
    <n v="0.9375"/>
    <n v="159"/>
  </r>
  <r>
    <x v="32"/>
    <x v="4480"/>
    <n v="370"/>
    <n v="206"/>
    <x v="0"/>
    <n v="164"/>
    <x v="4"/>
    <n v="0.42916666666666664"/>
    <n v="1294"/>
  </r>
  <r>
    <x v="32"/>
    <x v="4481"/>
    <n v="413"/>
    <n v="312"/>
    <x v="6"/>
    <n v="101"/>
    <x v="3"/>
    <n v="0.65"/>
    <n v="812"/>
  </r>
  <r>
    <x v="32"/>
    <x v="4482"/>
    <n v="485"/>
    <n v="440"/>
    <x v="5"/>
    <n v="45"/>
    <x v="5"/>
    <n v="0.91666666666666663"/>
    <n v="208"/>
  </r>
  <r>
    <x v="32"/>
    <x v="4483"/>
    <n v="467"/>
    <n v="400"/>
    <x v="1"/>
    <n v="67"/>
    <x v="3"/>
    <n v="0.83333333333333337"/>
    <n v="392"/>
  </r>
  <r>
    <x v="32"/>
    <x v="4484"/>
    <n v="420"/>
    <n v="397"/>
    <x v="5"/>
    <n v="23"/>
    <x v="3"/>
    <n v="0.82708333333333328"/>
    <n v="412"/>
  </r>
  <r>
    <x v="32"/>
    <x v="4485"/>
    <n v="477"/>
    <n v="171"/>
    <x v="0"/>
    <n v="306"/>
    <x v="0"/>
    <n v="0.35625000000000001"/>
    <n v="1866"/>
  </r>
  <r>
    <x v="32"/>
    <x v="4486"/>
    <n v="494"/>
    <n v="341"/>
    <x v="0"/>
    <n v="153"/>
    <x v="3"/>
    <n v="0.7104166666666667"/>
    <n v="674"/>
  </r>
  <r>
    <x v="32"/>
    <x v="4487"/>
    <n v="481"/>
    <n v="373"/>
    <x v="1"/>
    <n v="108"/>
    <x v="3"/>
    <n v="0.77708333333333335"/>
    <n v="526"/>
  </r>
  <r>
    <x v="32"/>
    <x v="4488"/>
    <n v="415"/>
    <n v="293"/>
    <x v="0"/>
    <n v="122"/>
    <x v="4"/>
    <n v="0.61041666666666672"/>
    <n v="888"/>
  </r>
  <r>
    <x v="32"/>
    <x v="4489"/>
    <n v="454"/>
    <n v="453"/>
    <x v="1"/>
    <n v="1"/>
    <x v="5"/>
    <n v="0.94374999999999998"/>
    <n v="141"/>
  </r>
  <r>
    <x v="32"/>
    <x v="4490"/>
    <n v="354"/>
    <n v="292"/>
    <x v="3"/>
    <n v="62"/>
    <x v="4"/>
    <n v="0.60833333333333328"/>
    <n v="892"/>
  </r>
  <r>
    <x v="32"/>
    <x v="4491"/>
    <n v="470"/>
    <n v="464"/>
    <x v="5"/>
    <n v="6"/>
    <x v="5"/>
    <n v="0.96666666666666667"/>
    <n v="86"/>
  </r>
  <r>
    <x v="32"/>
    <x v="4492"/>
    <n v="412"/>
    <n v="392"/>
    <x v="1"/>
    <n v="20"/>
    <x v="3"/>
    <n v="0.81666666666666665"/>
    <n v="431"/>
  </r>
  <r>
    <x v="32"/>
    <x v="4493"/>
    <n v="453"/>
    <n v="299"/>
    <x v="5"/>
    <n v="154"/>
    <x v="4"/>
    <n v="0.62291666666666667"/>
    <n v="860"/>
  </r>
  <r>
    <x v="32"/>
    <x v="4494"/>
    <n v="399"/>
    <n v="348"/>
    <x v="3"/>
    <n v="51"/>
    <x v="3"/>
    <n v="0.72499999999999998"/>
    <n v="641"/>
  </r>
  <r>
    <x v="32"/>
    <x v="4495"/>
    <n v="388"/>
    <n v="378"/>
    <x v="1"/>
    <n v="10"/>
    <x v="3"/>
    <n v="0.78749999999999998"/>
    <n v="493"/>
  </r>
  <r>
    <x v="32"/>
    <x v="4496"/>
    <n v="436"/>
    <n v="430"/>
    <x v="5"/>
    <n v="6"/>
    <x v="5"/>
    <n v="0.89583333333333337"/>
    <n v="263"/>
  </r>
  <r>
    <x v="32"/>
    <x v="4497"/>
    <n v="488"/>
    <n v="472"/>
    <x v="5"/>
    <n v="16"/>
    <x v="5"/>
    <n v="0.98333333333333328"/>
    <n v="43"/>
  </r>
  <r>
    <x v="32"/>
    <x v="4498"/>
    <n v="445"/>
    <n v="391"/>
    <x v="0"/>
    <n v="54"/>
    <x v="3"/>
    <n v="0.81458333333333333"/>
    <n v="437"/>
  </r>
  <r>
    <x v="32"/>
    <x v="4499"/>
    <n v="492"/>
    <n v="190"/>
    <x v="4"/>
    <n v="302"/>
    <x v="0"/>
    <n v="0.39583333333333331"/>
    <n v="1355"/>
  </r>
  <r>
    <x v="32"/>
    <x v="4500"/>
    <n v="377"/>
    <n v="272"/>
    <x v="6"/>
    <n v="105"/>
    <x v="4"/>
    <n v="0.56666666666666665"/>
    <n v="991"/>
  </r>
  <r>
    <x v="32"/>
    <x v="4501"/>
    <n v="422"/>
    <n v="296"/>
    <x v="4"/>
    <n v="126"/>
    <x v="4"/>
    <n v="0.6166666666666667"/>
    <n v="874"/>
  </r>
  <r>
    <x v="32"/>
    <x v="4502"/>
    <n v="458"/>
    <n v="443"/>
    <x v="0"/>
    <n v="15"/>
    <x v="5"/>
    <n v="0.92291666666666672"/>
    <n v="188"/>
  </r>
  <r>
    <x v="32"/>
    <x v="4503"/>
    <n v="308"/>
    <n v="260"/>
    <x v="1"/>
    <n v="48"/>
    <x v="4"/>
    <n v="0.54166666666666663"/>
    <n v="1040"/>
  </r>
  <r>
    <x v="32"/>
    <x v="4504"/>
    <n v="485"/>
    <n v="478"/>
    <x v="5"/>
    <n v="7"/>
    <x v="5"/>
    <n v="0.99583333333333335"/>
    <n v="11"/>
  </r>
  <r>
    <x v="32"/>
    <x v="4505"/>
    <n v="444"/>
    <n v="283"/>
    <x v="6"/>
    <n v="161"/>
    <x v="4"/>
    <n v="0.58958333333333335"/>
    <n v="933"/>
  </r>
  <r>
    <x v="32"/>
    <x v="4506"/>
    <n v="349"/>
    <n v="326"/>
    <x v="5"/>
    <n v="23"/>
    <x v="3"/>
    <n v="0.6791666666666667"/>
    <n v="747"/>
  </r>
  <r>
    <x v="32"/>
    <x v="4507"/>
    <n v="432"/>
    <n v="356"/>
    <x v="0"/>
    <n v="76"/>
    <x v="3"/>
    <n v="0.7416666666666667"/>
    <n v="597"/>
  </r>
  <r>
    <x v="32"/>
    <x v="1435"/>
    <n v="385"/>
    <n v="186"/>
    <x v="1"/>
    <n v="199"/>
    <x v="0"/>
    <n v="0.38750000000000001"/>
    <n v="1478"/>
  </r>
  <r>
    <x v="32"/>
    <x v="1436"/>
    <n v="428"/>
    <n v="427"/>
    <x v="0"/>
    <n v="1"/>
    <x v="5"/>
    <n v="0.88958333333333328"/>
    <n v="281"/>
  </r>
  <r>
    <x v="32"/>
    <x v="1437"/>
    <n v="304"/>
    <n v="281"/>
    <x v="1"/>
    <n v="23"/>
    <x v="4"/>
    <n v="0.5854166666666667"/>
    <n v="946"/>
  </r>
  <r>
    <x v="32"/>
    <x v="1438"/>
    <n v="486"/>
    <n v="466"/>
    <x v="0"/>
    <n v="20"/>
    <x v="5"/>
    <n v="0.97083333333333333"/>
    <n v="74"/>
  </r>
  <r>
    <x v="32"/>
    <x v="1439"/>
    <n v="433"/>
    <n v="433"/>
    <x v="0"/>
    <n v="0"/>
    <x v="5"/>
    <n v="0.90208333333333335"/>
    <n v="250"/>
  </r>
  <r>
    <x v="32"/>
    <x v="1440"/>
    <n v="297"/>
    <n v="266"/>
    <x v="6"/>
    <n v="31"/>
    <x v="4"/>
    <n v="0.5541666666666667"/>
    <n v="1018"/>
  </r>
  <r>
    <x v="32"/>
    <x v="1441"/>
    <n v="469"/>
    <n v="356"/>
    <x v="5"/>
    <n v="113"/>
    <x v="3"/>
    <n v="0.7416666666666667"/>
    <n v="597"/>
  </r>
  <r>
    <x v="32"/>
    <x v="4508"/>
    <n v="257"/>
    <n v="186"/>
    <x v="6"/>
    <n v="71"/>
    <x v="0"/>
    <n v="0.38750000000000001"/>
    <n v="1478"/>
  </r>
  <r>
    <x v="32"/>
    <x v="4509"/>
    <n v="343"/>
    <n v="235"/>
    <x v="4"/>
    <n v="108"/>
    <x v="4"/>
    <n v="0.48958333333333331"/>
    <n v="1166"/>
  </r>
  <r>
    <x v="32"/>
    <x v="4510"/>
    <n v="354"/>
    <n v="188"/>
    <x v="0"/>
    <n v="166"/>
    <x v="0"/>
    <n v="0.39166666666666666"/>
    <n v="1423"/>
  </r>
  <r>
    <x v="32"/>
    <x v="4511"/>
    <n v="250"/>
    <n v="249"/>
    <x v="2"/>
    <n v="1"/>
    <x v="4"/>
    <n v="0.51875000000000004"/>
    <n v="1096"/>
  </r>
  <r>
    <x v="32"/>
    <x v="4512"/>
    <n v="368"/>
    <n v="343"/>
    <x v="0"/>
    <n v="25"/>
    <x v="3"/>
    <n v="0.71458333333333335"/>
    <n v="662"/>
  </r>
  <r>
    <x v="32"/>
    <x v="4513"/>
    <n v="490"/>
    <n v="388"/>
    <x v="1"/>
    <n v="102"/>
    <x v="3"/>
    <n v="0.80833333333333335"/>
    <n v="448"/>
  </r>
  <r>
    <x v="32"/>
    <x v="4514"/>
    <n v="307"/>
    <n v="278"/>
    <x v="2"/>
    <n v="29"/>
    <x v="4"/>
    <n v="0.57916666666666672"/>
    <n v="964"/>
  </r>
  <r>
    <x v="32"/>
    <x v="4515"/>
    <n v="460"/>
    <n v="407"/>
    <x v="1"/>
    <n v="53"/>
    <x v="5"/>
    <n v="0.84791666666666665"/>
    <n v="354"/>
  </r>
  <r>
    <x v="32"/>
    <x v="4516"/>
    <n v="304"/>
    <n v="201"/>
    <x v="2"/>
    <n v="103"/>
    <x v="4"/>
    <n v="0.41875000000000001"/>
    <n v="1305"/>
  </r>
  <r>
    <x v="32"/>
    <x v="4517"/>
    <n v="199"/>
    <n v="174"/>
    <x v="2"/>
    <n v="25"/>
    <x v="0"/>
    <n v="0.36249999999999999"/>
    <n v="1803"/>
  </r>
  <r>
    <x v="32"/>
    <x v="4518"/>
    <n v="307"/>
    <n v="239"/>
    <x v="1"/>
    <n v="68"/>
    <x v="4"/>
    <n v="0.49791666666666667"/>
    <n v="1145"/>
  </r>
  <r>
    <x v="32"/>
    <x v="4519"/>
    <n v="489"/>
    <n v="465"/>
    <x v="5"/>
    <n v="24"/>
    <x v="5"/>
    <n v="0.96875"/>
    <n v="78"/>
  </r>
  <r>
    <x v="32"/>
    <x v="4520"/>
    <n v="441"/>
    <n v="437"/>
    <x v="0"/>
    <n v="4"/>
    <x v="5"/>
    <n v="0.91041666666666665"/>
    <n v="225"/>
  </r>
  <r>
    <x v="32"/>
    <x v="4521"/>
    <n v="477"/>
    <n v="297"/>
    <x v="3"/>
    <n v="180"/>
    <x v="4"/>
    <n v="0.61875000000000002"/>
    <n v="868"/>
  </r>
  <r>
    <x v="32"/>
    <x v="4522"/>
    <n v="485"/>
    <n v="297"/>
    <x v="3"/>
    <n v="188"/>
    <x v="4"/>
    <n v="0.61875000000000002"/>
    <n v="868"/>
  </r>
  <r>
    <x v="32"/>
    <x v="4523"/>
    <n v="475"/>
    <n v="437"/>
    <x v="1"/>
    <n v="38"/>
    <x v="5"/>
    <n v="0.91041666666666665"/>
    <n v="225"/>
  </r>
  <r>
    <x v="32"/>
    <x v="4524"/>
    <n v="393"/>
    <n v="358"/>
    <x v="1"/>
    <n v="35"/>
    <x v="3"/>
    <n v="0.74583333333333335"/>
    <n v="586"/>
  </r>
  <r>
    <x v="32"/>
    <x v="4525"/>
    <n v="291"/>
    <n v="281"/>
    <x v="2"/>
    <n v="10"/>
    <x v="4"/>
    <n v="0.5854166666666667"/>
    <n v="946"/>
  </r>
  <r>
    <x v="32"/>
    <x v="4526"/>
    <n v="421"/>
    <n v="337"/>
    <x v="0"/>
    <n v="84"/>
    <x v="3"/>
    <n v="0.70208333333333328"/>
    <n v="694"/>
  </r>
  <r>
    <x v="32"/>
    <x v="4527"/>
    <n v="485"/>
    <n v="473"/>
    <x v="1"/>
    <n v="12"/>
    <x v="5"/>
    <n v="0.98541666666666672"/>
    <n v="33"/>
  </r>
  <r>
    <x v="32"/>
    <x v="4528"/>
    <n v="214"/>
    <n v="154"/>
    <x v="5"/>
    <n v="60"/>
    <x v="0"/>
    <n v="0.32083333333333336"/>
    <n v="2307"/>
  </r>
  <r>
    <x v="32"/>
    <x v="4529"/>
    <n v="469"/>
    <n v="235"/>
    <x v="0"/>
    <n v="234"/>
    <x v="4"/>
    <n v="0.48958333333333331"/>
    <n v="1166"/>
  </r>
  <r>
    <x v="32"/>
    <x v="4530"/>
    <n v="380"/>
    <n v="168"/>
    <x v="1"/>
    <n v="212"/>
    <x v="0"/>
    <n v="0.35"/>
    <n v="1954"/>
  </r>
  <r>
    <x v="32"/>
    <x v="4531"/>
    <n v="381"/>
    <n v="279"/>
    <x v="4"/>
    <n v="102"/>
    <x v="4"/>
    <n v="0.58125000000000004"/>
    <n v="957"/>
  </r>
  <r>
    <x v="32"/>
    <x v="4532"/>
    <n v="474"/>
    <n v="287"/>
    <x v="0"/>
    <n v="187"/>
    <x v="4"/>
    <n v="0.59791666666666665"/>
    <n v="920"/>
  </r>
  <r>
    <x v="32"/>
    <x v="4533"/>
    <n v="385"/>
    <n v="350"/>
    <x v="4"/>
    <n v="35"/>
    <x v="3"/>
    <n v="0.72916666666666663"/>
    <n v="621"/>
  </r>
  <r>
    <x v="32"/>
    <x v="4534"/>
    <n v="466"/>
    <n v="453"/>
    <x v="0"/>
    <n v="13"/>
    <x v="5"/>
    <n v="0.94374999999999998"/>
    <n v="141"/>
  </r>
  <r>
    <x v="32"/>
    <x v="4535"/>
    <n v="437"/>
    <n v="434"/>
    <x v="0"/>
    <n v="3"/>
    <x v="5"/>
    <n v="0.90416666666666667"/>
    <n v="242"/>
  </r>
  <r>
    <x v="32"/>
    <x v="4536"/>
    <n v="419"/>
    <n v="335"/>
    <x v="4"/>
    <n v="84"/>
    <x v="3"/>
    <n v="0.69791666666666663"/>
    <n v="712"/>
  </r>
  <r>
    <x v="32"/>
    <x v="4537"/>
    <n v="475"/>
    <n v="376"/>
    <x v="5"/>
    <n v="99"/>
    <x v="3"/>
    <n v="0.78333333333333333"/>
    <n v="507"/>
  </r>
  <r>
    <x v="32"/>
    <x v="4538"/>
    <n v="465"/>
    <n v="374"/>
    <x v="1"/>
    <n v="91"/>
    <x v="3"/>
    <n v="0.77916666666666667"/>
    <n v="521"/>
  </r>
  <r>
    <x v="32"/>
    <x v="4539"/>
    <n v="422"/>
    <n v="374"/>
    <x v="0"/>
    <n v="48"/>
    <x v="3"/>
    <n v="0.77916666666666667"/>
    <n v="521"/>
  </r>
  <r>
    <x v="32"/>
    <x v="4540"/>
    <n v="350"/>
    <n v="193"/>
    <x v="5"/>
    <n v="157"/>
    <x v="0"/>
    <n v="0.40208333333333335"/>
    <n v="1342"/>
  </r>
  <r>
    <x v="32"/>
    <x v="4541"/>
    <n v="480"/>
    <n v="458"/>
    <x v="1"/>
    <n v="22"/>
    <x v="5"/>
    <n v="0.95416666666666672"/>
    <n v="115"/>
  </r>
  <r>
    <x v="32"/>
    <x v="4542"/>
    <n v="392"/>
    <n v="231"/>
    <x v="5"/>
    <n v="161"/>
    <x v="4"/>
    <n v="0.48125000000000001"/>
    <n v="1179"/>
  </r>
  <r>
    <x v="32"/>
    <x v="4543"/>
    <n v="281"/>
    <n v="230"/>
    <x v="3"/>
    <n v="51"/>
    <x v="4"/>
    <n v="0.47916666666666669"/>
    <n v="1184"/>
  </r>
  <r>
    <x v="32"/>
    <x v="4544"/>
    <n v="293"/>
    <n v="286"/>
    <x v="4"/>
    <n v="7"/>
    <x v="4"/>
    <n v="0.59583333333333333"/>
    <n v="925"/>
  </r>
  <r>
    <x v="32"/>
    <x v="4545"/>
    <n v="485"/>
    <n v="403"/>
    <x v="1"/>
    <n v="82"/>
    <x v="5"/>
    <n v="0.83958333333333335"/>
    <n v="378"/>
  </r>
  <r>
    <x v="32"/>
    <x v="4546"/>
    <n v="500"/>
    <n v="479"/>
    <x v="1"/>
    <n v="21"/>
    <x v="5"/>
    <n v="0.99791666666666667"/>
    <n v="6"/>
  </r>
  <r>
    <x v="32"/>
    <x v="4547"/>
    <n v="303"/>
    <n v="259"/>
    <x v="5"/>
    <n v="44"/>
    <x v="4"/>
    <n v="0.5395833333333333"/>
    <n v="1046"/>
  </r>
  <r>
    <x v="32"/>
    <x v="4548"/>
    <n v="409"/>
    <n v="270"/>
    <x v="2"/>
    <n v="139"/>
    <x v="4"/>
    <n v="0.5625"/>
    <n v="999"/>
  </r>
  <r>
    <x v="32"/>
    <x v="4549"/>
    <n v="326"/>
    <n v="316"/>
    <x v="6"/>
    <n v="10"/>
    <x v="3"/>
    <n v="0.65833333333333333"/>
    <n v="799"/>
  </r>
  <r>
    <x v="32"/>
    <x v="4550"/>
    <n v="255"/>
    <n v="218"/>
    <x v="1"/>
    <n v="37"/>
    <x v="4"/>
    <n v="0.45416666666666666"/>
    <n v="1238"/>
  </r>
  <r>
    <x v="32"/>
    <x v="4551"/>
    <n v="369"/>
    <n v="356"/>
    <x v="0"/>
    <n v="13"/>
    <x v="3"/>
    <n v="0.7416666666666667"/>
    <n v="597"/>
  </r>
  <r>
    <x v="32"/>
    <x v="4552"/>
    <n v="442"/>
    <n v="327"/>
    <x v="1"/>
    <n v="115"/>
    <x v="3"/>
    <n v="0.68125000000000002"/>
    <n v="744"/>
  </r>
  <r>
    <x v="32"/>
    <x v="4553"/>
    <n v="318"/>
    <n v="300"/>
    <x v="2"/>
    <n v="18"/>
    <x v="4"/>
    <n v="0.625"/>
    <n v="851"/>
  </r>
  <r>
    <x v="32"/>
    <x v="4554"/>
    <n v="327"/>
    <n v="297"/>
    <x v="1"/>
    <n v="30"/>
    <x v="4"/>
    <n v="0.61875000000000002"/>
    <n v="868"/>
  </r>
  <r>
    <x v="32"/>
    <x v="4555"/>
    <n v="481"/>
    <n v="349"/>
    <x v="3"/>
    <n v="132"/>
    <x v="3"/>
    <n v="0.7270833333333333"/>
    <n v="631"/>
  </r>
  <r>
    <x v="32"/>
    <x v="4556"/>
    <n v="464"/>
    <n v="407"/>
    <x v="0"/>
    <n v="57"/>
    <x v="5"/>
    <n v="0.84791666666666665"/>
    <n v="354"/>
  </r>
  <r>
    <x v="32"/>
    <x v="4557"/>
    <n v="449"/>
    <n v="253"/>
    <x v="5"/>
    <n v="196"/>
    <x v="4"/>
    <n v="0.52708333333333335"/>
    <n v="1080"/>
  </r>
  <r>
    <x v="32"/>
    <x v="4558"/>
    <n v="367"/>
    <n v="201"/>
    <x v="1"/>
    <n v="166"/>
    <x v="4"/>
    <n v="0.41875000000000001"/>
    <n v="1305"/>
  </r>
  <r>
    <x v="32"/>
    <x v="4559"/>
    <n v="445"/>
    <n v="150"/>
    <x v="5"/>
    <n v="295"/>
    <x v="0"/>
    <n v="0.3125"/>
    <n v="2400"/>
  </r>
  <r>
    <x v="32"/>
    <x v="4560"/>
    <n v="348"/>
    <n v="230"/>
    <x v="1"/>
    <n v="118"/>
    <x v="4"/>
    <n v="0.47916666666666669"/>
    <n v="1184"/>
  </r>
  <r>
    <x v="32"/>
    <x v="4561"/>
    <n v="311"/>
    <n v="153"/>
    <x v="6"/>
    <n v="158"/>
    <x v="0"/>
    <n v="0.31874999999999998"/>
    <n v="2329"/>
  </r>
  <r>
    <x v="32"/>
    <x v="4562"/>
    <n v="465"/>
    <n v="179"/>
    <x v="0"/>
    <n v="286"/>
    <x v="0"/>
    <n v="0.37291666666666667"/>
    <n v="1667"/>
  </r>
  <r>
    <x v="32"/>
    <x v="4563"/>
    <n v="473"/>
    <n v="340"/>
    <x v="5"/>
    <n v="133"/>
    <x v="3"/>
    <n v="0.70833333333333337"/>
    <n v="678"/>
  </r>
  <r>
    <x v="32"/>
    <x v="4564"/>
    <n v="366"/>
    <n v="156"/>
    <x v="5"/>
    <n v="210"/>
    <x v="0"/>
    <n v="0.32500000000000001"/>
    <n v="2251"/>
  </r>
  <r>
    <x v="32"/>
    <x v="4565"/>
    <n v="376"/>
    <n v="263"/>
    <x v="6"/>
    <n v="113"/>
    <x v="4"/>
    <n v="0.54791666666666672"/>
    <n v="1031"/>
  </r>
  <r>
    <x v="32"/>
    <x v="4566"/>
    <n v="436"/>
    <n v="249"/>
    <x v="4"/>
    <n v="187"/>
    <x v="4"/>
    <n v="0.51875000000000004"/>
    <n v="1096"/>
  </r>
  <r>
    <x v="32"/>
    <x v="4567"/>
    <n v="257"/>
    <n v="211"/>
    <x v="4"/>
    <n v="46"/>
    <x v="4"/>
    <n v="0.43958333333333333"/>
    <n v="1268"/>
  </r>
  <r>
    <x v="32"/>
    <x v="4568"/>
    <n v="373"/>
    <n v="169"/>
    <x v="5"/>
    <n v="204"/>
    <x v="0"/>
    <n v="0.35208333333333336"/>
    <n v="1925"/>
  </r>
  <r>
    <x v="32"/>
    <x v="4569"/>
    <n v="323"/>
    <n v="283"/>
    <x v="5"/>
    <n v="40"/>
    <x v="4"/>
    <n v="0.58958333333333335"/>
    <n v="933"/>
  </r>
  <r>
    <x v="32"/>
    <x v="4570"/>
    <n v="422"/>
    <n v="376"/>
    <x v="5"/>
    <n v="46"/>
    <x v="3"/>
    <n v="0.78333333333333333"/>
    <n v="507"/>
  </r>
  <r>
    <x v="32"/>
    <x v="4571"/>
    <n v="476"/>
    <n v="472"/>
    <x v="0"/>
    <n v="4"/>
    <x v="5"/>
    <n v="0.98333333333333328"/>
    <n v="43"/>
  </r>
  <r>
    <x v="32"/>
    <x v="4572"/>
    <n v="355"/>
    <n v="296"/>
    <x v="6"/>
    <n v="59"/>
    <x v="4"/>
    <n v="0.6166666666666667"/>
    <n v="874"/>
  </r>
  <r>
    <x v="32"/>
    <x v="4573"/>
    <n v="391"/>
    <n v="364"/>
    <x v="1"/>
    <n v="27"/>
    <x v="3"/>
    <n v="0.7583333333333333"/>
    <n v="561"/>
  </r>
  <r>
    <x v="32"/>
    <x v="4574"/>
    <n v="364"/>
    <n v="354"/>
    <x v="0"/>
    <n v="10"/>
    <x v="3"/>
    <n v="0.73750000000000004"/>
    <n v="602"/>
  </r>
  <r>
    <x v="32"/>
    <x v="4575"/>
    <n v="359"/>
    <n v="277"/>
    <x v="6"/>
    <n v="82"/>
    <x v="4"/>
    <n v="0.57708333333333328"/>
    <n v="968"/>
  </r>
  <r>
    <x v="32"/>
    <x v="4576"/>
    <n v="404"/>
    <n v="295"/>
    <x v="0"/>
    <n v="109"/>
    <x v="4"/>
    <n v="0.61458333333333337"/>
    <n v="881"/>
  </r>
  <r>
    <x v="32"/>
    <x v="4577"/>
    <n v="445"/>
    <n v="270"/>
    <x v="5"/>
    <n v="175"/>
    <x v="4"/>
    <n v="0.5625"/>
    <n v="999"/>
  </r>
  <r>
    <x v="32"/>
    <x v="4578"/>
    <n v="300"/>
    <n v="152"/>
    <x v="6"/>
    <n v="148"/>
    <x v="0"/>
    <n v="0.31666666666666665"/>
    <n v="2349"/>
  </r>
  <r>
    <x v="32"/>
    <x v="4579"/>
    <n v="366"/>
    <n v="190"/>
    <x v="6"/>
    <n v="176"/>
    <x v="0"/>
    <n v="0.39583333333333331"/>
    <n v="1355"/>
  </r>
  <r>
    <x v="32"/>
    <x v="4580"/>
    <n v="460"/>
    <n v="379"/>
    <x v="0"/>
    <n v="81"/>
    <x v="3"/>
    <n v="0.7895833333333333"/>
    <n v="485"/>
  </r>
  <r>
    <x v="32"/>
    <x v="4581"/>
    <n v="428"/>
    <n v="226"/>
    <x v="5"/>
    <n v="202"/>
    <x v="4"/>
    <n v="0.47083333333333333"/>
    <n v="1200"/>
  </r>
  <r>
    <x v="32"/>
    <x v="4582"/>
    <n v="178"/>
    <n v="170"/>
    <x v="4"/>
    <n v="8"/>
    <x v="0"/>
    <n v="0.35416666666666669"/>
    <n v="1898"/>
  </r>
  <r>
    <x v="32"/>
    <x v="4583"/>
    <n v="489"/>
    <n v="465"/>
    <x v="1"/>
    <n v="24"/>
    <x v="5"/>
    <n v="0.96875"/>
    <n v="78"/>
  </r>
  <r>
    <x v="32"/>
    <x v="4584"/>
    <n v="367"/>
    <n v="277"/>
    <x v="4"/>
    <n v="90"/>
    <x v="4"/>
    <n v="0.57708333333333328"/>
    <n v="968"/>
  </r>
  <r>
    <x v="32"/>
    <x v="4585"/>
    <n v="497"/>
    <n v="362"/>
    <x v="1"/>
    <n v="135"/>
    <x v="3"/>
    <n v="0.75416666666666665"/>
    <n v="567"/>
  </r>
  <r>
    <x v="32"/>
    <x v="4586"/>
    <n v="417"/>
    <n v="336"/>
    <x v="6"/>
    <n v="81"/>
    <x v="3"/>
    <n v="0.7"/>
    <n v="700"/>
  </r>
  <r>
    <x v="32"/>
    <x v="4587"/>
    <n v="390"/>
    <n v="317"/>
    <x v="6"/>
    <n v="73"/>
    <x v="3"/>
    <n v="0.66041666666666665"/>
    <n v="791"/>
  </r>
  <r>
    <x v="32"/>
    <x v="4588"/>
    <n v="480"/>
    <n v="464"/>
    <x v="0"/>
    <n v="16"/>
    <x v="5"/>
    <n v="0.96666666666666667"/>
    <n v="86"/>
  </r>
  <r>
    <x v="32"/>
    <x v="4589"/>
    <n v="210"/>
    <n v="157"/>
    <x v="0"/>
    <n v="53"/>
    <x v="0"/>
    <n v="0.32708333333333334"/>
    <n v="2239"/>
  </r>
  <r>
    <x v="32"/>
    <x v="4590"/>
    <n v="473"/>
    <n v="453"/>
    <x v="5"/>
    <n v="20"/>
    <x v="5"/>
    <n v="0.94374999999999998"/>
    <n v="141"/>
  </r>
  <r>
    <x v="32"/>
    <x v="4591"/>
    <n v="322"/>
    <n v="264"/>
    <x v="6"/>
    <n v="58"/>
    <x v="4"/>
    <n v="0.55000000000000004"/>
    <n v="1028"/>
  </r>
  <r>
    <x v="32"/>
    <x v="4592"/>
    <n v="484"/>
    <n v="479"/>
    <x v="0"/>
    <n v="5"/>
    <x v="5"/>
    <n v="0.99791666666666667"/>
    <n v="6"/>
  </r>
  <r>
    <x v="32"/>
    <x v="4593"/>
    <n v="479"/>
    <n v="319"/>
    <x v="4"/>
    <n v="160"/>
    <x v="3"/>
    <n v="0.6645833333333333"/>
    <n v="782"/>
  </r>
  <r>
    <x v="32"/>
    <x v="4594"/>
    <n v="467"/>
    <n v="443"/>
    <x v="0"/>
    <n v="24"/>
    <x v="5"/>
    <n v="0.92291666666666672"/>
    <n v="188"/>
  </r>
  <r>
    <x v="32"/>
    <x v="4595"/>
    <n v="352"/>
    <n v="348"/>
    <x v="6"/>
    <n v="4"/>
    <x v="3"/>
    <n v="0.72499999999999998"/>
    <n v="641"/>
  </r>
  <r>
    <x v="32"/>
    <x v="4596"/>
    <n v="474"/>
    <n v="452"/>
    <x v="0"/>
    <n v="22"/>
    <x v="5"/>
    <n v="0.94166666666666665"/>
    <n v="150"/>
  </r>
  <r>
    <x v="32"/>
    <x v="4597"/>
    <n v="448"/>
    <n v="435"/>
    <x v="1"/>
    <n v="13"/>
    <x v="5"/>
    <n v="0.90625"/>
    <n v="238"/>
  </r>
  <r>
    <x v="32"/>
    <x v="4598"/>
    <n v="418"/>
    <n v="415"/>
    <x v="5"/>
    <n v="3"/>
    <x v="5"/>
    <n v="0.86458333333333337"/>
    <n v="325"/>
  </r>
  <r>
    <x v="32"/>
    <x v="4599"/>
    <n v="259"/>
    <n v="194"/>
    <x v="6"/>
    <n v="65"/>
    <x v="0"/>
    <n v="0.40416666666666667"/>
    <n v="1334"/>
  </r>
  <r>
    <x v="32"/>
    <x v="4600"/>
    <n v="472"/>
    <n v="433"/>
    <x v="1"/>
    <n v="39"/>
    <x v="5"/>
    <n v="0.90208333333333335"/>
    <n v="250"/>
  </r>
  <r>
    <x v="32"/>
    <x v="4601"/>
    <n v="339"/>
    <n v="181"/>
    <x v="5"/>
    <n v="158"/>
    <x v="0"/>
    <n v="0.37708333333333333"/>
    <n v="1609"/>
  </r>
  <r>
    <x v="32"/>
    <x v="4602"/>
    <n v="484"/>
    <n v="334"/>
    <x v="3"/>
    <n v="150"/>
    <x v="3"/>
    <n v="0.6958333333333333"/>
    <n v="717"/>
  </r>
  <r>
    <x v="32"/>
    <x v="4603"/>
    <n v="341"/>
    <n v="338"/>
    <x v="0"/>
    <n v="3"/>
    <x v="3"/>
    <n v="0.70416666666666672"/>
    <n v="687"/>
  </r>
  <r>
    <x v="32"/>
    <x v="4604"/>
    <n v="484"/>
    <n v="470"/>
    <x v="0"/>
    <n v="14"/>
    <x v="5"/>
    <n v="0.97916666666666663"/>
    <n v="53"/>
  </r>
  <r>
    <x v="32"/>
    <x v="4605"/>
    <n v="465"/>
    <n v="413"/>
    <x v="0"/>
    <n v="52"/>
    <x v="5"/>
    <n v="0.86041666666666672"/>
    <n v="332"/>
  </r>
  <r>
    <x v="32"/>
    <x v="4606"/>
    <n v="465"/>
    <n v="302"/>
    <x v="5"/>
    <n v="163"/>
    <x v="3"/>
    <n v="0.62916666666666665"/>
    <n v="839"/>
  </r>
  <r>
    <x v="32"/>
    <x v="4607"/>
    <n v="251"/>
    <n v="197"/>
    <x v="1"/>
    <n v="54"/>
    <x v="0"/>
    <n v="0.41041666666666665"/>
    <n v="1323"/>
  </r>
  <r>
    <x v="32"/>
    <x v="4608"/>
    <n v="394"/>
    <n v="291"/>
    <x v="3"/>
    <n v="103"/>
    <x v="4"/>
    <n v="0.60624999999999996"/>
    <n v="898"/>
  </r>
  <r>
    <x v="32"/>
    <x v="4609"/>
    <n v="495"/>
    <n v="477"/>
    <x v="5"/>
    <n v="18"/>
    <x v="5"/>
    <n v="0.99375000000000002"/>
    <n v="17"/>
  </r>
  <r>
    <x v="32"/>
    <x v="4610"/>
    <n v="343"/>
    <n v="323"/>
    <x v="3"/>
    <n v="20"/>
    <x v="3"/>
    <n v="0.67291666666666672"/>
    <n v="765"/>
  </r>
  <r>
    <x v="32"/>
    <x v="4611"/>
    <n v="465"/>
    <n v="207"/>
    <x v="3"/>
    <n v="258"/>
    <x v="4"/>
    <n v="0.43125000000000002"/>
    <n v="1287"/>
  </r>
  <r>
    <x v="32"/>
    <x v="4612"/>
    <n v="473"/>
    <n v="445"/>
    <x v="0"/>
    <n v="28"/>
    <x v="5"/>
    <n v="0.92708333333333337"/>
    <n v="185"/>
  </r>
  <r>
    <x v="32"/>
    <x v="4613"/>
    <n v="467"/>
    <n v="454"/>
    <x v="0"/>
    <n v="13"/>
    <x v="5"/>
    <n v="0.9458333333333333"/>
    <n v="131"/>
  </r>
  <r>
    <x v="32"/>
    <x v="4614"/>
    <n v="457"/>
    <n v="215"/>
    <x v="2"/>
    <n v="242"/>
    <x v="4"/>
    <n v="0.44791666666666669"/>
    <n v="1251"/>
  </r>
  <r>
    <x v="32"/>
    <x v="4615"/>
    <n v="470"/>
    <n v="466"/>
    <x v="1"/>
    <n v="4"/>
    <x v="5"/>
    <n v="0.97083333333333333"/>
    <n v="74"/>
  </r>
  <r>
    <x v="32"/>
    <x v="4616"/>
    <n v="492"/>
    <n v="345"/>
    <x v="1"/>
    <n v="147"/>
    <x v="3"/>
    <n v="0.71875"/>
    <n v="651"/>
  </r>
  <r>
    <x v="32"/>
    <x v="4617"/>
    <n v="488"/>
    <n v="480"/>
    <x v="1"/>
    <n v="8"/>
    <x v="5"/>
    <n v="1"/>
    <n v="1"/>
  </r>
  <r>
    <x v="32"/>
    <x v="4618"/>
    <n v="420"/>
    <n v="385"/>
    <x v="5"/>
    <n v="35"/>
    <x v="3"/>
    <n v="0.80208333333333337"/>
    <n v="459"/>
  </r>
  <r>
    <x v="32"/>
    <x v="4619"/>
    <n v="458"/>
    <n v="306"/>
    <x v="2"/>
    <n v="152"/>
    <x v="3"/>
    <n v="0.63749999999999996"/>
    <n v="829"/>
  </r>
  <r>
    <x v="32"/>
    <x v="4620"/>
    <n v="471"/>
    <n v="222"/>
    <x v="6"/>
    <n v="249"/>
    <x v="4"/>
    <n v="0.46250000000000002"/>
    <n v="1222"/>
  </r>
  <r>
    <x v="32"/>
    <x v="4621"/>
    <n v="387"/>
    <n v="165"/>
    <x v="4"/>
    <n v="222"/>
    <x v="0"/>
    <n v="0.34375"/>
    <n v="2028"/>
  </r>
  <r>
    <x v="32"/>
    <x v="4622"/>
    <n v="309"/>
    <n v="172"/>
    <x v="4"/>
    <n v="137"/>
    <x v="0"/>
    <n v="0.35833333333333334"/>
    <n v="1852"/>
  </r>
  <r>
    <x v="32"/>
    <x v="4623"/>
    <n v="377"/>
    <n v="360"/>
    <x v="5"/>
    <n v="17"/>
    <x v="3"/>
    <n v="0.75"/>
    <n v="574"/>
  </r>
  <r>
    <x v="32"/>
    <x v="4624"/>
    <n v="468"/>
    <n v="210"/>
    <x v="6"/>
    <n v="258"/>
    <x v="4"/>
    <n v="0.4375"/>
    <n v="1272"/>
  </r>
  <r>
    <x v="32"/>
    <x v="4625"/>
    <n v="343"/>
    <n v="331"/>
    <x v="1"/>
    <n v="12"/>
    <x v="3"/>
    <n v="0.68958333333333333"/>
    <n v="731"/>
  </r>
  <r>
    <x v="32"/>
    <x v="4626"/>
    <n v="415"/>
    <n v="346"/>
    <x v="4"/>
    <n v="69"/>
    <x v="3"/>
    <n v="0.72083333333333333"/>
    <n v="646"/>
  </r>
  <r>
    <x v="32"/>
    <x v="4627"/>
    <n v="417"/>
    <n v="359"/>
    <x v="5"/>
    <n v="58"/>
    <x v="3"/>
    <n v="0.74791666666666667"/>
    <n v="582"/>
  </r>
  <r>
    <x v="32"/>
    <x v="4628"/>
    <n v="451"/>
    <n v="315"/>
    <x v="5"/>
    <n v="136"/>
    <x v="3"/>
    <n v="0.65625"/>
    <n v="804"/>
  </r>
  <r>
    <x v="32"/>
    <x v="4629"/>
    <n v="474"/>
    <n v="459"/>
    <x v="1"/>
    <n v="15"/>
    <x v="5"/>
    <n v="0.95625000000000004"/>
    <n v="112"/>
  </r>
  <r>
    <x v="32"/>
    <x v="4630"/>
    <n v="304"/>
    <n v="249"/>
    <x v="5"/>
    <n v="55"/>
    <x v="4"/>
    <n v="0.51875000000000004"/>
    <n v="1096"/>
  </r>
  <r>
    <x v="32"/>
    <x v="4631"/>
    <n v="472"/>
    <n v="403"/>
    <x v="1"/>
    <n v="69"/>
    <x v="5"/>
    <n v="0.83958333333333335"/>
    <n v="378"/>
  </r>
  <r>
    <x v="32"/>
    <x v="4632"/>
    <n v="459"/>
    <n v="457"/>
    <x v="5"/>
    <n v="2"/>
    <x v="5"/>
    <n v="0.95208333333333328"/>
    <n v="120"/>
  </r>
  <r>
    <x v="32"/>
    <x v="4633"/>
    <n v="321"/>
    <n v="287"/>
    <x v="6"/>
    <n v="34"/>
    <x v="4"/>
    <n v="0.59791666666666665"/>
    <n v="920"/>
  </r>
  <r>
    <x v="32"/>
    <x v="4634"/>
    <n v="396"/>
    <n v="336"/>
    <x v="6"/>
    <n v="60"/>
    <x v="3"/>
    <n v="0.7"/>
    <n v="700"/>
  </r>
  <r>
    <x v="32"/>
    <x v="4635"/>
    <n v="456"/>
    <n v="202"/>
    <x v="1"/>
    <n v="254"/>
    <x v="4"/>
    <n v="0.42083333333333334"/>
    <n v="1301"/>
  </r>
  <r>
    <x v="32"/>
    <x v="4636"/>
    <n v="421"/>
    <n v="313"/>
    <x v="4"/>
    <n v="108"/>
    <x v="3"/>
    <n v="0.65208333333333335"/>
    <n v="809"/>
  </r>
  <r>
    <x v="32"/>
    <x v="4637"/>
    <n v="452"/>
    <n v="428"/>
    <x v="1"/>
    <n v="24"/>
    <x v="5"/>
    <n v="0.89166666666666672"/>
    <n v="273"/>
  </r>
  <r>
    <x v="32"/>
    <x v="4638"/>
    <n v="483"/>
    <n v="476"/>
    <x v="5"/>
    <n v="7"/>
    <x v="5"/>
    <n v="0.9916666666666667"/>
    <n v="18"/>
  </r>
  <r>
    <x v="32"/>
    <x v="4639"/>
    <n v="433"/>
    <n v="360"/>
    <x v="1"/>
    <n v="73"/>
    <x v="3"/>
    <n v="0.75"/>
    <n v="574"/>
  </r>
  <r>
    <x v="32"/>
    <x v="4640"/>
    <n v="336"/>
    <n v="171"/>
    <x v="1"/>
    <n v="165"/>
    <x v="0"/>
    <n v="0.35625000000000001"/>
    <n v="1866"/>
  </r>
  <r>
    <x v="32"/>
    <x v="4641"/>
    <n v="350"/>
    <n v="184"/>
    <x v="0"/>
    <n v="166"/>
    <x v="0"/>
    <n v="0.38333333333333336"/>
    <n v="1544"/>
  </r>
  <r>
    <x v="32"/>
    <x v="4642"/>
    <n v="500"/>
    <n v="334"/>
    <x v="5"/>
    <n v="166"/>
    <x v="3"/>
    <n v="0.6958333333333333"/>
    <n v="717"/>
  </r>
  <r>
    <x v="32"/>
    <x v="4643"/>
    <n v="402"/>
    <n v="361"/>
    <x v="5"/>
    <n v="41"/>
    <x v="3"/>
    <n v="0.75208333333333333"/>
    <n v="570"/>
  </r>
  <r>
    <x v="32"/>
    <x v="4644"/>
    <n v="492"/>
    <n v="253"/>
    <x v="2"/>
    <n v="239"/>
    <x v="4"/>
    <n v="0.52708333333333335"/>
    <n v="1080"/>
  </r>
  <r>
    <x v="32"/>
    <x v="4645"/>
    <n v="444"/>
    <n v="250"/>
    <x v="6"/>
    <n v="194"/>
    <x v="4"/>
    <n v="0.52083333333333337"/>
    <n v="1092"/>
  </r>
  <r>
    <x v="32"/>
    <x v="4646"/>
    <n v="458"/>
    <n v="452"/>
    <x v="0"/>
    <n v="6"/>
    <x v="5"/>
    <n v="0.94166666666666665"/>
    <n v="150"/>
  </r>
  <r>
    <x v="32"/>
    <x v="4647"/>
    <n v="499"/>
    <n v="305"/>
    <x v="5"/>
    <n v="194"/>
    <x v="3"/>
    <n v="0.63541666666666663"/>
    <n v="833"/>
  </r>
  <r>
    <x v="32"/>
    <x v="4648"/>
    <n v="418"/>
    <n v="417"/>
    <x v="0"/>
    <n v="1"/>
    <x v="5"/>
    <n v="0.86875000000000002"/>
    <n v="316"/>
  </r>
  <r>
    <x v="32"/>
    <x v="4649"/>
    <n v="323"/>
    <n v="164"/>
    <x v="0"/>
    <n v="159"/>
    <x v="0"/>
    <n v="0.34166666666666667"/>
    <n v="2049"/>
  </r>
  <r>
    <x v="32"/>
    <x v="4650"/>
    <n v="442"/>
    <n v="185"/>
    <x v="1"/>
    <n v="257"/>
    <x v="0"/>
    <n v="0.38541666666666669"/>
    <n v="1517"/>
  </r>
  <r>
    <x v="32"/>
    <x v="4651"/>
    <n v="450"/>
    <n v="258"/>
    <x v="2"/>
    <n v="192"/>
    <x v="4"/>
    <n v="0.53749999999999998"/>
    <n v="1052"/>
  </r>
  <r>
    <x v="32"/>
    <x v="4652"/>
    <n v="499"/>
    <n v="401"/>
    <x v="1"/>
    <n v="98"/>
    <x v="5"/>
    <n v="0.8354166666666667"/>
    <n v="388"/>
  </r>
  <r>
    <x v="32"/>
    <x v="4653"/>
    <n v="412"/>
    <n v="366"/>
    <x v="5"/>
    <n v="46"/>
    <x v="3"/>
    <n v="0.76249999999999996"/>
    <n v="555"/>
  </r>
  <r>
    <x v="32"/>
    <x v="4654"/>
    <n v="249"/>
    <n v="186"/>
    <x v="1"/>
    <n v="63"/>
    <x v="0"/>
    <n v="0.38750000000000001"/>
    <n v="1478"/>
  </r>
  <r>
    <x v="32"/>
    <x v="4655"/>
    <n v="337"/>
    <n v="239"/>
    <x v="0"/>
    <n v="98"/>
    <x v="4"/>
    <n v="0.49791666666666667"/>
    <n v="1145"/>
  </r>
  <r>
    <x v="32"/>
    <x v="4656"/>
    <n v="350"/>
    <n v="316"/>
    <x v="0"/>
    <n v="34"/>
    <x v="3"/>
    <n v="0.65833333333333333"/>
    <n v="799"/>
  </r>
  <r>
    <x v="32"/>
    <x v="4657"/>
    <n v="471"/>
    <n v="299"/>
    <x v="4"/>
    <n v="172"/>
    <x v="4"/>
    <n v="0.62291666666666667"/>
    <n v="860"/>
  </r>
  <r>
    <x v="32"/>
    <x v="4658"/>
    <n v="363"/>
    <n v="329"/>
    <x v="4"/>
    <n v="34"/>
    <x v="3"/>
    <n v="0.68541666666666667"/>
    <n v="738"/>
  </r>
  <r>
    <x v="32"/>
    <x v="4659"/>
    <n v="372"/>
    <n v="359"/>
    <x v="5"/>
    <n v="13"/>
    <x v="3"/>
    <n v="0.74791666666666667"/>
    <n v="582"/>
  </r>
  <r>
    <x v="32"/>
    <x v="4660"/>
    <n v="388"/>
    <n v="154"/>
    <x v="6"/>
    <n v="234"/>
    <x v="0"/>
    <n v="0.32083333333333336"/>
    <n v="2307"/>
  </r>
  <r>
    <x v="32"/>
    <x v="4661"/>
    <n v="433"/>
    <n v="382"/>
    <x v="5"/>
    <n v="51"/>
    <x v="3"/>
    <n v="0.79583333333333328"/>
    <n v="471"/>
  </r>
  <r>
    <x v="32"/>
    <x v="4662"/>
    <n v="495"/>
    <n v="300"/>
    <x v="2"/>
    <n v="195"/>
    <x v="4"/>
    <n v="0.625"/>
    <n v="851"/>
  </r>
  <r>
    <x v="32"/>
    <x v="4663"/>
    <n v="441"/>
    <n v="387"/>
    <x v="0"/>
    <n v="54"/>
    <x v="3"/>
    <n v="0.80625000000000002"/>
    <n v="451"/>
  </r>
  <r>
    <x v="32"/>
    <x v="4664"/>
    <n v="466"/>
    <n v="408"/>
    <x v="0"/>
    <n v="58"/>
    <x v="5"/>
    <n v="0.85"/>
    <n v="353"/>
  </r>
  <r>
    <x v="32"/>
    <x v="4665"/>
    <n v="409"/>
    <n v="185"/>
    <x v="4"/>
    <n v="224"/>
    <x v="0"/>
    <n v="0.38541666666666669"/>
    <n v="1517"/>
  </r>
  <r>
    <x v="32"/>
    <x v="4666"/>
    <n v="437"/>
    <n v="301"/>
    <x v="4"/>
    <n v="136"/>
    <x v="3"/>
    <n v="0.62708333333333333"/>
    <n v="844"/>
  </r>
  <r>
    <x v="32"/>
    <x v="4667"/>
    <n v="420"/>
    <n v="207"/>
    <x v="2"/>
    <n v="213"/>
    <x v="4"/>
    <n v="0.43125000000000002"/>
    <n v="1287"/>
  </r>
  <r>
    <x v="32"/>
    <x v="4668"/>
    <n v="404"/>
    <n v="308"/>
    <x v="1"/>
    <n v="96"/>
    <x v="3"/>
    <n v="0.64166666666666672"/>
    <n v="824"/>
  </r>
  <r>
    <x v="32"/>
    <x v="4669"/>
    <n v="458"/>
    <n v="427"/>
    <x v="5"/>
    <n v="31"/>
    <x v="5"/>
    <n v="0.88958333333333328"/>
    <n v="281"/>
  </r>
  <r>
    <x v="32"/>
    <x v="4670"/>
    <n v="387"/>
    <n v="190"/>
    <x v="1"/>
    <n v="197"/>
    <x v="0"/>
    <n v="0.39583333333333331"/>
    <n v="1355"/>
  </r>
  <r>
    <x v="32"/>
    <x v="4671"/>
    <n v="447"/>
    <n v="360"/>
    <x v="5"/>
    <n v="87"/>
    <x v="3"/>
    <n v="0.75"/>
    <n v="574"/>
  </r>
  <r>
    <x v="32"/>
    <x v="4672"/>
    <n v="427"/>
    <n v="345"/>
    <x v="5"/>
    <n v="82"/>
    <x v="3"/>
    <n v="0.71875"/>
    <n v="651"/>
  </r>
  <r>
    <x v="32"/>
    <x v="4673"/>
    <n v="333"/>
    <n v="184"/>
    <x v="3"/>
    <n v="149"/>
    <x v="0"/>
    <n v="0.38333333333333336"/>
    <n v="1544"/>
  </r>
  <r>
    <x v="32"/>
    <x v="4674"/>
    <n v="354"/>
    <n v="264"/>
    <x v="0"/>
    <n v="90"/>
    <x v="4"/>
    <n v="0.55000000000000004"/>
    <n v="1028"/>
  </r>
  <r>
    <x v="32"/>
    <x v="4675"/>
    <n v="445"/>
    <n v="365"/>
    <x v="1"/>
    <n v="80"/>
    <x v="3"/>
    <n v="0.76041666666666663"/>
    <n v="556"/>
  </r>
  <r>
    <x v="32"/>
    <x v="4676"/>
    <n v="442"/>
    <n v="394"/>
    <x v="5"/>
    <n v="48"/>
    <x v="3"/>
    <n v="0.8208333333333333"/>
    <n v="425"/>
  </r>
  <r>
    <x v="32"/>
    <x v="4677"/>
    <n v="468"/>
    <n v="343"/>
    <x v="0"/>
    <n v="125"/>
    <x v="3"/>
    <n v="0.71458333333333335"/>
    <n v="662"/>
  </r>
  <r>
    <x v="32"/>
    <x v="4678"/>
    <n v="326"/>
    <n v="286"/>
    <x v="3"/>
    <n v="40"/>
    <x v="4"/>
    <n v="0.59583333333333333"/>
    <n v="925"/>
  </r>
  <r>
    <x v="32"/>
    <x v="4679"/>
    <n v="475"/>
    <n v="244"/>
    <x v="6"/>
    <n v="231"/>
    <x v="4"/>
    <n v="0.5083333333333333"/>
    <n v="1127"/>
  </r>
  <r>
    <x v="32"/>
    <x v="4680"/>
    <n v="487"/>
    <n v="185"/>
    <x v="6"/>
    <n v="302"/>
    <x v="0"/>
    <n v="0.38541666666666669"/>
    <n v="1517"/>
  </r>
  <r>
    <x v="32"/>
    <x v="4681"/>
    <n v="419"/>
    <n v="381"/>
    <x v="5"/>
    <n v="38"/>
    <x v="3"/>
    <n v="0.79374999999999996"/>
    <n v="478"/>
  </r>
  <r>
    <x v="32"/>
    <x v="4682"/>
    <n v="497"/>
    <n v="451"/>
    <x v="5"/>
    <n v="46"/>
    <x v="5"/>
    <n v="0.93958333333333333"/>
    <n v="158"/>
  </r>
  <r>
    <x v="32"/>
    <x v="3696"/>
    <n v="487"/>
    <n v="381"/>
    <x v="0"/>
    <n v="106"/>
    <x v="3"/>
    <n v="0.79374999999999996"/>
    <n v="478"/>
  </r>
  <r>
    <x v="32"/>
    <x v="3697"/>
    <n v="489"/>
    <n v="379"/>
    <x v="5"/>
    <n v="110"/>
    <x v="3"/>
    <n v="0.7895833333333333"/>
    <n v="485"/>
  </r>
  <r>
    <x v="32"/>
    <x v="3698"/>
    <n v="454"/>
    <n v="206"/>
    <x v="6"/>
    <n v="248"/>
    <x v="4"/>
    <n v="0.42916666666666664"/>
    <n v="1294"/>
  </r>
  <r>
    <x v="32"/>
    <x v="3699"/>
    <n v="393"/>
    <n v="223"/>
    <x v="5"/>
    <n v="170"/>
    <x v="4"/>
    <n v="0.46458333333333335"/>
    <n v="1220"/>
  </r>
  <r>
    <x v="32"/>
    <x v="3700"/>
    <n v="487"/>
    <n v="473"/>
    <x v="1"/>
    <n v="14"/>
    <x v="5"/>
    <n v="0.98541666666666672"/>
    <n v="33"/>
  </r>
  <r>
    <x v="32"/>
    <x v="3701"/>
    <n v="410"/>
    <n v="400"/>
    <x v="1"/>
    <n v="10"/>
    <x v="3"/>
    <n v="0.83333333333333337"/>
    <n v="392"/>
  </r>
  <r>
    <x v="32"/>
    <x v="3702"/>
    <n v="484"/>
    <n v="443"/>
    <x v="5"/>
    <n v="41"/>
    <x v="5"/>
    <n v="0.92291666666666672"/>
    <n v="188"/>
  </r>
  <r>
    <x v="32"/>
    <x v="4683"/>
    <n v="447"/>
    <n v="296"/>
    <x v="3"/>
    <n v="151"/>
    <x v="4"/>
    <n v="0.6166666666666667"/>
    <n v="874"/>
  </r>
  <r>
    <x v="32"/>
    <x v="4684"/>
    <n v="473"/>
    <n v="310"/>
    <x v="3"/>
    <n v="163"/>
    <x v="3"/>
    <n v="0.64583333333333337"/>
    <n v="818"/>
  </r>
  <r>
    <x v="32"/>
    <x v="4685"/>
    <n v="453"/>
    <n v="319"/>
    <x v="2"/>
    <n v="134"/>
    <x v="3"/>
    <n v="0.6645833333333333"/>
    <n v="782"/>
  </r>
  <r>
    <x v="32"/>
    <x v="4686"/>
    <n v="491"/>
    <n v="468"/>
    <x v="5"/>
    <n v="23"/>
    <x v="5"/>
    <n v="0.97499999999999998"/>
    <n v="66"/>
  </r>
  <r>
    <x v="32"/>
    <x v="4687"/>
    <n v="460"/>
    <n v="330"/>
    <x v="4"/>
    <n v="130"/>
    <x v="3"/>
    <n v="0.6875"/>
    <n v="734"/>
  </r>
  <r>
    <x v="32"/>
    <x v="4688"/>
    <n v="230"/>
    <n v="193"/>
    <x v="1"/>
    <n v="37"/>
    <x v="0"/>
    <n v="0.40208333333333335"/>
    <n v="1342"/>
  </r>
  <r>
    <x v="32"/>
    <x v="4689"/>
    <n v="478"/>
    <n v="352"/>
    <x v="0"/>
    <n v="126"/>
    <x v="3"/>
    <n v="0.73333333333333328"/>
    <n v="614"/>
  </r>
  <r>
    <x v="32"/>
    <x v="4690"/>
    <n v="469"/>
    <n v="467"/>
    <x v="0"/>
    <n v="2"/>
    <x v="5"/>
    <n v="0.97291666666666665"/>
    <n v="70"/>
  </r>
  <r>
    <x v="32"/>
    <x v="4691"/>
    <n v="480"/>
    <n v="480"/>
    <x v="0"/>
    <n v="0"/>
    <x v="5"/>
    <n v="1"/>
    <n v="1"/>
  </r>
  <r>
    <x v="32"/>
    <x v="4692"/>
    <n v="492"/>
    <n v="442"/>
    <x v="1"/>
    <n v="50"/>
    <x v="5"/>
    <n v="0.92083333333333328"/>
    <n v="198"/>
  </r>
  <r>
    <x v="32"/>
    <x v="4693"/>
    <n v="478"/>
    <n v="468"/>
    <x v="5"/>
    <n v="10"/>
    <x v="5"/>
    <n v="0.97499999999999998"/>
    <n v="66"/>
  </r>
  <r>
    <x v="32"/>
    <x v="4694"/>
    <n v="300"/>
    <n v="299"/>
    <x v="2"/>
    <n v="1"/>
    <x v="4"/>
    <n v="0.62291666666666667"/>
    <n v="860"/>
  </r>
  <r>
    <x v="32"/>
    <x v="4695"/>
    <n v="450"/>
    <n v="246"/>
    <x v="1"/>
    <n v="204"/>
    <x v="4"/>
    <n v="0.51249999999999996"/>
    <n v="1118"/>
  </r>
  <r>
    <x v="32"/>
    <x v="4696"/>
    <n v="318"/>
    <n v="248"/>
    <x v="2"/>
    <n v="70"/>
    <x v="4"/>
    <n v="0.51666666666666672"/>
    <n v="1104"/>
  </r>
  <r>
    <x v="32"/>
    <x v="4697"/>
    <n v="426"/>
    <n v="378"/>
    <x v="5"/>
    <n v="48"/>
    <x v="3"/>
    <n v="0.78749999999999998"/>
    <n v="493"/>
  </r>
  <r>
    <x v="32"/>
    <x v="4698"/>
    <n v="285"/>
    <n v="265"/>
    <x v="3"/>
    <n v="20"/>
    <x v="4"/>
    <n v="0.55208333333333337"/>
    <n v="1022"/>
  </r>
  <r>
    <x v="32"/>
    <x v="4699"/>
    <n v="460"/>
    <n v="399"/>
    <x v="5"/>
    <n v="61"/>
    <x v="3"/>
    <n v="0.83125000000000004"/>
    <n v="399"/>
  </r>
  <r>
    <x v="32"/>
    <x v="4700"/>
    <n v="437"/>
    <n v="436"/>
    <x v="1"/>
    <n v="1"/>
    <x v="5"/>
    <n v="0.90833333333333333"/>
    <n v="230"/>
  </r>
  <r>
    <x v="32"/>
    <x v="4701"/>
    <n v="489"/>
    <n v="410"/>
    <x v="5"/>
    <n v="79"/>
    <x v="5"/>
    <n v="0.85416666666666663"/>
    <n v="341"/>
  </r>
  <r>
    <x v="32"/>
    <x v="4702"/>
    <n v="491"/>
    <n v="237"/>
    <x v="4"/>
    <n v="254"/>
    <x v="4"/>
    <n v="0.49375000000000002"/>
    <n v="1157"/>
  </r>
  <r>
    <x v="32"/>
    <x v="4703"/>
    <n v="444"/>
    <n v="393"/>
    <x v="5"/>
    <n v="51"/>
    <x v="3"/>
    <n v="0.81874999999999998"/>
    <n v="428"/>
  </r>
  <r>
    <x v="32"/>
    <x v="4704"/>
    <n v="349"/>
    <n v="279"/>
    <x v="2"/>
    <n v="70"/>
    <x v="4"/>
    <n v="0.58125000000000004"/>
    <n v="957"/>
  </r>
  <r>
    <x v="32"/>
    <x v="4705"/>
    <n v="417"/>
    <n v="377"/>
    <x v="0"/>
    <n v="40"/>
    <x v="3"/>
    <n v="0.78541666666666665"/>
    <n v="500"/>
  </r>
  <r>
    <x v="32"/>
    <x v="4706"/>
    <n v="453"/>
    <n v="402"/>
    <x v="0"/>
    <n v="51"/>
    <x v="5"/>
    <n v="0.83750000000000002"/>
    <n v="386"/>
  </r>
  <r>
    <x v="32"/>
    <x v="4707"/>
    <n v="286"/>
    <n v="254"/>
    <x v="2"/>
    <n v="32"/>
    <x v="4"/>
    <n v="0.52916666666666667"/>
    <n v="1073"/>
  </r>
  <r>
    <x v="32"/>
    <x v="4708"/>
    <n v="424"/>
    <n v="282"/>
    <x v="5"/>
    <n v="142"/>
    <x v="4"/>
    <n v="0.58750000000000002"/>
    <n v="938"/>
  </r>
  <r>
    <x v="32"/>
    <x v="4709"/>
    <n v="426"/>
    <n v="186"/>
    <x v="4"/>
    <n v="240"/>
    <x v="0"/>
    <n v="0.38750000000000001"/>
    <n v="1478"/>
  </r>
  <r>
    <x v="32"/>
    <x v="4710"/>
    <n v="484"/>
    <n v="371"/>
    <x v="5"/>
    <n v="113"/>
    <x v="3"/>
    <n v="0.7729166666666667"/>
    <n v="533"/>
  </r>
  <r>
    <x v="32"/>
    <x v="4711"/>
    <n v="394"/>
    <n v="317"/>
    <x v="1"/>
    <n v="77"/>
    <x v="3"/>
    <n v="0.66041666666666665"/>
    <n v="791"/>
  </r>
  <r>
    <x v="32"/>
    <x v="4712"/>
    <n v="449"/>
    <n v="283"/>
    <x v="4"/>
    <n v="166"/>
    <x v="4"/>
    <n v="0.58958333333333335"/>
    <n v="933"/>
  </r>
  <r>
    <x v="32"/>
    <x v="4713"/>
    <n v="419"/>
    <n v="248"/>
    <x v="1"/>
    <n v="171"/>
    <x v="4"/>
    <n v="0.51666666666666672"/>
    <n v="1104"/>
  </r>
  <r>
    <x v="32"/>
    <x v="4714"/>
    <n v="325"/>
    <n v="286"/>
    <x v="1"/>
    <n v="39"/>
    <x v="4"/>
    <n v="0.59583333333333333"/>
    <n v="925"/>
  </r>
  <r>
    <x v="32"/>
    <x v="4715"/>
    <n v="284"/>
    <n v="275"/>
    <x v="6"/>
    <n v="9"/>
    <x v="4"/>
    <n v="0.57291666666666663"/>
    <n v="980"/>
  </r>
  <r>
    <x v="32"/>
    <x v="4716"/>
    <n v="404"/>
    <n v="386"/>
    <x v="0"/>
    <n v="18"/>
    <x v="3"/>
    <n v="0.8041666666666667"/>
    <n v="456"/>
  </r>
  <r>
    <x v="32"/>
    <x v="4717"/>
    <n v="401"/>
    <n v="170"/>
    <x v="1"/>
    <n v="231"/>
    <x v="0"/>
    <n v="0.35416666666666669"/>
    <n v="1898"/>
  </r>
  <r>
    <x v="32"/>
    <x v="4718"/>
    <n v="344"/>
    <n v="246"/>
    <x v="4"/>
    <n v="98"/>
    <x v="4"/>
    <n v="0.51249999999999996"/>
    <n v="1118"/>
  </r>
  <r>
    <x v="32"/>
    <x v="4719"/>
    <n v="253"/>
    <n v="203"/>
    <x v="6"/>
    <n v="50"/>
    <x v="4"/>
    <n v="0.42291666666666666"/>
    <n v="1299"/>
  </r>
  <r>
    <x v="32"/>
    <x v="4720"/>
    <n v="466"/>
    <n v="396"/>
    <x v="0"/>
    <n v="70"/>
    <x v="3"/>
    <n v="0.82499999999999996"/>
    <n v="415"/>
  </r>
  <r>
    <x v="32"/>
    <x v="4721"/>
    <n v="174"/>
    <n v="165"/>
    <x v="5"/>
    <n v="9"/>
    <x v="0"/>
    <n v="0.34375"/>
    <n v="2028"/>
  </r>
  <r>
    <x v="32"/>
    <x v="4722"/>
    <n v="328"/>
    <n v="249"/>
    <x v="6"/>
    <n v="79"/>
    <x v="4"/>
    <n v="0.51875000000000004"/>
    <n v="1096"/>
  </r>
  <r>
    <x v="32"/>
    <x v="4723"/>
    <n v="420"/>
    <n v="283"/>
    <x v="1"/>
    <n v="137"/>
    <x v="4"/>
    <n v="0.58958333333333335"/>
    <n v="933"/>
  </r>
  <r>
    <x v="32"/>
    <x v="4724"/>
    <n v="399"/>
    <n v="395"/>
    <x v="5"/>
    <n v="4"/>
    <x v="3"/>
    <n v="0.82291666666666663"/>
    <n v="420"/>
  </r>
  <r>
    <x v="32"/>
    <x v="4725"/>
    <n v="439"/>
    <n v="405"/>
    <x v="0"/>
    <n v="34"/>
    <x v="5"/>
    <n v="0.84375"/>
    <n v="370"/>
  </r>
  <r>
    <x v="32"/>
    <x v="4726"/>
    <n v="492"/>
    <n v="358"/>
    <x v="0"/>
    <n v="134"/>
    <x v="3"/>
    <n v="0.74583333333333335"/>
    <n v="586"/>
  </r>
  <r>
    <x v="32"/>
    <x v="4727"/>
    <n v="444"/>
    <n v="407"/>
    <x v="5"/>
    <n v="37"/>
    <x v="5"/>
    <n v="0.84791666666666665"/>
    <n v="354"/>
  </r>
  <r>
    <x v="32"/>
    <x v="4728"/>
    <n v="486"/>
    <n v="349"/>
    <x v="0"/>
    <n v="137"/>
    <x v="3"/>
    <n v="0.7270833333333333"/>
    <n v="631"/>
  </r>
  <r>
    <x v="32"/>
    <x v="4729"/>
    <n v="367"/>
    <n v="311"/>
    <x v="0"/>
    <n v="56"/>
    <x v="3"/>
    <n v="0.6479166666666667"/>
    <n v="815"/>
  </r>
  <r>
    <x v="32"/>
    <x v="4730"/>
    <n v="461"/>
    <n v="407"/>
    <x v="5"/>
    <n v="54"/>
    <x v="5"/>
    <n v="0.84791666666666665"/>
    <n v="354"/>
  </r>
  <r>
    <x v="32"/>
    <x v="4731"/>
    <n v="439"/>
    <n v="224"/>
    <x v="0"/>
    <n v="215"/>
    <x v="4"/>
    <n v="0.46666666666666667"/>
    <n v="1211"/>
  </r>
  <r>
    <x v="32"/>
    <x v="4732"/>
    <n v="457"/>
    <n v="410"/>
    <x v="1"/>
    <n v="47"/>
    <x v="5"/>
    <n v="0.85416666666666663"/>
    <n v="341"/>
  </r>
  <r>
    <x v="32"/>
    <x v="4733"/>
    <n v="471"/>
    <n v="256"/>
    <x v="4"/>
    <n v="215"/>
    <x v="4"/>
    <n v="0.53333333333333333"/>
    <n v="1063"/>
  </r>
  <r>
    <x v="32"/>
    <x v="4734"/>
    <n v="268"/>
    <n v="168"/>
    <x v="6"/>
    <n v="100"/>
    <x v="0"/>
    <n v="0.35"/>
    <n v="1954"/>
  </r>
  <r>
    <x v="32"/>
    <x v="4735"/>
    <n v="317"/>
    <n v="263"/>
    <x v="1"/>
    <n v="54"/>
    <x v="4"/>
    <n v="0.54791666666666672"/>
    <n v="1031"/>
  </r>
  <r>
    <x v="32"/>
    <x v="4736"/>
    <n v="419"/>
    <n v="190"/>
    <x v="0"/>
    <n v="229"/>
    <x v="0"/>
    <n v="0.39583333333333331"/>
    <n v="1355"/>
  </r>
  <r>
    <x v="32"/>
    <x v="4737"/>
    <n v="364"/>
    <n v="353"/>
    <x v="1"/>
    <n v="11"/>
    <x v="3"/>
    <n v="0.73541666666666672"/>
    <n v="611"/>
  </r>
  <r>
    <x v="32"/>
    <x v="4738"/>
    <n v="469"/>
    <n v="423"/>
    <x v="0"/>
    <n v="46"/>
    <x v="5"/>
    <n v="0.88124999999999998"/>
    <n v="295"/>
  </r>
  <r>
    <x v="32"/>
    <x v="4739"/>
    <n v="438"/>
    <n v="392"/>
    <x v="5"/>
    <n v="46"/>
    <x v="3"/>
    <n v="0.81666666666666665"/>
    <n v="431"/>
  </r>
  <r>
    <x v="32"/>
    <x v="4740"/>
    <n v="468"/>
    <n v="390"/>
    <x v="1"/>
    <n v="78"/>
    <x v="3"/>
    <n v="0.8125"/>
    <n v="441"/>
  </r>
  <r>
    <x v="32"/>
    <x v="4741"/>
    <n v="456"/>
    <n v="376"/>
    <x v="1"/>
    <n v="80"/>
    <x v="3"/>
    <n v="0.78333333333333333"/>
    <n v="507"/>
  </r>
  <r>
    <x v="32"/>
    <x v="4742"/>
    <n v="471"/>
    <n v="199"/>
    <x v="1"/>
    <n v="272"/>
    <x v="0"/>
    <n v="0.41458333333333336"/>
    <n v="1314"/>
  </r>
  <r>
    <x v="32"/>
    <x v="4743"/>
    <n v="353"/>
    <n v="294"/>
    <x v="0"/>
    <n v="59"/>
    <x v="4"/>
    <n v="0.61250000000000004"/>
    <n v="884"/>
  </r>
  <r>
    <x v="32"/>
    <x v="4744"/>
    <n v="322"/>
    <n v="225"/>
    <x v="2"/>
    <n v="97"/>
    <x v="4"/>
    <n v="0.46875"/>
    <n v="1204"/>
  </r>
  <r>
    <x v="32"/>
    <x v="4745"/>
    <n v="430"/>
    <n v="386"/>
    <x v="0"/>
    <n v="44"/>
    <x v="3"/>
    <n v="0.8041666666666667"/>
    <n v="456"/>
  </r>
  <r>
    <x v="32"/>
    <x v="4746"/>
    <n v="412"/>
    <n v="355"/>
    <x v="0"/>
    <n v="57"/>
    <x v="3"/>
    <n v="0.73958333333333337"/>
    <n v="600"/>
  </r>
  <r>
    <x v="32"/>
    <x v="4747"/>
    <n v="329"/>
    <n v="277"/>
    <x v="3"/>
    <n v="52"/>
    <x v="4"/>
    <n v="0.57708333333333328"/>
    <n v="968"/>
  </r>
  <r>
    <x v="32"/>
    <x v="4748"/>
    <n v="498"/>
    <n v="150"/>
    <x v="0"/>
    <n v="348"/>
    <x v="0"/>
    <n v="0.3125"/>
    <n v="2400"/>
  </r>
  <r>
    <x v="32"/>
    <x v="4749"/>
    <n v="466"/>
    <n v="302"/>
    <x v="2"/>
    <n v="164"/>
    <x v="3"/>
    <n v="0.62916666666666665"/>
    <n v="839"/>
  </r>
  <r>
    <x v="32"/>
    <x v="4750"/>
    <n v="499"/>
    <n v="462"/>
    <x v="1"/>
    <n v="37"/>
    <x v="5"/>
    <n v="0.96250000000000002"/>
    <n v="92"/>
  </r>
  <r>
    <x v="32"/>
    <x v="4751"/>
    <n v="486"/>
    <n v="430"/>
    <x v="1"/>
    <n v="56"/>
    <x v="5"/>
    <n v="0.89583333333333337"/>
    <n v="263"/>
  </r>
  <r>
    <x v="32"/>
    <x v="4752"/>
    <n v="482"/>
    <n v="427"/>
    <x v="5"/>
    <n v="55"/>
    <x v="5"/>
    <n v="0.88958333333333328"/>
    <n v="281"/>
  </r>
  <r>
    <x v="32"/>
    <x v="4753"/>
    <n v="490"/>
    <n v="426"/>
    <x v="5"/>
    <n v="64"/>
    <x v="5"/>
    <n v="0.88749999999999996"/>
    <n v="288"/>
  </r>
  <r>
    <x v="32"/>
    <x v="4754"/>
    <n v="457"/>
    <n v="438"/>
    <x v="5"/>
    <n v="19"/>
    <x v="5"/>
    <n v="0.91249999999999998"/>
    <n v="218"/>
  </r>
  <r>
    <x v="32"/>
    <x v="4755"/>
    <n v="263"/>
    <n v="178"/>
    <x v="6"/>
    <n v="85"/>
    <x v="0"/>
    <n v="0.37083333333333335"/>
    <n v="1702"/>
  </r>
  <r>
    <x v="32"/>
    <x v="4756"/>
    <n v="459"/>
    <n v="392"/>
    <x v="5"/>
    <n v="67"/>
    <x v="3"/>
    <n v="0.81666666666666665"/>
    <n v="431"/>
  </r>
  <r>
    <x v="32"/>
    <x v="4757"/>
    <n v="489"/>
    <n v="467"/>
    <x v="5"/>
    <n v="22"/>
    <x v="5"/>
    <n v="0.97291666666666665"/>
    <n v="70"/>
  </r>
  <r>
    <x v="32"/>
    <x v="4758"/>
    <n v="434"/>
    <n v="350"/>
    <x v="6"/>
    <n v="84"/>
    <x v="3"/>
    <n v="0.72916666666666663"/>
    <n v="621"/>
  </r>
  <r>
    <x v="32"/>
    <x v="4759"/>
    <n v="386"/>
    <n v="365"/>
    <x v="5"/>
    <n v="21"/>
    <x v="3"/>
    <n v="0.76041666666666663"/>
    <n v="556"/>
  </r>
  <r>
    <x v="32"/>
    <x v="4760"/>
    <n v="495"/>
    <n v="429"/>
    <x v="1"/>
    <n v="66"/>
    <x v="5"/>
    <n v="0.89375000000000004"/>
    <n v="270"/>
  </r>
  <r>
    <x v="32"/>
    <x v="4761"/>
    <n v="444"/>
    <n v="362"/>
    <x v="0"/>
    <n v="82"/>
    <x v="3"/>
    <n v="0.75416666666666665"/>
    <n v="567"/>
  </r>
  <r>
    <x v="32"/>
    <x v="4762"/>
    <n v="301"/>
    <n v="258"/>
    <x v="6"/>
    <n v="43"/>
    <x v="4"/>
    <n v="0.53749999999999998"/>
    <n v="1052"/>
  </r>
  <r>
    <x v="32"/>
    <x v="4763"/>
    <n v="395"/>
    <n v="319"/>
    <x v="5"/>
    <n v="76"/>
    <x v="3"/>
    <n v="0.6645833333333333"/>
    <n v="782"/>
  </r>
  <r>
    <x v="32"/>
    <x v="4764"/>
    <n v="361"/>
    <n v="357"/>
    <x v="5"/>
    <n v="4"/>
    <x v="3"/>
    <n v="0.74375000000000002"/>
    <n v="592"/>
  </r>
  <r>
    <x v="32"/>
    <x v="4765"/>
    <n v="385"/>
    <n v="344"/>
    <x v="5"/>
    <n v="41"/>
    <x v="3"/>
    <n v="0.71666666666666667"/>
    <n v="656"/>
  </r>
  <r>
    <x v="32"/>
    <x v="4766"/>
    <n v="481"/>
    <n v="300"/>
    <x v="0"/>
    <n v="181"/>
    <x v="4"/>
    <n v="0.625"/>
    <n v="851"/>
  </r>
  <r>
    <x v="32"/>
    <x v="4767"/>
    <n v="449"/>
    <n v="401"/>
    <x v="1"/>
    <n v="48"/>
    <x v="5"/>
    <n v="0.8354166666666667"/>
    <n v="388"/>
  </r>
  <r>
    <x v="32"/>
    <x v="4768"/>
    <n v="473"/>
    <n v="470"/>
    <x v="1"/>
    <n v="3"/>
    <x v="5"/>
    <n v="0.97916666666666663"/>
    <n v="53"/>
  </r>
  <r>
    <x v="32"/>
    <x v="4769"/>
    <n v="489"/>
    <n v="406"/>
    <x v="0"/>
    <n v="83"/>
    <x v="5"/>
    <n v="0.84583333333333333"/>
    <n v="366"/>
  </r>
  <r>
    <x v="32"/>
    <x v="4770"/>
    <n v="497"/>
    <n v="231"/>
    <x v="3"/>
    <n v="266"/>
    <x v="4"/>
    <n v="0.48125000000000001"/>
    <n v="1179"/>
  </r>
  <r>
    <x v="32"/>
    <x v="4771"/>
    <n v="275"/>
    <n v="236"/>
    <x v="4"/>
    <n v="39"/>
    <x v="4"/>
    <n v="0.49166666666666664"/>
    <n v="1162"/>
  </r>
  <r>
    <x v="32"/>
    <x v="4772"/>
    <n v="290"/>
    <n v="179"/>
    <x v="0"/>
    <n v="111"/>
    <x v="0"/>
    <n v="0.37291666666666667"/>
    <n v="1667"/>
  </r>
  <r>
    <x v="32"/>
    <x v="4773"/>
    <n v="470"/>
    <n v="431"/>
    <x v="1"/>
    <n v="39"/>
    <x v="5"/>
    <n v="0.8979166666666667"/>
    <n v="260"/>
  </r>
  <r>
    <x v="32"/>
    <x v="4774"/>
    <n v="309"/>
    <n v="198"/>
    <x v="3"/>
    <n v="111"/>
    <x v="0"/>
    <n v="0.41249999999999998"/>
    <n v="1319"/>
  </r>
  <r>
    <x v="32"/>
    <x v="4775"/>
    <n v="468"/>
    <n v="225"/>
    <x v="5"/>
    <n v="243"/>
    <x v="4"/>
    <n v="0.46875"/>
    <n v="1204"/>
  </r>
  <r>
    <x v="32"/>
    <x v="4776"/>
    <n v="257"/>
    <n v="235"/>
    <x v="2"/>
    <n v="22"/>
    <x v="4"/>
    <n v="0.48958333333333331"/>
    <n v="1166"/>
  </r>
  <r>
    <x v="32"/>
    <x v="4777"/>
    <n v="488"/>
    <n v="307"/>
    <x v="3"/>
    <n v="181"/>
    <x v="3"/>
    <n v="0.63958333333333328"/>
    <n v="828"/>
  </r>
  <r>
    <x v="32"/>
    <x v="4778"/>
    <n v="391"/>
    <n v="327"/>
    <x v="3"/>
    <n v="64"/>
    <x v="3"/>
    <n v="0.68125000000000002"/>
    <n v="744"/>
  </r>
  <r>
    <x v="32"/>
    <x v="4779"/>
    <n v="267"/>
    <n v="241"/>
    <x v="0"/>
    <n v="26"/>
    <x v="4"/>
    <n v="0.50208333333333333"/>
    <n v="1139"/>
  </r>
  <r>
    <x v="32"/>
    <x v="4780"/>
    <n v="451"/>
    <n v="253"/>
    <x v="6"/>
    <n v="198"/>
    <x v="4"/>
    <n v="0.52708333333333335"/>
    <n v="1080"/>
  </r>
  <r>
    <x v="33"/>
    <x v="4781"/>
    <n v="217"/>
    <n v="178"/>
    <x v="4"/>
    <n v="39"/>
    <x v="0"/>
    <n v="0.37083333333333335"/>
    <n v="1702"/>
  </r>
  <r>
    <x v="33"/>
    <x v="4782"/>
    <n v="148"/>
    <n v="128"/>
    <x v="0"/>
    <n v="20"/>
    <x v="0"/>
    <n v="0.26666666666666666"/>
    <n v="2872"/>
  </r>
  <r>
    <x v="33"/>
    <x v="4783"/>
    <n v="146"/>
    <n v="34"/>
    <x v="4"/>
    <n v="112"/>
    <x v="2"/>
    <n v="7.0833333333333331E-2"/>
    <n v="4944"/>
  </r>
  <r>
    <x v="33"/>
    <x v="4784"/>
    <n v="287"/>
    <n v="176"/>
    <x v="5"/>
    <n v="111"/>
    <x v="0"/>
    <n v="0.36666666666666664"/>
    <n v="1754"/>
  </r>
  <r>
    <x v="33"/>
    <x v="4785"/>
    <n v="312"/>
    <n v="128"/>
    <x v="5"/>
    <n v="184"/>
    <x v="0"/>
    <n v="0.26666666666666666"/>
    <n v="2872"/>
  </r>
  <r>
    <x v="33"/>
    <x v="4786"/>
    <n v="231"/>
    <n v="165"/>
    <x v="1"/>
    <n v="66"/>
    <x v="0"/>
    <n v="0.34375"/>
    <n v="2028"/>
  </r>
  <r>
    <x v="33"/>
    <x v="4787"/>
    <n v="297"/>
    <n v="46"/>
    <x v="3"/>
    <n v="251"/>
    <x v="2"/>
    <n v="9.583333333333334E-2"/>
    <n v="4680"/>
  </r>
  <r>
    <x v="33"/>
    <x v="4788"/>
    <n v="181"/>
    <n v="125"/>
    <x v="6"/>
    <n v="56"/>
    <x v="0"/>
    <n v="0.26041666666666669"/>
    <n v="2951"/>
  </r>
  <r>
    <x v="33"/>
    <x v="4789"/>
    <n v="131"/>
    <n v="107"/>
    <x v="6"/>
    <n v="24"/>
    <x v="0"/>
    <n v="0.22291666666666668"/>
    <n v="3387"/>
  </r>
  <r>
    <x v="33"/>
    <x v="4790"/>
    <n v="281"/>
    <n v="125"/>
    <x v="6"/>
    <n v="156"/>
    <x v="0"/>
    <n v="0.26041666666666669"/>
    <n v="2951"/>
  </r>
  <r>
    <x v="33"/>
    <x v="4791"/>
    <n v="183"/>
    <n v="94"/>
    <x v="2"/>
    <n v="89"/>
    <x v="1"/>
    <n v="0.19583333333333333"/>
    <n v="3654"/>
  </r>
  <r>
    <x v="33"/>
    <x v="4792"/>
    <n v="240"/>
    <n v="65"/>
    <x v="0"/>
    <n v="175"/>
    <x v="1"/>
    <n v="0.13541666666666666"/>
    <n v="4267"/>
  </r>
  <r>
    <x v="33"/>
    <x v="4793"/>
    <n v="258"/>
    <n v="177"/>
    <x v="3"/>
    <n v="81"/>
    <x v="0"/>
    <n v="0.36875000000000002"/>
    <n v="1733"/>
  </r>
  <r>
    <x v="33"/>
    <x v="4794"/>
    <n v="100"/>
    <n v="93"/>
    <x v="1"/>
    <n v="7"/>
    <x v="1"/>
    <n v="0.19375000000000001"/>
    <n v="3678"/>
  </r>
  <r>
    <x v="33"/>
    <x v="4795"/>
    <n v="187"/>
    <n v="169"/>
    <x v="1"/>
    <n v="18"/>
    <x v="0"/>
    <n v="0.35208333333333336"/>
    <n v="1925"/>
  </r>
  <r>
    <x v="33"/>
    <x v="4796"/>
    <n v="253"/>
    <n v="34"/>
    <x v="1"/>
    <n v="219"/>
    <x v="2"/>
    <n v="7.0833333333333331E-2"/>
    <n v="4944"/>
  </r>
  <r>
    <x v="33"/>
    <x v="4797"/>
    <n v="225"/>
    <n v="143"/>
    <x v="0"/>
    <n v="82"/>
    <x v="0"/>
    <n v="0.29791666666666666"/>
    <n v="2567"/>
  </r>
  <r>
    <x v="33"/>
    <x v="4798"/>
    <n v="270"/>
    <n v="112"/>
    <x v="5"/>
    <n v="158"/>
    <x v="0"/>
    <n v="0.23333333333333334"/>
    <n v="3267"/>
  </r>
  <r>
    <x v="33"/>
    <x v="4799"/>
    <n v="205"/>
    <n v="96"/>
    <x v="3"/>
    <n v="109"/>
    <x v="1"/>
    <n v="0.2"/>
    <n v="3616"/>
  </r>
  <r>
    <x v="33"/>
    <x v="4800"/>
    <n v="198"/>
    <n v="145"/>
    <x v="5"/>
    <n v="53"/>
    <x v="0"/>
    <n v="0.30208333333333331"/>
    <n v="2526"/>
  </r>
  <r>
    <x v="33"/>
    <x v="4801"/>
    <n v="267"/>
    <n v="160"/>
    <x v="0"/>
    <n v="107"/>
    <x v="0"/>
    <n v="0.33333333333333331"/>
    <n v="2154"/>
  </r>
  <r>
    <x v="33"/>
    <x v="4802"/>
    <n v="213"/>
    <n v="43"/>
    <x v="3"/>
    <n v="170"/>
    <x v="2"/>
    <n v="8.9583333333333334E-2"/>
    <n v="4752"/>
  </r>
  <r>
    <x v="33"/>
    <x v="4803"/>
    <n v="307"/>
    <n v="125"/>
    <x v="2"/>
    <n v="182"/>
    <x v="0"/>
    <n v="0.26041666666666669"/>
    <n v="2951"/>
  </r>
  <r>
    <x v="33"/>
    <x v="4804"/>
    <n v="235"/>
    <n v="153"/>
    <x v="0"/>
    <n v="82"/>
    <x v="0"/>
    <n v="0.31874999999999998"/>
    <n v="2329"/>
  </r>
  <r>
    <x v="33"/>
    <x v="4805"/>
    <n v="142"/>
    <n v="54"/>
    <x v="1"/>
    <n v="88"/>
    <x v="1"/>
    <n v="0.1125"/>
    <n v="4523"/>
  </r>
  <r>
    <x v="33"/>
    <x v="4806"/>
    <n v="214"/>
    <n v="81"/>
    <x v="1"/>
    <n v="133"/>
    <x v="1"/>
    <n v="0.16875000000000001"/>
    <n v="3923"/>
  </r>
  <r>
    <x v="33"/>
    <x v="4807"/>
    <n v="235"/>
    <n v="115"/>
    <x v="2"/>
    <n v="120"/>
    <x v="0"/>
    <n v="0.23958333333333334"/>
    <n v="3206"/>
  </r>
  <r>
    <x v="33"/>
    <x v="4808"/>
    <n v="215"/>
    <n v="56"/>
    <x v="3"/>
    <n v="159"/>
    <x v="1"/>
    <n v="0.11666666666666667"/>
    <n v="4474"/>
  </r>
  <r>
    <x v="33"/>
    <x v="4809"/>
    <n v="139"/>
    <n v="130"/>
    <x v="1"/>
    <n v="9"/>
    <x v="0"/>
    <n v="0.27083333333333331"/>
    <n v="2832"/>
  </r>
  <r>
    <x v="33"/>
    <x v="4810"/>
    <n v="315"/>
    <n v="124"/>
    <x v="4"/>
    <n v="191"/>
    <x v="0"/>
    <n v="0.25833333333333336"/>
    <n v="2971"/>
  </r>
  <r>
    <x v="33"/>
    <x v="4811"/>
    <n v="70"/>
    <n v="58"/>
    <x v="4"/>
    <n v="12"/>
    <x v="1"/>
    <n v="0.12083333333333333"/>
    <n v="4431"/>
  </r>
  <r>
    <x v="33"/>
    <x v="4812"/>
    <n v="178"/>
    <n v="31"/>
    <x v="1"/>
    <n v="147"/>
    <x v="2"/>
    <n v="6.458333333333334E-2"/>
    <n v="5016"/>
  </r>
  <r>
    <x v="33"/>
    <x v="4813"/>
    <n v="293"/>
    <n v="156"/>
    <x v="6"/>
    <n v="137"/>
    <x v="0"/>
    <n v="0.32500000000000001"/>
    <n v="2251"/>
  </r>
  <r>
    <x v="33"/>
    <x v="4814"/>
    <n v="290"/>
    <n v="81"/>
    <x v="4"/>
    <n v="209"/>
    <x v="1"/>
    <n v="0.16875000000000001"/>
    <n v="3923"/>
  </r>
  <r>
    <x v="33"/>
    <x v="4815"/>
    <n v="170"/>
    <n v="118"/>
    <x v="5"/>
    <n v="52"/>
    <x v="0"/>
    <n v="0.24583333333333332"/>
    <n v="3122"/>
  </r>
  <r>
    <x v="33"/>
    <x v="4816"/>
    <n v="188"/>
    <n v="148"/>
    <x v="0"/>
    <n v="40"/>
    <x v="0"/>
    <n v="0.30833333333333335"/>
    <n v="2446"/>
  </r>
  <r>
    <x v="33"/>
    <x v="4817"/>
    <n v="180"/>
    <n v="45"/>
    <x v="5"/>
    <n v="135"/>
    <x v="2"/>
    <n v="9.375E-2"/>
    <n v="4702"/>
  </r>
  <r>
    <x v="33"/>
    <x v="4818"/>
    <n v="278"/>
    <n v="175"/>
    <x v="4"/>
    <n v="103"/>
    <x v="0"/>
    <n v="0.36458333333333331"/>
    <n v="1780"/>
  </r>
  <r>
    <x v="33"/>
    <x v="4819"/>
    <n v="284"/>
    <n v="90"/>
    <x v="6"/>
    <n v="194"/>
    <x v="1"/>
    <n v="0.1875"/>
    <n v="3750"/>
  </r>
  <r>
    <x v="33"/>
    <x v="4820"/>
    <n v="268"/>
    <n v="126"/>
    <x v="2"/>
    <n v="142"/>
    <x v="0"/>
    <n v="0.26250000000000001"/>
    <n v="2934"/>
  </r>
  <r>
    <x v="33"/>
    <x v="4821"/>
    <n v="291"/>
    <n v="158"/>
    <x v="6"/>
    <n v="133"/>
    <x v="0"/>
    <n v="0.32916666666666666"/>
    <n v="2207"/>
  </r>
  <r>
    <x v="33"/>
    <x v="4822"/>
    <n v="177"/>
    <n v="152"/>
    <x v="2"/>
    <n v="25"/>
    <x v="0"/>
    <n v="0.31666666666666665"/>
    <n v="2349"/>
  </r>
  <r>
    <x v="33"/>
    <x v="4823"/>
    <n v="132"/>
    <n v="66"/>
    <x v="1"/>
    <n v="66"/>
    <x v="1"/>
    <n v="0.13750000000000001"/>
    <n v="4247"/>
  </r>
  <r>
    <x v="33"/>
    <x v="4824"/>
    <n v="298"/>
    <n v="40"/>
    <x v="4"/>
    <n v="258"/>
    <x v="2"/>
    <n v="8.3333333333333329E-2"/>
    <n v="4808"/>
  </r>
  <r>
    <x v="33"/>
    <x v="4825"/>
    <n v="255"/>
    <n v="127"/>
    <x v="0"/>
    <n v="128"/>
    <x v="0"/>
    <n v="0.26458333333333334"/>
    <n v="2909"/>
  </r>
  <r>
    <x v="33"/>
    <x v="4826"/>
    <n v="163"/>
    <n v="144"/>
    <x v="5"/>
    <n v="19"/>
    <x v="0"/>
    <n v="0.3"/>
    <n v="2550"/>
  </r>
  <r>
    <x v="33"/>
    <x v="4827"/>
    <n v="283"/>
    <n v="98"/>
    <x v="4"/>
    <n v="185"/>
    <x v="1"/>
    <n v="0.20416666666666666"/>
    <n v="3574"/>
  </r>
  <r>
    <x v="33"/>
    <x v="4828"/>
    <n v="276"/>
    <n v="183"/>
    <x v="6"/>
    <n v="93"/>
    <x v="0"/>
    <n v="0.38124999999999998"/>
    <n v="1572"/>
  </r>
  <r>
    <x v="33"/>
    <x v="4829"/>
    <n v="232"/>
    <n v="129"/>
    <x v="3"/>
    <n v="103"/>
    <x v="0"/>
    <n v="0.26874999999999999"/>
    <n v="2852"/>
  </r>
  <r>
    <x v="33"/>
    <x v="4830"/>
    <n v="253"/>
    <n v="148"/>
    <x v="4"/>
    <n v="105"/>
    <x v="0"/>
    <n v="0.30833333333333335"/>
    <n v="2446"/>
  </r>
  <r>
    <x v="33"/>
    <x v="4831"/>
    <n v="198"/>
    <n v="135"/>
    <x v="0"/>
    <n v="63"/>
    <x v="0"/>
    <n v="0.28125"/>
    <n v="2714"/>
  </r>
  <r>
    <x v="33"/>
    <x v="4832"/>
    <n v="300"/>
    <n v="33"/>
    <x v="4"/>
    <n v="267"/>
    <x v="2"/>
    <n v="6.8750000000000006E-2"/>
    <n v="4964"/>
  </r>
  <r>
    <x v="33"/>
    <x v="4833"/>
    <n v="232"/>
    <n v="57"/>
    <x v="6"/>
    <n v="175"/>
    <x v="1"/>
    <n v="0.11874999999999999"/>
    <n v="4452"/>
  </r>
  <r>
    <x v="33"/>
    <x v="4834"/>
    <n v="262"/>
    <n v="77"/>
    <x v="6"/>
    <n v="185"/>
    <x v="1"/>
    <n v="0.16041666666666668"/>
    <n v="4006"/>
  </r>
  <r>
    <x v="33"/>
    <x v="4835"/>
    <n v="66"/>
    <n v="39"/>
    <x v="2"/>
    <n v="27"/>
    <x v="2"/>
    <n v="8.1250000000000003E-2"/>
    <n v="4829"/>
  </r>
  <r>
    <x v="33"/>
    <x v="4836"/>
    <n v="151"/>
    <n v="88"/>
    <x v="4"/>
    <n v="63"/>
    <x v="1"/>
    <n v="0.18333333333333332"/>
    <n v="3792"/>
  </r>
  <r>
    <x v="33"/>
    <x v="4837"/>
    <n v="213"/>
    <n v="55"/>
    <x v="5"/>
    <n v="158"/>
    <x v="1"/>
    <n v="0.11458333333333333"/>
    <n v="4497"/>
  </r>
  <r>
    <x v="33"/>
    <x v="4838"/>
    <n v="220"/>
    <n v="58"/>
    <x v="2"/>
    <n v="162"/>
    <x v="1"/>
    <n v="0.12083333333333333"/>
    <n v="4431"/>
  </r>
  <r>
    <x v="33"/>
    <x v="4839"/>
    <n v="159"/>
    <n v="152"/>
    <x v="4"/>
    <n v="7"/>
    <x v="0"/>
    <n v="0.31666666666666665"/>
    <n v="2349"/>
  </r>
  <r>
    <x v="33"/>
    <x v="4840"/>
    <n v="237"/>
    <n v="68"/>
    <x v="0"/>
    <n v="169"/>
    <x v="1"/>
    <n v="0.14166666666666666"/>
    <n v="4204"/>
  </r>
  <r>
    <x v="33"/>
    <x v="4841"/>
    <n v="254"/>
    <n v="166"/>
    <x v="1"/>
    <n v="88"/>
    <x v="0"/>
    <n v="0.34583333333333333"/>
    <n v="2007"/>
  </r>
  <r>
    <x v="33"/>
    <x v="4842"/>
    <n v="141"/>
    <n v="75"/>
    <x v="4"/>
    <n v="66"/>
    <x v="1"/>
    <n v="0.15625"/>
    <n v="4041"/>
  </r>
  <r>
    <x v="33"/>
    <x v="4843"/>
    <n v="292"/>
    <n v="180"/>
    <x v="6"/>
    <n v="112"/>
    <x v="0"/>
    <n v="0.375"/>
    <n v="1635"/>
  </r>
  <r>
    <x v="33"/>
    <x v="4844"/>
    <n v="263"/>
    <n v="32"/>
    <x v="6"/>
    <n v="231"/>
    <x v="2"/>
    <n v="6.6666666666666666E-2"/>
    <n v="4983"/>
  </r>
  <r>
    <x v="33"/>
    <x v="4845"/>
    <n v="187"/>
    <n v="122"/>
    <x v="4"/>
    <n v="65"/>
    <x v="0"/>
    <n v="0.25416666666666665"/>
    <n v="3013"/>
  </r>
  <r>
    <x v="33"/>
    <x v="4846"/>
    <n v="118"/>
    <n v="94"/>
    <x v="5"/>
    <n v="24"/>
    <x v="1"/>
    <n v="0.19583333333333333"/>
    <n v="3654"/>
  </r>
  <r>
    <x v="33"/>
    <x v="4847"/>
    <n v="177"/>
    <n v="89"/>
    <x v="0"/>
    <n v="88"/>
    <x v="1"/>
    <n v="0.18541666666666667"/>
    <n v="3772"/>
  </r>
  <r>
    <x v="33"/>
    <x v="4848"/>
    <n v="155"/>
    <n v="146"/>
    <x v="3"/>
    <n v="9"/>
    <x v="0"/>
    <n v="0.30416666666666664"/>
    <n v="2499"/>
  </r>
  <r>
    <x v="33"/>
    <x v="4849"/>
    <n v="211"/>
    <n v="64"/>
    <x v="5"/>
    <n v="147"/>
    <x v="1"/>
    <n v="0.13333333333333333"/>
    <n v="4293"/>
  </r>
  <r>
    <x v="33"/>
    <x v="4850"/>
    <n v="212"/>
    <n v="131"/>
    <x v="5"/>
    <n v="81"/>
    <x v="0"/>
    <n v="0.27291666666666664"/>
    <n v="2815"/>
  </r>
  <r>
    <x v="33"/>
    <x v="4851"/>
    <n v="151"/>
    <n v="105"/>
    <x v="2"/>
    <n v="46"/>
    <x v="0"/>
    <n v="0.21875"/>
    <n v="3436"/>
  </r>
  <r>
    <x v="33"/>
    <x v="4852"/>
    <n v="273"/>
    <n v="182"/>
    <x v="6"/>
    <n v="91"/>
    <x v="0"/>
    <n v="0.37916666666666665"/>
    <n v="1593"/>
  </r>
  <r>
    <x v="33"/>
    <x v="4853"/>
    <n v="173"/>
    <n v="150"/>
    <x v="2"/>
    <n v="23"/>
    <x v="0"/>
    <n v="0.3125"/>
    <n v="2400"/>
  </r>
  <r>
    <x v="33"/>
    <x v="4854"/>
    <n v="276"/>
    <n v="177"/>
    <x v="0"/>
    <n v="99"/>
    <x v="0"/>
    <n v="0.36875000000000002"/>
    <n v="1733"/>
  </r>
  <r>
    <x v="33"/>
    <x v="4855"/>
    <n v="320"/>
    <n v="172"/>
    <x v="1"/>
    <n v="148"/>
    <x v="0"/>
    <n v="0.35833333333333334"/>
    <n v="1852"/>
  </r>
  <r>
    <x v="33"/>
    <x v="4856"/>
    <n v="276"/>
    <n v="178"/>
    <x v="5"/>
    <n v="98"/>
    <x v="0"/>
    <n v="0.37083333333333335"/>
    <n v="1702"/>
  </r>
  <r>
    <x v="33"/>
    <x v="4857"/>
    <n v="193"/>
    <n v="94"/>
    <x v="3"/>
    <n v="99"/>
    <x v="1"/>
    <n v="0.19583333333333333"/>
    <n v="3654"/>
  </r>
  <r>
    <x v="33"/>
    <x v="4858"/>
    <n v="125"/>
    <n v="91"/>
    <x v="1"/>
    <n v="34"/>
    <x v="1"/>
    <n v="0.18958333333333333"/>
    <n v="3726"/>
  </r>
  <r>
    <x v="33"/>
    <x v="4859"/>
    <n v="199"/>
    <n v="133"/>
    <x v="0"/>
    <n v="66"/>
    <x v="0"/>
    <n v="0.27708333333333335"/>
    <n v="2758"/>
  </r>
  <r>
    <x v="33"/>
    <x v="4860"/>
    <n v="267"/>
    <n v="72"/>
    <x v="4"/>
    <n v="195"/>
    <x v="1"/>
    <n v="0.15"/>
    <n v="4100"/>
  </r>
  <r>
    <x v="33"/>
    <x v="4861"/>
    <n v="271"/>
    <n v="118"/>
    <x v="5"/>
    <n v="153"/>
    <x v="0"/>
    <n v="0.24583333333333332"/>
    <n v="3122"/>
  </r>
  <r>
    <x v="33"/>
    <x v="4862"/>
    <n v="296"/>
    <n v="56"/>
    <x v="2"/>
    <n v="240"/>
    <x v="1"/>
    <n v="0.11666666666666667"/>
    <n v="4474"/>
  </r>
  <r>
    <x v="33"/>
    <x v="4863"/>
    <n v="146"/>
    <n v="136"/>
    <x v="6"/>
    <n v="10"/>
    <x v="0"/>
    <n v="0.28333333333333333"/>
    <n v="2692"/>
  </r>
  <r>
    <x v="33"/>
    <x v="4864"/>
    <n v="194"/>
    <n v="35"/>
    <x v="1"/>
    <n v="159"/>
    <x v="2"/>
    <n v="7.2916666666666671E-2"/>
    <n v="4916"/>
  </r>
  <r>
    <x v="33"/>
    <x v="4865"/>
    <n v="298"/>
    <n v="150"/>
    <x v="4"/>
    <n v="148"/>
    <x v="0"/>
    <n v="0.3125"/>
    <n v="2400"/>
  </r>
  <r>
    <x v="33"/>
    <x v="4866"/>
    <n v="221"/>
    <n v="161"/>
    <x v="0"/>
    <n v="60"/>
    <x v="0"/>
    <n v="0.33541666666666664"/>
    <n v="2129"/>
  </r>
  <r>
    <x v="33"/>
    <x v="4867"/>
    <n v="302"/>
    <n v="84"/>
    <x v="4"/>
    <n v="218"/>
    <x v="1"/>
    <n v="0.17499999999999999"/>
    <n v="3872"/>
  </r>
  <r>
    <x v="33"/>
    <x v="4868"/>
    <n v="223"/>
    <n v="152"/>
    <x v="5"/>
    <n v="71"/>
    <x v="0"/>
    <n v="0.31666666666666665"/>
    <n v="2349"/>
  </r>
  <r>
    <x v="33"/>
    <x v="4869"/>
    <n v="171"/>
    <n v="97"/>
    <x v="3"/>
    <n v="74"/>
    <x v="1"/>
    <n v="0.20208333333333334"/>
    <n v="3593"/>
  </r>
  <r>
    <x v="33"/>
    <x v="4870"/>
    <n v="154"/>
    <n v="107"/>
    <x v="2"/>
    <n v="47"/>
    <x v="0"/>
    <n v="0.22291666666666668"/>
    <n v="3387"/>
  </r>
  <r>
    <x v="33"/>
    <x v="4871"/>
    <n v="306"/>
    <n v="78"/>
    <x v="1"/>
    <n v="228"/>
    <x v="1"/>
    <n v="0.16250000000000001"/>
    <n v="3989"/>
  </r>
  <r>
    <x v="34"/>
    <x v="4872"/>
    <n v="185"/>
    <n v="44"/>
    <x v="4"/>
    <n v="141"/>
    <x v="2"/>
    <n v="9.166666666666666E-2"/>
    <n v="4732"/>
  </r>
  <r>
    <x v="34"/>
    <x v="4873"/>
    <n v="271"/>
    <n v="37"/>
    <x v="4"/>
    <n v="234"/>
    <x v="2"/>
    <n v="7.7083333333333337E-2"/>
    <n v="4863"/>
  </r>
  <r>
    <x v="34"/>
    <x v="4874"/>
    <n v="241"/>
    <n v="116"/>
    <x v="2"/>
    <n v="125"/>
    <x v="0"/>
    <n v="0.24166666666666667"/>
    <n v="3173"/>
  </r>
  <r>
    <x v="34"/>
    <x v="4875"/>
    <n v="177"/>
    <n v="99"/>
    <x v="1"/>
    <n v="78"/>
    <x v="1"/>
    <n v="0.20624999999999999"/>
    <n v="3553"/>
  </r>
  <r>
    <x v="34"/>
    <x v="4876"/>
    <n v="243"/>
    <n v="135"/>
    <x v="6"/>
    <n v="108"/>
    <x v="0"/>
    <n v="0.28125"/>
    <n v="2714"/>
  </r>
  <r>
    <x v="34"/>
    <x v="4877"/>
    <n v="207"/>
    <n v="168"/>
    <x v="6"/>
    <n v="39"/>
    <x v="0"/>
    <n v="0.35"/>
    <n v="1954"/>
  </r>
  <r>
    <x v="34"/>
    <x v="4878"/>
    <n v="272"/>
    <n v="132"/>
    <x v="0"/>
    <n v="140"/>
    <x v="0"/>
    <n v="0.27500000000000002"/>
    <n v="2792"/>
  </r>
  <r>
    <x v="34"/>
    <x v="4879"/>
    <n v="161"/>
    <n v="53"/>
    <x v="1"/>
    <n v="108"/>
    <x v="1"/>
    <n v="0.11041666666666666"/>
    <n v="4544"/>
  </r>
  <r>
    <x v="34"/>
    <x v="4880"/>
    <n v="161"/>
    <n v="143"/>
    <x v="6"/>
    <n v="18"/>
    <x v="0"/>
    <n v="0.29791666666666666"/>
    <n v="2567"/>
  </r>
  <r>
    <x v="34"/>
    <x v="4881"/>
    <n v="158"/>
    <n v="79"/>
    <x v="3"/>
    <n v="79"/>
    <x v="1"/>
    <n v="0.16458333333333333"/>
    <n v="3967"/>
  </r>
  <r>
    <x v="34"/>
    <x v="4882"/>
    <n v="158"/>
    <n v="125"/>
    <x v="5"/>
    <n v="33"/>
    <x v="0"/>
    <n v="0.26041666666666669"/>
    <n v="2951"/>
  </r>
  <r>
    <x v="34"/>
    <x v="4883"/>
    <n v="263"/>
    <n v="105"/>
    <x v="0"/>
    <n v="158"/>
    <x v="0"/>
    <n v="0.21875"/>
    <n v="3436"/>
  </r>
  <r>
    <x v="34"/>
    <x v="4884"/>
    <n v="187"/>
    <n v="102"/>
    <x v="4"/>
    <n v="85"/>
    <x v="0"/>
    <n v="0.21249999999999999"/>
    <n v="3493"/>
  </r>
  <r>
    <x v="34"/>
    <x v="4885"/>
    <n v="295"/>
    <n v="42"/>
    <x v="1"/>
    <n v="253"/>
    <x v="2"/>
    <n v="8.7499999999999994E-2"/>
    <n v="4776"/>
  </r>
  <r>
    <x v="34"/>
    <x v="4886"/>
    <n v="242"/>
    <n v="180"/>
    <x v="0"/>
    <n v="62"/>
    <x v="0"/>
    <n v="0.375"/>
    <n v="1635"/>
  </r>
  <r>
    <x v="34"/>
    <x v="4887"/>
    <n v="253"/>
    <n v="184"/>
    <x v="6"/>
    <n v="69"/>
    <x v="0"/>
    <n v="0.38333333333333336"/>
    <n v="1544"/>
  </r>
  <r>
    <x v="34"/>
    <x v="4888"/>
    <n v="307"/>
    <n v="184"/>
    <x v="5"/>
    <n v="123"/>
    <x v="0"/>
    <n v="0.38333333333333336"/>
    <n v="1544"/>
  </r>
  <r>
    <x v="34"/>
    <x v="4889"/>
    <n v="82"/>
    <n v="60"/>
    <x v="0"/>
    <n v="22"/>
    <x v="1"/>
    <n v="0.125"/>
    <n v="4390"/>
  </r>
  <r>
    <x v="34"/>
    <x v="4890"/>
    <n v="253"/>
    <n v="68"/>
    <x v="2"/>
    <n v="185"/>
    <x v="1"/>
    <n v="0.14166666666666666"/>
    <n v="4204"/>
  </r>
  <r>
    <x v="34"/>
    <x v="4891"/>
    <n v="156"/>
    <n v="148"/>
    <x v="6"/>
    <n v="8"/>
    <x v="0"/>
    <n v="0.30833333333333335"/>
    <n v="2446"/>
  </r>
  <r>
    <x v="34"/>
    <x v="4892"/>
    <n v="265"/>
    <n v="140"/>
    <x v="6"/>
    <n v="125"/>
    <x v="0"/>
    <n v="0.29166666666666669"/>
    <n v="2627"/>
  </r>
  <r>
    <x v="34"/>
    <x v="4893"/>
    <n v="171"/>
    <n v="85"/>
    <x v="6"/>
    <n v="86"/>
    <x v="1"/>
    <n v="0.17708333333333334"/>
    <n v="3852"/>
  </r>
  <r>
    <x v="34"/>
    <x v="4894"/>
    <n v="305"/>
    <n v="68"/>
    <x v="3"/>
    <n v="237"/>
    <x v="1"/>
    <n v="0.14166666666666666"/>
    <n v="4204"/>
  </r>
  <r>
    <x v="34"/>
    <x v="4895"/>
    <n v="306"/>
    <n v="161"/>
    <x v="6"/>
    <n v="145"/>
    <x v="0"/>
    <n v="0.33541666666666664"/>
    <n v="2129"/>
  </r>
  <r>
    <x v="34"/>
    <x v="4896"/>
    <n v="158"/>
    <n v="125"/>
    <x v="5"/>
    <n v="33"/>
    <x v="0"/>
    <n v="0.26041666666666669"/>
    <n v="2951"/>
  </r>
  <r>
    <x v="34"/>
    <x v="4897"/>
    <n v="198"/>
    <n v="148"/>
    <x v="1"/>
    <n v="50"/>
    <x v="0"/>
    <n v="0.30833333333333335"/>
    <n v="2446"/>
  </r>
  <r>
    <x v="34"/>
    <x v="4898"/>
    <n v="298"/>
    <n v="143"/>
    <x v="0"/>
    <n v="155"/>
    <x v="0"/>
    <n v="0.29791666666666666"/>
    <n v="2567"/>
  </r>
  <r>
    <x v="34"/>
    <x v="4899"/>
    <n v="127"/>
    <n v="53"/>
    <x v="2"/>
    <n v="74"/>
    <x v="1"/>
    <n v="0.11041666666666666"/>
    <n v="4544"/>
  </r>
  <r>
    <x v="34"/>
    <x v="4900"/>
    <n v="224"/>
    <n v="110"/>
    <x v="3"/>
    <n v="114"/>
    <x v="0"/>
    <n v="0.22916666666666666"/>
    <n v="3302"/>
  </r>
  <r>
    <x v="34"/>
    <x v="4901"/>
    <n v="166"/>
    <n v="141"/>
    <x v="0"/>
    <n v="25"/>
    <x v="0"/>
    <n v="0.29375000000000001"/>
    <n v="2609"/>
  </r>
  <r>
    <x v="34"/>
    <x v="4902"/>
    <n v="309"/>
    <n v="184"/>
    <x v="5"/>
    <n v="125"/>
    <x v="0"/>
    <n v="0.38333333333333336"/>
    <n v="1544"/>
  </r>
  <r>
    <x v="34"/>
    <x v="4903"/>
    <n v="287"/>
    <n v="133"/>
    <x v="1"/>
    <n v="154"/>
    <x v="0"/>
    <n v="0.27708333333333335"/>
    <n v="2758"/>
  </r>
  <r>
    <x v="34"/>
    <x v="4904"/>
    <n v="124"/>
    <n v="80"/>
    <x v="4"/>
    <n v="44"/>
    <x v="1"/>
    <n v="0.16666666666666666"/>
    <n v="3948"/>
  </r>
  <r>
    <x v="34"/>
    <x v="4905"/>
    <n v="270"/>
    <n v="143"/>
    <x v="0"/>
    <n v="127"/>
    <x v="0"/>
    <n v="0.29791666666666666"/>
    <n v="2567"/>
  </r>
  <r>
    <x v="34"/>
    <x v="4906"/>
    <n v="238"/>
    <n v="103"/>
    <x v="3"/>
    <n v="135"/>
    <x v="0"/>
    <n v="0.21458333333333332"/>
    <n v="3474"/>
  </r>
  <r>
    <x v="34"/>
    <x v="4907"/>
    <n v="193"/>
    <n v="128"/>
    <x v="3"/>
    <n v="65"/>
    <x v="0"/>
    <n v="0.26666666666666666"/>
    <n v="2872"/>
  </r>
  <r>
    <x v="34"/>
    <x v="4908"/>
    <n v="182"/>
    <n v="141"/>
    <x v="1"/>
    <n v="41"/>
    <x v="0"/>
    <n v="0.29375000000000001"/>
    <n v="2609"/>
  </r>
  <r>
    <x v="34"/>
    <x v="4909"/>
    <n v="144"/>
    <n v="128"/>
    <x v="3"/>
    <n v="16"/>
    <x v="0"/>
    <n v="0.26666666666666666"/>
    <n v="2872"/>
  </r>
  <r>
    <x v="34"/>
    <x v="4910"/>
    <n v="149"/>
    <n v="119"/>
    <x v="1"/>
    <n v="30"/>
    <x v="0"/>
    <n v="0.24791666666666667"/>
    <n v="3093"/>
  </r>
  <r>
    <x v="34"/>
    <x v="4911"/>
    <n v="284"/>
    <n v="68"/>
    <x v="3"/>
    <n v="216"/>
    <x v="1"/>
    <n v="0.14166666666666666"/>
    <n v="4204"/>
  </r>
  <r>
    <x v="34"/>
    <x v="4912"/>
    <n v="186"/>
    <n v="98"/>
    <x v="2"/>
    <n v="88"/>
    <x v="1"/>
    <n v="0.20416666666666666"/>
    <n v="3574"/>
  </r>
  <r>
    <x v="34"/>
    <x v="4913"/>
    <n v="254"/>
    <n v="179"/>
    <x v="6"/>
    <n v="75"/>
    <x v="0"/>
    <n v="0.37291666666666667"/>
    <n v="1667"/>
  </r>
  <r>
    <x v="34"/>
    <x v="4914"/>
    <n v="130"/>
    <n v="95"/>
    <x v="4"/>
    <n v="35"/>
    <x v="1"/>
    <n v="0.19791666666666666"/>
    <n v="3634"/>
  </r>
  <r>
    <x v="34"/>
    <x v="4915"/>
    <n v="265"/>
    <n v="190"/>
    <x v="6"/>
    <n v="75"/>
    <x v="0"/>
    <n v="0.39583333333333331"/>
    <n v="1355"/>
  </r>
  <r>
    <x v="34"/>
    <x v="4916"/>
    <n v="147"/>
    <n v="73"/>
    <x v="1"/>
    <n v="74"/>
    <x v="1"/>
    <n v="0.15208333333333332"/>
    <n v="4083"/>
  </r>
  <r>
    <x v="34"/>
    <x v="4917"/>
    <n v="109"/>
    <n v="90"/>
    <x v="5"/>
    <n v="19"/>
    <x v="1"/>
    <n v="0.1875"/>
    <n v="3750"/>
  </r>
  <r>
    <x v="34"/>
    <x v="4918"/>
    <n v="135"/>
    <n v="93"/>
    <x v="4"/>
    <n v="42"/>
    <x v="1"/>
    <n v="0.19375000000000001"/>
    <n v="3678"/>
  </r>
  <r>
    <x v="34"/>
    <x v="4919"/>
    <n v="264"/>
    <n v="163"/>
    <x v="3"/>
    <n v="101"/>
    <x v="0"/>
    <n v="0.33958333333333335"/>
    <n v="2075"/>
  </r>
  <r>
    <x v="34"/>
    <x v="4920"/>
    <n v="292"/>
    <n v="63"/>
    <x v="3"/>
    <n v="229"/>
    <x v="1"/>
    <n v="0.13125000000000001"/>
    <n v="4322"/>
  </r>
  <r>
    <x v="34"/>
    <x v="4921"/>
    <n v="253"/>
    <n v="182"/>
    <x v="0"/>
    <n v="71"/>
    <x v="0"/>
    <n v="0.37916666666666665"/>
    <n v="1593"/>
  </r>
  <r>
    <x v="34"/>
    <x v="4922"/>
    <n v="146"/>
    <n v="99"/>
    <x v="3"/>
    <n v="47"/>
    <x v="1"/>
    <n v="0.20624999999999999"/>
    <n v="3553"/>
  </r>
  <r>
    <x v="34"/>
    <x v="4923"/>
    <n v="247"/>
    <n v="114"/>
    <x v="5"/>
    <n v="133"/>
    <x v="0"/>
    <n v="0.23749999999999999"/>
    <n v="3226"/>
  </r>
  <r>
    <x v="34"/>
    <x v="4924"/>
    <n v="132"/>
    <n v="93"/>
    <x v="5"/>
    <n v="39"/>
    <x v="1"/>
    <n v="0.19375000000000001"/>
    <n v="3678"/>
  </r>
  <r>
    <x v="34"/>
    <x v="4925"/>
    <n v="149"/>
    <n v="55"/>
    <x v="4"/>
    <n v="94"/>
    <x v="1"/>
    <n v="0.11458333333333333"/>
    <n v="4497"/>
  </r>
  <r>
    <x v="34"/>
    <x v="4926"/>
    <n v="196"/>
    <n v="166"/>
    <x v="2"/>
    <n v="30"/>
    <x v="0"/>
    <n v="0.34583333333333333"/>
    <n v="2007"/>
  </r>
  <r>
    <x v="34"/>
    <x v="4927"/>
    <n v="221"/>
    <n v="62"/>
    <x v="0"/>
    <n v="159"/>
    <x v="1"/>
    <n v="0.12916666666666668"/>
    <n v="4343"/>
  </r>
  <r>
    <x v="34"/>
    <x v="4928"/>
    <n v="253"/>
    <n v="110"/>
    <x v="5"/>
    <n v="143"/>
    <x v="0"/>
    <n v="0.22916666666666666"/>
    <n v="3302"/>
  </r>
  <r>
    <x v="34"/>
    <x v="4929"/>
    <n v="206"/>
    <n v="150"/>
    <x v="0"/>
    <n v="56"/>
    <x v="0"/>
    <n v="0.3125"/>
    <n v="2400"/>
  </r>
  <r>
    <x v="34"/>
    <x v="4930"/>
    <n v="171"/>
    <n v="85"/>
    <x v="1"/>
    <n v="86"/>
    <x v="1"/>
    <n v="0.17708333333333334"/>
    <n v="3852"/>
  </r>
  <r>
    <x v="34"/>
    <x v="4931"/>
    <n v="139"/>
    <n v="106"/>
    <x v="4"/>
    <n v="33"/>
    <x v="0"/>
    <n v="0.22083333333333333"/>
    <n v="3413"/>
  </r>
  <r>
    <x v="34"/>
    <x v="4932"/>
    <n v="313"/>
    <n v="180"/>
    <x v="1"/>
    <n v="133"/>
    <x v="0"/>
    <n v="0.375"/>
    <n v="1635"/>
  </r>
  <r>
    <x v="34"/>
    <x v="4933"/>
    <n v="259"/>
    <n v="152"/>
    <x v="2"/>
    <n v="107"/>
    <x v="0"/>
    <n v="0.31666666666666665"/>
    <n v="2349"/>
  </r>
  <r>
    <x v="34"/>
    <x v="4934"/>
    <n v="293"/>
    <n v="188"/>
    <x v="1"/>
    <n v="105"/>
    <x v="0"/>
    <n v="0.39166666666666666"/>
    <n v="1423"/>
  </r>
  <r>
    <x v="34"/>
    <x v="4935"/>
    <n v="207"/>
    <n v="177"/>
    <x v="4"/>
    <n v="30"/>
    <x v="0"/>
    <n v="0.36875000000000002"/>
    <n v="1733"/>
  </r>
  <r>
    <x v="34"/>
    <x v="4936"/>
    <n v="231"/>
    <n v="78"/>
    <x v="2"/>
    <n v="153"/>
    <x v="1"/>
    <n v="0.16250000000000001"/>
    <n v="3989"/>
  </r>
  <r>
    <x v="34"/>
    <x v="4937"/>
    <n v="283"/>
    <n v="48"/>
    <x v="3"/>
    <n v="235"/>
    <x v="2"/>
    <n v="0.1"/>
    <n v="4638"/>
  </r>
  <r>
    <x v="34"/>
    <x v="4938"/>
    <n v="246"/>
    <n v="154"/>
    <x v="5"/>
    <n v="92"/>
    <x v="0"/>
    <n v="0.32083333333333336"/>
    <n v="2307"/>
  </r>
  <r>
    <x v="34"/>
    <x v="4939"/>
    <n v="193"/>
    <n v="72"/>
    <x v="0"/>
    <n v="121"/>
    <x v="1"/>
    <n v="0.15"/>
    <n v="4100"/>
  </r>
  <r>
    <x v="34"/>
    <x v="4940"/>
    <n v="293"/>
    <n v="69"/>
    <x v="1"/>
    <n v="224"/>
    <x v="1"/>
    <n v="0.14374999999999999"/>
    <n v="4186"/>
  </r>
  <r>
    <x v="34"/>
    <x v="4941"/>
    <n v="182"/>
    <n v="158"/>
    <x v="5"/>
    <n v="24"/>
    <x v="0"/>
    <n v="0.32916666666666666"/>
    <n v="2207"/>
  </r>
  <r>
    <x v="34"/>
    <x v="4942"/>
    <n v="316"/>
    <n v="67"/>
    <x v="3"/>
    <n v="249"/>
    <x v="1"/>
    <n v="0.13958333333333334"/>
    <n v="4225"/>
  </r>
  <r>
    <x v="34"/>
    <x v="4943"/>
    <n v="178"/>
    <n v="32"/>
    <x v="2"/>
    <n v="146"/>
    <x v="2"/>
    <n v="6.6666666666666666E-2"/>
    <n v="4983"/>
  </r>
  <r>
    <x v="34"/>
    <x v="4944"/>
    <n v="229"/>
    <n v="35"/>
    <x v="5"/>
    <n v="194"/>
    <x v="2"/>
    <n v="7.2916666666666671E-2"/>
    <n v="4916"/>
  </r>
  <r>
    <x v="34"/>
    <x v="4945"/>
    <n v="292"/>
    <n v="49"/>
    <x v="6"/>
    <n v="243"/>
    <x v="2"/>
    <n v="0.10208333333333333"/>
    <n v="4614"/>
  </r>
  <r>
    <x v="34"/>
    <x v="4946"/>
    <n v="194"/>
    <n v="183"/>
    <x v="2"/>
    <n v="11"/>
    <x v="0"/>
    <n v="0.38124999999999998"/>
    <n v="1572"/>
  </r>
  <r>
    <x v="34"/>
    <x v="4947"/>
    <n v="276"/>
    <n v="110"/>
    <x v="6"/>
    <n v="166"/>
    <x v="0"/>
    <n v="0.22916666666666666"/>
    <n v="3302"/>
  </r>
  <r>
    <x v="34"/>
    <x v="4948"/>
    <n v="149"/>
    <n v="133"/>
    <x v="3"/>
    <n v="16"/>
    <x v="0"/>
    <n v="0.27708333333333335"/>
    <n v="2758"/>
  </r>
  <r>
    <x v="34"/>
    <x v="4949"/>
    <n v="302"/>
    <n v="96"/>
    <x v="3"/>
    <n v="206"/>
    <x v="1"/>
    <n v="0.2"/>
    <n v="3616"/>
  </r>
  <r>
    <x v="34"/>
    <x v="4950"/>
    <n v="297"/>
    <n v="180"/>
    <x v="2"/>
    <n v="117"/>
    <x v="0"/>
    <n v="0.375"/>
    <n v="1635"/>
  </r>
  <r>
    <x v="34"/>
    <x v="4951"/>
    <n v="103"/>
    <n v="81"/>
    <x v="2"/>
    <n v="22"/>
    <x v="1"/>
    <n v="0.16875000000000001"/>
    <n v="3923"/>
  </r>
  <r>
    <x v="34"/>
    <x v="4952"/>
    <n v="251"/>
    <n v="69"/>
    <x v="3"/>
    <n v="182"/>
    <x v="1"/>
    <n v="0.14374999999999999"/>
    <n v="4186"/>
  </r>
  <r>
    <x v="34"/>
    <x v="4953"/>
    <n v="245"/>
    <n v="117"/>
    <x v="1"/>
    <n v="128"/>
    <x v="0"/>
    <n v="0.24374999999999999"/>
    <n v="3144"/>
  </r>
  <r>
    <x v="34"/>
    <x v="4954"/>
    <n v="248"/>
    <n v="179"/>
    <x v="0"/>
    <n v="69"/>
    <x v="0"/>
    <n v="0.37291666666666667"/>
    <n v="1667"/>
  </r>
  <r>
    <x v="34"/>
    <x v="4955"/>
    <n v="184"/>
    <n v="39"/>
    <x v="4"/>
    <n v="145"/>
    <x v="2"/>
    <n v="8.1250000000000003E-2"/>
    <n v="4829"/>
  </r>
  <r>
    <x v="34"/>
    <x v="4956"/>
    <n v="109"/>
    <n v="59"/>
    <x v="5"/>
    <n v="50"/>
    <x v="1"/>
    <n v="0.12291666666666666"/>
    <n v="4416"/>
  </r>
  <r>
    <x v="34"/>
    <x v="4957"/>
    <n v="226"/>
    <n v="70"/>
    <x v="6"/>
    <n v="156"/>
    <x v="1"/>
    <n v="0.14583333333333334"/>
    <n v="4153"/>
  </r>
  <r>
    <x v="34"/>
    <x v="4958"/>
    <n v="311"/>
    <n v="118"/>
    <x v="0"/>
    <n v="193"/>
    <x v="0"/>
    <n v="0.24583333333333332"/>
    <n v="3122"/>
  </r>
  <r>
    <x v="34"/>
    <x v="4959"/>
    <n v="274"/>
    <n v="91"/>
    <x v="5"/>
    <n v="183"/>
    <x v="1"/>
    <n v="0.18958333333333333"/>
    <n v="3726"/>
  </r>
  <r>
    <x v="34"/>
    <x v="4960"/>
    <n v="308"/>
    <n v="161"/>
    <x v="6"/>
    <n v="147"/>
    <x v="0"/>
    <n v="0.33541666666666664"/>
    <n v="2129"/>
  </r>
  <r>
    <x v="34"/>
    <x v="4961"/>
    <n v="315"/>
    <n v="99"/>
    <x v="3"/>
    <n v="216"/>
    <x v="1"/>
    <n v="0.20624999999999999"/>
    <n v="3553"/>
  </r>
  <r>
    <x v="34"/>
    <x v="4962"/>
    <n v="223"/>
    <n v="162"/>
    <x v="3"/>
    <n v="61"/>
    <x v="0"/>
    <n v="0.33750000000000002"/>
    <n v="2106"/>
  </r>
  <r>
    <x v="34"/>
    <x v="4963"/>
    <n v="210"/>
    <n v="130"/>
    <x v="1"/>
    <n v="80"/>
    <x v="0"/>
    <n v="0.27083333333333331"/>
    <n v="2832"/>
  </r>
  <r>
    <x v="34"/>
    <x v="4964"/>
    <n v="207"/>
    <n v="99"/>
    <x v="2"/>
    <n v="108"/>
    <x v="1"/>
    <n v="0.20624999999999999"/>
    <n v="3553"/>
  </r>
  <r>
    <x v="34"/>
    <x v="4965"/>
    <n v="161"/>
    <n v="36"/>
    <x v="0"/>
    <n v="125"/>
    <x v="2"/>
    <n v="7.4999999999999997E-2"/>
    <n v="4893"/>
  </r>
  <r>
    <x v="34"/>
    <x v="4966"/>
    <n v="309"/>
    <n v="143"/>
    <x v="1"/>
    <n v="166"/>
    <x v="0"/>
    <n v="0.29791666666666666"/>
    <n v="2567"/>
  </r>
  <r>
    <x v="34"/>
    <x v="4967"/>
    <n v="203"/>
    <n v="88"/>
    <x v="2"/>
    <n v="115"/>
    <x v="1"/>
    <n v="0.18333333333333332"/>
    <n v="3792"/>
  </r>
  <r>
    <x v="34"/>
    <x v="4968"/>
    <n v="305"/>
    <n v="168"/>
    <x v="3"/>
    <n v="137"/>
    <x v="0"/>
    <n v="0.35"/>
    <n v="1954"/>
  </r>
  <r>
    <x v="34"/>
    <x v="4969"/>
    <n v="255"/>
    <n v="189"/>
    <x v="5"/>
    <n v="66"/>
    <x v="0"/>
    <n v="0.39374999999999999"/>
    <n v="1395"/>
  </r>
  <r>
    <x v="34"/>
    <x v="4970"/>
    <n v="203"/>
    <n v="146"/>
    <x v="3"/>
    <n v="57"/>
    <x v="0"/>
    <n v="0.30416666666666664"/>
    <n v="2499"/>
  </r>
  <r>
    <x v="34"/>
    <x v="4971"/>
    <n v="219"/>
    <n v="129"/>
    <x v="0"/>
    <n v="90"/>
    <x v="0"/>
    <n v="0.26874999999999999"/>
    <n v="2852"/>
  </r>
  <r>
    <x v="34"/>
    <x v="4972"/>
    <n v="281"/>
    <n v="43"/>
    <x v="4"/>
    <n v="238"/>
    <x v="2"/>
    <n v="8.9583333333333334E-2"/>
    <n v="4752"/>
  </r>
  <r>
    <x v="34"/>
    <x v="4973"/>
    <n v="180"/>
    <n v="154"/>
    <x v="1"/>
    <n v="26"/>
    <x v="0"/>
    <n v="0.32083333333333336"/>
    <n v="2307"/>
  </r>
  <r>
    <x v="34"/>
    <x v="4974"/>
    <n v="159"/>
    <n v="130"/>
    <x v="4"/>
    <n v="29"/>
    <x v="0"/>
    <n v="0.27083333333333331"/>
    <n v="2832"/>
  </r>
  <r>
    <x v="34"/>
    <x v="4975"/>
    <n v="154"/>
    <n v="148"/>
    <x v="4"/>
    <n v="6"/>
    <x v="0"/>
    <n v="0.30833333333333335"/>
    <n v="2446"/>
  </r>
  <r>
    <x v="34"/>
    <x v="4976"/>
    <n v="122"/>
    <n v="40"/>
    <x v="2"/>
    <n v="82"/>
    <x v="2"/>
    <n v="8.3333333333333329E-2"/>
    <n v="4808"/>
  </r>
  <r>
    <x v="34"/>
    <x v="4977"/>
    <n v="262"/>
    <n v="180"/>
    <x v="3"/>
    <n v="82"/>
    <x v="0"/>
    <n v="0.375"/>
    <n v="1635"/>
  </r>
  <r>
    <x v="34"/>
    <x v="4978"/>
    <n v="91"/>
    <n v="36"/>
    <x v="2"/>
    <n v="55"/>
    <x v="2"/>
    <n v="7.4999999999999997E-2"/>
    <n v="4893"/>
  </r>
  <r>
    <x v="34"/>
    <x v="4979"/>
    <n v="192"/>
    <n v="188"/>
    <x v="1"/>
    <n v="4"/>
    <x v="0"/>
    <n v="0.39166666666666666"/>
    <n v="1423"/>
  </r>
  <r>
    <x v="34"/>
    <x v="4980"/>
    <n v="162"/>
    <n v="115"/>
    <x v="1"/>
    <n v="47"/>
    <x v="0"/>
    <n v="0.23958333333333334"/>
    <n v="3206"/>
  </r>
  <r>
    <x v="34"/>
    <x v="4981"/>
    <n v="303"/>
    <n v="90"/>
    <x v="6"/>
    <n v="213"/>
    <x v="1"/>
    <n v="0.1875"/>
    <n v="3750"/>
  </r>
  <r>
    <x v="34"/>
    <x v="4982"/>
    <n v="143"/>
    <n v="62"/>
    <x v="3"/>
    <n v="81"/>
    <x v="1"/>
    <n v="0.12916666666666668"/>
    <n v="4343"/>
  </r>
  <r>
    <x v="34"/>
    <x v="4983"/>
    <n v="129"/>
    <n v="94"/>
    <x v="6"/>
    <n v="35"/>
    <x v="1"/>
    <n v="0.19583333333333333"/>
    <n v="3654"/>
  </r>
  <r>
    <x v="34"/>
    <x v="4984"/>
    <n v="262"/>
    <n v="187"/>
    <x v="0"/>
    <n v="75"/>
    <x v="0"/>
    <n v="0.38958333333333334"/>
    <n v="1455"/>
  </r>
  <r>
    <x v="34"/>
    <x v="4985"/>
    <n v="311"/>
    <n v="181"/>
    <x v="0"/>
    <n v="130"/>
    <x v="0"/>
    <n v="0.37708333333333333"/>
    <n v="1609"/>
  </r>
  <r>
    <x v="34"/>
    <x v="4986"/>
    <n v="255"/>
    <n v="155"/>
    <x v="0"/>
    <n v="100"/>
    <x v="0"/>
    <n v="0.32291666666666669"/>
    <n v="2275"/>
  </r>
  <r>
    <x v="34"/>
    <x v="4987"/>
    <n v="190"/>
    <n v="54"/>
    <x v="2"/>
    <n v="136"/>
    <x v="1"/>
    <n v="0.1125"/>
    <n v="4523"/>
  </r>
  <r>
    <x v="34"/>
    <x v="4988"/>
    <n v="170"/>
    <n v="36"/>
    <x v="5"/>
    <n v="134"/>
    <x v="2"/>
    <n v="7.4999999999999997E-2"/>
    <n v="4893"/>
  </r>
  <r>
    <x v="34"/>
    <x v="4989"/>
    <n v="313"/>
    <n v="130"/>
    <x v="2"/>
    <n v="183"/>
    <x v="0"/>
    <n v="0.27083333333333331"/>
    <n v="2832"/>
  </r>
  <r>
    <x v="34"/>
    <x v="4990"/>
    <n v="185"/>
    <n v="115"/>
    <x v="0"/>
    <n v="70"/>
    <x v="0"/>
    <n v="0.23958333333333334"/>
    <n v="3206"/>
  </r>
  <r>
    <x v="34"/>
    <x v="4991"/>
    <n v="296"/>
    <n v="188"/>
    <x v="3"/>
    <n v="108"/>
    <x v="0"/>
    <n v="0.39166666666666666"/>
    <n v="1423"/>
  </r>
  <r>
    <x v="34"/>
    <x v="4992"/>
    <n v="201"/>
    <n v="150"/>
    <x v="0"/>
    <n v="51"/>
    <x v="0"/>
    <n v="0.3125"/>
    <n v="2400"/>
  </r>
  <r>
    <x v="34"/>
    <x v="4993"/>
    <n v="110"/>
    <n v="42"/>
    <x v="4"/>
    <n v="68"/>
    <x v="2"/>
    <n v="8.7499999999999994E-2"/>
    <n v="4776"/>
  </r>
  <r>
    <x v="34"/>
    <x v="4994"/>
    <n v="154"/>
    <n v="149"/>
    <x v="2"/>
    <n v="5"/>
    <x v="0"/>
    <n v="0.31041666666666667"/>
    <n v="2426"/>
  </r>
  <r>
    <x v="34"/>
    <x v="4995"/>
    <n v="83"/>
    <n v="37"/>
    <x v="4"/>
    <n v="46"/>
    <x v="2"/>
    <n v="7.7083333333333337E-2"/>
    <n v="4863"/>
  </r>
  <r>
    <x v="34"/>
    <x v="4996"/>
    <n v="269"/>
    <n v="145"/>
    <x v="1"/>
    <n v="124"/>
    <x v="0"/>
    <n v="0.30208333333333331"/>
    <n v="2526"/>
  </r>
  <r>
    <x v="34"/>
    <x v="4997"/>
    <n v="102"/>
    <n v="65"/>
    <x v="3"/>
    <n v="37"/>
    <x v="1"/>
    <n v="0.13541666666666666"/>
    <n v="4267"/>
  </r>
  <r>
    <x v="34"/>
    <x v="4998"/>
    <n v="160"/>
    <n v="43"/>
    <x v="5"/>
    <n v="117"/>
    <x v="2"/>
    <n v="8.9583333333333334E-2"/>
    <n v="4752"/>
  </r>
  <r>
    <x v="34"/>
    <x v="4999"/>
    <n v="165"/>
    <n v="69"/>
    <x v="2"/>
    <n v="96"/>
    <x v="1"/>
    <n v="0.14374999999999999"/>
    <n v="4186"/>
  </r>
  <r>
    <x v="34"/>
    <x v="5000"/>
    <n v="227"/>
    <n v="125"/>
    <x v="4"/>
    <n v="102"/>
    <x v="0"/>
    <n v="0.26041666666666669"/>
    <n v="2951"/>
  </r>
  <r>
    <x v="34"/>
    <x v="5001"/>
    <n v="72"/>
    <n v="35"/>
    <x v="5"/>
    <n v="37"/>
    <x v="2"/>
    <n v="7.2916666666666671E-2"/>
    <n v="4916"/>
  </r>
  <r>
    <x v="34"/>
    <x v="5002"/>
    <n v="179"/>
    <n v="44"/>
    <x v="1"/>
    <n v="135"/>
    <x v="2"/>
    <n v="9.166666666666666E-2"/>
    <n v="4732"/>
  </r>
  <r>
    <x v="34"/>
    <x v="5003"/>
    <n v="300"/>
    <n v="52"/>
    <x v="4"/>
    <n v="248"/>
    <x v="1"/>
    <n v="0.10833333333333334"/>
    <n v="4564"/>
  </r>
  <r>
    <x v="34"/>
    <x v="5004"/>
    <n v="312"/>
    <n v="77"/>
    <x v="3"/>
    <n v="235"/>
    <x v="1"/>
    <n v="0.16041666666666668"/>
    <n v="4006"/>
  </r>
  <r>
    <x v="34"/>
    <x v="5005"/>
    <n v="291"/>
    <n v="49"/>
    <x v="3"/>
    <n v="242"/>
    <x v="2"/>
    <n v="0.10208333333333333"/>
    <n v="4614"/>
  </r>
  <r>
    <x v="34"/>
    <x v="5006"/>
    <n v="221"/>
    <n v="175"/>
    <x v="4"/>
    <n v="46"/>
    <x v="0"/>
    <n v="0.36458333333333331"/>
    <n v="1780"/>
  </r>
  <r>
    <x v="34"/>
    <x v="5007"/>
    <n v="248"/>
    <n v="128"/>
    <x v="1"/>
    <n v="120"/>
    <x v="0"/>
    <n v="0.26666666666666666"/>
    <n v="2872"/>
  </r>
  <r>
    <x v="34"/>
    <x v="5008"/>
    <n v="305"/>
    <n v="186"/>
    <x v="1"/>
    <n v="119"/>
    <x v="0"/>
    <n v="0.38750000000000001"/>
    <n v="1478"/>
  </r>
  <r>
    <x v="34"/>
    <x v="5009"/>
    <n v="251"/>
    <n v="173"/>
    <x v="0"/>
    <n v="78"/>
    <x v="0"/>
    <n v="0.36041666666666666"/>
    <n v="1826"/>
  </r>
  <r>
    <x v="34"/>
    <x v="5010"/>
    <n v="274"/>
    <n v="158"/>
    <x v="5"/>
    <n v="116"/>
    <x v="0"/>
    <n v="0.32916666666666666"/>
    <n v="2207"/>
  </r>
  <r>
    <x v="34"/>
    <x v="5011"/>
    <n v="207"/>
    <n v="156"/>
    <x v="6"/>
    <n v="51"/>
    <x v="0"/>
    <n v="0.32500000000000001"/>
    <n v="2251"/>
  </r>
  <r>
    <x v="34"/>
    <x v="5012"/>
    <n v="207"/>
    <n v="123"/>
    <x v="0"/>
    <n v="84"/>
    <x v="0"/>
    <n v="0.25624999999999998"/>
    <n v="2983"/>
  </r>
  <r>
    <x v="34"/>
    <x v="5013"/>
    <n v="298"/>
    <n v="37"/>
    <x v="6"/>
    <n v="261"/>
    <x v="2"/>
    <n v="7.7083333333333337E-2"/>
    <n v="4863"/>
  </r>
  <r>
    <x v="34"/>
    <x v="5014"/>
    <n v="241"/>
    <n v="122"/>
    <x v="3"/>
    <n v="119"/>
    <x v="0"/>
    <n v="0.25416666666666665"/>
    <n v="3013"/>
  </r>
  <r>
    <x v="34"/>
    <x v="5015"/>
    <n v="265"/>
    <n v="168"/>
    <x v="0"/>
    <n v="97"/>
    <x v="0"/>
    <n v="0.35"/>
    <n v="1954"/>
  </r>
  <r>
    <x v="34"/>
    <x v="5016"/>
    <n v="218"/>
    <n v="64"/>
    <x v="3"/>
    <n v="154"/>
    <x v="1"/>
    <n v="0.13333333333333333"/>
    <n v="4293"/>
  </r>
  <r>
    <x v="34"/>
    <x v="5017"/>
    <n v="145"/>
    <n v="101"/>
    <x v="4"/>
    <n v="44"/>
    <x v="0"/>
    <n v="0.21041666666666667"/>
    <n v="3515"/>
  </r>
  <r>
    <x v="34"/>
    <x v="5018"/>
    <n v="308"/>
    <n v="87"/>
    <x v="0"/>
    <n v="221"/>
    <x v="1"/>
    <n v="0.18124999999999999"/>
    <n v="38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FE9C1-3E26-4859-9EC8-235A373FB8F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 rowPageCount="1" colPageCount="1"/>
  <pivotFields count="9"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showAll="0"/>
    <pivotField showAll="0"/>
    <pivotField axis="axisRow" showAll="0">
      <items count="8">
        <item x="5"/>
        <item x="4"/>
        <item x="3"/>
        <item x="1"/>
        <item x="2"/>
        <item x="0"/>
        <item x="6"/>
        <item t="default"/>
      </items>
    </pivotField>
    <pivotField showAll="0"/>
    <pivotField showAll="0"/>
    <pivotField numFmtId="164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0" hier="-1"/>
  </pageFields>
  <dataFields count="1">
    <dataField name="Count of District" fld="1" subtotal="count" baseField="4" baseItem="0"/>
  </dataField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9DA1A-832D-407C-9FFE-1B428CA1741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 rowPageCount="1" colPageCount="1"/>
  <pivotFields count="9"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showAll="0"/>
    <pivotField showAll="0"/>
    <pivotField showAll="0"/>
    <pivotField showAll="0"/>
    <pivotField axis="axisRow" showAll="0" sortType="descending">
      <items count="7">
        <item n="Good" x="2"/>
        <item n="Moderate" x="0"/>
        <item n="Poor" x="4"/>
        <item n="Satisfactory" x="1"/>
        <item n="Severe"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</pivotFields>
  <rowFields count="1">
    <field x="6"/>
  </rowFields>
  <rowItems count="7">
    <i>
      <x v="1"/>
    </i>
    <i>
      <x v="3"/>
    </i>
    <i>
      <x v="2"/>
    </i>
    <i>
      <x/>
    </i>
    <i>
      <x v="5"/>
    </i>
    <i>
      <x v="4"/>
    </i>
    <i t="grand">
      <x/>
    </i>
  </rowItems>
  <colItems count="1">
    <i/>
  </colItems>
  <pageFields count="1">
    <pageField fld="0" hier="-1"/>
  </pageFields>
  <dataFields count="1">
    <dataField name="Count of Distri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45CFF-5B55-4890-B6DD-A7C7FEFAC1F9}" name="Raw_Data" displayName="Raw_Data" ref="A1:E5055" totalsRowShown="0">
  <autoFilter ref="A1:E5055" xr:uid="{44E45CFF-5B55-4890-B6DD-A7C7FEFAC1F9}"/>
  <tableColumns count="5">
    <tableColumn id="1" xr3:uid="{94764FF2-9BEB-4228-8BC1-FDFC18610B3A}" name="State"/>
    <tableColumn id="2" xr3:uid="{36F233AF-DC60-4743-BF1B-06B32B266E01}" name="District"/>
    <tableColumn id="3" xr3:uid="{6E176969-4C28-4EA0-A984-D644B2C5C5D7}" name="Most AQI Reached"/>
    <tableColumn id="4" xr3:uid="{F861922E-3222-430F-9E68-96D6A8274D96}" name="Current AQI"/>
    <tableColumn id="5" xr3:uid="{87A80FAF-B284-4689-BE07-82511C68B140}" name="Major Source of Pollutio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3DD8DE-2CE5-4F83-BE49-66C9E433F708}" name="tbl_AQI" displayName="tbl_AQI" ref="A1:H5056" totalsRowCount="1">
  <autoFilter ref="A1:H5055" xr:uid="{523DD8DE-2CE5-4F83-BE49-66C9E433F708}"/>
  <sortState xmlns:xlrd2="http://schemas.microsoft.com/office/spreadsheetml/2017/richdata2" ref="A2:G5055">
    <sortCondition ref="A2:A5055"/>
    <sortCondition ref="B2:B5055"/>
  </sortState>
  <tableColumns count="8">
    <tableColumn id="1" xr3:uid="{CF45818C-9503-4D27-B7B0-4245D1D97387}" name="State"/>
    <tableColumn id="2" xr3:uid="{576BE2AE-B59A-4311-8C3A-3E59E7CCB0D6}" name="District"/>
    <tableColumn id="3" xr3:uid="{2DB5D94E-50EF-463C-A3EE-EDF1AA62CFE5}" name="Most AQI Reached"/>
    <tableColumn id="4" xr3:uid="{0EFE8633-AB28-4CBC-9FDA-B3DB911E5A9B}" name="Current AQI"/>
    <tableColumn id="5" xr3:uid="{B9612EC4-8EBD-4A06-AE96-980F569D721E}" name="Major Source of Pollution"/>
    <tableColumn id="6" xr3:uid="{E6F37C66-8049-4676-B0D2-655E4FD2D756}" name="AQI_Difference" dataDxfId="35">
      <calculatedColumnFormula>tbl_AQI[[#This Row],[Most AQI Reached]]-tbl_AQI[[#This Row],[Current AQI]]</calculatedColumnFormula>
    </tableColumn>
    <tableColumn id="7" xr3:uid="{C7470C0E-DF2C-4A9A-9570-47F096BE6EDA}" name="Category" dataDxfId="34">
      <calculatedColumnFormula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calculatedColumnFormula>
    </tableColumn>
    <tableColumn id="10" xr3:uid="{7720E559-1B6F-4237-9AB0-A0592090DFA9}" name="Rank" dataDxfId="33">
      <calculatedColumnFormula>RANK(tbl_AQI[[#This Row],[Current AQI]], tbl_AQI[Current AQI], 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63F7B52-0332-4A30-A8ED-115B2BD22C5C}" name="Sate_Analysis" displayName="Sate_Analysis" ref="A3:G38" totalsRowShown="0" headerRowDxfId="32">
  <sortState xmlns:xlrd2="http://schemas.microsoft.com/office/spreadsheetml/2017/richdata2" ref="A4:G38">
    <sortCondition ref="A4:A38"/>
  </sortState>
  <tableColumns count="7">
    <tableColumn id="1" xr3:uid="{0E0CE0AF-1376-4CDF-A575-E243652C82F0}" name="State"/>
    <tableColumn id="2" xr3:uid="{91673FA1-B89E-4BE1-906D-B32D92B309D8}" name="Avg AQI" dataDxfId="31">
      <calculatedColumnFormula>AVERAGEIF(tbl_AQI[State], Sate_Analysis[[#This Row],[State]], tbl_AQI[Current AQI])</calculatedColumnFormula>
    </tableColumn>
    <tableColumn id="3" xr3:uid="{6CA25C5D-5DB0-441F-8FE5-412C39B49494}" name="Max AQI" dataDxfId="30">
      <calculatedColumnFormula>_xlfn.MAXIFS(tbl_AQI[Current AQI], tbl_AQI[State], Sate_Analysis[[#This Row],[State]])</calculatedColumnFormula>
    </tableColumn>
    <tableColumn id="4" xr3:uid="{1D3BE225-AB0A-4759-9781-06CC10D13F69}" name="Area Count" dataDxfId="29">
      <calculatedColumnFormula>COUNTIF(tbl_AQI[State], Sate_Analysis[[#This Row],[State]])</calculatedColumnFormula>
    </tableColumn>
    <tableColumn id="5" xr3:uid="{D2F9703B-FB24-49ED-ABC8-16FECCC109CC}" name="% Severe Areas" dataDxfId="28" dataCellStyle="Percent">
      <calculatedColumnFormula>COUNTIFS(tbl_AQI[State], Sate_Analysis[[#This Row],[State]], tbl_AQI[Category], "Severe" )/COUNTIF(tbl_AQI[State], Sate_Analysis[[#This Row],[State]])</calculatedColumnFormula>
    </tableColumn>
    <tableColumn id="8" xr3:uid="{AB811F0B-96E2-4A74-9B79-0FB3BBE9643E}" name="Intensity Ratio" dataDxfId="27" dataCellStyle="Percent">
      <calculatedColumnFormula>Sate_Analysis[[#This Row],[Avg AQI]]/MAX(Sate_Analysis[Avg AQI])</calculatedColumnFormula>
    </tableColumn>
    <tableColumn id="6" xr3:uid="{AEBE0F64-B32F-4907-B5D1-F0D082C4CC96}" name="Rank" dataDxfId="26">
      <calculatedColumnFormula>RANK(Sate_Analysis[Avg AQI], Sate_Analysis[Avg AQI], 0)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499F345-6FAC-4023-B87A-040A9F983C35}" name="Pollution_Source" displayName="Pollution_Source" ref="K18:P25" totalsRowShown="0" headerRowDxfId="25" dataDxfId="24">
  <tableColumns count="6">
    <tableColumn id="1" xr3:uid="{22358975-D1C5-48E4-9C0D-1F0E29721D91}" name="Pollution Source" dataDxfId="23"/>
    <tableColumn id="2" xr3:uid="{7C4C6B38-0DEF-496F-A06A-4B3B7883CB74}" name="Area Count" dataDxfId="22">
      <calculatedColumnFormula>COUNTIFS(tbl_AQI[Major Source of Pollution], Pollution_Source[[#This Row],[Pollution Source]], tbl_AQI[State], Calculations!$L$3)</calculatedColumnFormula>
    </tableColumn>
    <tableColumn id="3" xr3:uid="{85E34E1F-035D-4927-80DB-15F8C453385D}" name="Avg AQI" dataDxfId="21">
      <calculatedColumnFormula>IFERROR(AVERAGEIFS(tbl_AQI[Current AQI], tbl_AQI[State], Calculations!$L$3, tbl_AQI[Major Source of Pollution], Pollution_Source[[#This Row],[Pollution Source]]), 0)</calculatedColumnFormula>
    </tableColumn>
    <tableColumn id="4" xr3:uid="{B4B99FCB-E803-4F4B-A1F5-26A1163C6E9F}" name="% Areas Effected" dataDxfId="20">
      <calculatedColumnFormula>COUNTIFS(tbl_AQI[State], Calculations!$L$3, tbl_AQI[Major Source of Pollution], Pollution_Source[[#This Row],[Pollution Source]])/COUNTIF(tbl_AQI[State], Calculations!$L$3)</calculatedColumnFormula>
    </tableColumn>
    <tableColumn id="5" xr3:uid="{A5E1CA45-7569-470E-A534-209E34EF63C0}" name="Impact Score" dataDxfId="19">
      <calculatedColumnFormula>Pollution_Source[[#This Row],[Avg AQI]]*Pollution_Source[[#This Row],[% Areas Effected]]</calculatedColumnFormula>
    </tableColumn>
    <tableColumn id="6" xr3:uid="{979E3F1B-1A97-4EEC-8C5B-9BDEE84C2FE0}" name="Rank" dataDxfId="18">
      <calculatedColumnFormula>RANK(Pollution_Source[Impact Score], Pollution_Source[Impact Score], 0)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A11940-C9E9-4339-A123-776F31013093}" name="Category_Distribution" displayName="Category_Distribution" ref="K30:P36" totalsRowShown="0" headerRowDxfId="17">
  <tableColumns count="6">
    <tableColumn id="1" xr3:uid="{33D9B052-8CE0-4EA1-B06C-31474C3A89A1}" name="Category" dataDxfId="16"/>
    <tableColumn id="2" xr3:uid="{8B6EB43C-9A0C-426C-9205-6E58FB5C9721}" name="Range" dataDxfId="15"/>
    <tableColumn id="3" xr3:uid="{8AB41FE6-C739-4287-9BBD-F35CC8F138AE}" name="District count" dataDxfId="14">
      <calculatedColumnFormula>COUNTIFS(tbl_AQI[State], Calculations!$L$3, tbl_AQI[Category], Category_Distribution[[#This Row],[Category]])</calculatedColumnFormula>
    </tableColumn>
    <tableColumn id="4" xr3:uid="{84266BF4-3B16-4452-8EE8-1216F9908A1A}" name="Avg_AQI" dataDxfId="13">
      <calculatedColumnFormula>IFERROR(AVERAGEIFS(tbl_AQI[Current AQI], tbl_AQI[State], Calculations!$L$3, tbl_AQI[Category], Category_Distribution[[#This Row],[Category]]), "N/A")</calculatedColumnFormula>
    </tableColumn>
    <tableColumn id="5" xr3:uid="{27AF7BD7-9115-4710-9A8B-9EBF93FC7D19}" name="% Areas" dataDxfId="12" dataCellStyle="Percent">
      <calculatedColumnFormula>Category_Distribution[[#This Row],[District count]]/SUM(Category_Distribution[District count])</calculatedColumnFormula>
    </tableColumn>
    <tableColumn id="6" xr3:uid="{F2C3DA7E-6DA1-43F2-A4D2-275F99370AE7}" name="Cumulative" dataDxfId="11">
      <calculatedColumnFormula>SUM($O$31:Category_Distribution[[#This Row],[% Areas]])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E8D453-19DC-41AA-9889-9F5358B123BC}" name="Table19" displayName="Table19" ref="I4:I5" totalsRowShown="0" headerRowDxfId="10" dataDxfId="9">
  <tableColumns count="1">
    <tableColumn id="1" xr3:uid="{EF0388F4-9C23-42E8-AC0B-F4E55DD93412}" name="Selected State/UT" dataDxfId="8">
      <calculatedColumnFormula>INDEX(Sate_Analysis[State], $I$8)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D4D32E-8DEF-4F5C-945E-8EC037374C63}" name="Table20" displayName="Table20" ref="I7:I8" totalsRowShown="0" headerRowDxfId="7" dataDxfId="6">
  <tableColumns count="1">
    <tableColumn id="1" xr3:uid="{CDEBB228-0EEA-4280-A450-FEB9FF74F2C0}" name="Selection" dataDxfId="5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392A7A-371B-4FE8-8E47-D48C69581E55}" name="Table4" displayName="Table4" ref="R3:S13" totalsRowShown="0" headerRowDxfId="4">
  <sortState xmlns:xlrd2="http://schemas.microsoft.com/office/spreadsheetml/2017/richdata2" ref="R4:S13">
    <sortCondition descending="1" ref="S4:S13"/>
  </sortState>
  <tableColumns count="2">
    <tableColumn id="1" xr3:uid="{219C9E88-40C2-4C55-8C66-9302C3130DE1}" name="District">
      <calculatedColumnFormula array="1">INDEX(tbl_AQI[District], SMALL(IF((tbl_AQI[State]=Table19[Selected State/UT])*(tbl_AQI[Current AQI]=S4), ROW(tbl_AQI[District])-MIN(ROW(tbl_AQI[District]))+1), COUNTIF(Calculations!$S$4:S4, S4)))</calculatedColumnFormula>
    </tableColumn>
    <tableColumn id="2" xr3:uid="{3CD5700F-C631-4862-A85A-AEDDC6A8A5D3}" name="AQI" dataDxfId="3">
      <calculatedColumnFormula array="1">SMALL(IF(tbl_AQI[State]=Table19[Selected State/UT], tbl_AQI[Current AQI]), ROW(A1))</calculatedColumnFormula>
    </tableColumn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AF3FB0-B9BF-4646-8399-37FED73C9A01}" name="Table311" displayName="Table311" ref="R18:S28" totalsRowShown="0" headerRowDxfId="2">
  <tableColumns count="2">
    <tableColumn id="1" xr3:uid="{F890A3B1-4F7F-44A1-AC3D-EFB2D8A82F38}" name="District" dataDxfId="1">
      <calculatedColumnFormula array="1">INDEX(tbl_AQI[District], SMALL(IF((tbl_AQI[State]=Table19[Selected State/UT])*(tbl_AQI[Current AQI]=Calculations!S19), ROW(tbl_AQI[District])-MIN(ROW(tbl_AQI[District]))+1), COUNTIF(Calculations!$S$19:S19, S19)))</calculatedColumnFormula>
    </tableColumn>
    <tableColumn id="2" xr3:uid="{4C26216E-6B0F-49B2-ADF2-1AD19D8A70C8}" name="AQI" dataDxfId="0">
      <calculatedColumnFormula array="1">LARGE(IF(tbl_AQI[State]=Table19[Selected State/UT], tbl_AQI[Current AQI]), ROW(A1))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0BEB-0B3E-4BE2-9349-00BB79ADB3D3}">
  <sheetPr codeName="Sheet11"/>
  <dimension ref="A1:E5055"/>
  <sheetViews>
    <sheetView workbookViewId="0">
      <selection activeCell="B1" sqref="B1"/>
    </sheetView>
  </sheetViews>
  <sheetFormatPr defaultRowHeight="14.5" x14ac:dyDescent="0.35"/>
  <cols>
    <col min="1" max="1" width="24.7265625" bestFit="1" customWidth="1"/>
    <col min="2" max="2" width="43" bestFit="1" customWidth="1"/>
    <col min="3" max="3" width="18.26953125" customWidth="1"/>
    <col min="4" max="4" width="12.81640625" customWidth="1"/>
    <col min="5" max="5" width="24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272</v>
      </c>
      <c r="D2">
        <v>190</v>
      </c>
      <c r="E2" t="s">
        <v>7</v>
      </c>
    </row>
    <row r="3" spans="1:5" x14ac:dyDescent="0.35">
      <c r="A3" t="s">
        <v>5</v>
      </c>
      <c r="B3" t="s">
        <v>8</v>
      </c>
      <c r="C3">
        <v>280</v>
      </c>
      <c r="D3">
        <v>155</v>
      </c>
      <c r="E3" t="s">
        <v>9</v>
      </c>
    </row>
    <row r="4" spans="1:5" x14ac:dyDescent="0.35">
      <c r="A4" t="s">
        <v>5</v>
      </c>
      <c r="B4" t="s">
        <v>10</v>
      </c>
      <c r="C4">
        <v>258</v>
      </c>
      <c r="D4">
        <v>64</v>
      </c>
      <c r="E4" t="s">
        <v>11</v>
      </c>
    </row>
    <row r="5" spans="1:5" x14ac:dyDescent="0.35">
      <c r="A5" t="s">
        <v>5</v>
      </c>
      <c r="B5" t="s">
        <v>12</v>
      </c>
      <c r="C5">
        <v>133</v>
      </c>
      <c r="D5">
        <v>120</v>
      </c>
      <c r="E5" t="s">
        <v>11</v>
      </c>
    </row>
    <row r="6" spans="1:5" x14ac:dyDescent="0.35">
      <c r="A6" t="s">
        <v>5</v>
      </c>
      <c r="B6" t="s">
        <v>13</v>
      </c>
      <c r="C6">
        <v>221</v>
      </c>
      <c r="D6">
        <v>57</v>
      </c>
      <c r="E6" t="s">
        <v>9</v>
      </c>
    </row>
    <row r="7" spans="1:5" x14ac:dyDescent="0.35">
      <c r="A7" t="s">
        <v>5</v>
      </c>
      <c r="B7" t="s">
        <v>14</v>
      </c>
      <c r="C7">
        <v>224</v>
      </c>
      <c r="D7">
        <v>39</v>
      </c>
      <c r="E7" t="s">
        <v>15</v>
      </c>
    </row>
    <row r="8" spans="1:5" x14ac:dyDescent="0.35">
      <c r="A8" t="s">
        <v>5</v>
      </c>
      <c r="B8" t="s">
        <v>16</v>
      </c>
      <c r="C8">
        <v>81</v>
      </c>
      <c r="D8">
        <v>34</v>
      </c>
      <c r="E8" t="s">
        <v>17</v>
      </c>
    </row>
    <row r="9" spans="1:5" x14ac:dyDescent="0.35">
      <c r="A9" t="s">
        <v>5</v>
      </c>
      <c r="B9" t="s">
        <v>18</v>
      </c>
      <c r="C9">
        <v>211</v>
      </c>
      <c r="D9">
        <v>57</v>
      </c>
      <c r="E9" t="s">
        <v>9</v>
      </c>
    </row>
    <row r="10" spans="1:5" x14ac:dyDescent="0.35">
      <c r="A10" t="s">
        <v>5</v>
      </c>
      <c r="B10" t="s">
        <v>19</v>
      </c>
      <c r="C10">
        <v>91</v>
      </c>
      <c r="D10">
        <v>58</v>
      </c>
      <c r="E10" t="s">
        <v>17</v>
      </c>
    </row>
    <row r="11" spans="1:5" x14ac:dyDescent="0.35">
      <c r="A11" t="s">
        <v>5</v>
      </c>
      <c r="B11" t="s">
        <v>20</v>
      </c>
      <c r="C11">
        <v>226</v>
      </c>
      <c r="D11">
        <v>164</v>
      </c>
      <c r="E11" t="s">
        <v>21</v>
      </c>
    </row>
    <row r="12" spans="1:5" x14ac:dyDescent="0.35">
      <c r="A12" t="s">
        <v>5</v>
      </c>
      <c r="B12" t="s">
        <v>22</v>
      </c>
      <c r="C12">
        <v>219</v>
      </c>
      <c r="D12">
        <v>70</v>
      </c>
      <c r="E12" t="s">
        <v>7</v>
      </c>
    </row>
    <row r="13" spans="1:5" x14ac:dyDescent="0.35">
      <c r="A13" t="s">
        <v>5</v>
      </c>
      <c r="B13" t="s">
        <v>23</v>
      </c>
      <c r="C13">
        <v>254</v>
      </c>
      <c r="D13">
        <v>133</v>
      </c>
      <c r="E13" t="s">
        <v>15</v>
      </c>
    </row>
    <row r="14" spans="1:5" x14ac:dyDescent="0.35">
      <c r="A14" t="s">
        <v>5</v>
      </c>
      <c r="B14" t="s">
        <v>24</v>
      </c>
      <c r="C14">
        <v>237</v>
      </c>
      <c r="D14">
        <v>152</v>
      </c>
      <c r="E14" t="s">
        <v>9</v>
      </c>
    </row>
    <row r="15" spans="1:5" x14ac:dyDescent="0.35">
      <c r="A15" t="s">
        <v>5</v>
      </c>
      <c r="B15" t="s">
        <v>25</v>
      </c>
      <c r="C15">
        <v>78</v>
      </c>
      <c r="D15">
        <v>64</v>
      </c>
      <c r="E15" t="s">
        <v>21</v>
      </c>
    </row>
    <row r="16" spans="1:5" x14ac:dyDescent="0.35">
      <c r="A16" t="s">
        <v>5</v>
      </c>
      <c r="B16" t="s">
        <v>26</v>
      </c>
      <c r="C16">
        <v>227</v>
      </c>
      <c r="D16">
        <v>144</v>
      </c>
      <c r="E16" t="s">
        <v>21</v>
      </c>
    </row>
    <row r="17" spans="1:5" x14ac:dyDescent="0.35">
      <c r="A17" t="s">
        <v>5</v>
      </c>
      <c r="B17" t="s">
        <v>27</v>
      </c>
      <c r="C17">
        <v>84</v>
      </c>
      <c r="D17">
        <v>62</v>
      </c>
      <c r="E17" t="s">
        <v>17</v>
      </c>
    </row>
    <row r="18" spans="1:5" x14ac:dyDescent="0.35">
      <c r="A18" t="s">
        <v>5</v>
      </c>
      <c r="B18" t="s">
        <v>28</v>
      </c>
      <c r="C18">
        <v>94</v>
      </c>
      <c r="D18">
        <v>45</v>
      </c>
      <c r="E18" t="s">
        <v>15</v>
      </c>
    </row>
    <row r="19" spans="1:5" x14ac:dyDescent="0.35">
      <c r="A19" t="s">
        <v>5</v>
      </c>
      <c r="B19" t="s">
        <v>29</v>
      </c>
      <c r="C19">
        <v>289</v>
      </c>
      <c r="D19">
        <v>181</v>
      </c>
      <c r="E19" t="s">
        <v>11</v>
      </c>
    </row>
    <row r="20" spans="1:5" x14ac:dyDescent="0.35">
      <c r="A20" t="s">
        <v>5</v>
      </c>
      <c r="B20" t="s">
        <v>30</v>
      </c>
      <c r="C20">
        <v>247</v>
      </c>
      <c r="D20">
        <v>164</v>
      </c>
      <c r="E20" t="s">
        <v>17</v>
      </c>
    </row>
    <row r="21" spans="1:5" x14ac:dyDescent="0.35">
      <c r="A21" t="s">
        <v>5</v>
      </c>
      <c r="B21" t="s">
        <v>31</v>
      </c>
      <c r="C21">
        <v>168</v>
      </c>
      <c r="D21">
        <v>163</v>
      </c>
      <c r="E21" t="s">
        <v>17</v>
      </c>
    </row>
    <row r="22" spans="1:5" x14ac:dyDescent="0.35">
      <c r="A22" t="s">
        <v>5</v>
      </c>
      <c r="B22" t="s">
        <v>32</v>
      </c>
      <c r="C22">
        <v>291</v>
      </c>
      <c r="D22">
        <v>93</v>
      </c>
      <c r="E22" t="s">
        <v>33</v>
      </c>
    </row>
    <row r="23" spans="1:5" x14ac:dyDescent="0.35">
      <c r="A23" t="s">
        <v>5</v>
      </c>
      <c r="B23" t="s">
        <v>34</v>
      </c>
      <c r="C23">
        <v>263</v>
      </c>
      <c r="D23">
        <v>85</v>
      </c>
      <c r="E23" t="s">
        <v>21</v>
      </c>
    </row>
    <row r="24" spans="1:5" x14ac:dyDescent="0.35">
      <c r="A24" t="s">
        <v>5</v>
      </c>
      <c r="B24" t="s">
        <v>35</v>
      </c>
      <c r="C24">
        <v>142</v>
      </c>
      <c r="D24">
        <v>129</v>
      </c>
      <c r="E24" t="s">
        <v>17</v>
      </c>
    </row>
    <row r="25" spans="1:5" x14ac:dyDescent="0.35">
      <c r="A25" t="s">
        <v>5</v>
      </c>
      <c r="B25" t="s">
        <v>36</v>
      </c>
      <c r="C25">
        <v>241</v>
      </c>
      <c r="D25">
        <v>123</v>
      </c>
      <c r="E25" t="s">
        <v>17</v>
      </c>
    </row>
    <row r="26" spans="1:5" x14ac:dyDescent="0.35">
      <c r="A26" t="s">
        <v>5</v>
      </c>
      <c r="B26" t="s">
        <v>37</v>
      </c>
      <c r="C26">
        <v>296</v>
      </c>
      <c r="D26">
        <v>134</v>
      </c>
      <c r="E26" t="s">
        <v>17</v>
      </c>
    </row>
    <row r="27" spans="1:5" x14ac:dyDescent="0.35">
      <c r="A27" t="s">
        <v>5</v>
      </c>
      <c r="B27" t="s">
        <v>38</v>
      </c>
      <c r="C27">
        <v>298</v>
      </c>
      <c r="D27">
        <v>47</v>
      </c>
      <c r="E27" t="s">
        <v>21</v>
      </c>
    </row>
    <row r="28" spans="1:5" x14ac:dyDescent="0.35">
      <c r="A28" t="s">
        <v>5</v>
      </c>
      <c r="B28" t="s">
        <v>39</v>
      </c>
      <c r="C28">
        <v>150</v>
      </c>
      <c r="D28">
        <v>132</v>
      </c>
      <c r="E28" t="s">
        <v>15</v>
      </c>
    </row>
    <row r="29" spans="1:5" x14ac:dyDescent="0.35">
      <c r="A29" t="s">
        <v>5</v>
      </c>
      <c r="B29" t="s">
        <v>40</v>
      </c>
      <c r="C29">
        <v>150</v>
      </c>
      <c r="D29">
        <v>148</v>
      </c>
      <c r="E29" t="s">
        <v>7</v>
      </c>
    </row>
    <row r="30" spans="1:5" x14ac:dyDescent="0.35">
      <c r="A30" t="s">
        <v>5</v>
      </c>
      <c r="B30" t="s">
        <v>41</v>
      </c>
      <c r="C30">
        <v>315</v>
      </c>
      <c r="D30">
        <v>163</v>
      </c>
      <c r="E30" t="s">
        <v>21</v>
      </c>
    </row>
    <row r="31" spans="1:5" x14ac:dyDescent="0.35">
      <c r="A31" t="s">
        <v>5</v>
      </c>
      <c r="B31" t="s">
        <v>42</v>
      </c>
      <c r="C31">
        <v>249</v>
      </c>
      <c r="D31">
        <v>183</v>
      </c>
      <c r="E31" t="s">
        <v>9</v>
      </c>
    </row>
    <row r="32" spans="1:5" x14ac:dyDescent="0.35">
      <c r="A32" t="s">
        <v>5</v>
      </c>
      <c r="B32" t="s">
        <v>43</v>
      </c>
      <c r="C32">
        <v>135</v>
      </c>
      <c r="D32">
        <v>110</v>
      </c>
      <c r="E32" t="s">
        <v>9</v>
      </c>
    </row>
    <row r="33" spans="1:5" x14ac:dyDescent="0.35">
      <c r="A33" t="s">
        <v>5</v>
      </c>
      <c r="B33" t="s">
        <v>44</v>
      </c>
      <c r="C33">
        <v>206</v>
      </c>
      <c r="D33">
        <v>56</v>
      </c>
      <c r="E33" t="s">
        <v>11</v>
      </c>
    </row>
    <row r="34" spans="1:5" x14ac:dyDescent="0.35">
      <c r="A34" t="s">
        <v>5</v>
      </c>
      <c r="B34" t="s">
        <v>45</v>
      </c>
      <c r="C34">
        <v>69</v>
      </c>
      <c r="D34">
        <v>38</v>
      </c>
      <c r="E34" t="s">
        <v>15</v>
      </c>
    </row>
    <row r="35" spans="1:5" x14ac:dyDescent="0.35">
      <c r="A35" t="s">
        <v>5</v>
      </c>
      <c r="B35" t="s">
        <v>46</v>
      </c>
      <c r="C35">
        <v>200</v>
      </c>
      <c r="D35">
        <v>169</v>
      </c>
      <c r="E35" t="s">
        <v>15</v>
      </c>
    </row>
    <row r="36" spans="1:5" x14ac:dyDescent="0.35">
      <c r="A36" t="s">
        <v>5</v>
      </c>
      <c r="B36" t="s">
        <v>47</v>
      </c>
      <c r="C36">
        <v>315</v>
      </c>
      <c r="D36">
        <v>182</v>
      </c>
      <c r="E36" t="s">
        <v>21</v>
      </c>
    </row>
    <row r="37" spans="1:5" x14ac:dyDescent="0.35">
      <c r="A37" t="s">
        <v>5</v>
      </c>
      <c r="B37" t="s">
        <v>48</v>
      </c>
      <c r="C37">
        <v>259</v>
      </c>
      <c r="D37">
        <v>176</v>
      </c>
      <c r="E37" t="s">
        <v>11</v>
      </c>
    </row>
    <row r="38" spans="1:5" x14ac:dyDescent="0.35">
      <c r="A38" t="s">
        <v>5</v>
      </c>
      <c r="B38" t="s">
        <v>49</v>
      </c>
      <c r="C38">
        <v>159</v>
      </c>
      <c r="D38">
        <v>60</v>
      </c>
      <c r="E38" t="s">
        <v>17</v>
      </c>
    </row>
    <row r="39" spans="1:5" x14ac:dyDescent="0.35">
      <c r="A39" t="s">
        <v>5</v>
      </c>
      <c r="B39" t="s">
        <v>50</v>
      </c>
      <c r="C39">
        <v>129</v>
      </c>
      <c r="D39">
        <v>111</v>
      </c>
      <c r="E39" t="s">
        <v>9</v>
      </c>
    </row>
    <row r="40" spans="1:5" x14ac:dyDescent="0.35">
      <c r="A40" t="s">
        <v>5</v>
      </c>
      <c r="B40" t="s">
        <v>51</v>
      </c>
      <c r="C40">
        <v>182</v>
      </c>
      <c r="D40">
        <v>108</v>
      </c>
      <c r="E40" t="s">
        <v>17</v>
      </c>
    </row>
    <row r="41" spans="1:5" x14ac:dyDescent="0.35">
      <c r="A41" t="s">
        <v>5</v>
      </c>
      <c r="B41" t="s">
        <v>52</v>
      </c>
      <c r="C41">
        <v>127</v>
      </c>
      <c r="D41">
        <v>74</v>
      </c>
      <c r="E41" t="s">
        <v>21</v>
      </c>
    </row>
    <row r="42" spans="1:5" x14ac:dyDescent="0.35">
      <c r="A42" t="s">
        <v>5</v>
      </c>
      <c r="B42" t="s">
        <v>53</v>
      </c>
      <c r="C42">
        <v>273</v>
      </c>
      <c r="D42">
        <v>110</v>
      </c>
      <c r="E42" t="s">
        <v>7</v>
      </c>
    </row>
    <row r="43" spans="1:5" x14ac:dyDescent="0.35">
      <c r="A43" t="s">
        <v>5</v>
      </c>
      <c r="B43" t="s">
        <v>54</v>
      </c>
      <c r="C43">
        <v>199</v>
      </c>
      <c r="D43">
        <v>165</v>
      </c>
      <c r="E43" t="s">
        <v>7</v>
      </c>
    </row>
    <row r="44" spans="1:5" x14ac:dyDescent="0.35">
      <c r="A44" t="s">
        <v>5</v>
      </c>
      <c r="B44" t="s">
        <v>55</v>
      </c>
      <c r="C44">
        <v>288</v>
      </c>
      <c r="D44">
        <v>75</v>
      </c>
      <c r="E44" t="s">
        <v>17</v>
      </c>
    </row>
    <row r="45" spans="1:5" x14ac:dyDescent="0.35">
      <c r="A45" t="s">
        <v>5</v>
      </c>
      <c r="B45" t="s">
        <v>56</v>
      </c>
      <c r="C45">
        <v>302</v>
      </c>
      <c r="D45">
        <v>75</v>
      </c>
      <c r="E45" t="s">
        <v>17</v>
      </c>
    </row>
    <row r="46" spans="1:5" x14ac:dyDescent="0.35">
      <c r="A46" t="s">
        <v>5</v>
      </c>
      <c r="B46" t="s">
        <v>57</v>
      </c>
      <c r="C46">
        <v>202</v>
      </c>
      <c r="D46">
        <v>67</v>
      </c>
      <c r="E46" t="s">
        <v>15</v>
      </c>
    </row>
    <row r="47" spans="1:5" x14ac:dyDescent="0.35">
      <c r="A47" t="s">
        <v>5</v>
      </c>
      <c r="B47" t="s">
        <v>58</v>
      </c>
      <c r="C47">
        <v>316</v>
      </c>
      <c r="D47">
        <v>38</v>
      </c>
      <c r="E47" t="s">
        <v>9</v>
      </c>
    </row>
    <row r="48" spans="1:5" x14ac:dyDescent="0.35">
      <c r="A48" t="s">
        <v>5</v>
      </c>
      <c r="B48" t="s">
        <v>59</v>
      </c>
      <c r="C48">
        <v>227</v>
      </c>
      <c r="D48">
        <v>32</v>
      </c>
      <c r="E48" t="s">
        <v>15</v>
      </c>
    </row>
    <row r="49" spans="1:5" x14ac:dyDescent="0.35">
      <c r="A49" t="s">
        <v>5</v>
      </c>
      <c r="B49" t="s">
        <v>60</v>
      </c>
      <c r="C49">
        <v>302</v>
      </c>
      <c r="D49">
        <v>188</v>
      </c>
      <c r="E49" t="s">
        <v>21</v>
      </c>
    </row>
    <row r="50" spans="1:5" x14ac:dyDescent="0.35">
      <c r="A50" t="s">
        <v>5</v>
      </c>
      <c r="B50" t="s">
        <v>61</v>
      </c>
      <c r="C50">
        <v>192</v>
      </c>
      <c r="D50">
        <v>143</v>
      </c>
      <c r="E50" t="s">
        <v>7</v>
      </c>
    </row>
    <row r="51" spans="1:5" x14ac:dyDescent="0.35">
      <c r="A51" t="s">
        <v>5</v>
      </c>
      <c r="B51" t="s">
        <v>62</v>
      </c>
      <c r="C51">
        <v>187</v>
      </c>
      <c r="D51">
        <v>50</v>
      </c>
      <c r="E51" t="s">
        <v>11</v>
      </c>
    </row>
    <row r="52" spans="1:5" x14ac:dyDescent="0.35">
      <c r="A52" t="s">
        <v>5</v>
      </c>
      <c r="B52" t="s">
        <v>63</v>
      </c>
      <c r="C52">
        <v>282</v>
      </c>
      <c r="D52">
        <v>108</v>
      </c>
      <c r="E52" t="s">
        <v>9</v>
      </c>
    </row>
    <row r="53" spans="1:5" x14ac:dyDescent="0.35">
      <c r="A53" t="s">
        <v>5</v>
      </c>
      <c r="B53" t="s">
        <v>64</v>
      </c>
      <c r="C53">
        <v>289</v>
      </c>
      <c r="D53">
        <v>118</v>
      </c>
      <c r="E53" t="s">
        <v>21</v>
      </c>
    </row>
    <row r="54" spans="1:5" x14ac:dyDescent="0.35">
      <c r="A54" t="s">
        <v>5</v>
      </c>
      <c r="B54" t="s">
        <v>65</v>
      </c>
      <c r="C54">
        <v>149</v>
      </c>
      <c r="D54">
        <v>55</v>
      </c>
      <c r="E54" t="s">
        <v>33</v>
      </c>
    </row>
    <row r="55" spans="1:5" x14ac:dyDescent="0.35">
      <c r="A55" t="s">
        <v>5</v>
      </c>
      <c r="B55" t="s">
        <v>66</v>
      </c>
      <c r="C55">
        <v>80</v>
      </c>
      <c r="D55">
        <v>68</v>
      </c>
      <c r="E55" t="s">
        <v>11</v>
      </c>
    </row>
    <row r="56" spans="1:5" x14ac:dyDescent="0.35">
      <c r="A56" t="s">
        <v>5</v>
      </c>
      <c r="B56" t="s">
        <v>67</v>
      </c>
      <c r="C56">
        <v>266</v>
      </c>
      <c r="D56">
        <v>51</v>
      </c>
      <c r="E56" t="s">
        <v>15</v>
      </c>
    </row>
    <row r="57" spans="1:5" x14ac:dyDescent="0.35">
      <c r="A57" t="s">
        <v>5</v>
      </c>
      <c r="B57" t="s">
        <v>68</v>
      </c>
      <c r="C57">
        <v>131</v>
      </c>
      <c r="D57">
        <v>121</v>
      </c>
      <c r="E57" t="s">
        <v>21</v>
      </c>
    </row>
    <row r="58" spans="1:5" x14ac:dyDescent="0.35">
      <c r="A58" t="s">
        <v>5</v>
      </c>
      <c r="B58" t="s">
        <v>69</v>
      </c>
      <c r="C58">
        <v>223</v>
      </c>
      <c r="D58">
        <v>72</v>
      </c>
      <c r="E58" t="s">
        <v>9</v>
      </c>
    </row>
    <row r="59" spans="1:5" x14ac:dyDescent="0.35">
      <c r="A59" t="s">
        <v>5</v>
      </c>
      <c r="B59" t="s">
        <v>70</v>
      </c>
      <c r="C59">
        <v>226</v>
      </c>
      <c r="D59">
        <v>160</v>
      </c>
      <c r="E59" t="s">
        <v>15</v>
      </c>
    </row>
    <row r="60" spans="1:5" x14ac:dyDescent="0.35">
      <c r="A60" t="s">
        <v>5</v>
      </c>
      <c r="B60" t="s">
        <v>71</v>
      </c>
      <c r="C60">
        <v>85</v>
      </c>
      <c r="D60">
        <v>84</v>
      </c>
      <c r="E60" t="s">
        <v>15</v>
      </c>
    </row>
    <row r="61" spans="1:5" x14ac:dyDescent="0.35">
      <c r="A61" t="s">
        <v>5</v>
      </c>
      <c r="B61" t="s">
        <v>72</v>
      </c>
      <c r="C61">
        <v>142</v>
      </c>
      <c r="D61">
        <v>93</v>
      </c>
      <c r="E61" t="s">
        <v>33</v>
      </c>
    </row>
    <row r="62" spans="1:5" x14ac:dyDescent="0.35">
      <c r="A62" t="s">
        <v>5</v>
      </c>
      <c r="B62" t="s">
        <v>73</v>
      </c>
      <c r="C62">
        <v>116</v>
      </c>
      <c r="D62">
        <v>110</v>
      </c>
      <c r="E62" t="s">
        <v>21</v>
      </c>
    </row>
    <row r="63" spans="1:5" x14ac:dyDescent="0.35">
      <c r="A63" t="s">
        <v>5</v>
      </c>
      <c r="B63" t="s">
        <v>74</v>
      </c>
      <c r="C63">
        <v>281</v>
      </c>
      <c r="D63">
        <v>156</v>
      </c>
      <c r="E63" t="s">
        <v>7</v>
      </c>
    </row>
    <row r="64" spans="1:5" x14ac:dyDescent="0.35">
      <c r="A64" t="s">
        <v>5</v>
      </c>
      <c r="B64" t="s">
        <v>75</v>
      </c>
      <c r="C64">
        <v>138</v>
      </c>
      <c r="D64">
        <v>136</v>
      </c>
      <c r="E64" t="s">
        <v>17</v>
      </c>
    </row>
    <row r="65" spans="1:5" x14ac:dyDescent="0.35">
      <c r="A65" t="s">
        <v>5</v>
      </c>
      <c r="B65" t="s">
        <v>76</v>
      </c>
      <c r="C65">
        <v>313</v>
      </c>
      <c r="D65">
        <v>40</v>
      </c>
      <c r="E65" t="s">
        <v>7</v>
      </c>
    </row>
    <row r="66" spans="1:5" x14ac:dyDescent="0.35">
      <c r="A66" t="s">
        <v>5</v>
      </c>
      <c r="B66" t="s">
        <v>77</v>
      </c>
      <c r="C66">
        <v>277</v>
      </c>
      <c r="D66">
        <v>93</v>
      </c>
      <c r="E66" t="s">
        <v>9</v>
      </c>
    </row>
    <row r="67" spans="1:5" x14ac:dyDescent="0.35">
      <c r="A67" t="s">
        <v>5</v>
      </c>
      <c r="B67" t="s">
        <v>78</v>
      </c>
      <c r="C67">
        <v>131</v>
      </c>
      <c r="D67">
        <v>79</v>
      </c>
      <c r="E67" t="s">
        <v>17</v>
      </c>
    </row>
    <row r="68" spans="1:5" x14ac:dyDescent="0.35">
      <c r="A68" t="s">
        <v>5</v>
      </c>
      <c r="B68" t="s">
        <v>79</v>
      </c>
      <c r="C68">
        <v>320</v>
      </c>
      <c r="D68">
        <v>135</v>
      </c>
      <c r="E68" t="s">
        <v>7</v>
      </c>
    </row>
    <row r="69" spans="1:5" x14ac:dyDescent="0.35">
      <c r="A69" t="s">
        <v>5</v>
      </c>
      <c r="B69" t="s">
        <v>80</v>
      </c>
      <c r="C69">
        <v>186</v>
      </c>
      <c r="D69">
        <v>39</v>
      </c>
      <c r="E69" t="s">
        <v>15</v>
      </c>
    </row>
    <row r="70" spans="1:5" x14ac:dyDescent="0.35">
      <c r="A70" t="s">
        <v>5</v>
      </c>
      <c r="B70" t="s">
        <v>81</v>
      </c>
      <c r="C70">
        <v>83</v>
      </c>
      <c r="D70">
        <v>83</v>
      </c>
      <c r="E70" t="s">
        <v>11</v>
      </c>
    </row>
    <row r="71" spans="1:5" x14ac:dyDescent="0.35">
      <c r="A71" t="s">
        <v>5</v>
      </c>
      <c r="B71" t="s">
        <v>82</v>
      </c>
      <c r="C71">
        <v>238</v>
      </c>
      <c r="D71">
        <v>49</v>
      </c>
      <c r="E71" t="s">
        <v>17</v>
      </c>
    </row>
    <row r="72" spans="1:5" x14ac:dyDescent="0.35">
      <c r="A72" t="s">
        <v>5</v>
      </c>
      <c r="B72" t="s">
        <v>83</v>
      </c>
      <c r="C72">
        <v>292</v>
      </c>
      <c r="D72">
        <v>112</v>
      </c>
      <c r="E72" t="s">
        <v>7</v>
      </c>
    </row>
    <row r="73" spans="1:5" x14ac:dyDescent="0.35">
      <c r="A73" t="s">
        <v>5</v>
      </c>
      <c r="B73" t="s">
        <v>84</v>
      </c>
      <c r="C73">
        <v>188</v>
      </c>
      <c r="D73">
        <v>175</v>
      </c>
      <c r="E73" t="s">
        <v>21</v>
      </c>
    </row>
    <row r="74" spans="1:5" x14ac:dyDescent="0.35">
      <c r="A74" t="s">
        <v>5</v>
      </c>
      <c r="B74" t="s">
        <v>85</v>
      </c>
      <c r="C74">
        <v>270</v>
      </c>
      <c r="D74">
        <v>65</v>
      </c>
      <c r="E74" t="s">
        <v>15</v>
      </c>
    </row>
    <row r="75" spans="1:5" x14ac:dyDescent="0.35">
      <c r="A75" t="s">
        <v>5</v>
      </c>
      <c r="B75" t="s">
        <v>86</v>
      </c>
      <c r="C75">
        <v>238</v>
      </c>
      <c r="D75">
        <v>41</v>
      </c>
      <c r="E75" t="s">
        <v>21</v>
      </c>
    </row>
    <row r="76" spans="1:5" x14ac:dyDescent="0.35">
      <c r="A76" t="s">
        <v>5</v>
      </c>
      <c r="B76" t="s">
        <v>87</v>
      </c>
      <c r="C76">
        <v>178</v>
      </c>
      <c r="D76">
        <v>156</v>
      </c>
      <c r="E76" t="s">
        <v>7</v>
      </c>
    </row>
    <row r="77" spans="1:5" x14ac:dyDescent="0.35">
      <c r="A77" t="s">
        <v>5</v>
      </c>
      <c r="B77" t="s">
        <v>88</v>
      </c>
      <c r="C77">
        <v>221</v>
      </c>
      <c r="D77">
        <v>155</v>
      </c>
      <c r="E77" t="s">
        <v>7</v>
      </c>
    </row>
    <row r="78" spans="1:5" x14ac:dyDescent="0.35">
      <c r="A78" t="s">
        <v>5</v>
      </c>
      <c r="B78" t="s">
        <v>89</v>
      </c>
      <c r="C78">
        <v>304</v>
      </c>
      <c r="D78">
        <v>48</v>
      </c>
      <c r="E78" t="s">
        <v>11</v>
      </c>
    </row>
    <row r="79" spans="1:5" x14ac:dyDescent="0.35">
      <c r="A79" t="s">
        <v>5</v>
      </c>
      <c r="B79" t="s">
        <v>90</v>
      </c>
      <c r="C79">
        <v>238</v>
      </c>
      <c r="D79">
        <v>175</v>
      </c>
      <c r="E79" t="s">
        <v>15</v>
      </c>
    </row>
    <row r="80" spans="1:5" x14ac:dyDescent="0.35">
      <c r="A80" t="s">
        <v>5</v>
      </c>
      <c r="B80" t="s">
        <v>91</v>
      </c>
      <c r="C80">
        <v>113</v>
      </c>
      <c r="D80">
        <v>95</v>
      </c>
      <c r="E80" t="s">
        <v>7</v>
      </c>
    </row>
    <row r="81" spans="1:5" x14ac:dyDescent="0.35">
      <c r="A81" t="s">
        <v>5</v>
      </c>
      <c r="B81" t="s">
        <v>92</v>
      </c>
      <c r="C81">
        <v>261</v>
      </c>
      <c r="D81">
        <v>140</v>
      </c>
      <c r="E81" t="s">
        <v>33</v>
      </c>
    </row>
    <row r="82" spans="1:5" x14ac:dyDescent="0.35">
      <c r="A82" t="s">
        <v>5</v>
      </c>
      <c r="B82" t="s">
        <v>93</v>
      </c>
      <c r="C82">
        <v>192</v>
      </c>
      <c r="D82">
        <v>189</v>
      </c>
      <c r="E82" t="s">
        <v>17</v>
      </c>
    </row>
    <row r="83" spans="1:5" x14ac:dyDescent="0.35">
      <c r="A83" t="s">
        <v>5</v>
      </c>
      <c r="B83" t="s">
        <v>94</v>
      </c>
      <c r="C83">
        <v>300</v>
      </c>
      <c r="D83">
        <v>118</v>
      </c>
      <c r="E83" t="s">
        <v>21</v>
      </c>
    </row>
    <row r="84" spans="1:5" x14ac:dyDescent="0.35">
      <c r="A84" t="s">
        <v>5</v>
      </c>
      <c r="B84" t="s">
        <v>95</v>
      </c>
      <c r="C84">
        <v>229</v>
      </c>
      <c r="D84">
        <v>79</v>
      </c>
      <c r="E84" t="s">
        <v>33</v>
      </c>
    </row>
    <row r="85" spans="1:5" x14ac:dyDescent="0.35">
      <c r="A85" t="s">
        <v>5</v>
      </c>
      <c r="B85" t="s">
        <v>96</v>
      </c>
      <c r="C85">
        <v>222</v>
      </c>
      <c r="D85">
        <v>104</v>
      </c>
      <c r="E85" t="s">
        <v>15</v>
      </c>
    </row>
    <row r="86" spans="1:5" x14ac:dyDescent="0.35">
      <c r="A86" t="s">
        <v>5</v>
      </c>
      <c r="B86" t="s">
        <v>97</v>
      </c>
      <c r="C86">
        <v>266</v>
      </c>
      <c r="D86">
        <v>173</v>
      </c>
      <c r="E86" t="s">
        <v>15</v>
      </c>
    </row>
    <row r="87" spans="1:5" x14ac:dyDescent="0.35">
      <c r="A87" t="s">
        <v>5</v>
      </c>
      <c r="B87" t="s">
        <v>98</v>
      </c>
      <c r="C87">
        <v>135</v>
      </c>
      <c r="D87">
        <v>80</v>
      </c>
      <c r="E87" t="s">
        <v>17</v>
      </c>
    </row>
    <row r="88" spans="1:5" x14ac:dyDescent="0.35">
      <c r="A88" t="s">
        <v>5</v>
      </c>
      <c r="B88" t="s">
        <v>99</v>
      </c>
      <c r="C88">
        <v>166</v>
      </c>
      <c r="D88">
        <v>155</v>
      </c>
      <c r="E88" t="s">
        <v>7</v>
      </c>
    </row>
    <row r="89" spans="1:5" x14ac:dyDescent="0.35">
      <c r="A89" t="s">
        <v>5</v>
      </c>
      <c r="B89" t="s">
        <v>100</v>
      </c>
      <c r="C89">
        <v>156</v>
      </c>
      <c r="D89">
        <v>84</v>
      </c>
      <c r="E89" t="s">
        <v>17</v>
      </c>
    </row>
    <row r="90" spans="1:5" x14ac:dyDescent="0.35">
      <c r="A90" t="s">
        <v>5</v>
      </c>
      <c r="B90" t="s">
        <v>101</v>
      </c>
      <c r="C90">
        <v>257</v>
      </c>
      <c r="D90">
        <v>179</v>
      </c>
      <c r="E90" t="s">
        <v>7</v>
      </c>
    </row>
    <row r="91" spans="1:5" x14ac:dyDescent="0.35">
      <c r="A91" t="s">
        <v>5</v>
      </c>
      <c r="B91" t="s">
        <v>102</v>
      </c>
      <c r="C91">
        <v>133</v>
      </c>
      <c r="D91">
        <v>48</v>
      </c>
      <c r="E91" t="s">
        <v>15</v>
      </c>
    </row>
    <row r="92" spans="1:5" x14ac:dyDescent="0.35">
      <c r="A92" t="s">
        <v>5</v>
      </c>
      <c r="B92" t="s">
        <v>103</v>
      </c>
      <c r="C92">
        <v>177</v>
      </c>
      <c r="D92">
        <v>145</v>
      </c>
      <c r="E92" t="s">
        <v>17</v>
      </c>
    </row>
    <row r="93" spans="1:5" x14ac:dyDescent="0.35">
      <c r="A93" t="s">
        <v>104</v>
      </c>
      <c r="B93" t="s">
        <v>105</v>
      </c>
      <c r="C93">
        <v>161</v>
      </c>
      <c r="D93">
        <v>116</v>
      </c>
      <c r="E93" t="s">
        <v>9</v>
      </c>
    </row>
    <row r="94" spans="1:5" x14ac:dyDescent="0.35">
      <c r="A94" t="s">
        <v>104</v>
      </c>
      <c r="B94" t="s">
        <v>106</v>
      </c>
      <c r="C94">
        <v>260</v>
      </c>
      <c r="D94">
        <v>113</v>
      </c>
      <c r="E94" t="s">
        <v>7</v>
      </c>
    </row>
    <row r="95" spans="1:5" x14ac:dyDescent="0.35">
      <c r="A95" t="s">
        <v>104</v>
      </c>
      <c r="B95" t="s">
        <v>107</v>
      </c>
      <c r="C95">
        <v>317</v>
      </c>
      <c r="D95">
        <v>143</v>
      </c>
      <c r="E95" t="s">
        <v>7</v>
      </c>
    </row>
    <row r="96" spans="1:5" x14ac:dyDescent="0.35">
      <c r="A96" t="s">
        <v>104</v>
      </c>
      <c r="B96" t="s">
        <v>108</v>
      </c>
      <c r="C96">
        <v>311</v>
      </c>
      <c r="D96">
        <v>125</v>
      </c>
      <c r="E96" t="s">
        <v>21</v>
      </c>
    </row>
    <row r="97" spans="1:5" x14ac:dyDescent="0.35">
      <c r="A97" t="s">
        <v>104</v>
      </c>
      <c r="B97" t="s">
        <v>109</v>
      </c>
      <c r="C97">
        <v>163</v>
      </c>
      <c r="D97">
        <v>154</v>
      </c>
      <c r="E97" t="s">
        <v>21</v>
      </c>
    </row>
    <row r="98" spans="1:5" x14ac:dyDescent="0.35">
      <c r="A98" t="s">
        <v>104</v>
      </c>
      <c r="B98" t="s">
        <v>110</v>
      </c>
      <c r="C98">
        <v>300</v>
      </c>
      <c r="D98">
        <v>112</v>
      </c>
      <c r="E98" t="s">
        <v>15</v>
      </c>
    </row>
    <row r="99" spans="1:5" x14ac:dyDescent="0.35">
      <c r="A99" t="s">
        <v>104</v>
      </c>
      <c r="B99" t="s">
        <v>111</v>
      </c>
      <c r="C99">
        <v>111</v>
      </c>
      <c r="D99">
        <v>48</v>
      </c>
      <c r="E99" t="s">
        <v>21</v>
      </c>
    </row>
    <row r="100" spans="1:5" x14ac:dyDescent="0.35">
      <c r="A100" t="s">
        <v>104</v>
      </c>
      <c r="B100" t="s">
        <v>112</v>
      </c>
      <c r="C100">
        <v>232</v>
      </c>
      <c r="D100">
        <v>117</v>
      </c>
      <c r="E100" t="s">
        <v>9</v>
      </c>
    </row>
    <row r="101" spans="1:5" x14ac:dyDescent="0.35">
      <c r="A101" t="s">
        <v>104</v>
      </c>
      <c r="B101" t="s">
        <v>113</v>
      </c>
      <c r="C101">
        <v>222</v>
      </c>
      <c r="D101">
        <v>55</v>
      </c>
      <c r="E101" t="s">
        <v>15</v>
      </c>
    </row>
    <row r="102" spans="1:5" x14ac:dyDescent="0.35">
      <c r="A102" t="s">
        <v>104</v>
      </c>
      <c r="B102" t="s">
        <v>114</v>
      </c>
      <c r="C102">
        <v>173</v>
      </c>
      <c r="D102">
        <v>48</v>
      </c>
      <c r="E102" t="s">
        <v>33</v>
      </c>
    </row>
    <row r="103" spans="1:5" x14ac:dyDescent="0.35">
      <c r="A103" t="s">
        <v>104</v>
      </c>
      <c r="B103" t="s">
        <v>115</v>
      </c>
      <c r="C103">
        <v>90</v>
      </c>
      <c r="D103">
        <v>60</v>
      </c>
      <c r="E103" t="s">
        <v>7</v>
      </c>
    </row>
    <row r="104" spans="1:5" x14ac:dyDescent="0.35">
      <c r="A104" t="s">
        <v>104</v>
      </c>
      <c r="B104" t="s">
        <v>116</v>
      </c>
      <c r="C104">
        <v>268</v>
      </c>
      <c r="D104">
        <v>133</v>
      </c>
      <c r="E104" t="s">
        <v>15</v>
      </c>
    </row>
    <row r="105" spans="1:5" x14ac:dyDescent="0.35">
      <c r="A105" t="s">
        <v>104</v>
      </c>
      <c r="B105" t="s">
        <v>117</v>
      </c>
      <c r="C105">
        <v>219</v>
      </c>
      <c r="D105">
        <v>175</v>
      </c>
      <c r="E105" t="s">
        <v>21</v>
      </c>
    </row>
    <row r="106" spans="1:5" x14ac:dyDescent="0.35">
      <c r="A106" t="s">
        <v>104</v>
      </c>
      <c r="B106" t="s">
        <v>118</v>
      </c>
      <c r="C106">
        <v>296</v>
      </c>
      <c r="D106">
        <v>180</v>
      </c>
      <c r="E106" t="s">
        <v>7</v>
      </c>
    </row>
    <row r="107" spans="1:5" x14ac:dyDescent="0.35">
      <c r="A107" t="s">
        <v>104</v>
      </c>
      <c r="B107" t="s">
        <v>119</v>
      </c>
      <c r="C107">
        <v>68</v>
      </c>
      <c r="D107">
        <v>61</v>
      </c>
      <c r="E107" t="s">
        <v>11</v>
      </c>
    </row>
    <row r="108" spans="1:5" x14ac:dyDescent="0.35">
      <c r="A108" t="s">
        <v>104</v>
      </c>
      <c r="B108" t="s">
        <v>120</v>
      </c>
      <c r="C108">
        <v>236</v>
      </c>
      <c r="D108">
        <v>163</v>
      </c>
      <c r="E108" t="s">
        <v>21</v>
      </c>
    </row>
    <row r="109" spans="1:5" x14ac:dyDescent="0.35">
      <c r="A109" t="s">
        <v>104</v>
      </c>
      <c r="B109" t="s">
        <v>121</v>
      </c>
      <c r="C109">
        <v>292</v>
      </c>
      <c r="D109">
        <v>54</v>
      </c>
      <c r="E109" t="s">
        <v>21</v>
      </c>
    </row>
    <row r="110" spans="1:5" x14ac:dyDescent="0.35">
      <c r="A110" t="s">
        <v>104</v>
      </c>
      <c r="B110" t="s">
        <v>122</v>
      </c>
      <c r="C110">
        <v>207</v>
      </c>
      <c r="D110">
        <v>46</v>
      </c>
      <c r="E110" t="s">
        <v>7</v>
      </c>
    </row>
    <row r="111" spans="1:5" x14ac:dyDescent="0.35">
      <c r="A111" t="s">
        <v>104</v>
      </c>
      <c r="B111" t="s">
        <v>123</v>
      </c>
      <c r="C111">
        <v>118</v>
      </c>
      <c r="D111">
        <v>104</v>
      </c>
      <c r="E111" t="s">
        <v>17</v>
      </c>
    </row>
    <row r="112" spans="1:5" x14ac:dyDescent="0.35">
      <c r="A112" t="s">
        <v>104</v>
      </c>
      <c r="B112" t="s">
        <v>124</v>
      </c>
      <c r="C112">
        <v>162</v>
      </c>
      <c r="D112">
        <v>129</v>
      </c>
      <c r="E112" t="s">
        <v>7</v>
      </c>
    </row>
    <row r="113" spans="1:5" x14ac:dyDescent="0.35">
      <c r="A113" t="s">
        <v>104</v>
      </c>
      <c r="B113" t="s">
        <v>125</v>
      </c>
      <c r="C113">
        <v>244</v>
      </c>
      <c r="D113">
        <v>93</v>
      </c>
      <c r="E113" t="s">
        <v>9</v>
      </c>
    </row>
    <row r="114" spans="1:5" x14ac:dyDescent="0.35">
      <c r="A114" t="s">
        <v>104</v>
      </c>
      <c r="B114" t="s">
        <v>126</v>
      </c>
      <c r="C114">
        <v>245</v>
      </c>
      <c r="D114">
        <v>145</v>
      </c>
      <c r="E114" t="s">
        <v>7</v>
      </c>
    </row>
    <row r="115" spans="1:5" x14ac:dyDescent="0.35">
      <c r="A115" t="s">
        <v>104</v>
      </c>
      <c r="B115" t="s">
        <v>127</v>
      </c>
      <c r="C115">
        <v>319</v>
      </c>
      <c r="D115">
        <v>147</v>
      </c>
      <c r="E115" t="s">
        <v>17</v>
      </c>
    </row>
    <row r="116" spans="1:5" x14ac:dyDescent="0.35">
      <c r="A116" t="s">
        <v>104</v>
      </c>
      <c r="B116" t="s">
        <v>128</v>
      </c>
      <c r="C116">
        <v>297</v>
      </c>
      <c r="D116">
        <v>188</v>
      </c>
      <c r="E116" t="s">
        <v>33</v>
      </c>
    </row>
    <row r="117" spans="1:5" x14ac:dyDescent="0.35">
      <c r="A117" t="s">
        <v>104</v>
      </c>
      <c r="B117" t="s">
        <v>129</v>
      </c>
      <c r="C117">
        <v>281</v>
      </c>
      <c r="D117">
        <v>134</v>
      </c>
      <c r="E117" t="s">
        <v>9</v>
      </c>
    </row>
    <row r="118" spans="1:5" x14ac:dyDescent="0.35">
      <c r="A118" t="s">
        <v>104</v>
      </c>
      <c r="B118" t="s">
        <v>130</v>
      </c>
      <c r="C118">
        <v>106</v>
      </c>
      <c r="D118">
        <v>37</v>
      </c>
      <c r="E118" t="s">
        <v>33</v>
      </c>
    </row>
    <row r="119" spans="1:5" x14ac:dyDescent="0.35">
      <c r="A119" t="s">
        <v>104</v>
      </c>
      <c r="B119" t="s">
        <v>131</v>
      </c>
      <c r="C119">
        <v>254</v>
      </c>
      <c r="D119">
        <v>148</v>
      </c>
      <c r="E119" t="s">
        <v>33</v>
      </c>
    </row>
    <row r="120" spans="1:5" x14ac:dyDescent="0.35">
      <c r="A120" t="s">
        <v>104</v>
      </c>
      <c r="B120" t="s">
        <v>132</v>
      </c>
      <c r="C120">
        <v>203</v>
      </c>
      <c r="D120">
        <v>53</v>
      </c>
      <c r="E120" t="s">
        <v>9</v>
      </c>
    </row>
    <row r="121" spans="1:5" x14ac:dyDescent="0.35">
      <c r="A121" t="s">
        <v>104</v>
      </c>
      <c r="B121" t="s">
        <v>133</v>
      </c>
      <c r="C121">
        <v>305</v>
      </c>
      <c r="D121">
        <v>170</v>
      </c>
      <c r="E121" t="s">
        <v>33</v>
      </c>
    </row>
    <row r="122" spans="1:5" x14ac:dyDescent="0.35">
      <c r="A122" t="s">
        <v>104</v>
      </c>
      <c r="B122" t="s">
        <v>134</v>
      </c>
      <c r="C122">
        <v>254</v>
      </c>
      <c r="D122">
        <v>119</v>
      </c>
      <c r="E122" t="s">
        <v>21</v>
      </c>
    </row>
    <row r="123" spans="1:5" x14ac:dyDescent="0.35">
      <c r="A123" t="s">
        <v>104</v>
      </c>
      <c r="B123" t="s">
        <v>135</v>
      </c>
      <c r="C123">
        <v>142</v>
      </c>
      <c r="D123">
        <v>109</v>
      </c>
      <c r="E123" t="s">
        <v>33</v>
      </c>
    </row>
    <row r="124" spans="1:5" x14ac:dyDescent="0.35">
      <c r="A124" t="s">
        <v>104</v>
      </c>
      <c r="B124" t="s">
        <v>136</v>
      </c>
      <c r="C124">
        <v>123</v>
      </c>
      <c r="D124">
        <v>99</v>
      </c>
      <c r="E124" t="s">
        <v>15</v>
      </c>
    </row>
    <row r="125" spans="1:5" x14ac:dyDescent="0.35">
      <c r="A125" t="s">
        <v>104</v>
      </c>
      <c r="B125" t="s">
        <v>137</v>
      </c>
      <c r="C125">
        <v>177</v>
      </c>
      <c r="D125">
        <v>133</v>
      </c>
      <c r="E125" t="s">
        <v>33</v>
      </c>
    </row>
    <row r="126" spans="1:5" x14ac:dyDescent="0.35">
      <c r="A126" t="s">
        <v>104</v>
      </c>
      <c r="B126" t="s">
        <v>138</v>
      </c>
      <c r="C126">
        <v>316</v>
      </c>
      <c r="D126">
        <v>70</v>
      </c>
      <c r="E126" t="s">
        <v>7</v>
      </c>
    </row>
    <row r="127" spans="1:5" x14ac:dyDescent="0.35">
      <c r="A127" t="s">
        <v>104</v>
      </c>
      <c r="B127" t="s">
        <v>139</v>
      </c>
      <c r="C127">
        <v>239</v>
      </c>
      <c r="D127">
        <v>48</v>
      </c>
      <c r="E127" t="s">
        <v>11</v>
      </c>
    </row>
    <row r="128" spans="1:5" x14ac:dyDescent="0.35">
      <c r="A128" t="s">
        <v>104</v>
      </c>
      <c r="B128" t="s">
        <v>140</v>
      </c>
      <c r="C128">
        <v>179</v>
      </c>
      <c r="D128">
        <v>32</v>
      </c>
      <c r="E128" t="s">
        <v>21</v>
      </c>
    </row>
    <row r="129" spans="1:5" x14ac:dyDescent="0.35">
      <c r="A129" t="s">
        <v>104</v>
      </c>
      <c r="B129" t="s">
        <v>141</v>
      </c>
      <c r="C129">
        <v>201</v>
      </c>
      <c r="D129">
        <v>74</v>
      </c>
      <c r="E129" t="s">
        <v>21</v>
      </c>
    </row>
    <row r="130" spans="1:5" x14ac:dyDescent="0.35">
      <c r="A130" t="s">
        <v>104</v>
      </c>
      <c r="B130" t="s">
        <v>142</v>
      </c>
      <c r="C130">
        <v>265</v>
      </c>
      <c r="D130">
        <v>148</v>
      </c>
      <c r="E130" t="s">
        <v>9</v>
      </c>
    </row>
    <row r="131" spans="1:5" x14ac:dyDescent="0.35">
      <c r="A131" t="s">
        <v>104</v>
      </c>
      <c r="B131" t="s">
        <v>143</v>
      </c>
      <c r="C131">
        <v>317</v>
      </c>
      <c r="D131">
        <v>116</v>
      </c>
      <c r="E131" t="s">
        <v>33</v>
      </c>
    </row>
    <row r="132" spans="1:5" x14ac:dyDescent="0.35">
      <c r="A132" t="s">
        <v>104</v>
      </c>
      <c r="B132" t="s">
        <v>144</v>
      </c>
      <c r="C132">
        <v>118</v>
      </c>
      <c r="D132">
        <v>53</v>
      </c>
      <c r="E132" t="s">
        <v>33</v>
      </c>
    </row>
    <row r="133" spans="1:5" x14ac:dyDescent="0.35">
      <c r="A133" t="s">
        <v>104</v>
      </c>
      <c r="B133" t="s">
        <v>145</v>
      </c>
      <c r="C133">
        <v>154</v>
      </c>
      <c r="D133">
        <v>35</v>
      </c>
      <c r="E133" t="s">
        <v>15</v>
      </c>
    </row>
    <row r="134" spans="1:5" x14ac:dyDescent="0.35">
      <c r="A134" t="s">
        <v>104</v>
      </c>
      <c r="B134" t="s">
        <v>146</v>
      </c>
      <c r="C134">
        <v>83</v>
      </c>
      <c r="D134">
        <v>61</v>
      </c>
      <c r="E134" t="s">
        <v>21</v>
      </c>
    </row>
    <row r="135" spans="1:5" x14ac:dyDescent="0.35">
      <c r="A135" t="s">
        <v>104</v>
      </c>
      <c r="B135" t="s">
        <v>147</v>
      </c>
      <c r="C135">
        <v>267</v>
      </c>
      <c r="D135">
        <v>153</v>
      </c>
      <c r="E135" t="s">
        <v>11</v>
      </c>
    </row>
    <row r="136" spans="1:5" x14ac:dyDescent="0.35">
      <c r="A136" t="s">
        <v>104</v>
      </c>
      <c r="B136" t="s">
        <v>148</v>
      </c>
      <c r="C136">
        <v>172</v>
      </c>
      <c r="D136">
        <v>106</v>
      </c>
      <c r="E136" t="s">
        <v>9</v>
      </c>
    </row>
    <row r="137" spans="1:5" x14ac:dyDescent="0.35">
      <c r="A137" t="s">
        <v>104</v>
      </c>
      <c r="B137" t="s">
        <v>149</v>
      </c>
      <c r="C137">
        <v>231</v>
      </c>
      <c r="D137">
        <v>35</v>
      </c>
      <c r="E137" t="s">
        <v>17</v>
      </c>
    </row>
    <row r="138" spans="1:5" x14ac:dyDescent="0.35">
      <c r="A138" t="s">
        <v>104</v>
      </c>
      <c r="B138" t="s">
        <v>150</v>
      </c>
      <c r="C138">
        <v>234</v>
      </c>
      <c r="D138">
        <v>125</v>
      </c>
      <c r="E138" t="s">
        <v>17</v>
      </c>
    </row>
    <row r="139" spans="1:5" x14ac:dyDescent="0.35">
      <c r="A139" t="s">
        <v>104</v>
      </c>
      <c r="B139" t="s">
        <v>151</v>
      </c>
      <c r="C139">
        <v>302</v>
      </c>
      <c r="D139">
        <v>127</v>
      </c>
      <c r="E139" t="s">
        <v>33</v>
      </c>
    </row>
    <row r="140" spans="1:5" x14ac:dyDescent="0.35">
      <c r="A140" t="s">
        <v>104</v>
      </c>
      <c r="B140" t="s">
        <v>152</v>
      </c>
      <c r="C140">
        <v>280</v>
      </c>
      <c r="D140">
        <v>122</v>
      </c>
      <c r="E140" t="s">
        <v>9</v>
      </c>
    </row>
    <row r="141" spans="1:5" x14ac:dyDescent="0.35">
      <c r="A141" t="s">
        <v>104</v>
      </c>
      <c r="B141" t="s">
        <v>153</v>
      </c>
      <c r="C141">
        <v>201</v>
      </c>
      <c r="D141">
        <v>105</v>
      </c>
      <c r="E141" t="s">
        <v>9</v>
      </c>
    </row>
    <row r="142" spans="1:5" x14ac:dyDescent="0.35">
      <c r="A142" t="s">
        <v>104</v>
      </c>
      <c r="B142" t="s">
        <v>154</v>
      </c>
      <c r="C142">
        <v>251</v>
      </c>
      <c r="D142">
        <v>87</v>
      </c>
      <c r="E142" t="s">
        <v>9</v>
      </c>
    </row>
    <row r="143" spans="1:5" x14ac:dyDescent="0.35">
      <c r="A143" t="s">
        <v>104</v>
      </c>
      <c r="B143" t="s">
        <v>155</v>
      </c>
      <c r="C143">
        <v>159</v>
      </c>
      <c r="D143">
        <v>134</v>
      </c>
      <c r="E143" t="s">
        <v>9</v>
      </c>
    </row>
    <row r="144" spans="1:5" x14ac:dyDescent="0.35">
      <c r="A144" t="s">
        <v>104</v>
      </c>
      <c r="B144" t="s">
        <v>156</v>
      </c>
      <c r="C144">
        <v>205</v>
      </c>
      <c r="D144">
        <v>103</v>
      </c>
      <c r="E144" t="s">
        <v>17</v>
      </c>
    </row>
    <row r="145" spans="1:5" x14ac:dyDescent="0.35">
      <c r="A145" t="s">
        <v>104</v>
      </c>
      <c r="B145" t="s">
        <v>157</v>
      </c>
      <c r="C145">
        <v>70</v>
      </c>
      <c r="D145">
        <v>52</v>
      </c>
      <c r="E145" t="s">
        <v>9</v>
      </c>
    </row>
    <row r="146" spans="1:5" x14ac:dyDescent="0.35">
      <c r="A146" t="s">
        <v>104</v>
      </c>
      <c r="B146" t="s">
        <v>158</v>
      </c>
      <c r="C146">
        <v>178</v>
      </c>
      <c r="D146">
        <v>44</v>
      </c>
      <c r="E146" t="s">
        <v>33</v>
      </c>
    </row>
    <row r="147" spans="1:5" x14ac:dyDescent="0.35">
      <c r="A147" t="s">
        <v>104</v>
      </c>
      <c r="B147" t="s">
        <v>159</v>
      </c>
      <c r="C147">
        <v>287</v>
      </c>
      <c r="D147">
        <v>93</v>
      </c>
      <c r="E147" t="s">
        <v>11</v>
      </c>
    </row>
    <row r="148" spans="1:5" x14ac:dyDescent="0.35">
      <c r="A148" t="s">
        <v>104</v>
      </c>
      <c r="B148" t="s">
        <v>160</v>
      </c>
      <c r="C148">
        <v>242</v>
      </c>
      <c r="D148">
        <v>60</v>
      </c>
      <c r="E148" t="s">
        <v>33</v>
      </c>
    </row>
    <row r="149" spans="1:5" x14ac:dyDescent="0.35">
      <c r="A149" t="s">
        <v>104</v>
      </c>
      <c r="B149" t="s">
        <v>161</v>
      </c>
      <c r="C149">
        <v>273</v>
      </c>
      <c r="D149">
        <v>56</v>
      </c>
      <c r="E149" t="s">
        <v>21</v>
      </c>
    </row>
    <row r="150" spans="1:5" x14ac:dyDescent="0.35">
      <c r="A150" t="s">
        <v>104</v>
      </c>
      <c r="B150" t="s">
        <v>162</v>
      </c>
      <c r="C150">
        <v>310</v>
      </c>
      <c r="D150">
        <v>184</v>
      </c>
      <c r="E150" t="s">
        <v>11</v>
      </c>
    </row>
    <row r="151" spans="1:5" x14ac:dyDescent="0.35">
      <c r="A151" t="s">
        <v>104</v>
      </c>
      <c r="B151" t="s">
        <v>163</v>
      </c>
      <c r="C151">
        <v>96</v>
      </c>
      <c r="D151">
        <v>84</v>
      </c>
      <c r="E151" t="s">
        <v>9</v>
      </c>
    </row>
    <row r="152" spans="1:5" x14ac:dyDescent="0.35">
      <c r="A152" t="s">
        <v>104</v>
      </c>
      <c r="B152" t="s">
        <v>164</v>
      </c>
      <c r="C152">
        <v>184</v>
      </c>
      <c r="D152">
        <v>104</v>
      </c>
      <c r="E152" t="s">
        <v>11</v>
      </c>
    </row>
    <row r="153" spans="1:5" x14ac:dyDescent="0.35">
      <c r="A153" t="s">
        <v>104</v>
      </c>
      <c r="B153" t="s">
        <v>165</v>
      </c>
      <c r="C153">
        <v>298</v>
      </c>
      <c r="D153">
        <v>178</v>
      </c>
      <c r="E153" t="s">
        <v>17</v>
      </c>
    </row>
    <row r="154" spans="1:5" x14ac:dyDescent="0.35">
      <c r="A154" t="s">
        <v>104</v>
      </c>
      <c r="B154" t="s">
        <v>166</v>
      </c>
      <c r="C154">
        <v>271</v>
      </c>
      <c r="D154">
        <v>107</v>
      </c>
      <c r="E154" t="s">
        <v>17</v>
      </c>
    </row>
    <row r="155" spans="1:5" x14ac:dyDescent="0.35">
      <c r="A155" t="s">
        <v>104</v>
      </c>
      <c r="B155" t="s">
        <v>167</v>
      </c>
      <c r="C155">
        <v>267</v>
      </c>
      <c r="D155">
        <v>45</v>
      </c>
      <c r="E155" t="s">
        <v>17</v>
      </c>
    </row>
    <row r="156" spans="1:5" x14ac:dyDescent="0.35">
      <c r="A156" t="s">
        <v>104</v>
      </c>
      <c r="B156" t="s">
        <v>168</v>
      </c>
      <c r="C156">
        <v>237</v>
      </c>
      <c r="D156">
        <v>169</v>
      </c>
      <c r="E156" t="s">
        <v>9</v>
      </c>
    </row>
    <row r="157" spans="1:5" x14ac:dyDescent="0.35">
      <c r="A157" t="s">
        <v>104</v>
      </c>
      <c r="B157" t="s">
        <v>169</v>
      </c>
      <c r="C157">
        <v>258</v>
      </c>
      <c r="D157">
        <v>92</v>
      </c>
      <c r="E157" t="s">
        <v>11</v>
      </c>
    </row>
    <row r="158" spans="1:5" x14ac:dyDescent="0.35">
      <c r="A158" t="s">
        <v>104</v>
      </c>
      <c r="B158" t="s">
        <v>170</v>
      </c>
      <c r="C158">
        <v>229</v>
      </c>
      <c r="D158">
        <v>190</v>
      </c>
      <c r="E158" t="s">
        <v>15</v>
      </c>
    </row>
    <row r="159" spans="1:5" x14ac:dyDescent="0.35">
      <c r="A159" t="s">
        <v>104</v>
      </c>
      <c r="B159" t="s">
        <v>171</v>
      </c>
      <c r="C159">
        <v>243</v>
      </c>
      <c r="D159">
        <v>181</v>
      </c>
      <c r="E159" t="s">
        <v>7</v>
      </c>
    </row>
    <row r="160" spans="1:5" x14ac:dyDescent="0.35">
      <c r="A160" t="s">
        <v>104</v>
      </c>
      <c r="B160" t="s">
        <v>172</v>
      </c>
      <c r="C160">
        <v>232</v>
      </c>
      <c r="D160">
        <v>106</v>
      </c>
      <c r="E160" t="s">
        <v>15</v>
      </c>
    </row>
    <row r="161" spans="1:5" x14ac:dyDescent="0.35">
      <c r="A161" t="s">
        <v>104</v>
      </c>
      <c r="B161" t="s">
        <v>173</v>
      </c>
      <c r="C161">
        <v>306</v>
      </c>
      <c r="D161">
        <v>190</v>
      </c>
      <c r="E161" t="s">
        <v>7</v>
      </c>
    </row>
    <row r="162" spans="1:5" x14ac:dyDescent="0.35">
      <c r="A162" t="s">
        <v>104</v>
      </c>
      <c r="B162" t="s">
        <v>174</v>
      </c>
      <c r="C162">
        <v>277</v>
      </c>
      <c r="D162">
        <v>163</v>
      </c>
      <c r="E162" t="s">
        <v>17</v>
      </c>
    </row>
    <row r="163" spans="1:5" x14ac:dyDescent="0.35">
      <c r="A163" t="s">
        <v>104</v>
      </c>
      <c r="B163" t="s">
        <v>175</v>
      </c>
      <c r="C163">
        <v>319</v>
      </c>
      <c r="D163">
        <v>115</v>
      </c>
      <c r="E163" t="s">
        <v>7</v>
      </c>
    </row>
    <row r="164" spans="1:5" x14ac:dyDescent="0.35">
      <c r="A164" t="s">
        <v>104</v>
      </c>
      <c r="B164" t="s">
        <v>176</v>
      </c>
      <c r="C164">
        <v>294</v>
      </c>
      <c r="D164">
        <v>186</v>
      </c>
      <c r="E164" t="s">
        <v>17</v>
      </c>
    </row>
    <row r="165" spans="1:5" x14ac:dyDescent="0.35">
      <c r="A165" t="s">
        <v>104</v>
      </c>
      <c r="B165" t="s">
        <v>177</v>
      </c>
      <c r="C165">
        <v>291</v>
      </c>
      <c r="D165">
        <v>166</v>
      </c>
      <c r="E165" t="s">
        <v>17</v>
      </c>
    </row>
    <row r="166" spans="1:5" x14ac:dyDescent="0.35">
      <c r="A166" t="s">
        <v>104</v>
      </c>
      <c r="B166" t="s">
        <v>178</v>
      </c>
      <c r="C166">
        <v>220</v>
      </c>
      <c r="D166">
        <v>111</v>
      </c>
      <c r="E166" t="s">
        <v>15</v>
      </c>
    </row>
    <row r="167" spans="1:5" x14ac:dyDescent="0.35">
      <c r="A167" t="s">
        <v>104</v>
      </c>
      <c r="B167" t="s">
        <v>179</v>
      </c>
      <c r="C167">
        <v>200</v>
      </c>
      <c r="D167">
        <v>134</v>
      </c>
      <c r="E167" t="s">
        <v>7</v>
      </c>
    </row>
    <row r="168" spans="1:5" x14ac:dyDescent="0.35">
      <c r="A168" t="s">
        <v>104</v>
      </c>
      <c r="B168" t="s">
        <v>180</v>
      </c>
      <c r="C168">
        <v>297</v>
      </c>
      <c r="D168">
        <v>105</v>
      </c>
      <c r="E168" t="s">
        <v>15</v>
      </c>
    </row>
    <row r="169" spans="1:5" x14ac:dyDescent="0.35">
      <c r="A169" t="s">
        <v>104</v>
      </c>
      <c r="B169" t="s">
        <v>181</v>
      </c>
      <c r="C169">
        <v>218</v>
      </c>
      <c r="D169">
        <v>149</v>
      </c>
      <c r="E169" t="s">
        <v>21</v>
      </c>
    </row>
    <row r="170" spans="1:5" x14ac:dyDescent="0.35">
      <c r="A170" t="s">
        <v>104</v>
      </c>
      <c r="B170" t="s">
        <v>182</v>
      </c>
      <c r="C170">
        <v>205</v>
      </c>
      <c r="D170">
        <v>184</v>
      </c>
      <c r="E170" t="s">
        <v>9</v>
      </c>
    </row>
    <row r="171" spans="1:5" x14ac:dyDescent="0.35">
      <c r="A171" t="s">
        <v>104</v>
      </c>
      <c r="B171" t="s">
        <v>183</v>
      </c>
      <c r="C171">
        <v>194</v>
      </c>
      <c r="D171">
        <v>80</v>
      </c>
      <c r="E171" t="s">
        <v>11</v>
      </c>
    </row>
    <row r="172" spans="1:5" x14ac:dyDescent="0.35">
      <c r="A172" t="s">
        <v>104</v>
      </c>
      <c r="B172" t="s">
        <v>184</v>
      </c>
      <c r="C172">
        <v>247</v>
      </c>
      <c r="D172">
        <v>139</v>
      </c>
      <c r="E172" t="s">
        <v>15</v>
      </c>
    </row>
    <row r="173" spans="1:5" x14ac:dyDescent="0.35">
      <c r="A173" t="s">
        <v>104</v>
      </c>
      <c r="B173" t="s">
        <v>185</v>
      </c>
      <c r="C173">
        <v>290</v>
      </c>
      <c r="D173">
        <v>76</v>
      </c>
      <c r="E173" t="s">
        <v>33</v>
      </c>
    </row>
    <row r="174" spans="1:5" x14ac:dyDescent="0.35">
      <c r="A174" t="s">
        <v>104</v>
      </c>
      <c r="B174" t="s">
        <v>186</v>
      </c>
      <c r="C174">
        <v>252</v>
      </c>
      <c r="D174">
        <v>61</v>
      </c>
      <c r="E174" t="s">
        <v>7</v>
      </c>
    </row>
    <row r="175" spans="1:5" x14ac:dyDescent="0.35">
      <c r="A175" t="s">
        <v>104</v>
      </c>
      <c r="B175" t="s">
        <v>187</v>
      </c>
      <c r="C175">
        <v>308</v>
      </c>
      <c r="D175">
        <v>31</v>
      </c>
      <c r="E175" t="s">
        <v>21</v>
      </c>
    </row>
    <row r="176" spans="1:5" x14ac:dyDescent="0.35">
      <c r="A176" t="s">
        <v>104</v>
      </c>
      <c r="B176" t="s">
        <v>188</v>
      </c>
      <c r="C176">
        <v>129</v>
      </c>
      <c r="D176">
        <v>79</v>
      </c>
      <c r="E176" t="s">
        <v>15</v>
      </c>
    </row>
    <row r="177" spans="1:5" x14ac:dyDescent="0.35">
      <c r="A177" t="s">
        <v>104</v>
      </c>
      <c r="B177" t="s">
        <v>189</v>
      </c>
      <c r="C177">
        <v>293</v>
      </c>
      <c r="D177">
        <v>155</v>
      </c>
      <c r="E177" t="s">
        <v>33</v>
      </c>
    </row>
    <row r="178" spans="1:5" x14ac:dyDescent="0.35">
      <c r="A178" t="s">
        <v>104</v>
      </c>
      <c r="B178" t="s">
        <v>190</v>
      </c>
      <c r="C178">
        <v>241</v>
      </c>
      <c r="D178">
        <v>106</v>
      </c>
      <c r="E178" t="s">
        <v>33</v>
      </c>
    </row>
    <row r="179" spans="1:5" x14ac:dyDescent="0.35">
      <c r="A179" t="s">
        <v>104</v>
      </c>
      <c r="B179" t="s">
        <v>191</v>
      </c>
      <c r="C179">
        <v>272</v>
      </c>
      <c r="D179">
        <v>169</v>
      </c>
      <c r="E179" t="s">
        <v>9</v>
      </c>
    </row>
    <row r="180" spans="1:5" x14ac:dyDescent="0.35">
      <c r="A180" t="s">
        <v>104</v>
      </c>
      <c r="B180" t="s">
        <v>192</v>
      </c>
      <c r="C180">
        <v>83</v>
      </c>
      <c r="D180">
        <v>34</v>
      </c>
      <c r="E180" t="s">
        <v>9</v>
      </c>
    </row>
    <row r="181" spans="1:5" x14ac:dyDescent="0.35">
      <c r="A181" t="s">
        <v>104</v>
      </c>
      <c r="B181" t="s">
        <v>193</v>
      </c>
      <c r="C181">
        <v>183</v>
      </c>
      <c r="D181">
        <v>120</v>
      </c>
      <c r="E181" t="s">
        <v>21</v>
      </c>
    </row>
    <row r="182" spans="1:5" x14ac:dyDescent="0.35">
      <c r="A182" t="s">
        <v>104</v>
      </c>
      <c r="B182" t="s">
        <v>194</v>
      </c>
      <c r="C182">
        <v>320</v>
      </c>
      <c r="D182">
        <v>166</v>
      </c>
      <c r="E182" t="s">
        <v>33</v>
      </c>
    </row>
    <row r="183" spans="1:5" x14ac:dyDescent="0.35">
      <c r="A183" t="s">
        <v>104</v>
      </c>
      <c r="B183" t="s">
        <v>195</v>
      </c>
      <c r="C183">
        <v>162</v>
      </c>
      <c r="D183">
        <v>53</v>
      </c>
      <c r="E183" t="s">
        <v>7</v>
      </c>
    </row>
    <row r="184" spans="1:5" x14ac:dyDescent="0.35">
      <c r="A184" t="s">
        <v>104</v>
      </c>
      <c r="B184" t="s">
        <v>196</v>
      </c>
      <c r="C184">
        <v>283</v>
      </c>
      <c r="D184">
        <v>139</v>
      </c>
      <c r="E184" t="s">
        <v>9</v>
      </c>
    </row>
    <row r="185" spans="1:5" x14ac:dyDescent="0.35">
      <c r="A185" t="s">
        <v>104</v>
      </c>
      <c r="B185" t="s">
        <v>197</v>
      </c>
      <c r="C185">
        <v>272</v>
      </c>
      <c r="D185">
        <v>43</v>
      </c>
      <c r="E185" t="s">
        <v>7</v>
      </c>
    </row>
    <row r="186" spans="1:5" x14ac:dyDescent="0.35">
      <c r="A186" t="s">
        <v>104</v>
      </c>
      <c r="B186" t="s">
        <v>198</v>
      </c>
      <c r="C186">
        <v>91</v>
      </c>
      <c r="D186">
        <v>35</v>
      </c>
      <c r="E186" t="s">
        <v>15</v>
      </c>
    </row>
    <row r="187" spans="1:5" x14ac:dyDescent="0.35">
      <c r="A187" t="s">
        <v>104</v>
      </c>
      <c r="B187" t="s">
        <v>199</v>
      </c>
      <c r="C187">
        <v>238</v>
      </c>
      <c r="D187">
        <v>122</v>
      </c>
      <c r="E187" t="s">
        <v>7</v>
      </c>
    </row>
    <row r="188" spans="1:5" x14ac:dyDescent="0.35">
      <c r="A188" t="s">
        <v>104</v>
      </c>
      <c r="B188" t="s">
        <v>200</v>
      </c>
      <c r="C188">
        <v>197</v>
      </c>
      <c r="D188">
        <v>163</v>
      </c>
      <c r="E188" t="s">
        <v>15</v>
      </c>
    </row>
    <row r="189" spans="1:5" x14ac:dyDescent="0.35">
      <c r="A189" t="s">
        <v>104</v>
      </c>
      <c r="B189" t="s">
        <v>201</v>
      </c>
      <c r="C189">
        <v>208</v>
      </c>
      <c r="D189">
        <v>104</v>
      </c>
      <c r="E189" t="s">
        <v>21</v>
      </c>
    </row>
    <row r="190" spans="1:5" x14ac:dyDescent="0.35">
      <c r="A190" t="s">
        <v>104</v>
      </c>
      <c r="B190" t="s">
        <v>202</v>
      </c>
      <c r="C190">
        <v>298</v>
      </c>
      <c r="D190">
        <v>117</v>
      </c>
      <c r="E190" t="s">
        <v>9</v>
      </c>
    </row>
    <row r="191" spans="1:5" x14ac:dyDescent="0.35">
      <c r="A191" t="s">
        <v>104</v>
      </c>
      <c r="B191" t="s">
        <v>203</v>
      </c>
      <c r="C191">
        <v>224</v>
      </c>
      <c r="D191">
        <v>140</v>
      </c>
      <c r="E191" t="s">
        <v>7</v>
      </c>
    </row>
    <row r="192" spans="1:5" x14ac:dyDescent="0.35">
      <c r="A192" t="s">
        <v>104</v>
      </c>
      <c r="B192" t="s">
        <v>204</v>
      </c>
      <c r="C192">
        <v>285</v>
      </c>
      <c r="D192">
        <v>81</v>
      </c>
      <c r="E192" t="s">
        <v>21</v>
      </c>
    </row>
    <row r="193" spans="1:5" x14ac:dyDescent="0.35">
      <c r="A193" t="s">
        <v>104</v>
      </c>
      <c r="B193" t="s">
        <v>205</v>
      </c>
      <c r="C193">
        <v>284</v>
      </c>
      <c r="D193">
        <v>62</v>
      </c>
      <c r="E193" t="s">
        <v>9</v>
      </c>
    </row>
    <row r="194" spans="1:5" x14ac:dyDescent="0.35">
      <c r="A194" t="s">
        <v>104</v>
      </c>
      <c r="B194" t="s">
        <v>206</v>
      </c>
      <c r="C194">
        <v>296</v>
      </c>
      <c r="D194">
        <v>186</v>
      </c>
      <c r="E194" t="s">
        <v>9</v>
      </c>
    </row>
    <row r="195" spans="1:5" x14ac:dyDescent="0.35">
      <c r="A195" t="s">
        <v>104</v>
      </c>
      <c r="B195" t="s">
        <v>207</v>
      </c>
      <c r="C195">
        <v>101</v>
      </c>
      <c r="D195">
        <v>35</v>
      </c>
      <c r="E195" t="s">
        <v>17</v>
      </c>
    </row>
    <row r="196" spans="1:5" x14ac:dyDescent="0.35">
      <c r="A196" t="s">
        <v>104</v>
      </c>
      <c r="B196" t="s">
        <v>208</v>
      </c>
      <c r="C196">
        <v>317</v>
      </c>
      <c r="D196">
        <v>149</v>
      </c>
      <c r="E196" t="s">
        <v>7</v>
      </c>
    </row>
    <row r="197" spans="1:5" x14ac:dyDescent="0.35">
      <c r="A197" t="s">
        <v>104</v>
      </c>
      <c r="B197" t="s">
        <v>209</v>
      </c>
      <c r="C197">
        <v>196</v>
      </c>
      <c r="D197">
        <v>157</v>
      </c>
      <c r="E197" t="s">
        <v>11</v>
      </c>
    </row>
    <row r="198" spans="1:5" x14ac:dyDescent="0.35">
      <c r="A198" t="s">
        <v>104</v>
      </c>
      <c r="B198" t="s">
        <v>210</v>
      </c>
      <c r="C198">
        <v>290</v>
      </c>
      <c r="D198">
        <v>166</v>
      </c>
      <c r="E198" t="s">
        <v>11</v>
      </c>
    </row>
    <row r="199" spans="1:5" x14ac:dyDescent="0.35">
      <c r="A199" t="s">
        <v>104</v>
      </c>
      <c r="B199" t="s">
        <v>211</v>
      </c>
      <c r="C199">
        <v>223</v>
      </c>
      <c r="D199">
        <v>83</v>
      </c>
      <c r="E199" t="s">
        <v>17</v>
      </c>
    </row>
    <row r="200" spans="1:5" x14ac:dyDescent="0.35">
      <c r="A200" t="s">
        <v>104</v>
      </c>
      <c r="B200" t="s">
        <v>212</v>
      </c>
      <c r="C200">
        <v>130</v>
      </c>
      <c r="D200">
        <v>101</v>
      </c>
      <c r="E200" t="s">
        <v>7</v>
      </c>
    </row>
    <row r="201" spans="1:5" x14ac:dyDescent="0.35">
      <c r="A201" t="s">
        <v>104</v>
      </c>
      <c r="B201" t="s">
        <v>213</v>
      </c>
      <c r="C201">
        <v>131</v>
      </c>
      <c r="D201">
        <v>64</v>
      </c>
      <c r="E201" t="s">
        <v>17</v>
      </c>
    </row>
    <row r="202" spans="1:5" x14ac:dyDescent="0.35">
      <c r="A202" t="s">
        <v>104</v>
      </c>
      <c r="B202" t="s">
        <v>214</v>
      </c>
      <c r="C202">
        <v>294</v>
      </c>
      <c r="D202">
        <v>121</v>
      </c>
      <c r="E202" t="s">
        <v>33</v>
      </c>
    </row>
    <row r="203" spans="1:5" x14ac:dyDescent="0.35">
      <c r="A203" t="s">
        <v>104</v>
      </c>
      <c r="B203" t="s">
        <v>215</v>
      </c>
      <c r="C203">
        <v>196</v>
      </c>
      <c r="D203">
        <v>121</v>
      </c>
      <c r="E203" t="s">
        <v>21</v>
      </c>
    </row>
    <row r="204" spans="1:5" x14ac:dyDescent="0.35">
      <c r="A204" t="s">
        <v>104</v>
      </c>
      <c r="B204" t="s">
        <v>216</v>
      </c>
      <c r="C204">
        <v>121</v>
      </c>
      <c r="D204">
        <v>33</v>
      </c>
      <c r="E204" t="s">
        <v>17</v>
      </c>
    </row>
    <row r="205" spans="1:5" x14ac:dyDescent="0.35">
      <c r="A205" t="s">
        <v>104</v>
      </c>
      <c r="B205" t="s">
        <v>217</v>
      </c>
      <c r="C205">
        <v>201</v>
      </c>
      <c r="D205">
        <v>59</v>
      </c>
      <c r="E205" t="s">
        <v>15</v>
      </c>
    </row>
    <row r="206" spans="1:5" x14ac:dyDescent="0.35">
      <c r="A206" t="s">
        <v>104</v>
      </c>
      <c r="B206" t="s">
        <v>218</v>
      </c>
      <c r="C206">
        <v>258</v>
      </c>
      <c r="D206">
        <v>155</v>
      </c>
      <c r="E206" t="s">
        <v>17</v>
      </c>
    </row>
    <row r="207" spans="1:5" x14ac:dyDescent="0.35">
      <c r="A207" t="s">
        <v>104</v>
      </c>
      <c r="B207" t="s">
        <v>219</v>
      </c>
      <c r="C207">
        <v>210</v>
      </c>
      <c r="D207">
        <v>46</v>
      </c>
      <c r="E207" t="s">
        <v>17</v>
      </c>
    </row>
    <row r="208" spans="1:5" x14ac:dyDescent="0.35">
      <c r="A208" t="s">
        <v>104</v>
      </c>
      <c r="B208" t="s">
        <v>220</v>
      </c>
      <c r="C208">
        <v>303</v>
      </c>
      <c r="D208">
        <v>137</v>
      </c>
      <c r="E208" t="s">
        <v>21</v>
      </c>
    </row>
    <row r="209" spans="1:5" x14ac:dyDescent="0.35">
      <c r="A209" t="s">
        <v>104</v>
      </c>
      <c r="B209" t="s">
        <v>221</v>
      </c>
      <c r="C209">
        <v>265</v>
      </c>
      <c r="D209">
        <v>141</v>
      </c>
      <c r="E209" t="s">
        <v>11</v>
      </c>
    </row>
    <row r="210" spans="1:5" x14ac:dyDescent="0.35">
      <c r="A210" t="s">
        <v>104</v>
      </c>
      <c r="B210" t="s">
        <v>222</v>
      </c>
      <c r="C210">
        <v>279</v>
      </c>
      <c r="D210">
        <v>174</v>
      </c>
      <c r="E210" t="s">
        <v>33</v>
      </c>
    </row>
    <row r="211" spans="1:5" x14ac:dyDescent="0.35">
      <c r="A211" t="s">
        <v>104</v>
      </c>
      <c r="B211" t="s">
        <v>223</v>
      </c>
      <c r="C211">
        <v>268</v>
      </c>
      <c r="D211">
        <v>157</v>
      </c>
      <c r="E211" t="s">
        <v>33</v>
      </c>
    </row>
    <row r="212" spans="1:5" x14ac:dyDescent="0.35">
      <c r="A212" t="s">
        <v>104</v>
      </c>
      <c r="B212" t="s">
        <v>224</v>
      </c>
      <c r="C212">
        <v>262</v>
      </c>
      <c r="D212">
        <v>120</v>
      </c>
      <c r="E212" t="s">
        <v>11</v>
      </c>
    </row>
    <row r="213" spans="1:5" x14ac:dyDescent="0.35">
      <c r="A213" t="s">
        <v>104</v>
      </c>
      <c r="B213" t="s">
        <v>225</v>
      </c>
      <c r="C213">
        <v>208</v>
      </c>
      <c r="D213">
        <v>187</v>
      </c>
      <c r="E213" t="s">
        <v>17</v>
      </c>
    </row>
    <row r="214" spans="1:5" x14ac:dyDescent="0.35">
      <c r="A214" t="s">
        <v>104</v>
      </c>
      <c r="B214" t="s">
        <v>226</v>
      </c>
      <c r="C214">
        <v>248</v>
      </c>
      <c r="D214">
        <v>127</v>
      </c>
      <c r="E214" t="s">
        <v>7</v>
      </c>
    </row>
    <row r="215" spans="1:5" x14ac:dyDescent="0.35">
      <c r="A215" t="s">
        <v>104</v>
      </c>
      <c r="B215" t="s">
        <v>227</v>
      </c>
      <c r="C215">
        <v>219</v>
      </c>
      <c r="D215">
        <v>124</v>
      </c>
      <c r="E215" t="s">
        <v>21</v>
      </c>
    </row>
    <row r="216" spans="1:5" x14ac:dyDescent="0.35">
      <c r="A216" t="s">
        <v>104</v>
      </c>
      <c r="B216" t="s">
        <v>228</v>
      </c>
      <c r="C216">
        <v>181</v>
      </c>
      <c r="D216">
        <v>93</v>
      </c>
      <c r="E216" t="s">
        <v>9</v>
      </c>
    </row>
    <row r="217" spans="1:5" x14ac:dyDescent="0.35">
      <c r="A217" t="s">
        <v>104</v>
      </c>
      <c r="B217" t="s">
        <v>229</v>
      </c>
      <c r="C217">
        <v>217</v>
      </c>
      <c r="D217">
        <v>180</v>
      </c>
      <c r="E217" t="s">
        <v>15</v>
      </c>
    </row>
    <row r="218" spans="1:5" x14ac:dyDescent="0.35">
      <c r="A218" t="s">
        <v>104</v>
      </c>
      <c r="B218" t="s">
        <v>230</v>
      </c>
      <c r="C218">
        <v>159</v>
      </c>
      <c r="D218">
        <v>112</v>
      </c>
      <c r="E218" t="s">
        <v>15</v>
      </c>
    </row>
    <row r="219" spans="1:5" x14ac:dyDescent="0.35">
      <c r="A219" t="s">
        <v>104</v>
      </c>
      <c r="B219" t="s">
        <v>231</v>
      </c>
      <c r="C219">
        <v>275</v>
      </c>
      <c r="D219">
        <v>50</v>
      </c>
      <c r="E219" t="s">
        <v>33</v>
      </c>
    </row>
    <row r="220" spans="1:5" x14ac:dyDescent="0.35">
      <c r="A220" t="s">
        <v>104</v>
      </c>
      <c r="B220" t="s">
        <v>232</v>
      </c>
      <c r="C220">
        <v>311</v>
      </c>
      <c r="D220">
        <v>36</v>
      </c>
      <c r="E220" t="s">
        <v>33</v>
      </c>
    </row>
    <row r="221" spans="1:5" x14ac:dyDescent="0.35">
      <c r="A221" t="s">
        <v>104</v>
      </c>
      <c r="B221" t="s">
        <v>233</v>
      </c>
      <c r="C221">
        <v>260</v>
      </c>
      <c r="D221">
        <v>99</v>
      </c>
      <c r="E221" t="s">
        <v>17</v>
      </c>
    </row>
    <row r="222" spans="1:5" x14ac:dyDescent="0.35">
      <c r="A222" t="s">
        <v>104</v>
      </c>
      <c r="B222" t="s">
        <v>234</v>
      </c>
      <c r="C222">
        <v>124</v>
      </c>
      <c r="D222">
        <v>90</v>
      </c>
      <c r="E222" t="s">
        <v>11</v>
      </c>
    </row>
    <row r="223" spans="1:5" x14ac:dyDescent="0.35">
      <c r="A223" t="s">
        <v>104</v>
      </c>
      <c r="B223" t="s">
        <v>235</v>
      </c>
      <c r="C223">
        <v>201</v>
      </c>
      <c r="D223">
        <v>159</v>
      </c>
      <c r="E223" t="s">
        <v>17</v>
      </c>
    </row>
    <row r="224" spans="1:5" x14ac:dyDescent="0.35">
      <c r="A224" t="s">
        <v>104</v>
      </c>
      <c r="B224" t="s">
        <v>236</v>
      </c>
      <c r="C224">
        <v>277</v>
      </c>
      <c r="D224">
        <v>97</v>
      </c>
      <c r="E224" t="s">
        <v>33</v>
      </c>
    </row>
    <row r="225" spans="1:5" x14ac:dyDescent="0.35">
      <c r="A225" t="s">
        <v>104</v>
      </c>
      <c r="B225" t="s">
        <v>237</v>
      </c>
      <c r="C225">
        <v>222</v>
      </c>
      <c r="D225">
        <v>44</v>
      </c>
      <c r="E225" t="s">
        <v>21</v>
      </c>
    </row>
    <row r="226" spans="1:5" x14ac:dyDescent="0.35">
      <c r="A226" t="s">
        <v>104</v>
      </c>
      <c r="B226" t="s">
        <v>238</v>
      </c>
      <c r="C226">
        <v>221</v>
      </c>
      <c r="D226">
        <v>149</v>
      </c>
      <c r="E226" t="s">
        <v>7</v>
      </c>
    </row>
    <row r="227" spans="1:5" x14ac:dyDescent="0.35">
      <c r="A227" t="s">
        <v>104</v>
      </c>
      <c r="B227" t="s">
        <v>239</v>
      </c>
      <c r="C227">
        <v>315</v>
      </c>
      <c r="D227">
        <v>181</v>
      </c>
      <c r="E227" t="s">
        <v>7</v>
      </c>
    </row>
    <row r="228" spans="1:5" x14ac:dyDescent="0.35">
      <c r="A228" t="s">
        <v>104</v>
      </c>
      <c r="B228" t="s">
        <v>240</v>
      </c>
      <c r="C228">
        <v>207</v>
      </c>
      <c r="D228">
        <v>121</v>
      </c>
      <c r="E228" t="s">
        <v>11</v>
      </c>
    </row>
    <row r="229" spans="1:5" x14ac:dyDescent="0.35">
      <c r="A229" t="s">
        <v>104</v>
      </c>
      <c r="B229" t="s">
        <v>241</v>
      </c>
      <c r="C229">
        <v>264</v>
      </c>
      <c r="D229">
        <v>131</v>
      </c>
      <c r="E229" t="s">
        <v>11</v>
      </c>
    </row>
    <row r="230" spans="1:5" x14ac:dyDescent="0.35">
      <c r="A230" t="s">
        <v>104</v>
      </c>
      <c r="B230" t="s">
        <v>242</v>
      </c>
      <c r="C230">
        <v>290</v>
      </c>
      <c r="D230">
        <v>185</v>
      </c>
      <c r="E230" t="s">
        <v>33</v>
      </c>
    </row>
    <row r="231" spans="1:5" x14ac:dyDescent="0.35">
      <c r="A231" t="s">
        <v>104</v>
      </c>
      <c r="B231" t="s">
        <v>243</v>
      </c>
      <c r="C231">
        <v>239</v>
      </c>
      <c r="D231">
        <v>155</v>
      </c>
      <c r="E231" t="s">
        <v>15</v>
      </c>
    </row>
    <row r="232" spans="1:5" x14ac:dyDescent="0.35">
      <c r="A232" t="s">
        <v>104</v>
      </c>
      <c r="B232" t="s">
        <v>244</v>
      </c>
      <c r="C232">
        <v>138</v>
      </c>
      <c r="D232">
        <v>94</v>
      </c>
      <c r="E232" t="s">
        <v>15</v>
      </c>
    </row>
    <row r="233" spans="1:5" x14ac:dyDescent="0.35">
      <c r="A233" t="s">
        <v>104</v>
      </c>
      <c r="B233" t="s">
        <v>245</v>
      </c>
      <c r="C233">
        <v>208</v>
      </c>
      <c r="D233">
        <v>121</v>
      </c>
      <c r="E233" t="s">
        <v>11</v>
      </c>
    </row>
    <row r="234" spans="1:5" x14ac:dyDescent="0.35">
      <c r="A234" t="s">
        <v>104</v>
      </c>
      <c r="B234" t="s">
        <v>246</v>
      </c>
      <c r="C234">
        <v>289</v>
      </c>
      <c r="D234">
        <v>155</v>
      </c>
      <c r="E234" t="s">
        <v>15</v>
      </c>
    </row>
    <row r="235" spans="1:5" x14ac:dyDescent="0.35">
      <c r="A235" t="s">
        <v>104</v>
      </c>
      <c r="B235" t="s">
        <v>247</v>
      </c>
      <c r="C235">
        <v>305</v>
      </c>
      <c r="D235">
        <v>102</v>
      </c>
      <c r="E235" t="s">
        <v>11</v>
      </c>
    </row>
    <row r="236" spans="1:5" x14ac:dyDescent="0.35">
      <c r="A236" t="s">
        <v>104</v>
      </c>
      <c r="B236" t="s">
        <v>248</v>
      </c>
      <c r="C236">
        <v>287</v>
      </c>
      <c r="D236">
        <v>158</v>
      </c>
      <c r="E236" t="s">
        <v>7</v>
      </c>
    </row>
    <row r="237" spans="1:5" x14ac:dyDescent="0.35">
      <c r="A237" t="s">
        <v>104</v>
      </c>
      <c r="B237" t="s">
        <v>249</v>
      </c>
      <c r="C237">
        <v>216</v>
      </c>
      <c r="D237">
        <v>103</v>
      </c>
      <c r="E237" t="s">
        <v>33</v>
      </c>
    </row>
    <row r="238" spans="1:5" x14ac:dyDescent="0.35">
      <c r="A238" t="s">
        <v>104</v>
      </c>
      <c r="B238" t="s">
        <v>250</v>
      </c>
      <c r="C238">
        <v>285</v>
      </c>
      <c r="D238">
        <v>76</v>
      </c>
      <c r="E238" t="s">
        <v>33</v>
      </c>
    </row>
    <row r="239" spans="1:5" x14ac:dyDescent="0.35">
      <c r="A239" t="s">
        <v>104</v>
      </c>
      <c r="B239" t="s">
        <v>251</v>
      </c>
      <c r="C239">
        <v>69</v>
      </c>
      <c r="D239">
        <v>33</v>
      </c>
      <c r="E239" t="s">
        <v>17</v>
      </c>
    </row>
    <row r="240" spans="1:5" x14ac:dyDescent="0.35">
      <c r="A240" t="s">
        <v>252</v>
      </c>
      <c r="B240" t="s">
        <v>253</v>
      </c>
      <c r="C240">
        <v>141</v>
      </c>
      <c r="D240">
        <v>109</v>
      </c>
      <c r="E240" t="s">
        <v>33</v>
      </c>
    </row>
    <row r="241" spans="1:5" x14ac:dyDescent="0.35">
      <c r="A241" t="s">
        <v>252</v>
      </c>
      <c r="B241" t="s">
        <v>254</v>
      </c>
      <c r="C241">
        <v>235</v>
      </c>
      <c r="D241">
        <v>31</v>
      </c>
      <c r="E241" t="s">
        <v>7</v>
      </c>
    </row>
    <row r="242" spans="1:5" x14ac:dyDescent="0.35">
      <c r="A242" t="s">
        <v>252</v>
      </c>
      <c r="B242" t="s">
        <v>255</v>
      </c>
      <c r="C242">
        <v>267</v>
      </c>
      <c r="D242">
        <v>56</v>
      </c>
      <c r="E242" t="s">
        <v>9</v>
      </c>
    </row>
    <row r="243" spans="1:5" x14ac:dyDescent="0.35">
      <c r="A243" t="s">
        <v>252</v>
      </c>
      <c r="B243" t="s">
        <v>256</v>
      </c>
      <c r="C243">
        <v>132</v>
      </c>
      <c r="D243">
        <v>37</v>
      </c>
      <c r="E243" t="s">
        <v>15</v>
      </c>
    </row>
    <row r="244" spans="1:5" x14ac:dyDescent="0.35">
      <c r="A244" t="s">
        <v>252</v>
      </c>
      <c r="B244" t="s">
        <v>257</v>
      </c>
      <c r="C244">
        <v>254</v>
      </c>
      <c r="D244">
        <v>146</v>
      </c>
      <c r="E244" t="s">
        <v>17</v>
      </c>
    </row>
    <row r="245" spans="1:5" x14ac:dyDescent="0.35">
      <c r="A245" t="s">
        <v>252</v>
      </c>
      <c r="B245" t="s">
        <v>258</v>
      </c>
      <c r="C245">
        <v>269</v>
      </c>
      <c r="D245">
        <v>161</v>
      </c>
      <c r="E245" t="s">
        <v>33</v>
      </c>
    </row>
    <row r="246" spans="1:5" x14ac:dyDescent="0.35">
      <c r="A246" t="s">
        <v>252</v>
      </c>
      <c r="B246" t="s">
        <v>259</v>
      </c>
      <c r="C246">
        <v>308</v>
      </c>
      <c r="D246">
        <v>47</v>
      </c>
      <c r="E246" t="s">
        <v>21</v>
      </c>
    </row>
    <row r="247" spans="1:5" x14ac:dyDescent="0.35">
      <c r="A247" t="s">
        <v>252</v>
      </c>
      <c r="B247" t="s">
        <v>260</v>
      </c>
      <c r="C247">
        <v>247</v>
      </c>
      <c r="D247">
        <v>108</v>
      </c>
      <c r="E247" t="s">
        <v>9</v>
      </c>
    </row>
    <row r="248" spans="1:5" x14ac:dyDescent="0.35">
      <c r="A248" t="s">
        <v>252</v>
      </c>
      <c r="B248" t="s">
        <v>261</v>
      </c>
      <c r="C248">
        <v>113</v>
      </c>
      <c r="D248">
        <v>51</v>
      </c>
      <c r="E248" t="s">
        <v>9</v>
      </c>
    </row>
    <row r="249" spans="1:5" x14ac:dyDescent="0.35">
      <c r="A249" t="s">
        <v>252</v>
      </c>
      <c r="B249" t="s">
        <v>262</v>
      </c>
      <c r="C249">
        <v>103</v>
      </c>
      <c r="D249">
        <v>72</v>
      </c>
      <c r="E249" t="s">
        <v>15</v>
      </c>
    </row>
    <row r="250" spans="1:5" x14ac:dyDescent="0.35">
      <c r="A250" t="s">
        <v>252</v>
      </c>
      <c r="B250" t="s">
        <v>263</v>
      </c>
      <c r="C250">
        <v>307</v>
      </c>
      <c r="D250">
        <v>88</v>
      </c>
      <c r="E250" t="s">
        <v>15</v>
      </c>
    </row>
    <row r="251" spans="1:5" x14ac:dyDescent="0.35">
      <c r="A251" t="s">
        <v>252</v>
      </c>
      <c r="B251" t="s">
        <v>264</v>
      </c>
      <c r="C251">
        <v>293</v>
      </c>
      <c r="D251">
        <v>128</v>
      </c>
      <c r="E251" t="s">
        <v>17</v>
      </c>
    </row>
    <row r="252" spans="1:5" x14ac:dyDescent="0.35">
      <c r="A252" t="s">
        <v>252</v>
      </c>
      <c r="B252" t="s">
        <v>265</v>
      </c>
      <c r="C252">
        <v>145</v>
      </c>
      <c r="D252">
        <v>47</v>
      </c>
      <c r="E252" t="s">
        <v>15</v>
      </c>
    </row>
    <row r="253" spans="1:5" x14ac:dyDescent="0.35">
      <c r="A253" t="s">
        <v>252</v>
      </c>
      <c r="B253" t="s">
        <v>266</v>
      </c>
      <c r="C253">
        <v>221</v>
      </c>
      <c r="D253">
        <v>39</v>
      </c>
      <c r="E253" t="s">
        <v>9</v>
      </c>
    </row>
    <row r="254" spans="1:5" x14ac:dyDescent="0.35">
      <c r="A254" t="s">
        <v>252</v>
      </c>
      <c r="B254" t="s">
        <v>267</v>
      </c>
      <c r="C254">
        <v>230</v>
      </c>
      <c r="D254">
        <v>113</v>
      </c>
      <c r="E254" t="s">
        <v>17</v>
      </c>
    </row>
    <row r="255" spans="1:5" x14ac:dyDescent="0.35">
      <c r="A255" t="s">
        <v>252</v>
      </c>
      <c r="B255" t="s">
        <v>268</v>
      </c>
      <c r="C255">
        <v>238</v>
      </c>
      <c r="D255">
        <v>189</v>
      </c>
      <c r="E255" t="s">
        <v>17</v>
      </c>
    </row>
    <row r="256" spans="1:5" x14ac:dyDescent="0.35">
      <c r="A256" t="s">
        <v>252</v>
      </c>
      <c r="B256" t="s">
        <v>269</v>
      </c>
      <c r="C256">
        <v>317</v>
      </c>
      <c r="D256">
        <v>93</v>
      </c>
      <c r="E256" t="s">
        <v>17</v>
      </c>
    </row>
    <row r="257" spans="1:5" x14ac:dyDescent="0.35">
      <c r="A257" t="s">
        <v>252</v>
      </c>
      <c r="B257" t="s">
        <v>270</v>
      </c>
      <c r="C257">
        <v>214</v>
      </c>
      <c r="D257">
        <v>134</v>
      </c>
      <c r="E257" t="s">
        <v>11</v>
      </c>
    </row>
    <row r="258" spans="1:5" x14ac:dyDescent="0.35">
      <c r="A258" t="s">
        <v>252</v>
      </c>
      <c r="B258" t="s">
        <v>271</v>
      </c>
      <c r="C258">
        <v>70</v>
      </c>
      <c r="D258">
        <v>66</v>
      </c>
      <c r="E258" t="s">
        <v>9</v>
      </c>
    </row>
    <row r="259" spans="1:5" x14ac:dyDescent="0.35">
      <c r="A259" t="s">
        <v>252</v>
      </c>
      <c r="B259" t="s">
        <v>272</v>
      </c>
      <c r="C259">
        <v>215</v>
      </c>
      <c r="D259">
        <v>70</v>
      </c>
      <c r="E259" t="s">
        <v>7</v>
      </c>
    </row>
    <row r="260" spans="1:5" x14ac:dyDescent="0.35">
      <c r="A260" t="s">
        <v>252</v>
      </c>
      <c r="B260" t="s">
        <v>273</v>
      </c>
      <c r="C260">
        <v>189</v>
      </c>
      <c r="D260">
        <v>118</v>
      </c>
      <c r="E260" t="s">
        <v>9</v>
      </c>
    </row>
    <row r="261" spans="1:5" x14ac:dyDescent="0.35">
      <c r="A261" t="s">
        <v>252</v>
      </c>
      <c r="B261" t="s">
        <v>274</v>
      </c>
      <c r="C261">
        <v>303</v>
      </c>
      <c r="D261">
        <v>47</v>
      </c>
      <c r="E261" t="s">
        <v>21</v>
      </c>
    </row>
    <row r="262" spans="1:5" x14ac:dyDescent="0.35">
      <c r="A262" t="s">
        <v>252</v>
      </c>
      <c r="B262" t="s">
        <v>275</v>
      </c>
      <c r="C262">
        <v>219</v>
      </c>
      <c r="D262">
        <v>63</v>
      </c>
      <c r="E262" t="s">
        <v>21</v>
      </c>
    </row>
    <row r="263" spans="1:5" x14ac:dyDescent="0.35">
      <c r="A263" t="s">
        <v>252</v>
      </c>
      <c r="B263" t="s">
        <v>276</v>
      </c>
      <c r="C263">
        <v>144</v>
      </c>
      <c r="D263">
        <v>82</v>
      </c>
      <c r="E263" t="s">
        <v>11</v>
      </c>
    </row>
    <row r="264" spans="1:5" x14ac:dyDescent="0.35">
      <c r="A264" t="s">
        <v>252</v>
      </c>
      <c r="B264" t="s">
        <v>277</v>
      </c>
      <c r="C264">
        <v>190</v>
      </c>
      <c r="D264">
        <v>58</v>
      </c>
      <c r="E264" t="s">
        <v>17</v>
      </c>
    </row>
    <row r="265" spans="1:5" x14ac:dyDescent="0.35">
      <c r="A265" t="s">
        <v>252</v>
      </c>
      <c r="B265" t="s">
        <v>278</v>
      </c>
      <c r="C265">
        <v>134</v>
      </c>
      <c r="D265">
        <v>83</v>
      </c>
      <c r="E265" t="s">
        <v>9</v>
      </c>
    </row>
    <row r="266" spans="1:5" x14ac:dyDescent="0.35">
      <c r="A266" t="s">
        <v>252</v>
      </c>
      <c r="B266" t="s">
        <v>279</v>
      </c>
      <c r="C266">
        <v>301</v>
      </c>
      <c r="D266">
        <v>102</v>
      </c>
      <c r="E266" t="s">
        <v>9</v>
      </c>
    </row>
    <row r="267" spans="1:5" x14ac:dyDescent="0.35">
      <c r="A267" t="s">
        <v>252</v>
      </c>
      <c r="B267" t="s">
        <v>280</v>
      </c>
      <c r="C267">
        <v>306</v>
      </c>
      <c r="D267">
        <v>113</v>
      </c>
      <c r="E267" t="s">
        <v>33</v>
      </c>
    </row>
    <row r="268" spans="1:5" x14ac:dyDescent="0.35">
      <c r="A268" t="s">
        <v>252</v>
      </c>
      <c r="B268" t="s">
        <v>281</v>
      </c>
      <c r="C268">
        <v>197</v>
      </c>
      <c r="D268">
        <v>161</v>
      </c>
      <c r="E268" t="s">
        <v>11</v>
      </c>
    </row>
    <row r="269" spans="1:5" x14ac:dyDescent="0.35">
      <c r="A269" t="s">
        <v>252</v>
      </c>
      <c r="B269" t="s">
        <v>282</v>
      </c>
      <c r="C269">
        <v>176</v>
      </c>
      <c r="D269">
        <v>102</v>
      </c>
      <c r="E269" t="s">
        <v>7</v>
      </c>
    </row>
    <row r="270" spans="1:5" x14ac:dyDescent="0.35">
      <c r="A270" t="s">
        <v>252</v>
      </c>
      <c r="B270" t="s">
        <v>283</v>
      </c>
      <c r="C270">
        <v>117</v>
      </c>
      <c r="D270">
        <v>31</v>
      </c>
      <c r="E270" t="s">
        <v>7</v>
      </c>
    </row>
    <row r="271" spans="1:5" x14ac:dyDescent="0.35">
      <c r="A271" t="s">
        <v>252</v>
      </c>
      <c r="B271" t="s">
        <v>284</v>
      </c>
      <c r="C271">
        <v>206</v>
      </c>
      <c r="D271">
        <v>157</v>
      </c>
      <c r="E271" t="s">
        <v>7</v>
      </c>
    </row>
    <row r="272" spans="1:5" x14ac:dyDescent="0.35">
      <c r="A272" t="s">
        <v>252</v>
      </c>
      <c r="B272" t="s">
        <v>285</v>
      </c>
      <c r="C272">
        <v>65</v>
      </c>
      <c r="D272">
        <v>43</v>
      </c>
      <c r="E272" t="s">
        <v>17</v>
      </c>
    </row>
    <row r="273" spans="1:5" x14ac:dyDescent="0.35">
      <c r="A273" t="s">
        <v>252</v>
      </c>
      <c r="B273" t="s">
        <v>286</v>
      </c>
      <c r="C273">
        <v>149</v>
      </c>
      <c r="D273">
        <v>95</v>
      </c>
      <c r="E273" t="s">
        <v>11</v>
      </c>
    </row>
    <row r="274" spans="1:5" x14ac:dyDescent="0.35">
      <c r="A274" t="s">
        <v>252</v>
      </c>
      <c r="B274" t="s">
        <v>287</v>
      </c>
      <c r="C274">
        <v>226</v>
      </c>
      <c r="D274">
        <v>34</v>
      </c>
      <c r="E274" t="s">
        <v>15</v>
      </c>
    </row>
    <row r="275" spans="1:5" x14ac:dyDescent="0.35">
      <c r="A275" t="s">
        <v>252</v>
      </c>
      <c r="B275" t="s">
        <v>288</v>
      </c>
      <c r="C275">
        <v>194</v>
      </c>
      <c r="D275">
        <v>144</v>
      </c>
      <c r="E275" t="s">
        <v>33</v>
      </c>
    </row>
    <row r="276" spans="1:5" x14ac:dyDescent="0.35">
      <c r="A276" t="s">
        <v>252</v>
      </c>
      <c r="B276" t="s">
        <v>289</v>
      </c>
      <c r="C276">
        <v>243</v>
      </c>
      <c r="D276">
        <v>102</v>
      </c>
      <c r="E276" t="s">
        <v>11</v>
      </c>
    </row>
    <row r="277" spans="1:5" x14ac:dyDescent="0.35">
      <c r="A277" t="s">
        <v>252</v>
      </c>
      <c r="B277" t="s">
        <v>290</v>
      </c>
      <c r="C277">
        <v>237</v>
      </c>
      <c r="D277">
        <v>146</v>
      </c>
      <c r="E277" t="s">
        <v>33</v>
      </c>
    </row>
    <row r="278" spans="1:5" x14ac:dyDescent="0.35">
      <c r="A278" t="s">
        <v>252</v>
      </c>
      <c r="B278" t="s">
        <v>291</v>
      </c>
      <c r="C278">
        <v>285</v>
      </c>
      <c r="D278">
        <v>84</v>
      </c>
      <c r="E278" t="s">
        <v>7</v>
      </c>
    </row>
    <row r="279" spans="1:5" x14ac:dyDescent="0.35">
      <c r="A279" t="s">
        <v>252</v>
      </c>
      <c r="B279" t="s">
        <v>292</v>
      </c>
      <c r="C279">
        <v>164</v>
      </c>
      <c r="D279">
        <v>112</v>
      </c>
      <c r="E279" t="s">
        <v>17</v>
      </c>
    </row>
    <row r="280" spans="1:5" x14ac:dyDescent="0.35">
      <c r="A280" t="s">
        <v>252</v>
      </c>
      <c r="B280" t="s">
        <v>293</v>
      </c>
      <c r="C280">
        <v>169</v>
      </c>
      <c r="D280">
        <v>118</v>
      </c>
      <c r="E280" t="s">
        <v>15</v>
      </c>
    </row>
    <row r="281" spans="1:5" x14ac:dyDescent="0.35">
      <c r="A281" t="s">
        <v>252</v>
      </c>
      <c r="B281" t="s">
        <v>294</v>
      </c>
      <c r="C281">
        <v>200</v>
      </c>
      <c r="D281">
        <v>70</v>
      </c>
      <c r="E281" t="s">
        <v>11</v>
      </c>
    </row>
    <row r="282" spans="1:5" x14ac:dyDescent="0.35">
      <c r="A282" t="s">
        <v>252</v>
      </c>
      <c r="B282" t="s">
        <v>295</v>
      </c>
      <c r="C282">
        <v>271</v>
      </c>
      <c r="D282">
        <v>102</v>
      </c>
      <c r="E282" t="s">
        <v>15</v>
      </c>
    </row>
    <row r="283" spans="1:5" x14ac:dyDescent="0.35">
      <c r="A283" t="s">
        <v>252</v>
      </c>
      <c r="B283" t="s">
        <v>296</v>
      </c>
      <c r="C283">
        <v>194</v>
      </c>
      <c r="D283">
        <v>134</v>
      </c>
      <c r="E283" t="s">
        <v>11</v>
      </c>
    </row>
    <row r="284" spans="1:5" x14ac:dyDescent="0.35">
      <c r="A284" t="s">
        <v>252</v>
      </c>
      <c r="B284" t="s">
        <v>297</v>
      </c>
      <c r="C284">
        <v>155</v>
      </c>
      <c r="D284">
        <v>154</v>
      </c>
      <c r="E284" t="s">
        <v>33</v>
      </c>
    </row>
    <row r="285" spans="1:5" x14ac:dyDescent="0.35">
      <c r="A285" t="s">
        <v>252</v>
      </c>
      <c r="B285" t="s">
        <v>298</v>
      </c>
      <c r="C285">
        <v>185</v>
      </c>
      <c r="D285">
        <v>98</v>
      </c>
      <c r="E285" t="s">
        <v>21</v>
      </c>
    </row>
    <row r="286" spans="1:5" x14ac:dyDescent="0.35">
      <c r="A286" t="s">
        <v>252</v>
      </c>
      <c r="B286" t="s">
        <v>299</v>
      </c>
      <c r="C286">
        <v>290</v>
      </c>
      <c r="D286">
        <v>47</v>
      </c>
      <c r="E286" t="s">
        <v>33</v>
      </c>
    </row>
    <row r="287" spans="1:5" x14ac:dyDescent="0.35">
      <c r="A287" t="s">
        <v>252</v>
      </c>
      <c r="B287" t="s">
        <v>300</v>
      </c>
      <c r="C287">
        <v>148</v>
      </c>
      <c r="D287">
        <v>86</v>
      </c>
      <c r="E287" t="s">
        <v>9</v>
      </c>
    </row>
    <row r="288" spans="1:5" x14ac:dyDescent="0.35">
      <c r="A288" t="s">
        <v>252</v>
      </c>
      <c r="B288" t="s">
        <v>301</v>
      </c>
      <c r="C288">
        <v>297</v>
      </c>
      <c r="D288">
        <v>117</v>
      </c>
      <c r="E288" t="s">
        <v>7</v>
      </c>
    </row>
    <row r="289" spans="1:5" x14ac:dyDescent="0.35">
      <c r="A289" t="s">
        <v>252</v>
      </c>
      <c r="B289" t="s">
        <v>302</v>
      </c>
      <c r="C289">
        <v>302</v>
      </c>
      <c r="D289">
        <v>164</v>
      </c>
      <c r="E289" t="s">
        <v>9</v>
      </c>
    </row>
    <row r="290" spans="1:5" x14ac:dyDescent="0.35">
      <c r="A290" t="s">
        <v>252</v>
      </c>
      <c r="B290" t="s">
        <v>303</v>
      </c>
      <c r="C290">
        <v>216</v>
      </c>
      <c r="D290">
        <v>71</v>
      </c>
      <c r="E290" t="s">
        <v>33</v>
      </c>
    </row>
    <row r="291" spans="1:5" x14ac:dyDescent="0.35">
      <c r="A291" t="s">
        <v>252</v>
      </c>
      <c r="B291" t="s">
        <v>304</v>
      </c>
      <c r="C291">
        <v>169</v>
      </c>
      <c r="D291">
        <v>109</v>
      </c>
      <c r="E291" t="s">
        <v>11</v>
      </c>
    </row>
    <row r="292" spans="1:5" x14ac:dyDescent="0.35">
      <c r="A292" t="s">
        <v>252</v>
      </c>
      <c r="B292" t="s">
        <v>305</v>
      </c>
      <c r="C292">
        <v>278</v>
      </c>
      <c r="D292">
        <v>107</v>
      </c>
      <c r="E292" t="s">
        <v>17</v>
      </c>
    </row>
    <row r="293" spans="1:5" x14ac:dyDescent="0.35">
      <c r="A293" t="s">
        <v>252</v>
      </c>
      <c r="B293" t="s">
        <v>306</v>
      </c>
      <c r="C293">
        <v>132</v>
      </c>
      <c r="D293">
        <v>66</v>
      </c>
      <c r="E293" t="s">
        <v>33</v>
      </c>
    </row>
    <row r="294" spans="1:5" x14ac:dyDescent="0.35">
      <c r="A294" t="s">
        <v>252</v>
      </c>
      <c r="B294" t="s">
        <v>307</v>
      </c>
      <c r="C294">
        <v>144</v>
      </c>
      <c r="D294">
        <v>53</v>
      </c>
      <c r="E294" t="s">
        <v>15</v>
      </c>
    </row>
    <row r="295" spans="1:5" x14ac:dyDescent="0.35">
      <c r="A295" t="s">
        <v>252</v>
      </c>
      <c r="B295" t="s">
        <v>308</v>
      </c>
      <c r="C295">
        <v>270</v>
      </c>
      <c r="D295">
        <v>141</v>
      </c>
      <c r="E295" t="s">
        <v>17</v>
      </c>
    </row>
    <row r="296" spans="1:5" x14ac:dyDescent="0.35">
      <c r="A296" t="s">
        <v>252</v>
      </c>
      <c r="B296" t="s">
        <v>309</v>
      </c>
      <c r="C296">
        <v>200</v>
      </c>
      <c r="D296">
        <v>71</v>
      </c>
      <c r="E296" t="s">
        <v>11</v>
      </c>
    </row>
    <row r="297" spans="1:5" x14ac:dyDescent="0.35">
      <c r="A297" t="s">
        <v>252</v>
      </c>
      <c r="B297" t="s">
        <v>310</v>
      </c>
      <c r="C297">
        <v>283</v>
      </c>
      <c r="D297">
        <v>141</v>
      </c>
      <c r="E297" t="s">
        <v>33</v>
      </c>
    </row>
    <row r="298" spans="1:5" x14ac:dyDescent="0.35">
      <c r="A298" t="s">
        <v>252</v>
      </c>
      <c r="B298" t="s">
        <v>311</v>
      </c>
      <c r="C298">
        <v>271</v>
      </c>
      <c r="D298">
        <v>163</v>
      </c>
      <c r="E298" t="s">
        <v>11</v>
      </c>
    </row>
    <row r="299" spans="1:5" x14ac:dyDescent="0.35">
      <c r="A299" t="s">
        <v>252</v>
      </c>
      <c r="B299" t="s">
        <v>312</v>
      </c>
      <c r="C299">
        <v>261</v>
      </c>
      <c r="D299">
        <v>151</v>
      </c>
      <c r="E299" t="s">
        <v>21</v>
      </c>
    </row>
    <row r="300" spans="1:5" x14ac:dyDescent="0.35">
      <c r="A300" t="s">
        <v>252</v>
      </c>
      <c r="B300" t="s">
        <v>313</v>
      </c>
      <c r="C300">
        <v>175</v>
      </c>
      <c r="D300">
        <v>161</v>
      </c>
      <c r="E300" t="s">
        <v>15</v>
      </c>
    </row>
    <row r="301" spans="1:5" x14ac:dyDescent="0.35">
      <c r="A301" t="s">
        <v>252</v>
      </c>
      <c r="B301" t="s">
        <v>314</v>
      </c>
      <c r="C301">
        <v>312</v>
      </c>
      <c r="D301">
        <v>189</v>
      </c>
      <c r="E301" t="s">
        <v>21</v>
      </c>
    </row>
    <row r="302" spans="1:5" x14ac:dyDescent="0.35">
      <c r="A302" t="s">
        <v>252</v>
      </c>
      <c r="B302" t="s">
        <v>315</v>
      </c>
      <c r="C302">
        <v>89</v>
      </c>
      <c r="D302">
        <v>31</v>
      </c>
      <c r="E302" t="s">
        <v>33</v>
      </c>
    </row>
    <row r="303" spans="1:5" x14ac:dyDescent="0.35">
      <c r="A303" t="s">
        <v>252</v>
      </c>
      <c r="B303" t="s">
        <v>316</v>
      </c>
      <c r="C303">
        <v>306</v>
      </c>
      <c r="D303">
        <v>128</v>
      </c>
      <c r="E303" t="s">
        <v>15</v>
      </c>
    </row>
    <row r="304" spans="1:5" x14ac:dyDescent="0.35">
      <c r="A304" t="s">
        <v>252</v>
      </c>
      <c r="B304" t="s">
        <v>317</v>
      </c>
      <c r="C304">
        <v>201</v>
      </c>
      <c r="D304">
        <v>55</v>
      </c>
      <c r="E304" t="s">
        <v>17</v>
      </c>
    </row>
    <row r="305" spans="1:5" x14ac:dyDescent="0.35">
      <c r="A305" t="s">
        <v>252</v>
      </c>
      <c r="B305" t="s">
        <v>318</v>
      </c>
      <c r="C305">
        <v>185</v>
      </c>
      <c r="D305">
        <v>114</v>
      </c>
      <c r="E305" t="s">
        <v>21</v>
      </c>
    </row>
    <row r="306" spans="1:5" x14ac:dyDescent="0.35">
      <c r="A306" t="s">
        <v>252</v>
      </c>
      <c r="B306" t="s">
        <v>319</v>
      </c>
      <c r="C306">
        <v>243</v>
      </c>
      <c r="D306">
        <v>178</v>
      </c>
      <c r="E306" t="s">
        <v>9</v>
      </c>
    </row>
    <row r="307" spans="1:5" x14ac:dyDescent="0.35">
      <c r="A307" t="s">
        <v>252</v>
      </c>
      <c r="B307" t="s">
        <v>320</v>
      </c>
      <c r="C307">
        <v>292</v>
      </c>
      <c r="D307">
        <v>120</v>
      </c>
      <c r="E307" t="s">
        <v>15</v>
      </c>
    </row>
    <row r="308" spans="1:5" x14ac:dyDescent="0.35">
      <c r="A308" t="s">
        <v>252</v>
      </c>
      <c r="B308" t="s">
        <v>321</v>
      </c>
      <c r="C308">
        <v>85</v>
      </c>
      <c r="D308">
        <v>81</v>
      </c>
      <c r="E308" t="s">
        <v>11</v>
      </c>
    </row>
    <row r="309" spans="1:5" x14ac:dyDescent="0.35">
      <c r="A309" t="s">
        <v>252</v>
      </c>
      <c r="B309" t="s">
        <v>322</v>
      </c>
      <c r="C309">
        <v>291</v>
      </c>
      <c r="D309">
        <v>188</v>
      </c>
      <c r="E309" t="s">
        <v>9</v>
      </c>
    </row>
    <row r="310" spans="1:5" x14ac:dyDescent="0.35">
      <c r="A310" t="s">
        <v>252</v>
      </c>
      <c r="B310" t="s">
        <v>323</v>
      </c>
      <c r="C310">
        <v>81</v>
      </c>
      <c r="D310">
        <v>63</v>
      </c>
      <c r="E310" t="s">
        <v>15</v>
      </c>
    </row>
    <row r="311" spans="1:5" x14ac:dyDescent="0.35">
      <c r="A311" t="s">
        <v>252</v>
      </c>
      <c r="B311" t="s">
        <v>324</v>
      </c>
      <c r="C311">
        <v>215</v>
      </c>
      <c r="D311">
        <v>128</v>
      </c>
      <c r="E311" t="s">
        <v>21</v>
      </c>
    </row>
    <row r="312" spans="1:5" x14ac:dyDescent="0.35">
      <c r="A312" t="s">
        <v>252</v>
      </c>
      <c r="B312" t="s">
        <v>325</v>
      </c>
      <c r="C312">
        <v>83</v>
      </c>
      <c r="D312">
        <v>67</v>
      </c>
      <c r="E312" t="s">
        <v>9</v>
      </c>
    </row>
    <row r="313" spans="1:5" x14ac:dyDescent="0.35">
      <c r="A313" t="s">
        <v>252</v>
      </c>
      <c r="B313" t="s">
        <v>326</v>
      </c>
      <c r="C313">
        <v>267</v>
      </c>
      <c r="D313">
        <v>179</v>
      </c>
      <c r="E313" t="s">
        <v>9</v>
      </c>
    </row>
    <row r="314" spans="1:5" x14ac:dyDescent="0.35">
      <c r="A314" t="s">
        <v>252</v>
      </c>
      <c r="B314" t="s">
        <v>327</v>
      </c>
      <c r="C314">
        <v>64</v>
      </c>
      <c r="D314">
        <v>45</v>
      </c>
      <c r="E314" t="s">
        <v>9</v>
      </c>
    </row>
    <row r="315" spans="1:5" x14ac:dyDescent="0.35">
      <c r="A315" t="s">
        <v>252</v>
      </c>
      <c r="B315" t="s">
        <v>328</v>
      </c>
      <c r="C315">
        <v>228</v>
      </c>
      <c r="D315">
        <v>158</v>
      </c>
      <c r="E315" t="s">
        <v>9</v>
      </c>
    </row>
    <row r="316" spans="1:5" x14ac:dyDescent="0.35">
      <c r="A316" t="s">
        <v>252</v>
      </c>
      <c r="B316" t="s">
        <v>329</v>
      </c>
      <c r="C316">
        <v>294</v>
      </c>
      <c r="D316">
        <v>145</v>
      </c>
      <c r="E316" t="s">
        <v>7</v>
      </c>
    </row>
    <row r="317" spans="1:5" x14ac:dyDescent="0.35">
      <c r="A317" t="s">
        <v>252</v>
      </c>
      <c r="B317" t="s">
        <v>330</v>
      </c>
      <c r="C317">
        <v>268</v>
      </c>
      <c r="D317">
        <v>169</v>
      </c>
      <c r="E317" t="s">
        <v>7</v>
      </c>
    </row>
    <row r="318" spans="1:5" x14ac:dyDescent="0.35">
      <c r="A318" t="s">
        <v>252</v>
      </c>
      <c r="B318" t="s">
        <v>331</v>
      </c>
      <c r="C318">
        <v>231</v>
      </c>
      <c r="D318">
        <v>189</v>
      </c>
      <c r="E318" t="s">
        <v>11</v>
      </c>
    </row>
    <row r="319" spans="1:5" x14ac:dyDescent="0.35">
      <c r="A319" t="s">
        <v>252</v>
      </c>
      <c r="B319" t="s">
        <v>332</v>
      </c>
      <c r="C319">
        <v>58</v>
      </c>
      <c r="D319">
        <v>45</v>
      </c>
      <c r="E319" t="s">
        <v>7</v>
      </c>
    </row>
    <row r="320" spans="1:5" x14ac:dyDescent="0.35">
      <c r="A320" t="s">
        <v>252</v>
      </c>
      <c r="B320" t="s">
        <v>333</v>
      </c>
      <c r="C320">
        <v>87</v>
      </c>
      <c r="D320">
        <v>48</v>
      </c>
      <c r="E320" t="s">
        <v>33</v>
      </c>
    </row>
    <row r="321" spans="1:5" x14ac:dyDescent="0.35">
      <c r="A321" t="s">
        <v>252</v>
      </c>
      <c r="B321" t="s">
        <v>334</v>
      </c>
      <c r="C321">
        <v>315</v>
      </c>
      <c r="D321">
        <v>169</v>
      </c>
      <c r="E321" t="s">
        <v>21</v>
      </c>
    </row>
    <row r="322" spans="1:5" x14ac:dyDescent="0.35">
      <c r="A322" t="s">
        <v>252</v>
      </c>
      <c r="B322" t="s">
        <v>335</v>
      </c>
      <c r="C322">
        <v>155</v>
      </c>
      <c r="D322">
        <v>96</v>
      </c>
      <c r="E322" t="s">
        <v>9</v>
      </c>
    </row>
    <row r="323" spans="1:5" x14ac:dyDescent="0.35">
      <c r="A323" t="s">
        <v>252</v>
      </c>
      <c r="B323" t="s">
        <v>336</v>
      </c>
      <c r="C323">
        <v>295</v>
      </c>
      <c r="D323">
        <v>31</v>
      </c>
      <c r="E323" t="s">
        <v>9</v>
      </c>
    </row>
    <row r="324" spans="1:5" x14ac:dyDescent="0.35">
      <c r="A324" t="s">
        <v>252</v>
      </c>
      <c r="B324" t="s">
        <v>337</v>
      </c>
      <c r="C324">
        <v>315</v>
      </c>
      <c r="D324">
        <v>94</v>
      </c>
      <c r="E324" t="s">
        <v>9</v>
      </c>
    </row>
    <row r="325" spans="1:5" x14ac:dyDescent="0.35">
      <c r="A325" t="s">
        <v>252</v>
      </c>
      <c r="B325" t="s">
        <v>338</v>
      </c>
      <c r="C325">
        <v>256</v>
      </c>
      <c r="D325">
        <v>121</v>
      </c>
      <c r="E325" t="s">
        <v>15</v>
      </c>
    </row>
    <row r="326" spans="1:5" x14ac:dyDescent="0.35">
      <c r="A326" t="s">
        <v>252</v>
      </c>
      <c r="B326" t="s">
        <v>339</v>
      </c>
      <c r="C326">
        <v>316</v>
      </c>
      <c r="D326">
        <v>64</v>
      </c>
      <c r="E326" t="s">
        <v>17</v>
      </c>
    </row>
    <row r="327" spans="1:5" x14ac:dyDescent="0.35">
      <c r="A327" t="s">
        <v>252</v>
      </c>
      <c r="B327" t="s">
        <v>340</v>
      </c>
      <c r="C327">
        <v>210</v>
      </c>
      <c r="D327">
        <v>89</v>
      </c>
      <c r="E327" t="s">
        <v>9</v>
      </c>
    </row>
    <row r="328" spans="1:5" x14ac:dyDescent="0.35">
      <c r="A328" t="s">
        <v>252</v>
      </c>
      <c r="B328" t="s">
        <v>341</v>
      </c>
      <c r="C328">
        <v>184</v>
      </c>
      <c r="D328">
        <v>163</v>
      </c>
      <c r="E328" t="s">
        <v>17</v>
      </c>
    </row>
    <row r="329" spans="1:5" x14ac:dyDescent="0.35">
      <c r="A329" t="s">
        <v>252</v>
      </c>
      <c r="B329" t="s">
        <v>342</v>
      </c>
      <c r="C329">
        <v>175</v>
      </c>
      <c r="D329">
        <v>140</v>
      </c>
      <c r="E329" t="s">
        <v>33</v>
      </c>
    </row>
    <row r="330" spans="1:5" x14ac:dyDescent="0.35">
      <c r="A330" t="s">
        <v>252</v>
      </c>
      <c r="B330" t="s">
        <v>343</v>
      </c>
      <c r="C330">
        <v>287</v>
      </c>
      <c r="D330">
        <v>54</v>
      </c>
      <c r="E330" t="s">
        <v>17</v>
      </c>
    </row>
    <row r="331" spans="1:5" x14ac:dyDescent="0.35">
      <c r="A331" t="s">
        <v>252</v>
      </c>
      <c r="B331" t="s">
        <v>344</v>
      </c>
      <c r="C331">
        <v>218</v>
      </c>
      <c r="D331">
        <v>91</v>
      </c>
      <c r="E331" t="s">
        <v>33</v>
      </c>
    </row>
    <row r="332" spans="1:5" x14ac:dyDescent="0.35">
      <c r="A332" t="s">
        <v>252</v>
      </c>
      <c r="B332" t="s">
        <v>345</v>
      </c>
      <c r="C332">
        <v>236</v>
      </c>
      <c r="D332">
        <v>120</v>
      </c>
      <c r="E332" t="s">
        <v>9</v>
      </c>
    </row>
    <row r="333" spans="1:5" x14ac:dyDescent="0.35">
      <c r="A333" t="s">
        <v>252</v>
      </c>
      <c r="B333" t="s">
        <v>346</v>
      </c>
      <c r="C333">
        <v>224</v>
      </c>
      <c r="D333">
        <v>76</v>
      </c>
      <c r="E333" t="s">
        <v>15</v>
      </c>
    </row>
    <row r="334" spans="1:5" x14ac:dyDescent="0.35">
      <c r="A334" t="s">
        <v>252</v>
      </c>
      <c r="B334" t="s">
        <v>347</v>
      </c>
      <c r="C334">
        <v>316</v>
      </c>
      <c r="D334">
        <v>149</v>
      </c>
      <c r="E334" t="s">
        <v>21</v>
      </c>
    </row>
    <row r="335" spans="1:5" x14ac:dyDescent="0.35">
      <c r="A335" t="s">
        <v>252</v>
      </c>
      <c r="B335" t="s">
        <v>348</v>
      </c>
      <c r="C335">
        <v>153</v>
      </c>
      <c r="D335">
        <v>69</v>
      </c>
      <c r="E335" t="s">
        <v>15</v>
      </c>
    </row>
    <row r="336" spans="1:5" x14ac:dyDescent="0.35">
      <c r="A336" t="s">
        <v>252</v>
      </c>
      <c r="B336" t="s">
        <v>349</v>
      </c>
      <c r="C336">
        <v>164</v>
      </c>
      <c r="D336">
        <v>61</v>
      </c>
      <c r="E336" t="s">
        <v>11</v>
      </c>
    </row>
    <row r="337" spans="1:5" x14ac:dyDescent="0.35">
      <c r="A337" t="s">
        <v>252</v>
      </c>
      <c r="B337" t="s">
        <v>350</v>
      </c>
      <c r="C337">
        <v>189</v>
      </c>
      <c r="D337">
        <v>47</v>
      </c>
      <c r="E337" t="s">
        <v>15</v>
      </c>
    </row>
    <row r="338" spans="1:5" x14ac:dyDescent="0.35">
      <c r="A338" t="s">
        <v>252</v>
      </c>
      <c r="B338" t="s">
        <v>351</v>
      </c>
      <c r="C338">
        <v>192</v>
      </c>
      <c r="D338">
        <v>101</v>
      </c>
      <c r="E338" t="s">
        <v>9</v>
      </c>
    </row>
    <row r="339" spans="1:5" x14ac:dyDescent="0.35">
      <c r="A339" t="s">
        <v>252</v>
      </c>
      <c r="B339" t="s">
        <v>352</v>
      </c>
      <c r="C339">
        <v>81</v>
      </c>
      <c r="D339">
        <v>76</v>
      </c>
      <c r="E339" t="s">
        <v>11</v>
      </c>
    </row>
    <row r="340" spans="1:5" x14ac:dyDescent="0.35">
      <c r="A340" t="s">
        <v>252</v>
      </c>
      <c r="B340" t="s">
        <v>353</v>
      </c>
      <c r="C340">
        <v>283</v>
      </c>
      <c r="D340">
        <v>188</v>
      </c>
      <c r="E340" t="s">
        <v>11</v>
      </c>
    </row>
    <row r="341" spans="1:5" x14ac:dyDescent="0.35">
      <c r="A341" t="s">
        <v>252</v>
      </c>
      <c r="B341" t="s">
        <v>354</v>
      </c>
      <c r="C341">
        <v>260</v>
      </c>
      <c r="D341">
        <v>118</v>
      </c>
      <c r="E341" t="s">
        <v>21</v>
      </c>
    </row>
    <row r="342" spans="1:5" x14ac:dyDescent="0.35">
      <c r="A342" t="s">
        <v>252</v>
      </c>
      <c r="B342" t="s">
        <v>355</v>
      </c>
      <c r="C342">
        <v>217</v>
      </c>
      <c r="D342">
        <v>69</v>
      </c>
      <c r="E342" t="s">
        <v>33</v>
      </c>
    </row>
    <row r="343" spans="1:5" x14ac:dyDescent="0.35">
      <c r="A343" t="s">
        <v>252</v>
      </c>
      <c r="B343" t="s">
        <v>356</v>
      </c>
      <c r="C343">
        <v>250</v>
      </c>
      <c r="D343">
        <v>35</v>
      </c>
      <c r="E343" t="s">
        <v>33</v>
      </c>
    </row>
    <row r="344" spans="1:5" x14ac:dyDescent="0.35">
      <c r="A344" t="s">
        <v>252</v>
      </c>
      <c r="B344" t="s">
        <v>357</v>
      </c>
      <c r="C344">
        <v>100</v>
      </c>
      <c r="D344">
        <v>61</v>
      </c>
      <c r="E344" t="s">
        <v>7</v>
      </c>
    </row>
    <row r="345" spans="1:5" x14ac:dyDescent="0.35">
      <c r="A345" t="s">
        <v>252</v>
      </c>
      <c r="B345" t="s">
        <v>358</v>
      </c>
      <c r="C345">
        <v>309</v>
      </c>
      <c r="D345">
        <v>133</v>
      </c>
      <c r="E345" t="s">
        <v>7</v>
      </c>
    </row>
    <row r="346" spans="1:5" x14ac:dyDescent="0.35">
      <c r="A346" t="s">
        <v>252</v>
      </c>
      <c r="B346" t="s">
        <v>359</v>
      </c>
      <c r="C346">
        <v>216</v>
      </c>
      <c r="D346">
        <v>120</v>
      </c>
      <c r="E346" t="s">
        <v>15</v>
      </c>
    </row>
    <row r="347" spans="1:5" x14ac:dyDescent="0.35">
      <c r="A347" t="s">
        <v>252</v>
      </c>
      <c r="B347" t="s">
        <v>360</v>
      </c>
      <c r="C347">
        <v>97</v>
      </c>
      <c r="D347">
        <v>43</v>
      </c>
      <c r="E347" t="s">
        <v>7</v>
      </c>
    </row>
    <row r="348" spans="1:5" x14ac:dyDescent="0.35">
      <c r="A348" t="s">
        <v>252</v>
      </c>
      <c r="B348" t="s">
        <v>361</v>
      </c>
      <c r="C348">
        <v>278</v>
      </c>
      <c r="D348">
        <v>71</v>
      </c>
      <c r="E348" t="s">
        <v>21</v>
      </c>
    </row>
    <row r="349" spans="1:5" x14ac:dyDescent="0.35">
      <c r="A349" t="s">
        <v>252</v>
      </c>
      <c r="B349" t="s">
        <v>362</v>
      </c>
      <c r="C349">
        <v>285</v>
      </c>
      <c r="D349">
        <v>128</v>
      </c>
      <c r="E349" t="s">
        <v>11</v>
      </c>
    </row>
    <row r="350" spans="1:5" x14ac:dyDescent="0.35">
      <c r="A350" t="s">
        <v>252</v>
      </c>
      <c r="B350" t="s">
        <v>363</v>
      </c>
      <c r="C350">
        <v>198</v>
      </c>
      <c r="D350">
        <v>75</v>
      </c>
      <c r="E350" t="s">
        <v>21</v>
      </c>
    </row>
    <row r="351" spans="1:5" x14ac:dyDescent="0.35">
      <c r="A351" t="s">
        <v>252</v>
      </c>
      <c r="B351" t="s">
        <v>364</v>
      </c>
      <c r="C351">
        <v>251</v>
      </c>
      <c r="D351">
        <v>37</v>
      </c>
      <c r="E351" t="s">
        <v>9</v>
      </c>
    </row>
    <row r="352" spans="1:5" x14ac:dyDescent="0.35">
      <c r="A352" t="s">
        <v>252</v>
      </c>
      <c r="B352" t="s">
        <v>365</v>
      </c>
      <c r="C352">
        <v>148</v>
      </c>
      <c r="D352">
        <v>118</v>
      </c>
      <c r="E352" t="s">
        <v>33</v>
      </c>
    </row>
    <row r="353" spans="1:5" x14ac:dyDescent="0.35">
      <c r="A353" t="s">
        <v>252</v>
      </c>
      <c r="B353" t="s">
        <v>366</v>
      </c>
      <c r="C353">
        <v>272</v>
      </c>
      <c r="D353">
        <v>85</v>
      </c>
      <c r="E353" t="s">
        <v>9</v>
      </c>
    </row>
    <row r="354" spans="1:5" x14ac:dyDescent="0.35">
      <c r="A354" t="s">
        <v>252</v>
      </c>
      <c r="B354" t="s">
        <v>367</v>
      </c>
      <c r="C354">
        <v>178</v>
      </c>
      <c r="D354">
        <v>69</v>
      </c>
      <c r="E354" t="s">
        <v>15</v>
      </c>
    </row>
    <row r="355" spans="1:5" x14ac:dyDescent="0.35">
      <c r="A355" t="s">
        <v>252</v>
      </c>
      <c r="B355" t="s">
        <v>368</v>
      </c>
      <c r="C355">
        <v>203</v>
      </c>
      <c r="D355">
        <v>115</v>
      </c>
      <c r="E355" t="s">
        <v>7</v>
      </c>
    </row>
    <row r="356" spans="1:5" x14ac:dyDescent="0.35">
      <c r="A356" t="s">
        <v>252</v>
      </c>
      <c r="B356" t="s">
        <v>369</v>
      </c>
      <c r="C356">
        <v>243</v>
      </c>
      <c r="D356">
        <v>185</v>
      </c>
      <c r="E356" t="s">
        <v>21</v>
      </c>
    </row>
    <row r="357" spans="1:5" x14ac:dyDescent="0.35">
      <c r="A357" t="s">
        <v>252</v>
      </c>
      <c r="B357" t="s">
        <v>370</v>
      </c>
      <c r="C357">
        <v>104</v>
      </c>
      <c r="D357">
        <v>94</v>
      </c>
      <c r="E357" t="s">
        <v>21</v>
      </c>
    </row>
    <row r="358" spans="1:5" x14ac:dyDescent="0.35">
      <c r="A358" t="s">
        <v>252</v>
      </c>
      <c r="B358" t="s">
        <v>371</v>
      </c>
      <c r="C358">
        <v>162</v>
      </c>
      <c r="D358">
        <v>154</v>
      </c>
      <c r="E358" t="s">
        <v>9</v>
      </c>
    </row>
    <row r="359" spans="1:5" x14ac:dyDescent="0.35">
      <c r="A359" t="s">
        <v>252</v>
      </c>
      <c r="B359" t="s">
        <v>372</v>
      </c>
      <c r="C359">
        <v>247</v>
      </c>
      <c r="D359">
        <v>77</v>
      </c>
      <c r="E359" t="s">
        <v>11</v>
      </c>
    </row>
    <row r="360" spans="1:5" x14ac:dyDescent="0.35">
      <c r="A360" t="s">
        <v>252</v>
      </c>
      <c r="B360" t="s">
        <v>373</v>
      </c>
      <c r="C360">
        <v>110</v>
      </c>
      <c r="D360">
        <v>51</v>
      </c>
      <c r="E360" t="s">
        <v>21</v>
      </c>
    </row>
    <row r="361" spans="1:5" x14ac:dyDescent="0.35">
      <c r="A361" t="s">
        <v>252</v>
      </c>
      <c r="B361" t="s">
        <v>374</v>
      </c>
      <c r="C361">
        <v>248</v>
      </c>
      <c r="D361">
        <v>179</v>
      </c>
      <c r="E361" t="s">
        <v>15</v>
      </c>
    </row>
    <row r="362" spans="1:5" x14ac:dyDescent="0.35">
      <c r="A362" t="s">
        <v>252</v>
      </c>
      <c r="B362" t="s">
        <v>375</v>
      </c>
      <c r="C362">
        <v>225</v>
      </c>
      <c r="D362">
        <v>180</v>
      </c>
      <c r="E362" t="s">
        <v>17</v>
      </c>
    </row>
    <row r="363" spans="1:5" x14ac:dyDescent="0.35">
      <c r="A363" t="s">
        <v>252</v>
      </c>
      <c r="B363" t="s">
        <v>376</v>
      </c>
      <c r="C363">
        <v>227</v>
      </c>
      <c r="D363">
        <v>189</v>
      </c>
      <c r="E363" t="s">
        <v>11</v>
      </c>
    </row>
    <row r="364" spans="1:5" x14ac:dyDescent="0.35">
      <c r="A364" t="s">
        <v>252</v>
      </c>
      <c r="B364" t="s">
        <v>377</v>
      </c>
      <c r="C364">
        <v>282</v>
      </c>
      <c r="D364">
        <v>158</v>
      </c>
      <c r="E364" t="s">
        <v>9</v>
      </c>
    </row>
    <row r="365" spans="1:5" x14ac:dyDescent="0.35">
      <c r="A365" t="s">
        <v>252</v>
      </c>
      <c r="B365" t="s">
        <v>378</v>
      </c>
      <c r="C365">
        <v>275</v>
      </c>
      <c r="D365">
        <v>119</v>
      </c>
      <c r="E365" t="s">
        <v>9</v>
      </c>
    </row>
    <row r="366" spans="1:5" x14ac:dyDescent="0.35">
      <c r="A366" t="s">
        <v>252</v>
      </c>
      <c r="B366" t="s">
        <v>379</v>
      </c>
      <c r="C366">
        <v>319</v>
      </c>
      <c r="D366">
        <v>86</v>
      </c>
      <c r="E366" t="s">
        <v>33</v>
      </c>
    </row>
    <row r="367" spans="1:5" x14ac:dyDescent="0.35">
      <c r="A367" t="s">
        <v>252</v>
      </c>
      <c r="B367" t="s">
        <v>380</v>
      </c>
      <c r="C367">
        <v>79</v>
      </c>
      <c r="D367">
        <v>60</v>
      </c>
      <c r="E367" t="s">
        <v>7</v>
      </c>
    </row>
    <row r="368" spans="1:5" x14ac:dyDescent="0.35">
      <c r="A368" t="s">
        <v>252</v>
      </c>
      <c r="B368" t="s">
        <v>381</v>
      </c>
      <c r="C368">
        <v>251</v>
      </c>
      <c r="D368">
        <v>174</v>
      </c>
      <c r="E368" t="s">
        <v>21</v>
      </c>
    </row>
    <row r="369" spans="1:5" x14ac:dyDescent="0.35">
      <c r="A369" t="s">
        <v>252</v>
      </c>
      <c r="B369" t="s">
        <v>382</v>
      </c>
      <c r="C369">
        <v>312</v>
      </c>
      <c r="D369">
        <v>88</v>
      </c>
      <c r="E369" t="s">
        <v>21</v>
      </c>
    </row>
    <row r="370" spans="1:5" x14ac:dyDescent="0.35">
      <c r="A370" t="s">
        <v>252</v>
      </c>
      <c r="B370" t="s">
        <v>383</v>
      </c>
      <c r="C370">
        <v>244</v>
      </c>
      <c r="D370">
        <v>122</v>
      </c>
      <c r="E370" t="s">
        <v>33</v>
      </c>
    </row>
    <row r="371" spans="1:5" x14ac:dyDescent="0.35">
      <c r="A371" t="s">
        <v>252</v>
      </c>
      <c r="B371" t="s">
        <v>384</v>
      </c>
      <c r="C371">
        <v>139</v>
      </c>
      <c r="D371">
        <v>37</v>
      </c>
      <c r="E371" t="s">
        <v>21</v>
      </c>
    </row>
    <row r="372" spans="1:5" x14ac:dyDescent="0.35">
      <c r="A372" t="s">
        <v>252</v>
      </c>
      <c r="B372" t="s">
        <v>385</v>
      </c>
      <c r="C372">
        <v>183</v>
      </c>
      <c r="D372">
        <v>87</v>
      </c>
      <c r="E372" t="s">
        <v>33</v>
      </c>
    </row>
    <row r="373" spans="1:5" x14ac:dyDescent="0.35">
      <c r="A373" t="s">
        <v>252</v>
      </c>
      <c r="B373" t="s">
        <v>386</v>
      </c>
      <c r="C373">
        <v>254</v>
      </c>
      <c r="D373">
        <v>53</v>
      </c>
      <c r="E373" t="s">
        <v>15</v>
      </c>
    </row>
    <row r="374" spans="1:5" x14ac:dyDescent="0.35">
      <c r="A374" t="s">
        <v>252</v>
      </c>
      <c r="B374" t="s">
        <v>387</v>
      </c>
      <c r="C374">
        <v>273</v>
      </c>
      <c r="D374">
        <v>150</v>
      </c>
      <c r="E374" t="s">
        <v>9</v>
      </c>
    </row>
    <row r="375" spans="1:5" x14ac:dyDescent="0.35">
      <c r="A375" t="s">
        <v>252</v>
      </c>
      <c r="B375" t="s">
        <v>388</v>
      </c>
      <c r="C375">
        <v>293</v>
      </c>
      <c r="D375">
        <v>41</v>
      </c>
      <c r="E375" t="s">
        <v>17</v>
      </c>
    </row>
    <row r="376" spans="1:5" x14ac:dyDescent="0.35">
      <c r="A376" t="s">
        <v>252</v>
      </c>
      <c r="B376" t="s">
        <v>389</v>
      </c>
      <c r="C376">
        <v>272</v>
      </c>
      <c r="D376">
        <v>147</v>
      </c>
      <c r="E376" t="s">
        <v>15</v>
      </c>
    </row>
    <row r="377" spans="1:5" x14ac:dyDescent="0.35">
      <c r="A377" t="s">
        <v>252</v>
      </c>
      <c r="B377" t="s">
        <v>390</v>
      </c>
      <c r="C377">
        <v>206</v>
      </c>
      <c r="D377">
        <v>127</v>
      </c>
      <c r="E377" t="s">
        <v>7</v>
      </c>
    </row>
    <row r="378" spans="1:5" x14ac:dyDescent="0.35">
      <c r="A378" t="s">
        <v>252</v>
      </c>
      <c r="B378" t="s">
        <v>391</v>
      </c>
      <c r="C378">
        <v>55</v>
      </c>
      <c r="D378">
        <v>33</v>
      </c>
      <c r="E378" t="s">
        <v>17</v>
      </c>
    </row>
    <row r="379" spans="1:5" x14ac:dyDescent="0.35">
      <c r="A379" t="s">
        <v>252</v>
      </c>
      <c r="B379" t="s">
        <v>392</v>
      </c>
      <c r="C379">
        <v>308</v>
      </c>
      <c r="D379">
        <v>46</v>
      </c>
      <c r="E379" t="s">
        <v>11</v>
      </c>
    </row>
    <row r="380" spans="1:5" x14ac:dyDescent="0.35">
      <c r="A380" t="s">
        <v>252</v>
      </c>
      <c r="B380" t="s">
        <v>393</v>
      </c>
      <c r="C380">
        <v>162</v>
      </c>
      <c r="D380">
        <v>148</v>
      </c>
      <c r="E380" t="s">
        <v>17</v>
      </c>
    </row>
    <row r="381" spans="1:5" x14ac:dyDescent="0.35">
      <c r="A381" t="s">
        <v>252</v>
      </c>
      <c r="B381" t="s">
        <v>394</v>
      </c>
      <c r="C381">
        <v>187</v>
      </c>
      <c r="D381">
        <v>152</v>
      </c>
      <c r="E381" t="s">
        <v>21</v>
      </c>
    </row>
    <row r="382" spans="1:5" x14ac:dyDescent="0.35">
      <c r="A382" t="s">
        <v>252</v>
      </c>
      <c r="B382" t="s">
        <v>395</v>
      </c>
      <c r="C382">
        <v>263</v>
      </c>
      <c r="D382">
        <v>169</v>
      </c>
      <c r="E382" t="s">
        <v>11</v>
      </c>
    </row>
    <row r="383" spans="1:5" x14ac:dyDescent="0.35">
      <c r="A383" t="s">
        <v>252</v>
      </c>
      <c r="B383" t="s">
        <v>396</v>
      </c>
      <c r="C383">
        <v>212</v>
      </c>
      <c r="D383">
        <v>177</v>
      </c>
      <c r="E383" t="s">
        <v>7</v>
      </c>
    </row>
    <row r="384" spans="1:5" x14ac:dyDescent="0.35">
      <c r="A384" t="s">
        <v>252</v>
      </c>
      <c r="B384" t="s">
        <v>397</v>
      </c>
      <c r="C384">
        <v>182</v>
      </c>
      <c r="D384">
        <v>113</v>
      </c>
      <c r="E384" t="s">
        <v>7</v>
      </c>
    </row>
    <row r="385" spans="1:5" x14ac:dyDescent="0.35">
      <c r="A385" t="s">
        <v>252</v>
      </c>
      <c r="B385" t="s">
        <v>398</v>
      </c>
      <c r="C385">
        <v>302</v>
      </c>
      <c r="D385">
        <v>130</v>
      </c>
      <c r="E385" t="s">
        <v>17</v>
      </c>
    </row>
    <row r="386" spans="1:5" x14ac:dyDescent="0.35">
      <c r="A386" t="s">
        <v>252</v>
      </c>
      <c r="B386" t="s">
        <v>399</v>
      </c>
      <c r="C386">
        <v>66</v>
      </c>
      <c r="D386">
        <v>64</v>
      </c>
      <c r="E386" t="s">
        <v>33</v>
      </c>
    </row>
    <row r="387" spans="1:5" x14ac:dyDescent="0.35">
      <c r="A387" t="s">
        <v>252</v>
      </c>
      <c r="B387" t="s">
        <v>400</v>
      </c>
      <c r="C387">
        <v>245</v>
      </c>
      <c r="D387">
        <v>32</v>
      </c>
      <c r="E387" t="s">
        <v>15</v>
      </c>
    </row>
    <row r="388" spans="1:5" x14ac:dyDescent="0.35">
      <c r="A388" t="s">
        <v>252</v>
      </c>
      <c r="B388" t="s">
        <v>401</v>
      </c>
      <c r="C388">
        <v>289</v>
      </c>
      <c r="D388">
        <v>30</v>
      </c>
      <c r="E388" t="s">
        <v>7</v>
      </c>
    </row>
    <row r="389" spans="1:5" x14ac:dyDescent="0.35">
      <c r="A389" t="s">
        <v>252</v>
      </c>
      <c r="B389" t="s">
        <v>402</v>
      </c>
      <c r="C389">
        <v>220</v>
      </c>
      <c r="D389">
        <v>136</v>
      </c>
      <c r="E389" t="s">
        <v>9</v>
      </c>
    </row>
    <row r="390" spans="1:5" x14ac:dyDescent="0.35">
      <c r="A390" t="s">
        <v>252</v>
      </c>
      <c r="B390" t="s">
        <v>403</v>
      </c>
      <c r="C390">
        <v>197</v>
      </c>
      <c r="D390">
        <v>103</v>
      </c>
      <c r="E390" t="s">
        <v>11</v>
      </c>
    </row>
    <row r="391" spans="1:5" x14ac:dyDescent="0.35">
      <c r="A391" t="s">
        <v>252</v>
      </c>
      <c r="B391" t="s">
        <v>404</v>
      </c>
      <c r="C391">
        <v>74</v>
      </c>
      <c r="D391">
        <v>54</v>
      </c>
      <c r="E391" t="s">
        <v>15</v>
      </c>
    </row>
    <row r="392" spans="1:5" x14ac:dyDescent="0.35">
      <c r="A392" t="s">
        <v>252</v>
      </c>
      <c r="B392" t="s">
        <v>405</v>
      </c>
      <c r="C392">
        <v>230</v>
      </c>
      <c r="D392">
        <v>188</v>
      </c>
      <c r="E392" t="s">
        <v>21</v>
      </c>
    </row>
    <row r="393" spans="1:5" x14ac:dyDescent="0.35">
      <c r="A393" t="s">
        <v>252</v>
      </c>
      <c r="B393" t="s">
        <v>406</v>
      </c>
      <c r="C393">
        <v>206</v>
      </c>
      <c r="D393">
        <v>133</v>
      </c>
      <c r="E393" t="s">
        <v>11</v>
      </c>
    </row>
    <row r="394" spans="1:5" x14ac:dyDescent="0.35">
      <c r="A394" t="s">
        <v>252</v>
      </c>
      <c r="B394" t="s">
        <v>407</v>
      </c>
      <c r="C394">
        <v>320</v>
      </c>
      <c r="D394">
        <v>127</v>
      </c>
      <c r="E394" t="s">
        <v>15</v>
      </c>
    </row>
    <row r="395" spans="1:5" x14ac:dyDescent="0.35">
      <c r="A395" t="s">
        <v>252</v>
      </c>
      <c r="B395" t="s">
        <v>408</v>
      </c>
      <c r="C395">
        <v>238</v>
      </c>
      <c r="D395">
        <v>79</v>
      </c>
      <c r="E395" t="s">
        <v>17</v>
      </c>
    </row>
    <row r="396" spans="1:5" x14ac:dyDescent="0.35">
      <c r="A396" t="s">
        <v>252</v>
      </c>
      <c r="B396" t="s">
        <v>409</v>
      </c>
      <c r="C396">
        <v>209</v>
      </c>
      <c r="D396">
        <v>109</v>
      </c>
      <c r="E396" t="s">
        <v>9</v>
      </c>
    </row>
    <row r="397" spans="1:5" x14ac:dyDescent="0.35">
      <c r="A397" t="s">
        <v>252</v>
      </c>
      <c r="B397" t="s">
        <v>410</v>
      </c>
      <c r="C397">
        <v>98</v>
      </c>
      <c r="D397">
        <v>91</v>
      </c>
      <c r="E397" t="s">
        <v>7</v>
      </c>
    </row>
    <row r="398" spans="1:5" x14ac:dyDescent="0.35">
      <c r="A398" t="s">
        <v>252</v>
      </c>
      <c r="B398" t="s">
        <v>411</v>
      </c>
      <c r="C398">
        <v>176</v>
      </c>
      <c r="D398">
        <v>106</v>
      </c>
      <c r="E398" t="s">
        <v>11</v>
      </c>
    </row>
    <row r="399" spans="1:5" x14ac:dyDescent="0.35">
      <c r="A399" t="s">
        <v>252</v>
      </c>
      <c r="B399" t="s">
        <v>412</v>
      </c>
      <c r="C399">
        <v>220</v>
      </c>
      <c r="D399">
        <v>151</v>
      </c>
      <c r="E399" t="s">
        <v>15</v>
      </c>
    </row>
    <row r="400" spans="1:5" x14ac:dyDescent="0.35">
      <c r="A400" t="s">
        <v>252</v>
      </c>
      <c r="B400" t="s">
        <v>413</v>
      </c>
      <c r="C400">
        <v>251</v>
      </c>
      <c r="D400">
        <v>149</v>
      </c>
      <c r="E400" t="s">
        <v>11</v>
      </c>
    </row>
    <row r="401" spans="1:5" x14ac:dyDescent="0.35">
      <c r="A401" t="s">
        <v>252</v>
      </c>
      <c r="B401" t="s">
        <v>414</v>
      </c>
      <c r="C401">
        <v>181</v>
      </c>
      <c r="D401">
        <v>172</v>
      </c>
      <c r="E401" t="s">
        <v>33</v>
      </c>
    </row>
    <row r="402" spans="1:5" x14ac:dyDescent="0.35">
      <c r="A402" t="s">
        <v>252</v>
      </c>
      <c r="B402" t="s">
        <v>415</v>
      </c>
      <c r="C402">
        <v>269</v>
      </c>
      <c r="D402">
        <v>184</v>
      </c>
      <c r="E402" t="s">
        <v>11</v>
      </c>
    </row>
    <row r="403" spans="1:5" x14ac:dyDescent="0.35">
      <c r="A403" t="s">
        <v>252</v>
      </c>
      <c r="B403" t="s">
        <v>416</v>
      </c>
      <c r="C403">
        <v>264</v>
      </c>
      <c r="D403">
        <v>78</v>
      </c>
      <c r="E403" t="s">
        <v>7</v>
      </c>
    </row>
    <row r="404" spans="1:5" x14ac:dyDescent="0.35">
      <c r="A404" t="s">
        <v>252</v>
      </c>
      <c r="B404" t="s">
        <v>417</v>
      </c>
      <c r="C404">
        <v>161</v>
      </c>
      <c r="D404">
        <v>58</v>
      </c>
      <c r="E404" t="s">
        <v>17</v>
      </c>
    </row>
    <row r="405" spans="1:5" x14ac:dyDescent="0.35">
      <c r="A405" t="s">
        <v>252</v>
      </c>
      <c r="B405" t="s">
        <v>418</v>
      </c>
      <c r="C405">
        <v>297</v>
      </c>
      <c r="D405">
        <v>162</v>
      </c>
      <c r="E405" t="s">
        <v>11</v>
      </c>
    </row>
    <row r="406" spans="1:5" x14ac:dyDescent="0.35">
      <c r="A406" t="s">
        <v>252</v>
      </c>
      <c r="B406" t="s">
        <v>419</v>
      </c>
      <c r="C406">
        <v>165</v>
      </c>
      <c r="D406">
        <v>117</v>
      </c>
      <c r="E406" t="s">
        <v>7</v>
      </c>
    </row>
    <row r="407" spans="1:5" x14ac:dyDescent="0.35">
      <c r="A407" t="s">
        <v>252</v>
      </c>
      <c r="B407" t="s">
        <v>420</v>
      </c>
      <c r="C407">
        <v>287</v>
      </c>
      <c r="D407">
        <v>167</v>
      </c>
      <c r="E407" t="s">
        <v>21</v>
      </c>
    </row>
    <row r="408" spans="1:5" x14ac:dyDescent="0.35">
      <c r="A408" t="s">
        <v>252</v>
      </c>
      <c r="B408" t="s">
        <v>421</v>
      </c>
      <c r="C408">
        <v>247</v>
      </c>
      <c r="D408">
        <v>62</v>
      </c>
      <c r="E408" t="s">
        <v>11</v>
      </c>
    </row>
    <row r="409" spans="1:5" x14ac:dyDescent="0.35">
      <c r="A409" t="s">
        <v>252</v>
      </c>
      <c r="B409" t="s">
        <v>422</v>
      </c>
      <c r="C409">
        <v>232</v>
      </c>
      <c r="D409">
        <v>169</v>
      </c>
      <c r="E409" t="s">
        <v>33</v>
      </c>
    </row>
    <row r="410" spans="1:5" x14ac:dyDescent="0.35">
      <c r="A410" t="s">
        <v>252</v>
      </c>
      <c r="B410" t="s">
        <v>423</v>
      </c>
      <c r="C410">
        <v>111</v>
      </c>
      <c r="D410">
        <v>32</v>
      </c>
      <c r="E410" t="s">
        <v>33</v>
      </c>
    </row>
    <row r="411" spans="1:5" x14ac:dyDescent="0.35">
      <c r="A411" t="s">
        <v>252</v>
      </c>
      <c r="B411" t="s">
        <v>424</v>
      </c>
      <c r="C411">
        <v>83</v>
      </c>
      <c r="D411">
        <v>80</v>
      </c>
      <c r="E411" t="s">
        <v>11</v>
      </c>
    </row>
    <row r="412" spans="1:5" x14ac:dyDescent="0.35">
      <c r="A412" t="s">
        <v>252</v>
      </c>
      <c r="B412" t="s">
        <v>425</v>
      </c>
      <c r="C412">
        <v>297</v>
      </c>
      <c r="D412">
        <v>123</v>
      </c>
      <c r="E412" t="s">
        <v>9</v>
      </c>
    </row>
    <row r="413" spans="1:5" x14ac:dyDescent="0.35">
      <c r="A413" t="s">
        <v>252</v>
      </c>
      <c r="B413" t="s">
        <v>426</v>
      </c>
      <c r="C413">
        <v>306</v>
      </c>
      <c r="D413">
        <v>156</v>
      </c>
      <c r="E413" t="s">
        <v>21</v>
      </c>
    </row>
    <row r="414" spans="1:5" x14ac:dyDescent="0.35">
      <c r="A414" t="s">
        <v>252</v>
      </c>
      <c r="B414" t="s">
        <v>427</v>
      </c>
      <c r="C414">
        <v>210</v>
      </c>
      <c r="D414">
        <v>101</v>
      </c>
      <c r="E414" t="s">
        <v>9</v>
      </c>
    </row>
    <row r="415" spans="1:5" x14ac:dyDescent="0.35">
      <c r="A415" t="s">
        <v>252</v>
      </c>
      <c r="B415" t="s">
        <v>428</v>
      </c>
      <c r="C415">
        <v>179</v>
      </c>
      <c r="D415">
        <v>171</v>
      </c>
      <c r="E415" t="s">
        <v>7</v>
      </c>
    </row>
    <row r="416" spans="1:5" x14ac:dyDescent="0.35">
      <c r="A416" t="s">
        <v>252</v>
      </c>
      <c r="B416" t="s">
        <v>429</v>
      </c>
      <c r="C416">
        <v>274</v>
      </c>
      <c r="D416">
        <v>65</v>
      </c>
      <c r="E416" t="s">
        <v>17</v>
      </c>
    </row>
    <row r="417" spans="1:5" x14ac:dyDescent="0.35">
      <c r="A417" t="s">
        <v>252</v>
      </c>
      <c r="B417" t="s">
        <v>430</v>
      </c>
      <c r="C417">
        <v>289</v>
      </c>
      <c r="D417">
        <v>144</v>
      </c>
      <c r="E417" t="s">
        <v>11</v>
      </c>
    </row>
    <row r="418" spans="1:5" x14ac:dyDescent="0.35">
      <c r="A418" t="s">
        <v>252</v>
      </c>
      <c r="B418" t="s">
        <v>431</v>
      </c>
      <c r="C418">
        <v>299</v>
      </c>
      <c r="D418">
        <v>75</v>
      </c>
      <c r="E418" t="s">
        <v>7</v>
      </c>
    </row>
    <row r="419" spans="1:5" x14ac:dyDescent="0.35">
      <c r="A419" t="s">
        <v>252</v>
      </c>
      <c r="B419" t="s">
        <v>432</v>
      </c>
      <c r="C419">
        <v>146</v>
      </c>
      <c r="D419">
        <v>85</v>
      </c>
      <c r="E419" t="s">
        <v>7</v>
      </c>
    </row>
    <row r="420" spans="1:5" x14ac:dyDescent="0.35">
      <c r="A420" t="s">
        <v>252</v>
      </c>
      <c r="B420" t="s">
        <v>433</v>
      </c>
      <c r="C420">
        <v>269</v>
      </c>
      <c r="D420">
        <v>187</v>
      </c>
      <c r="E420" t="s">
        <v>11</v>
      </c>
    </row>
    <row r="421" spans="1:5" x14ac:dyDescent="0.35">
      <c r="A421" t="s">
        <v>252</v>
      </c>
      <c r="B421" t="s">
        <v>434</v>
      </c>
      <c r="C421">
        <v>200</v>
      </c>
      <c r="D421">
        <v>141</v>
      </c>
      <c r="E421" t="s">
        <v>21</v>
      </c>
    </row>
    <row r="422" spans="1:5" x14ac:dyDescent="0.35">
      <c r="A422" t="s">
        <v>252</v>
      </c>
      <c r="B422" t="s">
        <v>435</v>
      </c>
      <c r="C422">
        <v>156</v>
      </c>
      <c r="D422">
        <v>122</v>
      </c>
      <c r="E422" t="s">
        <v>15</v>
      </c>
    </row>
    <row r="423" spans="1:5" x14ac:dyDescent="0.35">
      <c r="A423" t="s">
        <v>252</v>
      </c>
      <c r="B423" t="s">
        <v>436</v>
      </c>
      <c r="C423">
        <v>202</v>
      </c>
      <c r="D423">
        <v>162</v>
      </c>
      <c r="E423" t="s">
        <v>7</v>
      </c>
    </row>
    <row r="424" spans="1:5" x14ac:dyDescent="0.35">
      <c r="A424" t="s">
        <v>252</v>
      </c>
      <c r="B424" t="s">
        <v>437</v>
      </c>
      <c r="C424">
        <v>278</v>
      </c>
      <c r="D424">
        <v>35</v>
      </c>
      <c r="E424" t="s">
        <v>21</v>
      </c>
    </row>
    <row r="425" spans="1:5" x14ac:dyDescent="0.35">
      <c r="A425" t="s">
        <v>252</v>
      </c>
      <c r="B425" t="s">
        <v>438</v>
      </c>
      <c r="C425">
        <v>87</v>
      </c>
      <c r="D425">
        <v>73</v>
      </c>
      <c r="E425" t="s">
        <v>15</v>
      </c>
    </row>
    <row r="426" spans="1:5" x14ac:dyDescent="0.35">
      <c r="A426" t="s">
        <v>252</v>
      </c>
      <c r="B426" t="s">
        <v>439</v>
      </c>
      <c r="C426">
        <v>217</v>
      </c>
      <c r="D426">
        <v>41</v>
      </c>
      <c r="E426" t="s">
        <v>21</v>
      </c>
    </row>
    <row r="427" spans="1:5" x14ac:dyDescent="0.35">
      <c r="A427" t="s">
        <v>252</v>
      </c>
      <c r="B427" t="s">
        <v>440</v>
      </c>
      <c r="C427">
        <v>253</v>
      </c>
      <c r="D427">
        <v>133</v>
      </c>
      <c r="E427" t="s">
        <v>7</v>
      </c>
    </row>
    <row r="428" spans="1:5" x14ac:dyDescent="0.35">
      <c r="A428" t="s">
        <v>252</v>
      </c>
      <c r="B428" t="s">
        <v>441</v>
      </c>
      <c r="C428">
        <v>247</v>
      </c>
      <c r="D428">
        <v>158</v>
      </c>
      <c r="E428" t="s">
        <v>7</v>
      </c>
    </row>
    <row r="429" spans="1:5" x14ac:dyDescent="0.35">
      <c r="A429" t="s">
        <v>252</v>
      </c>
      <c r="B429" t="s">
        <v>442</v>
      </c>
      <c r="C429">
        <v>303</v>
      </c>
      <c r="D429">
        <v>149</v>
      </c>
      <c r="E429" t="s">
        <v>9</v>
      </c>
    </row>
    <row r="430" spans="1:5" x14ac:dyDescent="0.35">
      <c r="A430" t="s">
        <v>252</v>
      </c>
      <c r="B430" t="s">
        <v>443</v>
      </c>
      <c r="C430">
        <v>218</v>
      </c>
      <c r="D430">
        <v>51</v>
      </c>
      <c r="E430" t="s">
        <v>7</v>
      </c>
    </row>
    <row r="431" spans="1:5" x14ac:dyDescent="0.35">
      <c r="A431" t="s">
        <v>252</v>
      </c>
      <c r="B431" t="s">
        <v>444</v>
      </c>
      <c r="C431">
        <v>236</v>
      </c>
      <c r="D431">
        <v>56</v>
      </c>
      <c r="E431" t="s">
        <v>15</v>
      </c>
    </row>
    <row r="432" spans="1:5" x14ac:dyDescent="0.35">
      <c r="A432" t="s">
        <v>252</v>
      </c>
      <c r="B432" t="s">
        <v>445</v>
      </c>
      <c r="C432">
        <v>219</v>
      </c>
      <c r="D432">
        <v>170</v>
      </c>
      <c r="E432" t="s">
        <v>7</v>
      </c>
    </row>
    <row r="433" spans="1:5" x14ac:dyDescent="0.35">
      <c r="A433" t="s">
        <v>252</v>
      </c>
      <c r="B433" t="s">
        <v>446</v>
      </c>
      <c r="C433">
        <v>239</v>
      </c>
      <c r="D433">
        <v>161</v>
      </c>
      <c r="E433" t="s">
        <v>33</v>
      </c>
    </row>
    <row r="434" spans="1:5" x14ac:dyDescent="0.35">
      <c r="A434" t="s">
        <v>252</v>
      </c>
      <c r="B434" t="s">
        <v>447</v>
      </c>
      <c r="C434">
        <v>159</v>
      </c>
      <c r="D434">
        <v>121</v>
      </c>
      <c r="E434" t="s">
        <v>7</v>
      </c>
    </row>
    <row r="435" spans="1:5" x14ac:dyDescent="0.35">
      <c r="A435" t="s">
        <v>252</v>
      </c>
      <c r="B435" t="s">
        <v>448</v>
      </c>
      <c r="C435">
        <v>258</v>
      </c>
      <c r="D435">
        <v>93</v>
      </c>
      <c r="E435" t="s">
        <v>17</v>
      </c>
    </row>
    <row r="436" spans="1:5" x14ac:dyDescent="0.35">
      <c r="A436" t="s">
        <v>252</v>
      </c>
      <c r="B436" t="s">
        <v>449</v>
      </c>
      <c r="C436">
        <v>121</v>
      </c>
      <c r="D436">
        <v>86</v>
      </c>
      <c r="E436" t="s">
        <v>11</v>
      </c>
    </row>
    <row r="437" spans="1:5" x14ac:dyDescent="0.35">
      <c r="A437" t="s">
        <v>252</v>
      </c>
      <c r="B437" t="s">
        <v>450</v>
      </c>
      <c r="C437">
        <v>205</v>
      </c>
      <c r="D437">
        <v>154</v>
      </c>
      <c r="E437" t="s">
        <v>7</v>
      </c>
    </row>
    <row r="438" spans="1:5" x14ac:dyDescent="0.35">
      <c r="A438" t="s">
        <v>252</v>
      </c>
      <c r="B438" t="s">
        <v>451</v>
      </c>
      <c r="C438">
        <v>305</v>
      </c>
      <c r="D438">
        <v>149</v>
      </c>
      <c r="E438" t="s">
        <v>17</v>
      </c>
    </row>
    <row r="439" spans="1:5" x14ac:dyDescent="0.35">
      <c r="A439" t="s">
        <v>252</v>
      </c>
      <c r="B439" t="s">
        <v>452</v>
      </c>
      <c r="C439">
        <v>243</v>
      </c>
      <c r="D439">
        <v>66</v>
      </c>
      <c r="E439" t="s">
        <v>17</v>
      </c>
    </row>
    <row r="440" spans="1:5" x14ac:dyDescent="0.35">
      <c r="A440" t="s">
        <v>252</v>
      </c>
      <c r="B440" t="s">
        <v>453</v>
      </c>
      <c r="C440">
        <v>58</v>
      </c>
      <c r="D440">
        <v>32</v>
      </c>
      <c r="E440" t="s">
        <v>11</v>
      </c>
    </row>
    <row r="441" spans="1:5" x14ac:dyDescent="0.35">
      <c r="A441" t="s">
        <v>252</v>
      </c>
      <c r="B441" t="s">
        <v>454</v>
      </c>
      <c r="C441">
        <v>257</v>
      </c>
      <c r="D441">
        <v>108</v>
      </c>
      <c r="E441" t="s">
        <v>11</v>
      </c>
    </row>
    <row r="442" spans="1:5" x14ac:dyDescent="0.35">
      <c r="A442" t="s">
        <v>252</v>
      </c>
      <c r="B442" t="s">
        <v>455</v>
      </c>
      <c r="C442">
        <v>247</v>
      </c>
      <c r="D442">
        <v>177</v>
      </c>
      <c r="E442" t="s">
        <v>21</v>
      </c>
    </row>
    <row r="443" spans="1:5" x14ac:dyDescent="0.35">
      <c r="A443" t="s">
        <v>252</v>
      </c>
      <c r="B443" t="s">
        <v>456</v>
      </c>
      <c r="C443">
        <v>261</v>
      </c>
      <c r="D443">
        <v>112</v>
      </c>
      <c r="E443" t="s">
        <v>9</v>
      </c>
    </row>
    <row r="444" spans="1:5" x14ac:dyDescent="0.35">
      <c r="A444" t="s">
        <v>252</v>
      </c>
      <c r="B444" t="s">
        <v>457</v>
      </c>
      <c r="C444">
        <v>227</v>
      </c>
      <c r="D444">
        <v>56</v>
      </c>
      <c r="E444" t="s">
        <v>21</v>
      </c>
    </row>
    <row r="445" spans="1:5" x14ac:dyDescent="0.35">
      <c r="A445" t="s">
        <v>252</v>
      </c>
      <c r="B445" t="s">
        <v>458</v>
      </c>
      <c r="C445">
        <v>141</v>
      </c>
      <c r="D445">
        <v>93</v>
      </c>
      <c r="E445" t="s">
        <v>9</v>
      </c>
    </row>
    <row r="446" spans="1:5" x14ac:dyDescent="0.35">
      <c r="A446" t="s">
        <v>252</v>
      </c>
      <c r="B446" t="s">
        <v>459</v>
      </c>
      <c r="C446">
        <v>62</v>
      </c>
      <c r="D446">
        <v>35</v>
      </c>
      <c r="E446" t="s">
        <v>9</v>
      </c>
    </row>
    <row r="447" spans="1:5" x14ac:dyDescent="0.35">
      <c r="A447" t="s">
        <v>252</v>
      </c>
      <c r="B447" t="s">
        <v>460</v>
      </c>
      <c r="C447">
        <v>165</v>
      </c>
      <c r="D447">
        <v>123</v>
      </c>
      <c r="E447" t="s">
        <v>21</v>
      </c>
    </row>
    <row r="448" spans="1:5" x14ac:dyDescent="0.35">
      <c r="A448" t="s">
        <v>252</v>
      </c>
      <c r="B448" t="s">
        <v>461</v>
      </c>
      <c r="C448">
        <v>164</v>
      </c>
      <c r="D448">
        <v>111</v>
      </c>
      <c r="E448" t="s">
        <v>7</v>
      </c>
    </row>
    <row r="449" spans="1:5" x14ac:dyDescent="0.35">
      <c r="A449" t="s">
        <v>252</v>
      </c>
      <c r="B449" t="s">
        <v>462</v>
      </c>
      <c r="C449">
        <v>288</v>
      </c>
      <c r="D449">
        <v>167</v>
      </c>
      <c r="E449" t="s">
        <v>33</v>
      </c>
    </row>
    <row r="450" spans="1:5" x14ac:dyDescent="0.35">
      <c r="A450" t="s">
        <v>252</v>
      </c>
      <c r="B450" t="s">
        <v>463</v>
      </c>
      <c r="C450">
        <v>271</v>
      </c>
      <c r="D450">
        <v>44</v>
      </c>
      <c r="E450" t="s">
        <v>15</v>
      </c>
    </row>
    <row r="451" spans="1:5" x14ac:dyDescent="0.35">
      <c r="A451" t="s">
        <v>252</v>
      </c>
      <c r="B451" t="s">
        <v>464</v>
      </c>
      <c r="C451">
        <v>232</v>
      </c>
      <c r="D451">
        <v>93</v>
      </c>
      <c r="E451" t="s">
        <v>33</v>
      </c>
    </row>
    <row r="452" spans="1:5" x14ac:dyDescent="0.35">
      <c r="A452" t="s">
        <v>252</v>
      </c>
      <c r="B452" t="s">
        <v>465</v>
      </c>
      <c r="C452">
        <v>165</v>
      </c>
      <c r="D452">
        <v>43</v>
      </c>
      <c r="E452" t="s">
        <v>15</v>
      </c>
    </row>
    <row r="453" spans="1:5" x14ac:dyDescent="0.35">
      <c r="A453" t="s">
        <v>252</v>
      </c>
      <c r="B453" t="s">
        <v>466</v>
      </c>
      <c r="C453">
        <v>123</v>
      </c>
      <c r="D453">
        <v>119</v>
      </c>
      <c r="E453" t="s">
        <v>9</v>
      </c>
    </row>
    <row r="454" spans="1:5" x14ac:dyDescent="0.35">
      <c r="A454" t="s">
        <v>252</v>
      </c>
      <c r="B454" t="s">
        <v>467</v>
      </c>
      <c r="C454">
        <v>233</v>
      </c>
      <c r="D454">
        <v>120</v>
      </c>
      <c r="E454" t="s">
        <v>33</v>
      </c>
    </row>
    <row r="455" spans="1:5" x14ac:dyDescent="0.35">
      <c r="A455" t="s">
        <v>252</v>
      </c>
      <c r="B455" t="s">
        <v>468</v>
      </c>
      <c r="C455">
        <v>260</v>
      </c>
      <c r="D455">
        <v>81</v>
      </c>
      <c r="E455" t="s">
        <v>33</v>
      </c>
    </row>
    <row r="456" spans="1:5" x14ac:dyDescent="0.35">
      <c r="A456" t="s">
        <v>252</v>
      </c>
      <c r="B456" t="s">
        <v>469</v>
      </c>
      <c r="C456">
        <v>259</v>
      </c>
      <c r="D456">
        <v>158</v>
      </c>
      <c r="E456" t="s">
        <v>9</v>
      </c>
    </row>
    <row r="457" spans="1:5" x14ac:dyDescent="0.35">
      <c r="A457" t="s">
        <v>252</v>
      </c>
      <c r="B457" t="s">
        <v>470</v>
      </c>
      <c r="C457">
        <v>250</v>
      </c>
      <c r="D457">
        <v>63</v>
      </c>
      <c r="E457" t="s">
        <v>17</v>
      </c>
    </row>
    <row r="458" spans="1:5" x14ac:dyDescent="0.35">
      <c r="A458" t="s">
        <v>252</v>
      </c>
      <c r="B458" t="s">
        <v>471</v>
      </c>
      <c r="C458">
        <v>135</v>
      </c>
      <c r="D458">
        <v>96</v>
      </c>
      <c r="E458" t="s">
        <v>15</v>
      </c>
    </row>
    <row r="459" spans="1:5" x14ac:dyDescent="0.35">
      <c r="A459" t="s">
        <v>252</v>
      </c>
      <c r="B459" t="s">
        <v>472</v>
      </c>
      <c r="C459">
        <v>306</v>
      </c>
      <c r="D459">
        <v>179</v>
      </c>
      <c r="E459" t="s">
        <v>9</v>
      </c>
    </row>
    <row r="460" spans="1:5" x14ac:dyDescent="0.35">
      <c r="A460" t="s">
        <v>252</v>
      </c>
      <c r="B460" t="s">
        <v>473</v>
      </c>
      <c r="C460">
        <v>297</v>
      </c>
      <c r="D460">
        <v>60</v>
      </c>
      <c r="E460" t="s">
        <v>33</v>
      </c>
    </row>
    <row r="461" spans="1:5" x14ac:dyDescent="0.35">
      <c r="A461" t="s">
        <v>252</v>
      </c>
      <c r="B461" t="s">
        <v>474</v>
      </c>
      <c r="C461">
        <v>177</v>
      </c>
      <c r="D461">
        <v>93</v>
      </c>
      <c r="E461" t="s">
        <v>15</v>
      </c>
    </row>
    <row r="462" spans="1:5" x14ac:dyDescent="0.35">
      <c r="A462" t="s">
        <v>252</v>
      </c>
      <c r="B462" t="s">
        <v>475</v>
      </c>
      <c r="C462">
        <v>275</v>
      </c>
      <c r="D462">
        <v>158</v>
      </c>
      <c r="E462" t="s">
        <v>9</v>
      </c>
    </row>
    <row r="463" spans="1:5" x14ac:dyDescent="0.35">
      <c r="A463" t="s">
        <v>252</v>
      </c>
      <c r="B463" t="s">
        <v>476</v>
      </c>
      <c r="C463">
        <v>257</v>
      </c>
      <c r="D463">
        <v>144</v>
      </c>
      <c r="E463" t="s">
        <v>11</v>
      </c>
    </row>
    <row r="464" spans="1:5" x14ac:dyDescent="0.35">
      <c r="A464" t="s">
        <v>252</v>
      </c>
      <c r="B464" t="s">
        <v>477</v>
      </c>
      <c r="C464">
        <v>221</v>
      </c>
      <c r="D464">
        <v>126</v>
      </c>
      <c r="E464" t="s">
        <v>15</v>
      </c>
    </row>
    <row r="465" spans="1:5" x14ac:dyDescent="0.35">
      <c r="A465" t="s">
        <v>252</v>
      </c>
      <c r="B465" t="s">
        <v>478</v>
      </c>
      <c r="C465">
        <v>188</v>
      </c>
      <c r="D465">
        <v>95</v>
      </c>
      <c r="E465" t="s">
        <v>7</v>
      </c>
    </row>
    <row r="466" spans="1:5" x14ac:dyDescent="0.35">
      <c r="A466" t="s">
        <v>252</v>
      </c>
      <c r="B466" t="s">
        <v>479</v>
      </c>
      <c r="C466">
        <v>100</v>
      </c>
      <c r="D466">
        <v>50</v>
      </c>
      <c r="E466" t="s">
        <v>9</v>
      </c>
    </row>
    <row r="467" spans="1:5" x14ac:dyDescent="0.35">
      <c r="A467" t="s">
        <v>252</v>
      </c>
      <c r="B467" t="s">
        <v>480</v>
      </c>
      <c r="C467">
        <v>300</v>
      </c>
      <c r="D467">
        <v>187</v>
      </c>
      <c r="E467" t="s">
        <v>21</v>
      </c>
    </row>
    <row r="468" spans="1:5" x14ac:dyDescent="0.35">
      <c r="A468" t="s">
        <v>252</v>
      </c>
      <c r="B468" t="s">
        <v>481</v>
      </c>
      <c r="C468">
        <v>277</v>
      </c>
      <c r="D468">
        <v>49</v>
      </c>
      <c r="E468" t="s">
        <v>21</v>
      </c>
    </row>
    <row r="469" spans="1:5" x14ac:dyDescent="0.35">
      <c r="A469" t="s">
        <v>252</v>
      </c>
      <c r="B469" t="s">
        <v>482</v>
      </c>
      <c r="C469">
        <v>271</v>
      </c>
      <c r="D469">
        <v>123</v>
      </c>
      <c r="E469" t="s">
        <v>15</v>
      </c>
    </row>
    <row r="470" spans="1:5" x14ac:dyDescent="0.35">
      <c r="A470" t="s">
        <v>252</v>
      </c>
      <c r="B470" t="s">
        <v>483</v>
      </c>
      <c r="C470">
        <v>275</v>
      </c>
      <c r="D470">
        <v>147</v>
      </c>
      <c r="E470" t="s">
        <v>33</v>
      </c>
    </row>
    <row r="471" spans="1:5" x14ac:dyDescent="0.35">
      <c r="A471" t="s">
        <v>484</v>
      </c>
      <c r="B471" t="s">
        <v>485</v>
      </c>
      <c r="C471">
        <v>389</v>
      </c>
      <c r="D471">
        <v>382</v>
      </c>
      <c r="E471" t="s">
        <v>9</v>
      </c>
    </row>
    <row r="472" spans="1:5" x14ac:dyDescent="0.35">
      <c r="A472" t="s">
        <v>484</v>
      </c>
      <c r="B472" t="s">
        <v>486</v>
      </c>
      <c r="C472">
        <v>392</v>
      </c>
      <c r="D472">
        <v>247</v>
      </c>
      <c r="E472" t="s">
        <v>17</v>
      </c>
    </row>
    <row r="473" spans="1:5" x14ac:dyDescent="0.35">
      <c r="A473" t="s">
        <v>484</v>
      </c>
      <c r="B473" t="s">
        <v>487</v>
      </c>
      <c r="C473">
        <v>392</v>
      </c>
      <c r="D473">
        <v>387</v>
      </c>
      <c r="E473" t="s">
        <v>9</v>
      </c>
    </row>
    <row r="474" spans="1:5" x14ac:dyDescent="0.35">
      <c r="A474" t="s">
        <v>484</v>
      </c>
      <c r="B474" t="s">
        <v>488</v>
      </c>
      <c r="C474">
        <v>422</v>
      </c>
      <c r="D474">
        <v>282</v>
      </c>
      <c r="E474" t="s">
        <v>15</v>
      </c>
    </row>
    <row r="475" spans="1:5" x14ac:dyDescent="0.35">
      <c r="A475" t="s">
        <v>484</v>
      </c>
      <c r="B475" t="s">
        <v>489</v>
      </c>
      <c r="C475">
        <v>305</v>
      </c>
      <c r="D475">
        <v>278</v>
      </c>
      <c r="E475" t="s">
        <v>17</v>
      </c>
    </row>
    <row r="476" spans="1:5" x14ac:dyDescent="0.35">
      <c r="A476" t="s">
        <v>484</v>
      </c>
      <c r="B476" t="s">
        <v>490</v>
      </c>
      <c r="C476">
        <v>400</v>
      </c>
      <c r="D476">
        <v>292</v>
      </c>
      <c r="E476" t="s">
        <v>7</v>
      </c>
    </row>
    <row r="477" spans="1:5" x14ac:dyDescent="0.35">
      <c r="A477" t="s">
        <v>484</v>
      </c>
      <c r="B477" t="s">
        <v>491</v>
      </c>
      <c r="C477">
        <v>455</v>
      </c>
      <c r="D477">
        <v>312</v>
      </c>
      <c r="E477" t="s">
        <v>21</v>
      </c>
    </row>
    <row r="478" spans="1:5" x14ac:dyDescent="0.35">
      <c r="A478" t="s">
        <v>484</v>
      </c>
      <c r="B478" t="s">
        <v>492</v>
      </c>
      <c r="C478">
        <v>374</v>
      </c>
      <c r="D478">
        <v>220</v>
      </c>
      <c r="E478" t="s">
        <v>9</v>
      </c>
    </row>
    <row r="479" spans="1:5" x14ac:dyDescent="0.35">
      <c r="A479" t="s">
        <v>484</v>
      </c>
      <c r="B479" t="s">
        <v>493</v>
      </c>
      <c r="C479">
        <v>475</v>
      </c>
      <c r="D479">
        <v>453</v>
      </c>
      <c r="E479" t="s">
        <v>21</v>
      </c>
    </row>
    <row r="480" spans="1:5" x14ac:dyDescent="0.35">
      <c r="A480" t="s">
        <v>484</v>
      </c>
      <c r="B480" t="s">
        <v>494</v>
      </c>
      <c r="C480">
        <v>489</v>
      </c>
      <c r="D480">
        <v>440</v>
      </c>
      <c r="E480" t="s">
        <v>9</v>
      </c>
    </row>
    <row r="481" spans="1:5" x14ac:dyDescent="0.35">
      <c r="A481" t="s">
        <v>484</v>
      </c>
      <c r="B481" t="s">
        <v>495</v>
      </c>
      <c r="C481">
        <v>373</v>
      </c>
      <c r="D481">
        <v>186</v>
      </c>
      <c r="E481" t="s">
        <v>17</v>
      </c>
    </row>
    <row r="482" spans="1:5" x14ac:dyDescent="0.35">
      <c r="A482" t="s">
        <v>484</v>
      </c>
      <c r="B482" t="s">
        <v>496</v>
      </c>
      <c r="C482">
        <v>370</v>
      </c>
      <c r="D482">
        <v>164</v>
      </c>
      <c r="E482" t="s">
        <v>17</v>
      </c>
    </row>
    <row r="483" spans="1:5" x14ac:dyDescent="0.35">
      <c r="A483" t="s">
        <v>484</v>
      </c>
      <c r="B483" t="s">
        <v>497</v>
      </c>
      <c r="C483">
        <v>437</v>
      </c>
      <c r="D483">
        <v>417</v>
      </c>
      <c r="E483" t="s">
        <v>21</v>
      </c>
    </row>
    <row r="484" spans="1:5" x14ac:dyDescent="0.35">
      <c r="A484" t="s">
        <v>484</v>
      </c>
      <c r="B484" t="s">
        <v>498</v>
      </c>
      <c r="C484">
        <v>441</v>
      </c>
      <c r="D484">
        <v>223</v>
      </c>
      <c r="E484" t="s">
        <v>21</v>
      </c>
    </row>
    <row r="485" spans="1:5" x14ac:dyDescent="0.35">
      <c r="A485" t="s">
        <v>484</v>
      </c>
      <c r="B485" t="s">
        <v>499</v>
      </c>
      <c r="C485">
        <v>460</v>
      </c>
      <c r="D485">
        <v>320</v>
      </c>
      <c r="E485" t="s">
        <v>7</v>
      </c>
    </row>
    <row r="486" spans="1:5" x14ac:dyDescent="0.35">
      <c r="A486" t="s">
        <v>484</v>
      </c>
      <c r="B486" t="s">
        <v>500</v>
      </c>
      <c r="C486">
        <v>315</v>
      </c>
      <c r="D486">
        <v>174</v>
      </c>
      <c r="E486" t="s">
        <v>33</v>
      </c>
    </row>
    <row r="487" spans="1:5" x14ac:dyDescent="0.35">
      <c r="A487" t="s">
        <v>484</v>
      </c>
      <c r="B487" t="s">
        <v>501</v>
      </c>
      <c r="C487">
        <v>489</v>
      </c>
      <c r="D487">
        <v>266</v>
      </c>
      <c r="E487" t="s">
        <v>21</v>
      </c>
    </row>
    <row r="488" spans="1:5" x14ac:dyDescent="0.35">
      <c r="A488" t="s">
        <v>484</v>
      </c>
      <c r="B488" t="s">
        <v>502</v>
      </c>
      <c r="C488">
        <v>404</v>
      </c>
      <c r="D488">
        <v>215</v>
      </c>
      <c r="E488" t="s">
        <v>15</v>
      </c>
    </row>
    <row r="489" spans="1:5" x14ac:dyDescent="0.35">
      <c r="A489" t="s">
        <v>484</v>
      </c>
      <c r="B489" t="s">
        <v>503</v>
      </c>
      <c r="C489">
        <v>408</v>
      </c>
      <c r="D489">
        <v>213</v>
      </c>
      <c r="E489" t="s">
        <v>17</v>
      </c>
    </row>
    <row r="490" spans="1:5" x14ac:dyDescent="0.35">
      <c r="A490" t="s">
        <v>484</v>
      </c>
      <c r="B490" t="s">
        <v>504</v>
      </c>
      <c r="C490">
        <v>498</v>
      </c>
      <c r="D490">
        <v>448</v>
      </c>
      <c r="E490" t="s">
        <v>7</v>
      </c>
    </row>
    <row r="491" spans="1:5" x14ac:dyDescent="0.35">
      <c r="A491" t="s">
        <v>484</v>
      </c>
      <c r="B491" t="s">
        <v>505</v>
      </c>
      <c r="C491">
        <v>427</v>
      </c>
      <c r="D491">
        <v>377</v>
      </c>
      <c r="E491" t="s">
        <v>9</v>
      </c>
    </row>
    <row r="492" spans="1:5" x14ac:dyDescent="0.35">
      <c r="A492" t="s">
        <v>484</v>
      </c>
      <c r="B492" t="s">
        <v>506</v>
      </c>
      <c r="C492">
        <v>452</v>
      </c>
      <c r="D492">
        <v>414</v>
      </c>
      <c r="E492" t="s">
        <v>21</v>
      </c>
    </row>
    <row r="493" spans="1:5" x14ac:dyDescent="0.35">
      <c r="A493" t="s">
        <v>484</v>
      </c>
      <c r="B493" t="s">
        <v>507</v>
      </c>
      <c r="C493">
        <v>411</v>
      </c>
      <c r="D493">
        <v>399</v>
      </c>
      <c r="E493" t="s">
        <v>7</v>
      </c>
    </row>
    <row r="494" spans="1:5" x14ac:dyDescent="0.35">
      <c r="A494" t="s">
        <v>484</v>
      </c>
      <c r="B494" t="s">
        <v>508</v>
      </c>
      <c r="C494">
        <v>488</v>
      </c>
      <c r="D494">
        <v>255</v>
      </c>
      <c r="E494" t="s">
        <v>9</v>
      </c>
    </row>
    <row r="495" spans="1:5" x14ac:dyDescent="0.35">
      <c r="A495" t="s">
        <v>484</v>
      </c>
      <c r="B495" t="s">
        <v>509</v>
      </c>
      <c r="C495">
        <v>477</v>
      </c>
      <c r="D495">
        <v>403</v>
      </c>
      <c r="E495" t="s">
        <v>9</v>
      </c>
    </row>
    <row r="496" spans="1:5" x14ac:dyDescent="0.35">
      <c r="A496" t="s">
        <v>484</v>
      </c>
      <c r="B496" t="s">
        <v>510</v>
      </c>
      <c r="C496">
        <v>299</v>
      </c>
      <c r="D496">
        <v>279</v>
      </c>
      <c r="E496" t="s">
        <v>17</v>
      </c>
    </row>
    <row r="497" spans="1:5" x14ac:dyDescent="0.35">
      <c r="A497" t="s">
        <v>484</v>
      </c>
      <c r="B497" t="s">
        <v>511</v>
      </c>
      <c r="C497">
        <v>166</v>
      </c>
      <c r="D497">
        <v>155</v>
      </c>
      <c r="E497" t="s">
        <v>33</v>
      </c>
    </row>
    <row r="498" spans="1:5" x14ac:dyDescent="0.35">
      <c r="A498" t="s">
        <v>484</v>
      </c>
      <c r="B498" t="s">
        <v>512</v>
      </c>
      <c r="C498">
        <v>373</v>
      </c>
      <c r="D498">
        <v>360</v>
      </c>
      <c r="E498" t="s">
        <v>9</v>
      </c>
    </row>
    <row r="499" spans="1:5" x14ac:dyDescent="0.35">
      <c r="A499" t="s">
        <v>484</v>
      </c>
      <c r="B499" t="s">
        <v>513</v>
      </c>
      <c r="C499">
        <v>336</v>
      </c>
      <c r="D499">
        <v>229</v>
      </c>
      <c r="E499" t="s">
        <v>9</v>
      </c>
    </row>
    <row r="500" spans="1:5" x14ac:dyDescent="0.35">
      <c r="A500" t="s">
        <v>484</v>
      </c>
      <c r="B500" t="s">
        <v>514</v>
      </c>
      <c r="C500">
        <v>486</v>
      </c>
      <c r="D500">
        <v>268</v>
      </c>
      <c r="E500" t="s">
        <v>33</v>
      </c>
    </row>
    <row r="501" spans="1:5" x14ac:dyDescent="0.35">
      <c r="A501" t="s">
        <v>484</v>
      </c>
      <c r="B501" t="s">
        <v>515</v>
      </c>
      <c r="C501">
        <v>302</v>
      </c>
      <c r="D501">
        <v>299</v>
      </c>
      <c r="E501" t="s">
        <v>11</v>
      </c>
    </row>
    <row r="502" spans="1:5" x14ac:dyDescent="0.35">
      <c r="A502" t="s">
        <v>484</v>
      </c>
      <c r="B502" t="s">
        <v>516</v>
      </c>
      <c r="C502">
        <v>459</v>
      </c>
      <c r="D502">
        <v>224</v>
      </c>
      <c r="E502" t="s">
        <v>33</v>
      </c>
    </row>
    <row r="503" spans="1:5" x14ac:dyDescent="0.35">
      <c r="A503" t="s">
        <v>484</v>
      </c>
      <c r="B503" t="s">
        <v>517</v>
      </c>
      <c r="C503">
        <v>452</v>
      </c>
      <c r="D503">
        <v>229</v>
      </c>
      <c r="E503" t="s">
        <v>21</v>
      </c>
    </row>
    <row r="504" spans="1:5" x14ac:dyDescent="0.35">
      <c r="A504" t="s">
        <v>484</v>
      </c>
      <c r="B504" t="s">
        <v>518</v>
      </c>
      <c r="C504">
        <v>260</v>
      </c>
      <c r="D504">
        <v>168</v>
      </c>
      <c r="E504" t="s">
        <v>15</v>
      </c>
    </row>
    <row r="505" spans="1:5" x14ac:dyDescent="0.35">
      <c r="A505" t="s">
        <v>484</v>
      </c>
      <c r="B505" t="s">
        <v>519</v>
      </c>
      <c r="C505">
        <v>498</v>
      </c>
      <c r="D505">
        <v>436</v>
      </c>
      <c r="E505" t="s">
        <v>7</v>
      </c>
    </row>
    <row r="506" spans="1:5" x14ac:dyDescent="0.35">
      <c r="A506" t="s">
        <v>484</v>
      </c>
      <c r="B506" t="s">
        <v>520</v>
      </c>
      <c r="C506">
        <v>343</v>
      </c>
      <c r="D506">
        <v>254</v>
      </c>
      <c r="E506" t="s">
        <v>15</v>
      </c>
    </row>
    <row r="507" spans="1:5" x14ac:dyDescent="0.35">
      <c r="A507" t="s">
        <v>484</v>
      </c>
      <c r="B507" t="s">
        <v>521</v>
      </c>
      <c r="C507">
        <v>438</v>
      </c>
      <c r="D507">
        <v>393</v>
      </c>
      <c r="E507" t="s">
        <v>21</v>
      </c>
    </row>
    <row r="508" spans="1:5" x14ac:dyDescent="0.35">
      <c r="A508" t="s">
        <v>484</v>
      </c>
      <c r="B508" t="s">
        <v>522</v>
      </c>
      <c r="C508">
        <v>427</v>
      </c>
      <c r="D508">
        <v>287</v>
      </c>
      <c r="E508" t="s">
        <v>15</v>
      </c>
    </row>
    <row r="509" spans="1:5" x14ac:dyDescent="0.35">
      <c r="A509" t="s">
        <v>484</v>
      </c>
      <c r="B509" t="s">
        <v>523</v>
      </c>
      <c r="C509">
        <v>446</v>
      </c>
      <c r="D509">
        <v>440</v>
      </c>
      <c r="E509" t="s">
        <v>7</v>
      </c>
    </row>
    <row r="510" spans="1:5" x14ac:dyDescent="0.35">
      <c r="A510" t="s">
        <v>484</v>
      </c>
      <c r="B510" t="s">
        <v>524</v>
      </c>
      <c r="C510">
        <v>257</v>
      </c>
      <c r="D510">
        <v>219</v>
      </c>
      <c r="E510" t="s">
        <v>33</v>
      </c>
    </row>
    <row r="511" spans="1:5" x14ac:dyDescent="0.35">
      <c r="A511" t="s">
        <v>484</v>
      </c>
      <c r="B511" t="s">
        <v>525</v>
      </c>
      <c r="C511">
        <v>459</v>
      </c>
      <c r="D511">
        <v>390</v>
      </c>
      <c r="E511" t="s">
        <v>9</v>
      </c>
    </row>
    <row r="512" spans="1:5" x14ac:dyDescent="0.35">
      <c r="A512" t="s">
        <v>484</v>
      </c>
      <c r="B512" t="s">
        <v>526</v>
      </c>
      <c r="C512">
        <v>439</v>
      </c>
      <c r="D512">
        <v>336</v>
      </c>
      <c r="E512" t="s">
        <v>15</v>
      </c>
    </row>
    <row r="513" spans="1:5" x14ac:dyDescent="0.35">
      <c r="A513" t="s">
        <v>484</v>
      </c>
      <c r="B513" t="s">
        <v>527</v>
      </c>
      <c r="C513">
        <v>277</v>
      </c>
      <c r="D513">
        <v>192</v>
      </c>
      <c r="E513" t="s">
        <v>9</v>
      </c>
    </row>
    <row r="514" spans="1:5" x14ac:dyDescent="0.35">
      <c r="A514" t="s">
        <v>484</v>
      </c>
      <c r="B514" t="s">
        <v>528</v>
      </c>
      <c r="C514">
        <v>433</v>
      </c>
      <c r="D514">
        <v>421</v>
      </c>
      <c r="E514" t="s">
        <v>9</v>
      </c>
    </row>
    <row r="515" spans="1:5" x14ac:dyDescent="0.35">
      <c r="A515" t="s">
        <v>484</v>
      </c>
      <c r="B515" t="s">
        <v>529</v>
      </c>
      <c r="C515">
        <v>462</v>
      </c>
      <c r="D515">
        <v>448</v>
      </c>
      <c r="E515" t="s">
        <v>9</v>
      </c>
    </row>
    <row r="516" spans="1:5" x14ac:dyDescent="0.35">
      <c r="A516" t="s">
        <v>484</v>
      </c>
      <c r="B516" t="s">
        <v>530</v>
      </c>
      <c r="C516">
        <v>430</v>
      </c>
      <c r="D516">
        <v>349</v>
      </c>
      <c r="E516" t="s">
        <v>9</v>
      </c>
    </row>
    <row r="517" spans="1:5" x14ac:dyDescent="0.35">
      <c r="A517" t="s">
        <v>484</v>
      </c>
      <c r="B517" t="s">
        <v>531</v>
      </c>
      <c r="C517">
        <v>289</v>
      </c>
      <c r="D517">
        <v>180</v>
      </c>
      <c r="E517" t="s">
        <v>15</v>
      </c>
    </row>
    <row r="518" spans="1:5" x14ac:dyDescent="0.35">
      <c r="A518" t="s">
        <v>484</v>
      </c>
      <c r="B518" t="s">
        <v>532</v>
      </c>
      <c r="C518">
        <v>393</v>
      </c>
      <c r="D518">
        <v>341</v>
      </c>
      <c r="E518" t="s">
        <v>7</v>
      </c>
    </row>
    <row r="519" spans="1:5" x14ac:dyDescent="0.35">
      <c r="A519" t="s">
        <v>484</v>
      </c>
      <c r="B519" t="s">
        <v>533</v>
      </c>
      <c r="C519">
        <v>419</v>
      </c>
      <c r="D519">
        <v>412</v>
      </c>
      <c r="E519" t="s">
        <v>21</v>
      </c>
    </row>
    <row r="520" spans="1:5" x14ac:dyDescent="0.35">
      <c r="A520" t="s">
        <v>484</v>
      </c>
      <c r="B520" t="s">
        <v>534</v>
      </c>
      <c r="C520">
        <v>318</v>
      </c>
      <c r="D520">
        <v>258</v>
      </c>
      <c r="E520" t="s">
        <v>21</v>
      </c>
    </row>
    <row r="521" spans="1:5" x14ac:dyDescent="0.35">
      <c r="A521" t="s">
        <v>484</v>
      </c>
      <c r="B521" t="s">
        <v>535</v>
      </c>
      <c r="C521">
        <v>389</v>
      </c>
      <c r="D521">
        <v>171</v>
      </c>
      <c r="E521" t="s">
        <v>17</v>
      </c>
    </row>
    <row r="522" spans="1:5" x14ac:dyDescent="0.35">
      <c r="A522" t="s">
        <v>484</v>
      </c>
      <c r="B522" t="s">
        <v>536</v>
      </c>
      <c r="C522">
        <v>434</v>
      </c>
      <c r="D522">
        <v>396</v>
      </c>
      <c r="E522" t="s">
        <v>21</v>
      </c>
    </row>
    <row r="523" spans="1:5" x14ac:dyDescent="0.35">
      <c r="A523" t="s">
        <v>484</v>
      </c>
      <c r="B523" t="s">
        <v>537</v>
      </c>
      <c r="C523">
        <v>499</v>
      </c>
      <c r="D523">
        <v>248</v>
      </c>
      <c r="E523" t="s">
        <v>15</v>
      </c>
    </row>
    <row r="524" spans="1:5" x14ac:dyDescent="0.35">
      <c r="A524" t="s">
        <v>484</v>
      </c>
      <c r="B524" t="s">
        <v>538</v>
      </c>
      <c r="C524">
        <v>352</v>
      </c>
      <c r="D524">
        <v>251</v>
      </c>
      <c r="E524" t="s">
        <v>15</v>
      </c>
    </row>
    <row r="525" spans="1:5" x14ac:dyDescent="0.35">
      <c r="A525" t="s">
        <v>484</v>
      </c>
      <c r="B525" t="s">
        <v>539</v>
      </c>
      <c r="C525">
        <v>326</v>
      </c>
      <c r="D525">
        <v>160</v>
      </c>
      <c r="E525" t="s">
        <v>17</v>
      </c>
    </row>
    <row r="526" spans="1:5" x14ac:dyDescent="0.35">
      <c r="A526" t="s">
        <v>484</v>
      </c>
      <c r="B526" t="s">
        <v>540</v>
      </c>
      <c r="C526">
        <v>386</v>
      </c>
      <c r="D526">
        <v>153</v>
      </c>
      <c r="E526" t="s">
        <v>15</v>
      </c>
    </row>
    <row r="527" spans="1:5" x14ac:dyDescent="0.35">
      <c r="A527" t="s">
        <v>484</v>
      </c>
      <c r="B527" t="s">
        <v>541</v>
      </c>
      <c r="C527">
        <v>326</v>
      </c>
      <c r="D527">
        <v>300</v>
      </c>
      <c r="E527" t="s">
        <v>7</v>
      </c>
    </row>
    <row r="528" spans="1:5" x14ac:dyDescent="0.35">
      <c r="A528" t="s">
        <v>484</v>
      </c>
      <c r="B528" t="s">
        <v>542</v>
      </c>
      <c r="C528">
        <v>494</v>
      </c>
      <c r="D528">
        <v>391</v>
      </c>
      <c r="E528" t="s">
        <v>7</v>
      </c>
    </row>
    <row r="529" spans="1:5" x14ac:dyDescent="0.35">
      <c r="A529" t="s">
        <v>484</v>
      </c>
      <c r="B529" t="s">
        <v>543</v>
      </c>
      <c r="C529">
        <v>354</v>
      </c>
      <c r="D529">
        <v>184</v>
      </c>
      <c r="E529" t="s">
        <v>17</v>
      </c>
    </row>
    <row r="530" spans="1:5" x14ac:dyDescent="0.35">
      <c r="A530" t="s">
        <v>484</v>
      </c>
      <c r="B530" t="s">
        <v>544</v>
      </c>
      <c r="C530">
        <v>407</v>
      </c>
      <c r="D530">
        <v>327</v>
      </c>
      <c r="E530" t="s">
        <v>7</v>
      </c>
    </row>
    <row r="531" spans="1:5" x14ac:dyDescent="0.35">
      <c r="A531" t="s">
        <v>484</v>
      </c>
      <c r="B531" t="s">
        <v>545</v>
      </c>
      <c r="C531">
        <v>295</v>
      </c>
      <c r="D531">
        <v>217</v>
      </c>
      <c r="E531" t="s">
        <v>15</v>
      </c>
    </row>
    <row r="532" spans="1:5" x14ac:dyDescent="0.35">
      <c r="A532" t="s">
        <v>484</v>
      </c>
      <c r="B532" t="s">
        <v>546</v>
      </c>
      <c r="C532">
        <v>351</v>
      </c>
      <c r="D532">
        <v>151</v>
      </c>
      <c r="E532" t="s">
        <v>11</v>
      </c>
    </row>
    <row r="533" spans="1:5" x14ac:dyDescent="0.35">
      <c r="A533" t="s">
        <v>484</v>
      </c>
      <c r="B533" t="s">
        <v>547</v>
      </c>
      <c r="C533">
        <v>476</v>
      </c>
      <c r="D533">
        <v>302</v>
      </c>
      <c r="E533" t="s">
        <v>11</v>
      </c>
    </row>
    <row r="534" spans="1:5" x14ac:dyDescent="0.35">
      <c r="A534" t="s">
        <v>484</v>
      </c>
      <c r="B534" t="s">
        <v>548</v>
      </c>
      <c r="C534">
        <v>457</v>
      </c>
      <c r="D534">
        <v>443</v>
      </c>
      <c r="E534" t="s">
        <v>9</v>
      </c>
    </row>
    <row r="535" spans="1:5" x14ac:dyDescent="0.35">
      <c r="A535" t="s">
        <v>484</v>
      </c>
      <c r="B535" t="s">
        <v>549</v>
      </c>
      <c r="C535">
        <v>483</v>
      </c>
      <c r="D535">
        <v>462</v>
      </c>
      <c r="E535" t="s">
        <v>9</v>
      </c>
    </row>
    <row r="536" spans="1:5" x14ac:dyDescent="0.35">
      <c r="A536" t="s">
        <v>484</v>
      </c>
      <c r="B536" t="s">
        <v>550</v>
      </c>
      <c r="C536">
        <v>437</v>
      </c>
      <c r="D536">
        <v>395</v>
      </c>
      <c r="E536" t="s">
        <v>7</v>
      </c>
    </row>
    <row r="537" spans="1:5" x14ac:dyDescent="0.35">
      <c r="A537" t="s">
        <v>484</v>
      </c>
      <c r="B537" t="s">
        <v>551</v>
      </c>
      <c r="C537">
        <v>354</v>
      </c>
      <c r="D537">
        <v>321</v>
      </c>
      <c r="E537" t="s">
        <v>9</v>
      </c>
    </row>
    <row r="538" spans="1:5" x14ac:dyDescent="0.35">
      <c r="A538" t="s">
        <v>484</v>
      </c>
      <c r="B538" t="s">
        <v>552</v>
      </c>
      <c r="C538">
        <v>498</v>
      </c>
      <c r="D538">
        <v>152</v>
      </c>
      <c r="E538" t="s">
        <v>17</v>
      </c>
    </row>
    <row r="539" spans="1:5" x14ac:dyDescent="0.35">
      <c r="A539" t="s">
        <v>484</v>
      </c>
      <c r="B539" t="s">
        <v>553</v>
      </c>
      <c r="C539">
        <v>451</v>
      </c>
      <c r="D539">
        <v>297</v>
      </c>
      <c r="E539" t="s">
        <v>33</v>
      </c>
    </row>
    <row r="540" spans="1:5" x14ac:dyDescent="0.35">
      <c r="A540" t="s">
        <v>484</v>
      </c>
      <c r="B540" t="s">
        <v>554</v>
      </c>
      <c r="C540">
        <v>493</v>
      </c>
      <c r="D540">
        <v>306</v>
      </c>
      <c r="E540" t="s">
        <v>9</v>
      </c>
    </row>
    <row r="541" spans="1:5" x14ac:dyDescent="0.35">
      <c r="A541" t="s">
        <v>484</v>
      </c>
      <c r="B541" t="s">
        <v>555</v>
      </c>
      <c r="C541">
        <v>413</v>
      </c>
      <c r="D541">
        <v>330</v>
      </c>
      <c r="E541" t="s">
        <v>9</v>
      </c>
    </row>
    <row r="542" spans="1:5" x14ac:dyDescent="0.35">
      <c r="A542" t="s">
        <v>484</v>
      </c>
      <c r="B542" t="s">
        <v>556</v>
      </c>
      <c r="C542">
        <v>460</v>
      </c>
      <c r="D542">
        <v>365</v>
      </c>
      <c r="E542" t="s">
        <v>7</v>
      </c>
    </row>
    <row r="543" spans="1:5" x14ac:dyDescent="0.35">
      <c r="A543" t="s">
        <v>484</v>
      </c>
      <c r="B543" t="s">
        <v>557</v>
      </c>
      <c r="C543">
        <v>370</v>
      </c>
      <c r="D543">
        <v>281</v>
      </c>
      <c r="E543" t="s">
        <v>21</v>
      </c>
    </row>
    <row r="544" spans="1:5" x14ac:dyDescent="0.35">
      <c r="A544" t="s">
        <v>484</v>
      </c>
      <c r="B544" t="s">
        <v>558</v>
      </c>
      <c r="C544">
        <v>245</v>
      </c>
      <c r="D544">
        <v>176</v>
      </c>
      <c r="E544" t="s">
        <v>15</v>
      </c>
    </row>
    <row r="545" spans="1:5" x14ac:dyDescent="0.35">
      <c r="A545" t="s">
        <v>484</v>
      </c>
      <c r="B545" t="s">
        <v>559</v>
      </c>
      <c r="C545">
        <v>206</v>
      </c>
      <c r="D545">
        <v>194</v>
      </c>
      <c r="E545" t="s">
        <v>15</v>
      </c>
    </row>
    <row r="546" spans="1:5" x14ac:dyDescent="0.35">
      <c r="A546" t="s">
        <v>484</v>
      </c>
      <c r="B546" t="s">
        <v>560</v>
      </c>
      <c r="C546">
        <v>426</v>
      </c>
      <c r="D546">
        <v>387</v>
      </c>
      <c r="E546" t="s">
        <v>21</v>
      </c>
    </row>
    <row r="547" spans="1:5" x14ac:dyDescent="0.35">
      <c r="A547" t="s">
        <v>484</v>
      </c>
      <c r="B547" t="s">
        <v>561</v>
      </c>
      <c r="C547">
        <v>405</v>
      </c>
      <c r="D547">
        <v>224</v>
      </c>
      <c r="E547" t="s">
        <v>21</v>
      </c>
    </row>
    <row r="548" spans="1:5" x14ac:dyDescent="0.35">
      <c r="A548" t="s">
        <v>484</v>
      </c>
      <c r="B548" t="s">
        <v>562</v>
      </c>
      <c r="C548">
        <v>349</v>
      </c>
      <c r="D548">
        <v>194</v>
      </c>
      <c r="E548" t="s">
        <v>33</v>
      </c>
    </row>
    <row r="549" spans="1:5" x14ac:dyDescent="0.35">
      <c r="A549" t="s">
        <v>484</v>
      </c>
      <c r="B549" t="s">
        <v>563</v>
      </c>
      <c r="C549">
        <v>402</v>
      </c>
      <c r="D549">
        <v>198</v>
      </c>
      <c r="E549" t="s">
        <v>7</v>
      </c>
    </row>
    <row r="550" spans="1:5" x14ac:dyDescent="0.35">
      <c r="A550" t="s">
        <v>484</v>
      </c>
      <c r="B550" t="s">
        <v>564</v>
      </c>
      <c r="C550">
        <v>395</v>
      </c>
      <c r="D550">
        <v>281</v>
      </c>
      <c r="E550" t="s">
        <v>17</v>
      </c>
    </row>
    <row r="551" spans="1:5" x14ac:dyDescent="0.35">
      <c r="A551" t="s">
        <v>484</v>
      </c>
      <c r="B551" t="s">
        <v>565</v>
      </c>
      <c r="C551">
        <v>400</v>
      </c>
      <c r="D551">
        <v>302</v>
      </c>
      <c r="E551" t="s">
        <v>11</v>
      </c>
    </row>
    <row r="552" spans="1:5" x14ac:dyDescent="0.35">
      <c r="A552" t="s">
        <v>484</v>
      </c>
      <c r="B552" t="s">
        <v>566</v>
      </c>
      <c r="C552">
        <v>448</v>
      </c>
      <c r="D552">
        <v>398</v>
      </c>
      <c r="E552" t="s">
        <v>21</v>
      </c>
    </row>
    <row r="553" spans="1:5" x14ac:dyDescent="0.35">
      <c r="A553" t="s">
        <v>484</v>
      </c>
      <c r="B553" t="s">
        <v>567</v>
      </c>
      <c r="C553">
        <v>472</v>
      </c>
      <c r="D553">
        <v>461</v>
      </c>
      <c r="E553" t="s">
        <v>21</v>
      </c>
    </row>
    <row r="554" spans="1:5" x14ac:dyDescent="0.35">
      <c r="A554" t="s">
        <v>484</v>
      </c>
      <c r="B554" t="s">
        <v>568</v>
      </c>
      <c r="C554">
        <v>267</v>
      </c>
      <c r="D554">
        <v>229</v>
      </c>
      <c r="E554" t="s">
        <v>15</v>
      </c>
    </row>
    <row r="555" spans="1:5" x14ac:dyDescent="0.35">
      <c r="A555" t="s">
        <v>484</v>
      </c>
      <c r="B555" t="s">
        <v>569</v>
      </c>
      <c r="C555">
        <v>318</v>
      </c>
      <c r="D555">
        <v>192</v>
      </c>
      <c r="E555" t="s">
        <v>15</v>
      </c>
    </row>
    <row r="556" spans="1:5" x14ac:dyDescent="0.35">
      <c r="A556" t="s">
        <v>484</v>
      </c>
      <c r="B556" t="s">
        <v>570</v>
      </c>
      <c r="C556">
        <v>448</v>
      </c>
      <c r="D556">
        <v>436</v>
      </c>
      <c r="E556" t="s">
        <v>9</v>
      </c>
    </row>
    <row r="557" spans="1:5" x14ac:dyDescent="0.35">
      <c r="A557" t="s">
        <v>484</v>
      </c>
      <c r="B557" t="s">
        <v>571</v>
      </c>
      <c r="C557">
        <v>166</v>
      </c>
      <c r="D557">
        <v>159</v>
      </c>
      <c r="E557" t="s">
        <v>33</v>
      </c>
    </row>
    <row r="558" spans="1:5" x14ac:dyDescent="0.35">
      <c r="A558" t="s">
        <v>484</v>
      </c>
      <c r="B558" t="s">
        <v>572</v>
      </c>
      <c r="C558">
        <v>477</v>
      </c>
      <c r="D558">
        <v>370</v>
      </c>
      <c r="E558" t="s">
        <v>9</v>
      </c>
    </row>
    <row r="559" spans="1:5" x14ac:dyDescent="0.35">
      <c r="A559" t="s">
        <v>484</v>
      </c>
      <c r="B559" t="s">
        <v>573</v>
      </c>
      <c r="C559">
        <v>464</v>
      </c>
      <c r="D559">
        <v>288</v>
      </c>
      <c r="E559" t="s">
        <v>17</v>
      </c>
    </row>
    <row r="560" spans="1:5" x14ac:dyDescent="0.35">
      <c r="A560" t="s">
        <v>484</v>
      </c>
      <c r="B560" t="s">
        <v>574</v>
      </c>
      <c r="C560">
        <v>229</v>
      </c>
      <c r="D560">
        <v>182</v>
      </c>
      <c r="E560" t="s">
        <v>15</v>
      </c>
    </row>
    <row r="561" spans="1:5" x14ac:dyDescent="0.35">
      <c r="A561" t="s">
        <v>484</v>
      </c>
      <c r="B561" t="s">
        <v>575</v>
      </c>
      <c r="C561">
        <v>476</v>
      </c>
      <c r="D561">
        <v>385</v>
      </c>
      <c r="E561" t="s">
        <v>7</v>
      </c>
    </row>
    <row r="562" spans="1:5" x14ac:dyDescent="0.35">
      <c r="A562" t="s">
        <v>484</v>
      </c>
      <c r="B562" t="s">
        <v>576</v>
      </c>
      <c r="C562">
        <v>463</v>
      </c>
      <c r="D562">
        <v>404</v>
      </c>
      <c r="E562" t="s">
        <v>9</v>
      </c>
    </row>
    <row r="563" spans="1:5" x14ac:dyDescent="0.35">
      <c r="A563" t="s">
        <v>484</v>
      </c>
      <c r="B563" t="s">
        <v>577</v>
      </c>
      <c r="C563">
        <v>388</v>
      </c>
      <c r="D563">
        <v>371</v>
      </c>
      <c r="E563" t="s">
        <v>7</v>
      </c>
    </row>
    <row r="564" spans="1:5" x14ac:dyDescent="0.35">
      <c r="A564" t="s">
        <v>484</v>
      </c>
      <c r="B564" t="s">
        <v>578</v>
      </c>
      <c r="C564">
        <v>232</v>
      </c>
      <c r="D564">
        <v>190</v>
      </c>
      <c r="E564" t="s">
        <v>17</v>
      </c>
    </row>
    <row r="565" spans="1:5" x14ac:dyDescent="0.35">
      <c r="A565" t="s">
        <v>484</v>
      </c>
      <c r="B565" t="s">
        <v>579</v>
      </c>
      <c r="C565">
        <v>320</v>
      </c>
      <c r="D565">
        <v>288</v>
      </c>
      <c r="E565" t="s">
        <v>9</v>
      </c>
    </row>
    <row r="566" spans="1:5" x14ac:dyDescent="0.35">
      <c r="A566" t="s">
        <v>484</v>
      </c>
      <c r="B566" t="s">
        <v>580</v>
      </c>
      <c r="C566">
        <v>423</v>
      </c>
      <c r="D566">
        <v>304</v>
      </c>
      <c r="E566" t="s">
        <v>11</v>
      </c>
    </row>
    <row r="567" spans="1:5" x14ac:dyDescent="0.35">
      <c r="A567" t="s">
        <v>484</v>
      </c>
      <c r="B567" t="s">
        <v>581</v>
      </c>
      <c r="C567">
        <v>465</v>
      </c>
      <c r="D567">
        <v>454</v>
      </c>
      <c r="E567" t="s">
        <v>9</v>
      </c>
    </row>
    <row r="568" spans="1:5" x14ac:dyDescent="0.35">
      <c r="A568" t="s">
        <v>484</v>
      </c>
      <c r="B568" t="s">
        <v>582</v>
      </c>
      <c r="C568">
        <v>483</v>
      </c>
      <c r="D568">
        <v>463</v>
      </c>
      <c r="E568" t="s">
        <v>7</v>
      </c>
    </row>
    <row r="569" spans="1:5" x14ac:dyDescent="0.35">
      <c r="A569" t="s">
        <v>484</v>
      </c>
      <c r="B569" t="s">
        <v>583</v>
      </c>
      <c r="C569">
        <v>451</v>
      </c>
      <c r="D569">
        <v>178</v>
      </c>
      <c r="E569" t="s">
        <v>21</v>
      </c>
    </row>
    <row r="570" spans="1:5" x14ac:dyDescent="0.35">
      <c r="A570" t="s">
        <v>484</v>
      </c>
      <c r="B570" t="s">
        <v>584</v>
      </c>
      <c r="C570">
        <v>490</v>
      </c>
      <c r="D570">
        <v>359</v>
      </c>
      <c r="E570" t="s">
        <v>21</v>
      </c>
    </row>
    <row r="571" spans="1:5" x14ac:dyDescent="0.35">
      <c r="A571" t="s">
        <v>484</v>
      </c>
      <c r="B571" t="s">
        <v>585</v>
      </c>
      <c r="C571">
        <v>210</v>
      </c>
      <c r="D571">
        <v>174</v>
      </c>
      <c r="E571" t="s">
        <v>21</v>
      </c>
    </row>
    <row r="572" spans="1:5" x14ac:dyDescent="0.35">
      <c r="A572" t="s">
        <v>484</v>
      </c>
      <c r="B572" t="s">
        <v>586</v>
      </c>
      <c r="C572">
        <v>262</v>
      </c>
      <c r="D572">
        <v>208</v>
      </c>
      <c r="E572" t="s">
        <v>11</v>
      </c>
    </row>
    <row r="573" spans="1:5" x14ac:dyDescent="0.35">
      <c r="A573" t="s">
        <v>484</v>
      </c>
      <c r="B573" t="s">
        <v>587</v>
      </c>
      <c r="C573">
        <v>486</v>
      </c>
      <c r="D573">
        <v>229</v>
      </c>
      <c r="E573" t="s">
        <v>15</v>
      </c>
    </row>
    <row r="574" spans="1:5" x14ac:dyDescent="0.35">
      <c r="A574" t="s">
        <v>484</v>
      </c>
      <c r="B574" t="s">
        <v>588</v>
      </c>
      <c r="C574">
        <v>326</v>
      </c>
      <c r="D574">
        <v>163</v>
      </c>
      <c r="E574" t="s">
        <v>17</v>
      </c>
    </row>
    <row r="575" spans="1:5" x14ac:dyDescent="0.35">
      <c r="A575" t="s">
        <v>484</v>
      </c>
      <c r="B575" t="s">
        <v>589</v>
      </c>
      <c r="C575">
        <v>498</v>
      </c>
      <c r="D575">
        <v>475</v>
      </c>
      <c r="E575" t="s">
        <v>9</v>
      </c>
    </row>
    <row r="576" spans="1:5" x14ac:dyDescent="0.35">
      <c r="A576" t="s">
        <v>484</v>
      </c>
      <c r="B576" t="s">
        <v>590</v>
      </c>
      <c r="C576">
        <v>437</v>
      </c>
      <c r="D576">
        <v>159</v>
      </c>
      <c r="E576" t="s">
        <v>21</v>
      </c>
    </row>
    <row r="577" spans="1:5" x14ac:dyDescent="0.35">
      <c r="A577" t="s">
        <v>484</v>
      </c>
      <c r="B577" t="s">
        <v>591</v>
      </c>
      <c r="C577">
        <v>472</v>
      </c>
      <c r="D577">
        <v>443</v>
      </c>
      <c r="E577" t="s">
        <v>9</v>
      </c>
    </row>
    <row r="578" spans="1:5" x14ac:dyDescent="0.35">
      <c r="A578" t="s">
        <v>484</v>
      </c>
      <c r="B578" t="s">
        <v>592</v>
      </c>
      <c r="C578">
        <v>236</v>
      </c>
      <c r="D578">
        <v>156</v>
      </c>
      <c r="E578" t="s">
        <v>7</v>
      </c>
    </row>
    <row r="579" spans="1:5" x14ac:dyDescent="0.35">
      <c r="A579" t="s">
        <v>484</v>
      </c>
      <c r="B579" t="s">
        <v>593</v>
      </c>
      <c r="C579">
        <v>221</v>
      </c>
      <c r="D579">
        <v>216</v>
      </c>
      <c r="E579" t="s">
        <v>33</v>
      </c>
    </row>
    <row r="580" spans="1:5" x14ac:dyDescent="0.35">
      <c r="A580" t="s">
        <v>484</v>
      </c>
      <c r="B580" t="s">
        <v>594</v>
      </c>
      <c r="C580">
        <v>267</v>
      </c>
      <c r="D580">
        <v>208</v>
      </c>
      <c r="E580" t="s">
        <v>11</v>
      </c>
    </row>
    <row r="581" spans="1:5" x14ac:dyDescent="0.35">
      <c r="A581" t="s">
        <v>484</v>
      </c>
      <c r="B581" t="s">
        <v>595</v>
      </c>
      <c r="C581">
        <v>439</v>
      </c>
      <c r="D581">
        <v>219</v>
      </c>
      <c r="E581" t="s">
        <v>33</v>
      </c>
    </row>
    <row r="582" spans="1:5" x14ac:dyDescent="0.35">
      <c r="A582" t="s">
        <v>484</v>
      </c>
      <c r="B582" t="s">
        <v>596</v>
      </c>
      <c r="C582">
        <v>409</v>
      </c>
      <c r="D582">
        <v>249</v>
      </c>
      <c r="E582" t="s">
        <v>17</v>
      </c>
    </row>
    <row r="583" spans="1:5" x14ac:dyDescent="0.35">
      <c r="A583" t="s">
        <v>484</v>
      </c>
      <c r="B583" t="s">
        <v>597</v>
      </c>
      <c r="C583">
        <v>377</v>
      </c>
      <c r="D583">
        <v>342</v>
      </c>
      <c r="E583" t="s">
        <v>7</v>
      </c>
    </row>
    <row r="584" spans="1:5" x14ac:dyDescent="0.35">
      <c r="A584" t="s">
        <v>484</v>
      </c>
      <c r="B584" t="s">
        <v>598</v>
      </c>
      <c r="C584">
        <v>447</v>
      </c>
      <c r="D584">
        <v>320</v>
      </c>
      <c r="E584" t="s">
        <v>33</v>
      </c>
    </row>
    <row r="585" spans="1:5" x14ac:dyDescent="0.35">
      <c r="A585" t="s">
        <v>484</v>
      </c>
      <c r="B585" t="s">
        <v>599</v>
      </c>
      <c r="C585">
        <v>318</v>
      </c>
      <c r="D585">
        <v>289</v>
      </c>
      <c r="E585" t="s">
        <v>15</v>
      </c>
    </row>
    <row r="586" spans="1:5" x14ac:dyDescent="0.35">
      <c r="A586" t="s">
        <v>484</v>
      </c>
      <c r="B586" t="s">
        <v>600</v>
      </c>
      <c r="C586">
        <v>236</v>
      </c>
      <c r="D586">
        <v>201</v>
      </c>
      <c r="E586" t="s">
        <v>9</v>
      </c>
    </row>
    <row r="587" spans="1:5" x14ac:dyDescent="0.35">
      <c r="A587" t="s">
        <v>484</v>
      </c>
      <c r="B587" t="s">
        <v>601</v>
      </c>
      <c r="C587">
        <v>295</v>
      </c>
      <c r="D587">
        <v>176</v>
      </c>
      <c r="E587" t="s">
        <v>17</v>
      </c>
    </row>
    <row r="588" spans="1:5" x14ac:dyDescent="0.35">
      <c r="A588" t="s">
        <v>484</v>
      </c>
      <c r="B588" t="s">
        <v>602</v>
      </c>
      <c r="C588">
        <v>443</v>
      </c>
      <c r="D588">
        <v>410</v>
      </c>
      <c r="E588" t="s">
        <v>21</v>
      </c>
    </row>
    <row r="589" spans="1:5" x14ac:dyDescent="0.35">
      <c r="A589" t="s">
        <v>484</v>
      </c>
      <c r="B589" t="s">
        <v>603</v>
      </c>
      <c r="C589">
        <v>466</v>
      </c>
      <c r="D589">
        <v>439</v>
      </c>
      <c r="E589" t="s">
        <v>9</v>
      </c>
    </row>
    <row r="590" spans="1:5" x14ac:dyDescent="0.35">
      <c r="A590" t="s">
        <v>484</v>
      </c>
      <c r="B590" t="s">
        <v>604</v>
      </c>
      <c r="C590">
        <v>432</v>
      </c>
      <c r="D590">
        <v>422</v>
      </c>
      <c r="E590" t="s">
        <v>7</v>
      </c>
    </row>
    <row r="591" spans="1:5" x14ac:dyDescent="0.35">
      <c r="A591" t="s">
        <v>484</v>
      </c>
      <c r="B591" t="s">
        <v>605</v>
      </c>
      <c r="C591">
        <v>500</v>
      </c>
      <c r="D591">
        <v>446</v>
      </c>
      <c r="E591" t="s">
        <v>7</v>
      </c>
    </row>
    <row r="592" spans="1:5" x14ac:dyDescent="0.35">
      <c r="A592" t="s">
        <v>484</v>
      </c>
      <c r="B592" t="s">
        <v>606</v>
      </c>
      <c r="C592">
        <v>465</v>
      </c>
      <c r="D592">
        <v>333</v>
      </c>
      <c r="E592" t="s">
        <v>15</v>
      </c>
    </row>
    <row r="593" spans="1:5" x14ac:dyDescent="0.35">
      <c r="A593" t="s">
        <v>484</v>
      </c>
      <c r="B593" t="s">
        <v>607</v>
      </c>
      <c r="C593">
        <v>485</v>
      </c>
      <c r="D593">
        <v>377</v>
      </c>
      <c r="E593" t="s">
        <v>9</v>
      </c>
    </row>
    <row r="594" spans="1:5" x14ac:dyDescent="0.35">
      <c r="A594" t="s">
        <v>484</v>
      </c>
      <c r="B594" t="s">
        <v>608</v>
      </c>
      <c r="C594">
        <v>462</v>
      </c>
      <c r="D594">
        <v>425</v>
      </c>
      <c r="E594" t="s">
        <v>7</v>
      </c>
    </row>
    <row r="595" spans="1:5" x14ac:dyDescent="0.35">
      <c r="A595" t="s">
        <v>484</v>
      </c>
      <c r="B595" t="s">
        <v>609</v>
      </c>
      <c r="C595">
        <v>396</v>
      </c>
      <c r="D595">
        <v>169</v>
      </c>
      <c r="E595" t="s">
        <v>9</v>
      </c>
    </row>
    <row r="596" spans="1:5" x14ac:dyDescent="0.35">
      <c r="A596" t="s">
        <v>484</v>
      </c>
      <c r="B596" t="s">
        <v>610</v>
      </c>
      <c r="C596">
        <v>416</v>
      </c>
      <c r="D596">
        <v>404</v>
      </c>
      <c r="E596" t="s">
        <v>7</v>
      </c>
    </row>
    <row r="597" spans="1:5" x14ac:dyDescent="0.35">
      <c r="A597" t="s">
        <v>484</v>
      </c>
      <c r="B597" t="s">
        <v>611</v>
      </c>
      <c r="C597">
        <v>497</v>
      </c>
      <c r="D597">
        <v>403</v>
      </c>
      <c r="E597" t="s">
        <v>21</v>
      </c>
    </row>
    <row r="598" spans="1:5" x14ac:dyDescent="0.35">
      <c r="A598" t="s">
        <v>484</v>
      </c>
      <c r="B598" t="s">
        <v>612</v>
      </c>
      <c r="C598">
        <v>467</v>
      </c>
      <c r="D598">
        <v>244</v>
      </c>
      <c r="E598" t="s">
        <v>11</v>
      </c>
    </row>
    <row r="599" spans="1:5" x14ac:dyDescent="0.35">
      <c r="A599" t="s">
        <v>484</v>
      </c>
      <c r="B599" t="s">
        <v>613</v>
      </c>
      <c r="C599">
        <v>469</v>
      </c>
      <c r="D599">
        <v>316</v>
      </c>
      <c r="E599" t="s">
        <v>7</v>
      </c>
    </row>
    <row r="600" spans="1:5" x14ac:dyDescent="0.35">
      <c r="A600" t="s">
        <v>484</v>
      </c>
      <c r="B600" t="s">
        <v>614</v>
      </c>
      <c r="C600">
        <v>460</v>
      </c>
      <c r="D600">
        <v>243</v>
      </c>
      <c r="E600" t="s">
        <v>17</v>
      </c>
    </row>
    <row r="601" spans="1:5" x14ac:dyDescent="0.35">
      <c r="A601" t="s">
        <v>484</v>
      </c>
      <c r="B601" t="s">
        <v>615</v>
      </c>
      <c r="C601">
        <v>470</v>
      </c>
      <c r="D601">
        <v>231</v>
      </c>
      <c r="E601" t="s">
        <v>21</v>
      </c>
    </row>
    <row r="602" spans="1:5" x14ac:dyDescent="0.35">
      <c r="A602" t="s">
        <v>484</v>
      </c>
      <c r="B602" t="s">
        <v>616</v>
      </c>
      <c r="C602">
        <v>474</v>
      </c>
      <c r="D602">
        <v>207</v>
      </c>
      <c r="E602" t="s">
        <v>7</v>
      </c>
    </row>
    <row r="603" spans="1:5" x14ac:dyDescent="0.35">
      <c r="A603" t="s">
        <v>484</v>
      </c>
      <c r="B603" t="s">
        <v>617</v>
      </c>
      <c r="C603">
        <v>498</v>
      </c>
      <c r="D603">
        <v>404</v>
      </c>
      <c r="E603" t="s">
        <v>7</v>
      </c>
    </row>
    <row r="604" spans="1:5" x14ac:dyDescent="0.35">
      <c r="A604" t="s">
        <v>484</v>
      </c>
      <c r="B604" t="s">
        <v>618</v>
      </c>
      <c r="C604">
        <v>472</v>
      </c>
      <c r="D604">
        <v>301</v>
      </c>
      <c r="E604" t="s">
        <v>17</v>
      </c>
    </row>
    <row r="605" spans="1:5" x14ac:dyDescent="0.35">
      <c r="A605" t="s">
        <v>484</v>
      </c>
      <c r="B605" t="s">
        <v>619</v>
      </c>
      <c r="C605">
        <v>486</v>
      </c>
      <c r="D605">
        <v>465</v>
      </c>
      <c r="E605" t="s">
        <v>7</v>
      </c>
    </row>
    <row r="606" spans="1:5" x14ac:dyDescent="0.35">
      <c r="A606" t="s">
        <v>484</v>
      </c>
      <c r="B606" t="s">
        <v>620</v>
      </c>
      <c r="C606">
        <v>485</v>
      </c>
      <c r="D606">
        <v>343</v>
      </c>
      <c r="E606" t="s">
        <v>11</v>
      </c>
    </row>
    <row r="607" spans="1:5" x14ac:dyDescent="0.35">
      <c r="A607" t="s">
        <v>484</v>
      </c>
      <c r="B607" t="s">
        <v>621</v>
      </c>
      <c r="C607">
        <v>486</v>
      </c>
      <c r="D607">
        <v>178</v>
      </c>
      <c r="E607" t="s">
        <v>11</v>
      </c>
    </row>
    <row r="608" spans="1:5" x14ac:dyDescent="0.35">
      <c r="A608" t="s">
        <v>484</v>
      </c>
      <c r="B608" t="s">
        <v>622</v>
      </c>
      <c r="C608">
        <v>387</v>
      </c>
      <c r="D608">
        <v>339</v>
      </c>
      <c r="E608" t="s">
        <v>33</v>
      </c>
    </row>
    <row r="609" spans="1:5" x14ac:dyDescent="0.35">
      <c r="A609" t="s">
        <v>484</v>
      </c>
      <c r="B609" t="s">
        <v>623</v>
      </c>
      <c r="C609">
        <v>466</v>
      </c>
      <c r="D609">
        <v>301</v>
      </c>
      <c r="E609" t="s">
        <v>9</v>
      </c>
    </row>
    <row r="610" spans="1:5" x14ac:dyDescent="0.35">
      <c r="A610" t="s">
        <v>484</v>
      </c>
      <c r="B610" t="s">
        <v>624</v>
      </c>
      <c r="C610">
        <v>378</v>
      </c>
      <c r="D610">
        <v>354</v>
      </c>
      <c r="E610" t="s">
        <v>21</v>
      </c>
    </row>
    <row r="611" spans="1:5" x14ac:dyDescent="0.35">
      <c r="A611" t="s">
        <v>484</v>
      </c>
      <c r="B611" t="s">
        <v>625</v>
      </c>
      <c r="C611">
        <v>359</v>
      </c>
      <c r="D611">
        <v>352</v>
      </c>
      <c r="E611" t="s">
        <v>7</v>
      </c>
    </row>
    <row r="612" spans="1:5" x14ac:dyDescent="0.35">
      <c r="A612" t="s">
        <v>484</v>
      </c>
      <c r="B612" t="s">
        <v>626</v>
      </c>
      <c r="C612">
        <v>462</v>
      </c>
      <c r="D612">
        <v>333</v>
      </c>
      <c r="E612" t="s">
        <v>15</v>
      </c>
    </row>
    <row r="613" spans="1:5" x14ac:dyDescent="0.35">
      <c r="A613" t="s">
        <v>484</v>
      </c>
      <c r="B613" t="s">
        <v>627</v>
      </c>
      <c r="C613">
        <v>453</v>
      </c>
      <c r="D613">
        <v>158</v>
      </c>
      <c r="E613" t="s">
        <v>33</v>
      </c>
    </row>
    <row r="614" spans="1:5" x14ac:dyDescent="0.35">
      <c r="A614" t="s">
        <v>484</v>
      </c>
      <c r="B614" t="s">
        <v>628</v>
      </c>
      <c r="C614">
        <v>499</v>
      </c>
      <c r="D614">
        <v>440</v>
      </c>
      <c r="E614" t="s">
        <v>9</v>
      </c>
    </row>
    <row r="615" spans="1:5" x14ac:dyDescent="0.35">
      <c r="A615" t="s">
        <v>484</v>
      </c>
      <c r="B615" t="s">
        <v>629</v>
      </c>
      <c r="C615">
        <v>448</v>
      </c>
      <c r="D615">
        <v>357</v>
      </c>
      <c r="E615" t="s">
        <v>7</v>
      </c>
    </row>
    <row r="616" spans="1:5" x14ac:dyDescent="0.35">
      <c r="A616" t="s">
        <v>484</v>
      </c>
      <c r="B616" t="s">
        <v>630</v>
      </c>
      <c r="C616">
        <v>404</v>
      </c>
      <c r="D616">
        <v>298</v>
      </c>
      <c r="E616" t="s">
        <v>9</v>
      </c>
    </row>
    <row r="617" spans="1:5" x14ac:dyDescent="0.35">
      <c r="A617" t="s">
        <v>484</v>
      </c>
      <c r="B617" t="s">
        <v>631</v>
      </c>
      <c r="C617">
        <v>353</v>
      </c>
      <c r="D617">
        <v>281</v>
      </c>
      <c r="E617" t="s">
        <v>11</v>
      </c>
    </row>
    <row r="618" spans="1:5" x14ac:dyDescent="0.35">
      <c r="A618" t="s">
        <v>484</v>
      </c>
      <c r="B618" t="s">
        <v>632</v>
      </c>
      <c r="C618">
        <v>492</v>
      </c>
      <c r="D618">
        <v>317</v>
      </c>
      <c r="E618" t="s">
        <v>9</v>
      </c>
    </row>
    <row r="619" spans="1:5" x14ac:dyDescent="0.35">
      <c r="A619" t="s">
        <v>484</v>
      </c>
      <c r="B619" t="s">
        <v>633</v>
      </c>
      <c r="C619">
        <v>315</v>
      </c>
      <c r="D619">
        <v>259</v>
      </c>
      <c r="E619" t="s">
        <v>15</v>
      </c>
    </row>
    <row r="620" spans="1:5" x14ac:dyDescent="0.35">
      <c r="A620" t="s">
        <v>484</v>
      </c>
      <c r="B620" t="s">
        <v>634</v>
      </c>
      <c r="C620">
        <v>446</v>
      </c>
      <c r="D620">
        <v>162</v>
      </c>
      <c r="E620" t="s">
        <v>9</v>
      </c>
    </row>
    <row r="621" spans="1:5" x14ac:dyDescent="0.35">
      <c r="A621" t="s">
        <v>484</v>
      </c>
      <c r="B621" t="s">
        <v>635</v>
      </c>
      <c r="C621">
        <v>463</v>
      </c>
      <c r="D621">
        <v>448</v>
      </c>
      <c r="E621" t="s">
        <v>9</v>
      </c>
    </row>
    <row r="622" spans="1:5" x14ac:dyDescent="0.35">
      <c r="A622" t="s">
        <v>484</v>
      </c>
      <c r="B622" t="s">
        <v>636</v>
      </c>
      <c r="C622">
        <v>493</v>
      </c>
      <c r="D622">
        <v>396</v>
      </c>
      <c r="E622" t="s">
        <v>21</v>
      </c>
    </row>
    <row r="623" spans="1:5" x14ac:dyDescent="0.35">
      <c r="A623" t="s">
        <v>484</v>
      </c>
      <c r="B623" t="s">
        <v>637</v>
      </c>
      <c r="C623">
        <v>498</v>
      </c>
      <c r="D623">
        <v>453</v>
      </c>
      <c r="E623" t="s">
        <v>9</v>
      </c>
    </row>
    <row r="624" spans="1:5" x14ac:dyDescent="0.35">
      <c r="A624" t="s">
        <v>484</v>
      </c>
      <c r="B624" t="s">
        <v>638</v>
      </c>
      <c r="C624">
        <v>442</v>
      </c>
      <c r="D624">
        <v>355</v>
      </c>
      <c r="E624" t="s">
        <v>21</v>
      </c>
    </row>
    <row r="625" spans="1:5" x14ac:dyDescent="0.35">
      <c r="A625" t="s">
        <v>484</v>
      </c>
      <c r="B625" t="s">
        <v>639</v>
      </c>
      <c r="C625">
        <v>424</v>
      </c>
      <c r="D625">
        <v>389</v>
      </c>
      <c r="E625" t="s">
        <v>7</v>
      </c>
    </row>
    <row r="626" spans="1:5" x14ac:dyDescent="0.35">
      <c r="A626" t="s">
        <v>484</v>
      </c>
      <c r="B626" t="s">
        <v>640</v>
      </c>
      <c r="C626">
        <v>446</v>
      </c>
      <c r="D626">
        <v>344</v>
      </c>
      <c r="E626" t="s">
        <v>15</v>
      </c>
    </row>
    <row r="627" spans="1:5" x14ac:dyDescent="0.35">
      <c r="A627" t="s">
        <v>484</v>
      </c>
      <c r="B627" t="s">
        <v>641</v>
      </c>
      <c r="C627">
        <v>491</v>
      </c>
      <c r="D627">
        <v>473</v>
      </c>
      <c r="E627" t="s">
        <v>7</v>
      </c>
    </row>
    <row r="628" spans="1:5" x14ac:dyDescent="0.35">
      <c r="A628" t="s">
        <v>484</v>
      </c>
      <c r="B628" t="s">
        <v>642</v>
      </c>
      <c r="C628">
        <v>329</v>
      </c>
      <c r="D628">
        <v>247</v>
      </c>
      <c r="E628" t="s">
        <v>15</v>
      </c>
    </row>
    <row r="629" spans="1:5" x14ac:dyDescent="0.35">
      <c r="A629" t="s">
        <v>484</v>
      </c>
      <c r="B629" t="s">
        <v>643</v>
      </c>
      <c r="C629">
        <v>288</v>
      </c>
      <c r="D629">
        <v>156</v>
      </c>
      <c r="E629" t="s">
        <v>33</v>
      </c>
    </row>
    <row r="630" spans="1:5" x14ac:dyDescent="0.35">
      <c r="A630" t="s">
        <v>484</v>
      </c>
      <c r="B630" t="s">
        <v>644</v>
      </c>
      <c r="C630">
        <v>486</v>
      </c>
      <c r="D630">
        <v>415</v>
      </c>
      <c r="E630" t="s">
        <v>21</v>
      </c>
    </row>
    <row r="631" spans="1:5" x14ac:dyDescent="0.35">
      <c r="A631" t="s">
        <v>484</v>
      </c>
      <c r="B631" t="s">
        <v>645</v>
      </c>
      <c r="C631">
        <v>380</v>
      </c>
      <c r="D631">
        <v>185</v>
      </c>
      <c r="E631" t="s">
        <v>17</v>
      </c>
    </row>
    <row r="632" spans="1:5" x14ac:dyDescent="0.35">
      <c r="A632" t="s">
        <v>484</v>
      </c>
      <c r="B632" t="s">
        <v>646</v>
      </c>
      <c r="C632">
        <v>406</v>
      </c>
      <c r="D632">
        <v>173</v>
      </c>
      <c r="E632" t="s">
        <v>15</v>
      </c>
    </row>
    <row r="633" spans="1:5" x14ac:dyDescent="0.35">
      <c r="A633" t="s">
        <v>484</v>
      </c>
      <c r="B633" t="s">
        <v>647</v>
      </c>
      <c r="C633">
        <v>489</v>
      </c>
      <c r="D633">
        <v>311</v>
      </c>
      <c r="E633" t="s">
        <v>7</v>
      </c>
    </row>
    <row r="634" spans="1:5" x14ac:dyDescent="0.35">
      <c r="A634" t="s">
        <v>484</v>
      </c>
      <c r="B634" t="s">
        <v>648</v>
      </c>
      <c r="C634">
        <v>463</v>
      </c>
      <c r="D634">
        <v>440</v>
      </c>
      <c r="E634" t="s">
        <v>9</v>
      </c>
    </row>
    <row r="635" spans="1:5" x14ac:dyDescent="0.35">
      <c r="A635" t="s">
        <v>484</v>
      </c>
      <c r="B635" t="s">
        <v>649</v>
      </c>
      <c r="C635">
        <v>475</v>
      </c>
      <c r="D635">
        <v>472</v>
      </c>
      <c r="E635" t="s">
        <v>9</v>
      </c>
    </row>
    <row r="636" spans="1:5" x14ac:dyDescent="0.35">
      <c r="A636" t="s">
        <v>484</v>
      </c>
      <c r="B636" t="s">
        <v>650</v>
      </c>
      <c r="C636">
        <v>437</v>
      </c>
      <c r="D636">
        <v>435</v>
      </c>
      <c r="E636" t="s">
        <v>21</v>
      </c>
    </row>
    <row r="637" spans="1:5" x14ac:dyDescent="0.35">
      <c r="A637" t="s">
        <v>484</v>
      </c>
      <c r="B637" t="s">
        <v>651</v>
      </c>
      <c r="C637">
        <v>331</v>
      </c>
      <c r="D637">
        <v>174</v>
      </c>
      <c r="E637" t="s">
        <v>21</v>
      </c>
    </row>
    <row r="638" spans="1:5" x14ac:dyDescent="0.35">
      <c r="A638" t="s">
        <v>484</v>
      </c>
      <c r="B638" t="s">
        <v>652</v>
      </c>
      <c r="C638">
        <v>494</v>
      </c>
      <c r="D638">
        <v>474</v>
      </c>
      <c r="E638" t="s">
        <v>9</v>
      </c>
    </row>
    <row r="639" spans="1:5" x14ac:dyDescent="0.35">
      <c r="A639" t="s">
        <v>484</v>
      </c>
      <c r="B639" t="s">
        <v>653</v>
      </c>
      <c r="C639">
        <v>455</v>
      </c>
      <c r="D639">
        <v>446</v>
      </c>
      <c r="E639" t="s">
        <v>7</v>
      </c>
    </row>
    <row r="640" spans="1:5" x14ac:dyDescent="0.35">
      <c r="A640" t="s">
        <v>484</v>
      </c>
      <c r="B640" t="s">
        <v>654</v>
      </c>
      <c r="C640">
        <v>469</v>
      </c>
      <c r="D640">
        <v>276</v>
      </c>
      <c r="E640" t="s">
        <v>9</v>
      </c>
    </row>
    <row r="641" spans="1:5" x14ac:dyDescent="0.35">
      <c r="A641" t="s">
        <v>484</v>
      </c>
      <c r="B641" t="s">
        <v>655</v>
      </c>
      <c r="C641">
        <v>467</v>
      </c>
      <c r="D641">
        <v>455</v>
      </c>
      <c r="E641" t="s">
        <v>21</v>
      </c>
    </row>
    <row r="642" spans="1:5" x14ac:dyDescent="0.35">
      <c r="A642" t="s">
        <v>484</v>
      </c>
      <c r="B642" t="s">
        <v>656</v>
      </c>
      <c r="C642">
        <v>304</v>
      </c>
      <c r="D642">
        <v>225</v>
      </c>
      <c r="E642" t="s">
        <v>9</v>
      </c>
    </row>
    <row r="643" spans="1:5" x14ac:dyDescent="0.35">
      <c r="A643" t="s">
        <v>484</v>
      </c>
      <c r="B643" t="s">
        <v>657</v>
      </c>
      <c r="C643">
        <v>267</v>
      </c>
      <c r="D643">
        <v>158</v>
      </c>
      <c r="E643" t="s">
        <v>21</v>
      </c>
    </row>
    <row r="644" spans="1:5" x14ac:dyDescent="0.35">
      <c r="A644" t="s">
        <v>484</v>
      </c>
      <c r="B644" t="s">
        <v>658</v>
      </c>
      <c r="C644">
        <v>476</v>
      </c>
      <c r="D644">
        <v>459</v>
      </c>
      <c r="E644" t="s">
        <v>21</v>
      </c>
    </row>
    <row r="645" spans="1:5" x14ac:dyDescent="0.35">
      <c r="A645" t="s">
        <v>484</v>
      </c>
      <c r="B645" t="s">
        <v>659</v>
      </c>
      <c r="C645">
        <v>285</v>
      </c>
      <c r="D645">
        <v>166</v>
      </c>
      <c r="E645" t="s">
        <v>11</v>
      </c>
    </row>
    <row r="646" spans="1:5" x14ac:dyDescent="0.35">
      <c r="A646" t="s">
        <v>484</v>
      </c>
      <c r="B646" t="s">
        <v>660</v>
      </c>
      <c r="C646">
        <v>386</v>
      </c>
      <c r="D646">
        <v>354</v>
      </c>
      <c r="E646" t="s">
        <v>9</v>
      </c>
    </row>
    <row r="647" spans="1:5" x14ac:dyDescent="0.35">
      <c r="A647" t="s">
        <v>484</v>
      </c>
      <c r="B647" t="s">
        <v>661</v>
      </c>
      <c r="C647">
        <v>386</v>
      </c>
      <c r="D647">
        <v>369</v>
      </c>
      <c r="E647" t="s">
        <v>21</v>
      </c>
    </row>
    <row r="648" spans="1:5" x14ac:dyDescent="0.35">
      <c r="A648" t="s">
        <v>484</v>
      </c>
      <c r="B648" t="s">
        <v>662</v>
      </c>
      <c r="C648">
        <v>484</v>
      </c>
      <c r="D648">
        <v>383</v>
      </c>
      <c r="E648" t="s">
        <v>9</v>
      </c>
    </row>
    <row r="649" spans="1:5" x14ac:dyDescent="0.35">
      <c r="A649" t="s">
        <v>484</v>
      </c>
      <c r="B649" t="s">
        <v>663</v>
      </c>
      <c r="C649">
        <v>217</v>
      </c>
      <c r="D649">
        <v>216</v>
      </c>
      <c r="E649" t="s">
        <v>9</v>
      </c>
    </row>
    <row r="650" spans="1:5" x14ac:dyDescent="0.35">
      <c r="A650" t="s">
        <v>484</v>
      </c>
      <c r="B650" t="s">
        <v>664</v>
      </c>
      <c r="C650">
        <v>222</v>
      </c>
      <c r="D650">
        <v>203</v>
      </c>
      <c r="E650" t="s">
        <v>15</v>
      </c>
    </row>
    <row r="651" spans="1:5" x14ac:dyDescent="0.35">
      <c r="A651" t="s">
        <v>484</v>
      </c>
      <c r="B651" t="s">
        <v>665</v>
      </c>
      <c r="C651">
        <v>422</v>
      </c>
      <c r="D651">
        <v>350</v>
      </c>
      <c r="E651" t="s">
        <v>21</v>
      </c>
    </row>
    <row r="652" spans="1:5" x14ac:dyDescent="0.35">
      <c r="A652" t="s">
        <v>484</v>
      </c>
      <c r="B652" t="s">
        <v>666</v>
      </c>
      <c r="C652">
        <v>488</v>
      </c>
      <c r="D652">
        <v>310</v>
      </c>
      <c r="E652" t="s">
        <v>7</v>
      </c>
    </row>
    <row r="653" spans="1:5" x14ac:dyDescent="0.35">
      <c r="A653" t="s">
        <v>484</v>
      </c>
      <c r="B653" t="s">
        <v>667</v>
      </c>
      <c r="C653">
        <v>465</v>
      </c>
      <c r="D653">
        <v>317</v>
      </c>
      <c r="E653" t="s">
        <v>7</v>
      </c>
    </row>
    <row r="654" spans="1:5" x14ac:dyDescent="0.35">
      <c r="A654" t="s">
        <v>484</v>
      </c>
      <c r="B654" t="s">
        <v>668</v>
      </c>
      <c r="C654">
        <v>498</v>
      </c>
      <c r="D654">
        <v>478</v>
      </c>
      <c r="E654" t="s">
        <v>21</v>
      </c>
    </row>
    <row r="655" spans="1:5" x14ac:dyDescent="0.35">
      <c r="A655" t="s">
        <v>484</v>
      </c>
      <c r="B655" t="s">
        <v>669</v>
      </c>
      <c r="C655">
        <v>448</v>
      </c>
      <c r="D655">
        <v>332</v>
      </c>
      <c r="E655" t="s">
        <v>11</v>
      </c>
    </row>
    <row r="656" spans="1:5" x14ac:dyDescent="0.35">
      <c r="A656" t="s">
        <v>484</v>
      </c>
      <c r="B656" t="s">
        <v>670</v>
      </c>
      <c r="C656">
        <v>332</v>
      </c>
      <c r="D656">
        <v>321</v>
      </c>
      <c r="E656" t="s">
        <v>21</v>
      </c>
    </row>
    <row r="657" spans="1:5" x14ac:dyDescent="0.35">
      <c r="A657" t="s">
        <v>484</v>
      </c>
      <c r="B657" t="s">
        <v>671</v>
      </c>
      <c r="C657">
        <v>447</v>
      </c>
      <c r="D657">
        <v>336</v>
      </c>
      <c r="E657" t="s">
        <v>21</v>
      </c>
    </row>
    <row r="658" spans="1:5" x14ac:dyDescent="0.35">
      <c r="A658" t="s">
        <v>484</v>
      </c>
      <c r="B658" t="s">
        <v>672</v>
      </c>
      <c r="C658">
        <v>498</v>
      </c>
      <c r="D658">
        <v>472</v>
      </c>
      <c r="E658" t="s">
        <v>9</v>
      </c>
    </row>
    <row r="659" spans="1:5" x14ac:dyDescent="0.35">
      <c r="A659" t="s">
        <v>484</v>
      </c>
      <c r="B659" t="s">
        <v>673</v>
      </c>
      <c r="C659">
        <v>453</v>
      </c>
      <c r="D659">
        <v>452</v>
      </c>
      <c r="E659" t="s">
        <v>9</v>
      </c>
    </row>
    <row r="660" spans="1:5" x14ac:dyDescent="0.35">
      <c r="A660" t="s">
        <v>484</v>
      </c>
      <c r="B660" t="s">
        <v>674</v>
      </c>
      <c r="C660">
        <v>434</v>
      </c>
      <c r="D660">
        <v>391</v>
      </c>
      <c r="E660" t="s">
        <v>9</v>
      </c>
    </row>
    <row r="661" spans="1:5" x14ac:dyDescent="0.35">
      <c r="A661" t="s">
        <v>484</v>
      </c>
      <c r="B661" t="s">
        <v>675</v>
      </c>
      <c r="C661">
        <v>294</v>
      </c>
      <c r="D661">
        <v>269</v>
      </c>
      <c r="E661" t="s">
        <v>33</v>
      </c>
    </row>
    <row r="662" spans="1:5" x14ac:dyDescent="0.35">
      <c r="A662" t="s">
        <v>484</v>
      </c>
      <c r="B662" t="s">
        <v>676</v>
      </c>
      <c r="C662">
        <v>364</v>
      </c>
      <c r="D662">
        <v>269</v>
      </c>
      <c r="E662" t="s">
        <v>9</v>
      </c>
    </row>
    <row r="663" spans="1:5" x14ac:dyDescent="0.35">
      <c r="A663" t="s">
        <v>484</v>
      </c>
      <c r="B663" t="s">
        <v>677</v>
      </c>
      <c r="C663">
        <v>457</v>
      </c>
      <c r="D663">
        <v>449</v>
      </c>
      <c r="E663" t="s">
        <v>9</v>
      </c>
    </row>
    <row r="664" spans="1:5" x14ac:dyDescent="0.35">
      <c r="A664" t="s">
        <v>484</v>
      </c>
      <c r="B664" t="s">
        <v>678</v>
      </c>
      <c r="C664">
        <v>403</v>
      </c>
      <c r="D664">
        <v>201</v>
      </c>
      <c r="E664" t="s">
        <v>17</v>
      </c>
    </row>
    <row r="665" spans="1:5" x14ac:dyDescent="0.35">
      <c r="A665" t="s">
        <v>484</v>
      </c>
      <c r="B665" t="s">
        <v>679</v>
      </c>
      <c r="C665">
        <v>416</v>
      </c>
      <c r="D665">
        <v>200</v>
      </c>
      <c r="E665" t="s">
        <v>33</v>
      </c>
    </row>
    <row r="666" spans="1:5" x14ac:dyDescent="0.35">
      <c r="A666" t="s">
        <v>484</v>
      </c>
      <c r="B666" t="s">
        <v>680</v>
      </c>
      <c r="C666">
        <v>492</v>
      </c>
      <c r="D666">
        <v>465</v>
      </c>
      <c r="E666" t="s">
        <v>9</v>
      </c>
    </row>
    <row r="667" spans="1:5" x14ac:dyDescent="0.35">
      <c r="A667" t="s">
        <v>484</v>
      </c>
      <c r="B667" t="s">
        <v>681</v>
      </c>
      <c r="C667">
        <v>395</v>
      </c>
      <c r="D667">
        <v>379</v>
      </c>
      <c r="E667" t="s">
        <v>9</v>
      </c>
    </row>
    <row r="668" spans="1:5" x14ac:dyDescent="0.35">
      <c r="A668" t="s">
        <v>484</v>
      </c>
      <c r="B668" t="s">
        <v>682</v>
      </c>
      <c r="C668">
        <v>387</v>
      </c>
      <c r="D668">
        <v>274</v>
      </c>
      <c r="E668" t="s">
        <v>11</v>
      </c>
    </row>
    <row r="669" spans="1:5" x14ac:dyDescent="0.35">
      <c r="A669" t="s">
        <v>484</v>
      </c>
      <c r="B669" t="s">
        <v>683</v>
      </c>
      <c r="C669">
        <v>455</v>
      </c>
      <c r="D669">
        <v>433</v>
      </c>
      <c r="E669" t="s">
        <v>9</v>
      </c>
    </row>
    <row r="670" spans="1:5" x14ac:dyDescent="0.35">
      <c r="A670" t="s">
        <v>484</v>
      </c>
      <c r="B670" t="s">
        <v>684</v>
      </c>
      <c r="C670">
        <v>306</v>
      </c>
      <c r="D670">
        <v>262</v>
      </c>
      <c r="E670" t="s">
        <v>17</v>
      </c>
    </row>
    <row r="671" spans="1:5" x14ac:dyDescent="0.35">
      <c r="A671" t="s">
        <v>484</v>
      </c>
      <c r="B671" t="s">
        <v>685</v>
      </c>
      <c r="C671">
        <v>435</v>
      </c>
      <c r="D671">
        <v>428</v>
      </c>
      <c r="E671" t="s">
        <v>9</v>
      </c>
    </row>
    <row r="672" spans="1:5" x14ac:dyDescent="0.35">
      <c r="A672" t="s">
        <v>484</v>
      </c>
      <c r="B672" t="s">
        <v>686</v>
      </c>
      <c r="C672">
        <v>454</v>
      </c>
      <c r="D672">
        <v>214</v>
      </c>
      <c r="E672" t="s">
        <v>9</v>
      </c>
    </row>
    <row r="673" spans="1:5" x14ac:dyDescent="0.35">
      <c r="A673" t="s">
        <v>484</v>
      </c>
      <c r="B673" t="s">
        <v>687</v>
      </c>
      <c r="C673">
        <v>246</v>
      </c>
      <c r="D673">
        <v>189</v>
      </c>
      <c r="E673" t="s">
        <v>9</v>
      </c>
    </row>
    <row r="674" spans="1:5" x14ac:dyDescent="0.35">
      <c r="A674" t="s">
        <v>484</v>
      </c>
      <c r="B674" t="s">
        <v>688</v>
      </c>
      <c r="C674">
        <v>409</v>
      </c>
      <c r="D674">
        <v>350</v>
      </c>
      <c r="E674" t="s">
        <v>33</v>
      </c>
    </row>
    <row r="675" spans="1:5" x14ac:dyDescent="0.35">
      <c r="A675" t="s">
        <v>484</v>
      </c>
      <c r="B675" t="s">
        <v>689</v>
      </c>
      <c r="C675">
        <v>496</v>
      </c>
      <c r="D675">
        <v>152</v>
      </c>
      <c r="E675" t="s">
        <v>7</v>
      </c>
    </row>
    <row r="676" spans="1:5" x14ac:dyDescent="0.35">
      <c r="A676" t="s">
        <v>484</v>
      </c>
      <c r="B676" t="s">
        <v>690</v>
      </c>
      <c r="C676">
        <v>499</v>
      </c>
      <c r="D676">
        <v>468</v>
      </c>
      <c r="E676" t="s">
        <v>7</v>
      </c>
    </row>
    <row r="677" spans="1:5" x14ac:dyDescent="0.35">
      <c r="A677" t="s">
        <v>484</v>
      </c>
      <c r="B677" t="s">
        <v>691</v>
      </c>
      <c r="C677">
        <v>295</v>
      </c>
      <c r="D677">
        <v>184</v>
      </c>
      <c r="E677" t="s">
        <v>17</v>
      </c>
    </row>
    <row r="678" spans="1:5" x14ac:dyDescent="0.35">
      <c r="A678" t="s">
        <v>484</v>
      </c>
      <c r="B678" t="s">
        <v>692</v>
      </c>
      <c r="C678">
        <v>496</v>
      </c>
      <c r="D678">
        <v>199</v>
      </c>
      <c r="E678" t="s">
        <v>7</v>
      </c>
    </row>
    <row r="679" spans="1:5" x14ac:dyDescent="0.35">
      <c r="A679" t="s">
        <v>484</v>
      </c>
      <c r="B679" t="s">
        <v>693</v>
      </c>
      <c r="C679">
        <v>472</v>
      </c>
      <c r="D679">
        <v>419</v>
      </c>
      <c r="E679" t="s">
        <v>7</v>
      </c>
    </row>
    <row r="680" spans="1:5" x14ac:dyDescent="0.35">
      <c r="A680" t="s">
        <v>484</v>
      </c>
      <c r="B680" t="s">
        <v>694</v>
      </c>
      <c r="C680">
        <v>443</v>
      </c>
      <c r="D680">
        <v>254</v>
      </c>
      <c r="E680" t="s">
        <v>15</v>
      </c>
    </row>
    <row r="681" spans="1:5" x14ac:dyDescent="0.35">
      <c r="A681" t="s">
        <v>484</v>
      </c>
      <c r="B681" t="s">
        <v>695</v>
      </c>
      <c r="C681">
        <v>428</v>
      </c>
      <c r="D681">
        <v>420</v>
      </c>
      <c r="E681" t="s">
        <v>9</v>
      </c>
    </row>
    <row r="682" spans="1:5" x14ac:dyDescent="0.35">
      <c r="A682" t="s">
        <v>484</v>
      </c>
      <c r="B682" t="s">
        <v>696</v>
      </c>
      <c r="C682">
        <v>374</v>
      </c>
      <c r="D682">
        <v>357</v>
      </c>
      <c r="E682" t="s">
        <v>21</v>
      </c>
    </row>
    <row r="683" spans="1:5" x14ac:dyDescent="0.35">
      <c r="A683" t="s">
        <v>484</v>
      </c>
      <c r="B683" t="s">
        <v>697</v>
      </c>
      <c r="C683">
        <v>386</v>
      </c>
      <c r="D683">
        <v>384</v>
      </c>
      <c r="E683" t="s">
        <v>21</v>
      </c>
    </row>
    <row r="684" spans="1:5" x14ac:dyDescent="0.35">
      <c r="A684" t="s">
        <v>484</v>
      </c>
      <c r="B684" t="s">
        <v>698</v>
      </c>
      <c r="C684">
        <v>238</v>
      </c>
      <c r="D684">
        <v>169</v>
      </c>
      <c r="E684" t="s">
        <v>33</v>
      </c>
    </row>
    <row r="685" spans="1:5" x14ac:dyDescent="0.35">
      <c r="A685" t="s">
        <v>484</v>
      </c>
      <c r="B685" t="s">
        <v>699</v>
      </c>
      <c r="C685">
        <v>310</v>
      </c>
      <c r="D685">
        <v>200</v>
      </c>
      <c r="E685" t="s">
        <v>11</v>
      </c>
    </row>
    <row r="686" spans="1:5" x14ac:dyDescent="0.35">
      <c r="A686" t="s">
        <v>484</v>
      </c>
      <c r="B686" t="s">
        <v>700</v>
      </c>
      <c r="C686">
        <v>493</v>
      </c>
      <c r="D686">
        <v>377</v>
      </c>
      <c r="E686" t="s">
        <v>7</v>
      </c>
    </row>
    <row r="687" spans="1:5" x14ac:dyDescent="0.35">
      <c r="A687" t="s">
        <v>484</v>
      </c>
      <c r="B687" t="s">
        <v>701</v>
      </c>
      <c r="C687">
        <v>416</v>
      </c>
      <c r="D687">
        <v>328</v>
      </c>
      <c r="E687" t="s">
        <v>17</v>
      </c>
    </row>
    <row r="688" spans="1:5" x14ac:dyDescent="0.35">
      <c r="A688" t="s">
        <v>484</v>
      </c>
      <c r="B688" t="s">
        <v>702</v>
      </c>
      <c r="C688">
        <v>396</v>
      </c>
      <c r="D688">
        <v>363</v>
      </c>
      <c r="E688" t="s">
        <v>7</v>
      </c>
    </row>
    <row r="689" spans="1:5" x14ac:dyDescent="0.35">
      <c r="A689" t="s">
        <v>484</v>
      </c>
      <c r="B689" t="s">
        <v>703</v>
      </c>
      <c r="C689">
        <v>386</v>
      </c>
      <c r="D689">
        <v>245</v>
      </c>
      <c r="E689" t="s">
        <v>33</v>
      </c>
    </row>
    <row r="690" spans="1:5" x14ac:dyDescent="0.35">
      <c r="A690" t="s">
        <v>484</v>
      </c>
      <c r="B690" t="s">
        <v>704</v>
      </c>
      <c r="C690">
        <v>366</v>
      </c>
      <c r="D690">
        <v>361</v>
      </c>
      <c r="E690" t="s">
        <v>7</v>
      </c>
    </row>
    <row r="691" spans="1:5" x14ac:dyDescent="0.35">
      <c r="A691" t="s">
        <v>484</v>
      </c>
      <c r="B691" t="s">
        <v>705</v>
      </c>
      <c r="C691">
        <v>294</v>
      </c>
      <c r="D691">
        <v>260</v>
      </c>
      <c r="E691" t="s">
        <v>9</v>
      </c>
    </row>
    <row r="692" spans="1:5" x14ac:dyDescent="0.35">
      <c r="A692" t="s">
        <v>484</v>
      </c>
      <c r="B692" t="s">
        <v>706</v>
      </c>
      <c r="C692">
        <v>493</v>
      </c>
      <c r="D692">
        <v>478</v>
      </c>
      <c r="E692" t="s">
        <v>21</v>
      </c>
    </row>
    <row r="693" spans="1:5" x14ac:dyDescent="0.35">
      <c r="A693" t="s">
        <v>484</v>
      </c>
      <c r="B693" t="s">
        <v>707</v>
      </c>
      <c r="C693">
        <v>186</v>
      </c>
      <c r="D693">
        <v>155</v>
      </c>
      <c r="E693" t="s">
        <v>33</v>
      </c>
    </row>
    <row r="694" spans="1:5" x14ac:dyDescent="0.35">
      <c r="A694" t="s">
        <v>484</v>
      </c>
      <c r="B694" t="s">
        <v>708</v>
      </c>
      <c r="C694">
        <v>402</v>
      </c>
      <c r="D694">
        <v>289</v>
      </c>
      <c r="E694" t="s">
        <v>9</v>
      </c>
    </row>
    <row r="695" spans="1:5" x14ac:dyDescent="0.35">
      <c r="A695" t="s">
        <v>484</v>
      </c>
      <c r="B695" t="s">
        <v>709</v>
      </c>
      <c r="C695">
        <v>404</v>
      </c>
      <c r="D695">
        <v>382</v>
      </c>
      <c r="E695" t="s">
        <v>7</v>
      </c>
    </row>
    <row r="696" spans="1:5" x14ac:dyDescent="0.35">
      <c r="A696" t="s">
        <v>484</v>
      </c>
      <c r="B696" t="s">
        <v>710</v>
      </c>
      <c r="C696">
        <v>498</v>
      </c>
      <c r="D696">
        <v>405</v>
      </c>
      <c r="E696" t="s">
        <v>7</v>
      </c>
    </row>
    <row r="697" spans="1:5" x14ac:dyDescent="0.35">
      <c r="A697" t="s">
        <v>484</v>
      </c>
      <c r="B697" t="s">
        <v>711</v>
      </c>
      <c r="C697">
        <v>159</v>
      </c>
      <c r="D697">
        <v>152</v>
      </c>
      <c r="E697" t="s">
        <v>17</v>
      </c>
    </row>
    <row r="698" spans="1:5" x14ac:dyDescent="0.35">
      <c r="A698" t="s">
        <v>484</v>
      </c>
      <c r="B698" t="s">
        <v>712</v>
      </c>
      <c r="C698">
        <v>343</v>
      </c>
      <c r="D698">
        <v>287</v>
      </c>
      <c r="E698" t="s">
        <v>15</v>
      </c>
    </row>
    <row r="699" spans="1:5" x14ac:dyDescent="0.35">
      <c r="A699" t="s">
        <v>484</v>
      </c>
      <c r="B699" t="s">
        <v>713</v>
      </c>
      <c r="C699">
        <v>463</v>
      </c>
      <c r="D699">
        <v>375</v>
      </c>
      <c r="E699" t="s">
        <v>7</v>
      </c>
    </row>
    <row r="700" spans="1:5" x14ac:dyDescent="0.35">
      <c r="A700" t="s">
        <v>484</v>
      </c>
      <c r="B700" t="s">
        <v>714</v>
      </c>
      <c r="C700">
        <v>419</v>
      </c>
      <c r="D700">
        <v>263</v>
      </c>
      <c r="E700" t="s">
        <v>15</v>
      </c>
    </row>
    <row r="701" spans="1:5" x14ac:dyDescent="0.35">
      <c r="A701" t="s">
        <v>484</v>
      </c>
      <c r="B701" t="s">
        <v>715</v>
      </c>
      <c r="C701">
        <v>479</v>
      </c>
      <c r="D701">
        <v>454</v>
      </c>
      <c r="E701" t="s">
        <v>9</v>
      </c>
    </row>
    <row r="702" spans="1:5" x14ac:dyDescent="0.35">
      <c r="A702" t="s">
        <v>484</v>
      </c>
      <c r="B702" t="s">
        <v>716</v>
      </c>
      <c r="C702">
        <v>299</v>
      </c>
      <c r="D702">
        <v>218</v>
      </c>
      <c r="E702" t="s">
        <v>15</v>
      </c>
    </row>
    <row r="703" spans="1:5" x14ac:dyDescent="0.35">
      <c r="A703" t="s">
        <v>484</v>
      </c>
      <c r="B703" t="s">
        <v>717</v>
      </c>
      <c r="C703">
        <v>297</v>
      </c>
      <c r="D703">
        <v>277</v>
      </c>
      <c r="E703" t="s">
        <v>9</v>
      </c>
    </row>
    <row r="704" spans="1:5" x14ac:dyDescent="0.35">
      <c r="A704" t="s">
        <v>484</v>
      </c>
      <c r="B704" t="s">
        <v>718</v>
      </c>
      <c r="C704">
        <v>486</v>
      </c>
      <c r="D704">
        <v>474</v>
      </c>
      <c r="E704" t="s">
        <v>9</v>
      </c>
    </row>
    <row r="705" spans="1:5" x14ac:dyDescent="0.35">
      <c r="A705" t="s">
        <v>484</v>
      </c>
      <c r="B705" t="s">
        <v>719</v>
      </c>
      <c r="C705">
        <v>470</v>
      </c>
      <c r="D705">
        <v>470</v>
      </c>
      <c r="E705" t="s">
        <v>7</v>
      </c>
    </row>
    <row r="706" spans="1:5" x14ac:dyDescent="0.35">
      <c r="A706" t="s">
        <v>484</v>
      </c>
      <c r="B706" t="s">
        <v>720</v>
      </c>
      <c r="C706">
        <v>294</v>
      </c>
      <c r="D706">
        <v>239</v>
      </c>
      <c r="E706" t="s">
        <v>33</v>
      </c>
    </row>
    <row r="707" spans="1:5" x14ac:dyDescent="0.35">
      <c r="A707" t="s">
        <v>484</v>
      </c>
      <c r="B707" t="s">
        <v>721</v>
      </c>
      <c r="C707">
        <v>419</v>
      </c>
      <c r="D707">
        <v>244</v>
      </c>
      <c r="E707" t="s">
        <v>11</v>
      </c>
    </row>
    <row r="708" spans="1:5" x14ac:dyDescent="0.35">
      <c r="A708" t="s">
        <v>484</v>
      </c>
      <c r="B708" t="s">
        <v>722</v>
      </c>
      <c r="C708">
        <v>425</v>
      </c>
      <c r="D708">
        <v>379</v>
      </c>
      <c r="E708" t="s">
        <v>9</v>
      </c>
    </row>
    <row r="709" spans="1:5" x14ac:dyDescent="0.35">
      <c r="A709" t="s">
        <v>484</v>
      </c>
      <c r="B709" t="s">
        <v>723</v>
      </c>
      <c r="C709">
        <v>488</v>
      </c>
      <c r="D709">
        <v>228</v>
      </c>
      <c r="E709" t="s">
        <v>21</v>
      </c>
    </row>
    <row r="710" spans="1:5" x14ac:dyDescent="0.35">
      <c r="A710" t="s">
        <v>484</v>
      </c>
      <c r="B710" t="s">
        <v>724</v>
      </c>
      <c r="C710">
        <v>477</v>
      </c>
      <c r="D710">
        <v>321</v>
      </c>
      <c r="E710" t="s">
        <v>21</v>
      </c>
    </row>
    <row r="711" spans="1:5" x14ac:dyDescent="0.35">
      <c r="A711" t="s">
        <v>484</v>
      </c>
      <c r="B711" t="s">
        <v>725</v>
      </c>
      <c r="C711">
        <v>402</v>
      </c>
      <c r="D711">
        <v>318</v>
      </c>
      <c r="E711" t="s">
        <v>33</v>
      </c>
    </row>
    <row r="712" spans="1:5" x14ac:dyDescent="0.35">
      <c r="A712" t="s">
        <v>484</v>
      </c>
      <c r="B712" t="s">
        <v>726</v>
      </c>
      <c r="C712">
        <v>457</v>
      </c>
      <c r="D712">
        <v>420</v>
      </c>
      <c r="E712" t="s">
        <v>7</v>
      </c>
    </row>
    <row r="713" spans="1:5" x14ac:dyDescent="0.35">
      <c r="A713" t="s">
        <v>484</v>
      </c>
      <c r="B713" t="s">
        <v>727</v>
      </c>
      <c r="C713">
        <v>373</v>
      </c>
      <c r="D713">
        <v>367</v>
      </c>
      <c r="E713" t="s">
        <v>21</v>
      </c>
    </row>
    <row r="714" spans="1:5" x14ac:dyDescent="0.35">
      <c r="A714" t="s">
        <v>484</v>
      </c>
      <c r="B714" t="s">
        <v>728</v>
      </c>
      <c r="C714">
        <v>436</v>
      </c>
      <c r="D714">
        <v>313</v>
      </c>
      <c r="E714" t="s">
        <v>33</v>
      </c>
    </row>
    <row r="715" spans="1:5" x14ac:dyDescent="0.35">
      <c r="A715" t="s">
        <v>484</v>
      </c>
      <c r="B715" t="s">
        <v>729</v>
      </c>
      <c r="C715">
        <v>389</v>
      </c>
      <c r="D715">
        <v>295</v>
      </c>
      <c r="E715" t="s">
        <v>11</v>
      </c>
    </row>
    <row r="716" spans="1:5" x14ac:dyDescent="0.35">
      <c r="A716" t="s">
        <v>484</v>
      </c>
      <c r="B716" t="s">
        <v>730</v>
      </c>
      <c r="C716">
        <v>376</v>
      </c>
      <c r="D716">
        <v>290</v>
      </c>
      <c r="E716" t="s">
        <v>7</v>
      </c>
    </row>
    <row r="717" spans="1:5" x14ac:dyDescent="0.35">
      <c r="A717" t="s">
        <v>484</v>
      </c>
      <c r="B717" t="s">
        <v>731</v>
      </c>
      <c r="C717">
        <v>491</v>
      </c>
      <c r="D717">
        <v>476</v>
      </c>
      <c r="E717" t="s">
        <v>9</v>
      </c>
    </row>
    <row r="718" spans="1:5" x14ac:dyDescent="0.35">
      <c r="A718" t="s">
        <v>484</v>
      </c>
      <c r="B718" t="s">
        <v>732</v>
      </c>
      <c r="C718">
        <v>495</v>
      </c>
      <c r="D718">
        <v>423</v>
      </c>
      <c r="E718" t="s">
        <v>21</v>
      </c>
    </row>
    <row r="719" spans="1:5" x14ac:dyDescent="0.35">
      <c r="A719" t="s">
        <v>484</v>
      </c>
      <c r="B719" t="s">
        <v>733</v>
      </c>
      <c r="C719">
        <v>414</v>
      </c>
      <c r="D719">
        <v>303</v>
      </c>
      <c r="E719" t="s">
        <v>9</v>
      </c>
    </row>
    <row r="720" spans="1:5" x14ac:dyDescent="0.35">
      <c r="A720" t="s">
        <v>484</v>
      </c>
      <c r="B720" t="s">
        <v>734</v>
      </c>
      <c r="C720">
        <v>490</v>
      </c>
      <c r="D720">
        <v>462</v>
      </c>
      <c r="E720" t="s">
        <v>7</v>
      </c>
    </row>
    <row r="721" spans="1:5" x14ac:dyDescent="0.35">
      <c r="A721" t="s">
        <v>484</v>
      </c>
      <c r="B721" t="s">
        <v>735</v>
      </c>
      <c r="C721">
        <v>485</v>
      </c>
      <c r="D721">
        <v>454</v>
      </c>
      <c r="E721" t="s">
        <v>9</v>
      </c>
    </row>
    <row r="722" spans="1:5" x14ac:dyDescent="0.35">
      <c r="A722" t="s">
        <v>484</v>
      </c>
      <c r="B722" t="s">
        <v>736</v>
      </c>
      <c r="C722">
        <v>394</v>
      </c>
      <c r="D722">
        <v>220</v>
      </c>
      <c r="E722" t="s">
        <v>15</v>
      </c>
    </row>
    <row r="723" spans="1:5" x14ac:dyDescent="0.35">
      <c r="A723" t="s">
        <v>484</v>
      </c>
      <c r="B723" t="s">
        <v>737</v>
      </c>
      <c r="C723">
        <v>429</v>
      </c>
      <c r="D723">
        <v>332</v>
      </c>
      <c r="E723" t="s">
        <v>21</v>
      </c>
    </row>
    <row r="724" spans="1:5" x14ac:dyDescent="0.35">
      <c r="A724" t="s">
        <v>484</v>
      </c>
      <c r="B724" t="s">
        <v>738</v>
      </c>
      <c r="C724">
        <v>467</v>
      </c>
      <c r="D724">
        <v>441</v>
      </c>
      <c r="E724" t="s">
        <v>9</v>
      </c>
    </row>
    <row r="725" spans="1:5" x14ac:dyDescent="0.35">
      <c r="A725" t="s">
        <v>484</v>
      </c>
      <c r="B725" t="s">
        <v>739</v>
      </c>
      <c r="C725">
        <v>280</v>
      </c>
      <c r="D725">
        <v>256</v>
      </c>
      <c r="E725" t="s">
        <v>17</v>
      </c>
    </row>
    <row r="726" spans="1:5" x14ac:dyDescent="0.35">
      <c r="A726" t="s">
        <v>484</v>
      </c>
      <c r="B726" t="s">
        <v>740</v>
      </c>
      <c r="C726">
        <v>345</v>
      </c>
      <c r="D726">
        <v>338</v>
      </c>
      <c r="E726" t="s">
        <v>17</v>
      </c>
    </row>
    <row r="727" spans="1:5" x14ac:dyDescent="0.35">
      <c r="A727" t="s">
        <v>484</v>
      </c>
      <c r="B727" t="s">
        <v>741</v>
      </c>
      <c r="C727">
        <v>466</v>
      </c>
      <c r="D727">
        <v>385</v>
      </c>
      <c r="E727" t="s">
        <v>7</v>
      </c>
    </row>
    <row r="728" spans="1:5" x14ac:dyDescent="0.35">
      <c r="A728" t="s">
        <v>484</v>
      </c>
      <c r="B728" t="s">
        <v>742</v>
      </c>
      <c r="C728">
        <v>485</v>
      </c>
      <c r="D728">
        <v>378</v>
      </c>
      <c r="E728" t="s">
        <v>9</v>
      </c>
    </row>
    <row r="729" spans="1:5" x14ac:dyDescent="0.35">
      <c r="A729" t="s">
        <v>484</v>
      </c>
      <c r="B729" t="s">
        <v>743</v>
      </c>
      <c r="C729">
        <v>445</v>
      </c>
      <c r="D729">
        <v>413</v>
      </c>
      <c r="E729" t="s">
        <v>21</v>
      </c>
    </row>
    <row r="730" spans="1:5" x14ac:dyDescent="0.35">
      <c r="A730" t="s">
        <v>484</v>
      </c>
      <c r="B730" t="s">
        <v>744</v>
      </c>
      <c r="C730">
        <v>483</v>
      </c>
      <c r="D730">
        <v>446</v>
      </c>
      <c r="E730" t="s">
        <v>7</v>
      </c>
    </row>
    <row r="731" spans="1:5" x14ac:dyDescent="0.35">
      <c r="A731" t="s">
        <v>484</v>
      </c>
      <c r="B731" t="s">
        <v>745</v>
      </c>
      <c r="C731">
        <v>490</v>
      </c>
      <c r="D731">
        <v>369</v>
      </c>
      <c r="E731" t="s">
        <v>9</v>
      </c>
    </row>
    <row r="732" spans="1:5" x14ac:dyDescent="0.35">
      <c r="A732" t="s">
        <v>484</v>
      </c>
      <c r="B732" t="s">
        <v>746</v>
      </c>
      <c r="C732">
        <v>483</v>
      </c>
      <c r="D732">
        <v>465</v>
      </c>
      <c r="E732" t="s">
        <v>21</v>
      </c>
    </row>
    <row r="733" spans="1:5" x14ac:dyDescent="0.35">
      <c r="A733" t="s">
        <v>484</v>
      </c>
      <c r="B733" t="s">
        <v>747</v>
      </c>
      <c r="C733">
        <v>235</v>
      </c>
      <c r="D733">
        <v>219</v>
      </c>
      <c r="E733" t="s">
        <v>15</v>
      </c>
    </row>
    <row r="734" spans="1:5" x14ac:dyDescent="0.35">
      <c r="A734" t="s">
        <v>484</v>
      </c>
      <c r="B734" t="s">
        <v>748</v>
      </c>
      <c r="C734">
        <v>243</v>
      </c>
      <c r="D734">
        <v>225</v>
      </c>
      <c r="E734" t="s">
        <v>9</v>
      </c>
    </row>
    <row r="735" spans="1:5" x14ac:dyDescent="0.35">
      <c r="A735" t="s">
        <v>484</v>
      </c>
      <c r="B735" t="s">
        <v>749</v>
      </c>
      <c r="C735">
        <v>465</v>
      </c>
      <c r="D735">
        <v>403</v>
      </c>
      <c r="E735" t="s">
        <v>21</v>
      </c>
    </row>
    <row r="736" spans="1:5" x14ac:dyDescent="0.35">
      <c r="A736" t="s">
        <v>484</v>
      </c>
      <c r="B736" t="s">
        <v>750</v>
      </c>
      <c r="C736">
        <v>364</v>
      </c>
      <c r="D736">
        <v>252</v>
      </c>
      <c r="E736" t="s">
        <v>21</v>
      </c>
    </row>
    <row r="737" spans="1:5" x14ac:dyDescent="0.35">
      <c r="A737" t="s">
        <v>751</v>
      </c>
      <c r="B737" t="s">
        <v>752</v>
      </c>
      <c r="C737">
        <v>226</v>
      </c>
      <c r="D737">
        <v>154</v>
      </c>
      <c r="E737" t="s">
        <v>17</v>
      </c>
    </row>
    <row r="738" spans="1:5" x14ac:dyDescent="0.35">
      <c r="A738" t="s">
        <v>751</v>
      </c>
      <c r="B738" t="s">
        <v>753</v>
      </c>
      <c r="C738">
        <v>123</v>
      </c>
      <c r="D738">
        <v>60</v>
      </c>
      <c r="E738" t="s">
        <v>17</v>
      </c>
    </row>
    <row r="739" spans="1:5" x14ac:dyDescent="0.35">
      <c r="A739" t="s">
        <v>751</v>
      </c>
      <c r="B739" t="s">
        <v>754</v>
      </c>
      <c r="C739">
        <v>176</v>
      </c>
      <c r="D739">
        <v>86</v>
      </c>
      <c r="E739" t="s">
        <v>17</v>
      </c>
    </row>
    <row r="740" spans="1:5" x14ac:dyDescent="0.35">
      <c r="A740" t="s">
        <v>751</v>
      </c>
      <c r="B740" t="s">
        <v>755</v>
      </c>
      <c r="C740">
        <v>289</v>
      </c>
      <c r="D740">
        <v>189</v>
      </c>
      <c r="E740" t="s">
        <v>9</v>
      </c>
    </row>
    <row r="741" spans="1:5" x14ac:dyDescent="0.35">
      <c r="A741" t="s">
        <v>751</v>
      </c>
      <c r="B741" t="s">
        <v>756</v>
      </c>
      <c r="C741">
        <v>238</v>
      </c>
      <c r="D741">
        <v>186</v>
      </c>
      <c r="E741" t="s">
        <v>33</v>
      </c>
    </row>
    <row r="742" spans="1:5" x14ac:dyDescent="0.35">
      <c r="A742" t="s">
        <v>751</v>
      </c>
      <c r="B742" t="s">
        <v>757</v>
      </c>
      <c r="C742">
        <v>281</v>
      </c>
      <c r="D742">
        <v>128</v>
      </c>
      <c r="E742" t="s">
        <v>9</v>
      </c>
    </row>
    <row r="743" spans="1:5" x14ac:dyDescent="0.35">
      <c r="A743" t="s">
        <v>751</v>
      </c>
      <c r="B743" t="s">
        <v>758</v>
      </c>
      <c r="C743">
        <v>140</v>
      </c>
      <c r="D743">
        <v>135</v>
      </c>
      <c r="E743" t="s">
        <v>7</v>
      </c>
    </row>
    <row r="744" spans="1:5" x14ac:dyDescent="0.35">
      <c r="A744" t="s">
        <v>759</v>
      </c>
      <c r="B744" t="s">
        <v>760</v>
      </c>
      <c r="C744">
        <v>312</v>
      </c>
      <c r="D744">
        <v>177</v>
      </c>
      <c r="E744" t="s">
        <v>11</v>
      </c>
    </row>
    <row r="745" spans="1:5" x14ac:dyDescent="0.35">
      <c r="A745" t="s">
        <v>759</v>
      </c>
      <c r="B745" t="s">
        <v>761</v>
      </c>
      <c r="C745">
        <v>275</v>
      </c>
      <c r="D745">
        <v>169</v>
      </c>
      <c r="E745" t="s">
        <v>17</v>
      </c>
    </row>
    <row r="746" spans="1:5" x14ac:dyDescent="0.35">
      <c r="A746" t="s">
        <v>759</v>
      </c>
      <c r="B746" t="s">
        <v>762</v>
      </c>
      <c r="C746">
        <v>259</v>
      </c>
      <c r="D746">
        <v>146</v>
      </c>
      <c r="E746" t="s">
        <v>11</v>
      </c>
    </row>
    <row r="747" spans="1:5" x14ac:dyDescent="0.35">
      <c r="A747" t="s">
        <v>759</v>
      </c>
      <c r="B747" t="s">
        <v>763</v>
      </c>
      <c r="C747">
        <v>308</v>
      </c>
      <c r="D747">
        <v>110</v>
      </c>
      <c r="E747" t="s">
        <v>7</v>
      </c>
    </row>
    <row r="748" spans="1:5" x14ac:dyDescent="0.35">
      <c r="A748" t="s">
        <v>759</v>
      </c>
      <c r="B748" t="s">
        <v>764</v>
      </c>
      <c r="C748">
        <v>185</v>
      </c>
      <c r="D748">
        <v>107</v>
      </c>
      <c r="E748" t="s">
        <v>7</v>
      </c>
    </row>
    <row r="749" spans="1:5" x14ac:dyDescent="0.35">
      <c r="A749" t="s">
        <v>759</v>
      </c>
      <c r="B749" t="s">
        <v>765</v>
      </c>
      <c r="C749">
        <v>119</v>
      </c>
      <c r="D749">
        <v>58</v>
      </c>
      <c r="E749" t="s">
        <v>11</v>
      </c>
    </row>
    <row r="750" spans="1:5" x14ac:dyDescent="0.35">
      <c r="A750" t="s">
        <v>759</v>
      </c>
      <c r="B750" t="s">
        <v>766</v>
      </c>
      <c r="C750">
        <v>274</v>
      </c>
      <c r="D750">
        <v>95</v>
      </c>
      <c r="E750" t="s">
        <v>9</v>
      </c>
    </row>
    <row r="751" spans="1:5" x14ac:dyDescent="0.35">
      <c r="A751" t="s">
        <v>759</v>
      </c>
      <c r="B751" t="s">
        <v>767</v>
      </c>
      <c r="C751">
        <v>89</v>
      </c>
      <c r="D751">
        <v>32</v>
      </c>
      <c r="E751" t="s">
        <v>17</v>
      </c>
    </row>
    <row r="752" spans="1:5" x14ac:dyDescent="0.35">
      <c r="A752" t="s">
        <v>759</v>
      </c>
      <c r="B752" t="s">
        <v>768</v>
      </c>
      <c r="C752">
        <v>267</v>
      </c>
      <c r="D752">
        <v>173</v>
      </c>
      <c r="E752" t="s">
        <v>7</v>
      </c>
    </row>
    <row r="753" spans="1:5" x14ac:dyDescent="0.35">
      <c r="A753" t="s">
        <v>759</v>
      </c>
      <c r="B753" t="s">
        <v>769</v>
      </c>
      <c r="C753">
        <v>172</v>
      </c>
      <c r="D753">
        <v>160</v>
      </c>
      <c r="E753" t="s">
        <v>11</v>
      </c>
    </row>
    <row r="754" spans="1:5" x14ac:dyDescent="0.35">
      <c r="A754" t="s">
        <v>759</v>
      </c>
      <c r="B754" t="s">
        <v>770</v>
      </c>
      <c r="C754">
        <v>252</v>
      </c>
      <c r="D754">
        <v>115</v>
      </c>
      <c r="E754" t="s">
        <v>33</v>
      </c>
    </row>
    <row r="755" spans="1:5" x14ac:dyDescent="0.35">
      <c r="A755" t="s">
        <v>759</v>
      </c>
      <c r="B755" t="s">
        <v>771</v>
      </c>
      <c r="C755">
        <v>235</v>
      </c>
      <c r="D755">
        <v>183</v>
      </c>
      <c r="E755" t="s">
        <v>15</v>
      </c>
    </row>
    <row r="756" spans="1:5" x14ac:dyDescent="0.35">
      <c r="A756" t="s">
        <v>759</v>
      </c>
      <c r="B756" t="s">
        <v>772</v>
      </c>
      <c r="C756">
        <v>314</v>
      </c>
      <c r="D756">
        <v>111</v>
      </c>
      <c r="E756" t="s">
        <v>9</v>
      </c>
    </row>
    <row r="757" spans="1:5" x14ac:dyDescent="0.35">
      <c r="A757" t="s">
        <v>759</v>
      </c>
      <c r="B757" t="s">
        <v>773</v>
      </c>
      <c r="C757">
        <v>263</v>
      </c>
      <c r="D757">
        <v>161</v>
      </c>
      <c r="E757" t="s">
        <v>17</v>
      </c>
    </row>
    <row r="758" spans="1:5" x14ac:dyDescent="0.35">
      <c r="A758" t="s">
        <v>759</v>
      </c>
      <c r="B758" t="s">
        <v>774</v>
      </c>
      <c r="C758">
        <v>244</v>
      </c>
      <c r="D758">
        <v>140</v>
      </c>
      <c r="E758" t="s">
        <v>17</v>
      </c>
    </row>
    <row r="759" spans="1:5" x14ac:dyDescent="0.35">
      <c r="A759" t="s">
        <v>759</v>
      </c>
      <c r="B759" t="s">
        <v>775</v>
      </c>
      <c r="C759">
        <v>254</v>
      </c>
      <c r="D759">
        <v>150</v>
      </c>
      <c r="E759" t="s">
        <v>7</v>
      </c>
    </row>
    <row r="760" spans="1:5" x14ac:dyDescent="0.35">
      <c r="A760" t="s">
        <v>759</v>
      </c>
      <c r="B760" t="s">
        <v>776</v>
      </c>
      <c r="C760">
        <v>200</v>
      </c>
      <c r="D760">
        <v>88</v>
      </c>
      <c r="E760" t="s">
        <v>11</v>
      </c>
    </row>
    <row r="761" spans="1:5" x14ac:dyDescent="0.35">
      <c r="A761" t="s">
        <v>759</v>
      </c>
      <c r="B761" t="s">
        <v>777</v>
      </c>
      <c r="C761">
        <v>250</v>
      </c>
      <c r="D761">
        <v>99</v>
      </c>
      <c r="E761" t="s">
        <v>11</v>
      </c>
    </row>
    <row r="762" spans="1:5" x14ac:dyDescent="0.35">
      <c r="A762" t="s">
        <v>759</v>
      </c>
      <c r="B762" t="s">
        <v>778</v>
      </c>
      <c r="C762">
        <v>80</v>
      </c>
      <c r="D762">
        <v>30</v>
      </c>
      <c r="E762" t="s">
        <v>15</v>
      </c>
    </row>
    <row r="763" spans="1:5" x14ac:dyDescent="0.35">
      <c r="A763" t="s">
        <v>759</v>
      </c>
      <c r="B763" t="s">
        <v>779</v>
      </c>
      <c r="C763">
        <v>91</v>
      </c>
      <c r="D763">
        <v>46</v>
      </c>
      <c r="E763" t="s">
        <v>7</v>
      </c>
    </row>
    <row r="764" spans="1:5" x14ac:dyDescent="0.35">
      <c r="A764" t="s">
        <v>759</v>
      </c>
      <c r="B764" t="s">
        <v>780</v>
      </c>
      <c r="C764">
        <v>281</v>
      </c>
      <c r="D764">
        <v>109</v>
      </c>
      <c r="E764" t="s">
        <v>11</v>
      </c>
    </row>
    <row r="765" spans="1:5" x14ac:dyDescent="0.35">
      <c r="A765" t="s">
        <v>759</v>
      </c>
      <c r="B765" t="s">
        <v>781</v>
      </c>
      <c r="C765">
        <v>247</v>
      </c>
      <c r="D765">
        <v>94</v>
      </c>
      <c r="E765" t="s">
        <v>21</v>
      </c>
    </row>
    <row r="766" spans="1:5" x14ac:dyDescent="0.35">
      <c r="A766" t="s">
        <v>759</v>
      </c>
      <c r="B766" t="s">
        <v>782</v>
      </c>
      <c r="C766">
        <v>291</v>
      </c>
      <c r="D766">
        <v>60</v>
      </c>
      <c r="E766" t="s">
        <v>33</v>
      </c>
    </row>
    <row r="767" spans="1:5" x14ac:dyDescent="0.35">
      <c r="A767" t="s">
        <v>759</v>
      </c>
      <c r="B767" t="s">
        <v>783</v>
      </c>
      <c r="C767">
        <v>225</v>
      </c>
      <c r="D767">
        <v>166</v>
      </c>
      <c r="E767" t="s">
        <v>9</v>
      </c>
    </row>
    <row r="768" spans="1:5" x14ac:dyDescent="0.35">
      <c r="A768" t="s">
        <v>759</v>
      </c>
      <c r="B768" t="s">
        <v>784</v>
      </c>
      <c r="C768">
        <v>113</v>
      </c>
      <c r="D768">
        <v>107</v>
      </c>
      <c r="E768" t="s">
        <v>21</v>
      </c>
    </row>
    <row r="769" spans="1:5" x14ac:dyDescent="0.35">
      <c r="A769" t="s">
        <v>759</v>
      </c>
      <c r="B769" t="s">
        <v>785</v>
      </c>
      <c r="C769">
        <v>180</v>
      </c>
      <c r="D769">
        <v>174</v>
      </c>
      <c r="E769" t="s">
        <v>21</v>
      </c>
    </row>
    <row r="770" spans="1:5" x14ac:dyDescent="0.35">
      <c r="A770" t="s">
        <v>759</v>
      </c>
      <c r="B770" t="s">
        <v>786</v>
      </c>
      <c r="C770">
        <v>258</v>
      </c>
      <c r="D770">
        <v>159</v>
      </c>
      <c r="E770" t="s">
        <v>15</v>
      </c>
    </row>
    <row r="771" spans="1:5" x14ac:dyDescent="0.35">
      <c r="A771" t="s">
        <v>759</v>
      </c>
      <c r="B771" t="s">
        <v>787</v>
      </c>
      <c r="C771">
        <v>56</v>
      </c>
      <c r="D771">
        <v>43</v>
      </c>
      <c r="E771" t="s">
        <v>7</v>
      </c>
    </row>
    <row r="772" spans="1:5" x14ac:dyDescent="0.35">
      <c r="A772" t="s">
        <v>759</v>
      </c>
      <c r="B772" t="s">
        <v>788</v>
      </c>
      <c r="C772">
        <v>315</v>
      </c>
      <c r="D772">
        <v>65</v>
      </c>
      <c r="E772" t="s">
        <v>7</v>
      </c>
    </row>
    <row r="773" spans="1:5" x14ac:dyDescent="0.35">
      <c r="A773" t="s">
        <v>759</v>
      </c>
      <c r="B773" t="s">
        <v>789</v>
      </c>
      <c r="C773">
        <v>116</v>
      </c>
      <c r="D773">
        <v>41</v>
      </c>
      <c r="E773" t="s">
        <v>21</v>
      </c>
    </row>
    <row r="774" spans="1:5" x14ac:dyDescent="0.35">
      <c r="A774" t="s">
        <v>759</v>
      </c>
      <c r="B774" t="s">
        <v>790</v>
      </c>
      <c r="C774">
        <v>174</v>
      </c>
      <c r="D774">
        <v>168</v>
      </c>
      <c r="E774" t="s">
        <v>33</v>
      </c>
    </row>
    <row r="775" spans="1:5" x14ac:dyDescent="0.35">
      <c r="A775" t="s">
        <v>759</v>
      </c>
      <c r="B775" t="s">
        <v>791</v>
      </c>
      <c r="C775">
        <v>185</v>
      </c>
      <c r="D775">
        <v>68</v>
      </c>
      <c r="E775" t="s">
        <v>9</v>
      </c>
    </row>
    <row r="776" spans="1:5" x14ac:dyDescent="0.35">
      <c r="A776" t="s">
        <v>759</v>
      </c>
      <c r="B776" t="s">
        <v>792</v>
      </c>
      <c r="C776">
        <v>247</v>
      </c>
      <c r="D776">
        <v>35</v>
      </c>
      <c r="E776" t="s">
        <v>9</v>
      </c>
    </row>
    <row r="777" spans="1:5" x14ac:dyDescent="0.35">
      <c r="A777" t="s">
        <v>759</v>
      </c>
      <c r="B777" t="s">
        <v>793</v>
      </c>
      <c r="C777">
        <v>189</v>
      </c>
      <c r="D777">
        <v>145</v>
      </c>
      <c r="E777" t="s">
        <v>33</v>
      </c>
    </row>
    <row r="778" spans="1:5" x14ac:dyDescent="0.35">
      <c r="A778" t="s">
        <v>759</v>
      </c>
      <c r="B778" t="s">
        <v>794</v>
      </c>
      <c r="C778">
        <v>287</v>
      </c>
      <c r="D778">
        <v>82</v>
      </c>
      <c r="E778" t="s">
        <v>15</v>
      </c>
    </row>
    <row r="779" spans="1:5" x14ac:dyDescent="0.35">
      <c r="A779" t="s">
        <v>759</v>
      </c>
      <c r="B779" t="s">
        <v>795</v>
      </c>
      <c r="C779">
        <v>206</v>
      </c>
      <c r="D779">
        <v>115</v>
      </c>
      <c r="E779" t="s">
        <v>21</v>
      </c>
    </row>
    <row r="780" spans="1:5" x14ac:dyDescent="0.35">
      <c r="A780" t="s">
        <v>759</v>
      </c>
      <c r="B780" t="s">
        <v>796</v>
      </c>
      <c r="C780">
        <v>289</v>
      </c>
      <c r="D780">
        <v>171</v>
      </c>
      <c r="E780" t="s">
        <v>7</v>
      </c>
    </row>
    <row r="781" spans="1:5" x14ac:dyDescent="0.35">
      <c r="A781" t="s">
        <v>759</v>
      </c>
      <c r="B781" t="s">
        <v>797</v>
      </c>
      <c r="C781">
        <v>301</v>
      </c>
      <c r="D781">
        <v>92</v>
      </c>
      <c r="E781" t="s">
        <v>21</v>
      </c>
    </row>
    <row r="782" spans="1:5" x14ac:dyDescent="0.35">
      <c r="A782" t="s">
        <v>759</v>
      </c>
      <c r="B782" t="s">
        <v>798</v>
      </c>
      <c r="C782">
        <v>279</v>
      </c>
      <c r="D782">
        <v>188</v>
      </c>
      <c r="E782" t="s">
        <v>7</v>
      </c>
    </row>
    <row r="783" spans="1:5" x14ac:dyDescent="0.35">
      <c r="A783" t="s">
        <v>759</v>
      </c>
      <c r="B783" t="s">
        <v>799</v>
      </c>
      <c r="C783">
        <v>193</v>
      </c>
      <c r="D783">
        <v>127</v>
      </c>
      <c r="E783" t="s">
        <v>7</v>
      </c>
    </row>
    <row r="784" spans="1:5" x14ac:dyDescent="0.35">
      <c r="A784" t="s">
        <v>759</v>
      </c>
      <c r="B784" t="s">
        <v>800</v>
      </c>
      <c r="C784">
        <v>67</v>
      </c>
      <c r="D784">
        <v>58</v>
      </c>
      <c r="E784" t="s">
        <v>17</v>
      </c>
    </row>
    <row r="785" spans="1:5" x14ac:dyDescent="0.35">
      <c r="A785" t="s">
        <v>759</v>
      </c>
      <c r="B785" t="s">
        <v>801</v>
      </c>
      <c r="C785">
        <v>253</v>
      </c>
      <c r="D785">
        <v>128</v>
      </c>
      <c r="E785" t="s">
        <v>15</v>
      </c>
    </row>
    <row r="786" spans="1:5" x14ac:dyDescent="0.35">
      <c r="A786" t="s">
        <v>759</v>
      </c>
      <c r="B786" t="s">
        <v>802</v>
      </c>
      <c r="C786">
        <v>254</v>
      </c>
      <c r="D786">
        <v>167</v>
      </c>
      <c r="E786" t="s">
        <v>21</v>
      </c>
    </row>
    <row r="787" spans="1:5" x14ac:dyDescent="0.35">
      <c r="A787" t="s">
        <v>759</v>
      </c>
      <c r="B787" t="s">
        <v>803</v>
      </c>
      <c r="C787">
        <v>209</v>
      </c>
      <c r="D787">
        <v>155</v>
      </c>
      <c r="E787" t="s">
        <v>15</v>
      </c>
    </row>
    <row r="788" spans="1:5" x14ac:dyDescent="0.35">
      <c r="A788" t="s">
        <v>759</v>
      </c>
      <c r="B788" t="s">
        <v>804</v>
      </c>
      <c r="C788">
        <v>233</v>
      </c>
      <c r="D788">
        <v>177</v>
      </c>
      <c r="E788" t="s">
        <v>15</v>
      </c>
    </row>
    <row r="789" spans="1:5" x14ac:dyDescent="0.35">
      <c r="A789" t="s">
        <v>759</v>
      </c>
      <c r="B789" t="s">
        <v>805</v>
      </c>
      <c r="C789">
        <v>237</v>
      </c>
      <c r="D789">
        <v>174</v>
      </c>
      <c r="E789" t="s">
        <v>33</v>
      </c>
    </row>
    <row r="790" spans="1:5" x14ac:dyDescent="0.35">
      <c r="A790" t="s">
        <v>759</v>
      </c>
      <c r="B790" t="s">
        <v>806</v>
      </c>
      <c r="C790">
        <v>308</v>
      </c>
      <c r="D790">
        <v>144</v>
      </c>
      <c r="E790" t="s">
        <v>33</v>
      </c>
    </row>
    <row r="791" spans="1:5" x14ac:dyDescent="0.35">
      <c r="A791" t="s">
        <v>759</v>
      </c>
      <c r="B791" t="s">
        <v>807</v>
      </c>
      <c r="C791">
        <v>304</v>
      </c>
      <c r="D791">
        <v>97</v>
      </c>
      <c r="E791" t="s">
        <v>11</v>
      </c>
    </row>
    <row r="792" spans="1:5" x14ac:dyDescent="0.35">
      <c r="A792" t="s">
        <v>759</v>
      </c>
      <c r="B792" t="s">
        <v>808</v>
      </c>
      <c r="C792">
        <v>310</v>
      </c>
      <c r="D792">
        <v>149</v>
      </c>
      <c r="E792" t="s">
        <v>33</v>
      </c>
    </row>
    <row r="793" spans="1:5" x14ac:dyDescent="0.35">
      <c r="A793" t="s">
        <v>759</v>
      </c>
      <c r="B793" t="s">
        <v>809</v>
      </c>
      <c r="C793">
        <v>183</v>
      </c>
      <c r="D793">
        <v>59</v>
      </c>
      <c r="E793" t="s">
        <v>17</v>
      </c>
    </row>
    <row r="794" spans="1:5" x14ac:dyDescent="0.35">
      <c r="A794" t="s">
        <v>759</v>
      </c>
      <c r="B794" t="s">
        <v>810</v>
      </c>
      <c r="C794">
        <v>267</v>
      </c>
      <c r="D794">
        <v>66</v>
      </c>
      <c r="E794" t="s">
        <v>17</v>
      </c>
    </row>
    <row r="795" spans="1:5" x14ac:dyDescent="0.35">
      <c r="A795" t="s">
        <v>759</v>
      </c>
      <c r="B795" t="s">
        <v>811</v>
      </c>
      <c r="C795">
        <v>154</v>
      </c>
      <c r="D795">
        <v>49</v>
      </c>
      <c r="E795" t="s">
        <v>7</v>
      </c>
    </row>
    <row r="796" spans="1:5" x14ac:dyDescent="0.35">
      <c r="A796" t="s">
        <v>759</v>
      </c>
      <c r="B796" t="s">
        <v>812</v>
      </c>
      <c r="C796">
        <v>249</v>
      </c>
      <c r="D796">
        <v>166</v>
      </c>
      <c r="E796" t="s">
        <v>15</v>
      </c>
    </row>
    <row r="797" spans="1:5" x14ac:dyDescent="0.35">
      <c r="A797" t="s">
        <v>759</v>
      </c>
      <c r="B797" t="s">
        <v>813</v>
      </c>
      <c r="C797">
        <v>292</v>
      </c>
      <c r="D797">
        <v>114</v>
      </c>
      <c r="E797" t="s">
        <v>15</v>
      </c>
    </row>
    <row r="798" spans="1:5" x14ac:dyDescent="0.35">
      <c r="A798" t="s">
        <v>759</v>
      </c>
      <c r="B798" t="s">
        <v>814</v>
      </c>
      <c r="C798">
        <v>302</v>
      </c>
      <c r="D798">
        <v>78</v>
      </c>
      <c r="E798" t="s">
        <v>33</v>
      </c>
    </row>
    <row r="799" spans="1:5" x14ac:dyDescent="0.35">
      <c r="A799" t="s">
        <v>759</v>
      </c>
      <c r="B799" t="s">
        <v>815</v>
      </c>
      <c r="C799">
        <v>187</v>
      </c>
      <c r="D799">
        <v>122</v>
      </c>
      <c r="E799" t="s">
        <v>33</v>
      </c>
    </row>
    <row r="800" spans="1:5" x14ac:dyDescent="0.35">
      <c r="A800" t="s">
        <v>759</v>
      </c>
      <c r="B800" t="s">
        <v>816</v>
      </c>
      <c r="C800">
        <v>56</v>
      </c>
      <c r="D800">
        <v>48</v>
      </c>
      <c r="E800" t="s">
        <v>7</v>
      </c>
    </row>
    <row r="801" spans="1:5" x14ac:dyDescent="0.35">
      <c r="A801" t="s">
        <v>759</v>
      </c>
      <c r="B801" t="s">
        <v>817</v>
      </c>
      <c r="C801">
        <v>144</v>
      </c>
      <c r="D801">
        <v>100</v>
      </c>
      <c r="E801" t="s">
        <v>33</v>
      </c>
    </row>
    <row r="802" spans="1:5" x14ac:dyDescent="0.35">
      <c r="A802" t="s">
        <v>759</v>
      </c>
      <c r="B802" t="s">
        <v>818</v>
      </c>
      <c r="C802">
        <v>290</v>
      </c>
      <c r="D802">
        <v>164</v>
      </c>
      <c r="E802" t="s">
        <v>11</v>
      </c>
    </row>
    <row r="803" spans="1:5" x14ac:dyDescent="0.35">
      <c r="A803" t="s">
        <v>759</v>
      </c>
      <c r="B803" t="s">
        <v>819</v>
      </c>
      <c r="C803">
        <v>54</v>
      </c>
      <c r="D803">
        <v>32</v>
      </c>
      <c r="E803" t="s">
        <v>15</v>
      </c>
    </row>
    <row r="804" spans="1:5" x14ac:dyDescent="0.35">
      <c r="A804" t="s">
        <v>759</v>
      </c>
      <c r="B804" t="s">
        <v>820</v>
      </c>
      <c r="C804">
        <v>123</v>
      </c>
      <c r="D804">
        <v>47</v>
      </c>
      <c r="E804" t="s">
        <v>7</v>
      </c>
    </row>
    <row r="805" spans="1:5" x14ac:dyDescent="0.35">
      <c r="A805" t="s">
        <v>759</v>
      </c>
      <c r="B805" t="s">
        <v>821</v>
      </c>
      <c r="C805">
        <v>159</v>
      </c>
      <c r="D805">
        <v>158</v>
      </c>
      <c r="E805" t="s">
        <v>17</v>
      </c>
    </row>
    <row r="806" spans="1:5" x14ac:dyDescent="0.35">
      <c r="A806" t="s">
        <v>759</v>
      </c>
      <c r="B806" t="s">
        <v>822</v>
      </c>
      <c r="C806">
        <v>200</v>
      </c>
      <c r="D806">
        <v>121</v>
      </c>
      <c r="E806" t="s">
        <v>11</v>
      </c>
    </row>
    <row r="807" spans="1:5" x14ac:dyDescent="0.35">
      <c r="A807" t="s">
        <v>759</v>
      </c>
      <c r="B807" t="s">
        <v>823</v>
      </c>
      <c r="C807">
        <v>283</v>
      </c>
      <c r="D807">
        <v>116</v>
      </c>
      <c r="E807" t="s">
        <v>11</v>
      </c>
    </row>
    <row r="808" spans="1:5" x14ac:dyDescent="0.35">
      <c r="A808" t="s">
        <v>759</v>
      </c>
      <c r="B808" t="s">
        <v>824</v>
      </c>
      <c r="C808">
        <v>97</v>
      </c>
      <c r="D808">
        <v>61</v>
      </c>
      <c r="E808" t="s">
        <v>15</v>
      </c>
    </row>
    <row r="809" spans="1:5" x14ac:dyDescent="0.35">
      <c r="A809" t="s">
        <v>759</v>
      </c>
      <c r="B809" t="s">
        <v>825</v>
      </c>
      <c r="C809">
        <v>212</v>
      </c>
      <c r="D809">
        <v>178</v>
      </c>
      <c r="E809" t="s">
        <v>17</v>
      </c>
    </row>
    <row r="810" spans="1:5" x14ac:dyDescent="0.35">
      <c r="A810" t="s">
        <v>759</v>
      </c>
      <c r="B810" t="s">
        <v>826</v>
      </c>
      <c r="C810">
        <v>212</v>
      </c>
      <c r="D810">
        <v>170</v>
      </c>
      <c r="E810" t="s">
        <v>17</v>
      </c>
    </row>
    <row r="811" spans="1:5" x14ac:dyDescent="0.35">
      <c r="A811" t="s">
        <v>759</v>
      </c>
      <c r="B811" t="s">
        <v>827</v>
      </c>
      <c r="C811">
        <v>224</v>
      </c>
      <c r="D811">
        <v>151</v>
      </c>
      <c r="E811" t="s">
        <v>15</v>
      </c>
    </row>
    <row r="812" spans="1:5" x14ac:dyDescent="0.35">
      <c r="A812" t="s">
        <v>759</v>
      </c>
      <c r="B812" t="s">
        <v>828</v>
      </c>
      <c r="C812">
        <v>251</v>
      </c>
      <c r="D812">
        <v>106</v>
      </c>
      <c r="E812" t="s">
        <v>7</v>
      </c>
    </row>
    <row r="813" spans="1:5" x14ac:dyDescent="0.35">
      <c r="A813" t="s">
        <v>759</v>
      </c>
      <c r="B813" t="s">
        <v>829</v>
      </c>
      <c r="C813">
        <v>142</v>
      </c>
      <c r="D813">
        <v>45</v>
      </c>
      <c r="E813" t="s">
        <v>9</v>
      </c>
    </row>
    <row r="814" spans="1:5" x14ac:dyDescent="0.35">
      <c r="A814" t="s">
        <v>759</v>
      </c>
      <c r="B814" t="s">
        <v>830</v>
      </c>
      <c r="C814">
        <v>204</v>
      </c>
      <c r="D814">
        <v>156</v>
      </c>
      <c r="E814" t="s">
        <v>21</v>
      </c>
    </row>
    <row r="815" spans="1:5" x14ac:dyDescent="0.35">
      <c r="A815" t="s">
        <v>759</v>
      </c>
      <c r="B815" t="s">
        <v>831</v>
      </c>
      <c r="C815">
        <v>72</v>
      </c>
      <c r="D815">
        <v>41</v>
      </c>
      <c r="E815" t="s">
        <v>7</v>
      </c>
    </row>
    <row r="816" spans="1:5" x14ac:dyDescent="0.35">
      <c r="A816" t="s">
        <v>759</v>
      </c>
      <c r="B816" t="s">
        <v>832</v>
      </c>
      <c r="C816">
        <v>259</v>
      </c>
      <c r="D816">
        <v>135</v>
      </c>
      <c r="E816" t="s">
        <v>33</v>
      </c>
    </row>
    <row r="817" spans="1:5" x14ac:dyDescent="0.35">
      <c r="A817" t="s">
        <v>759</v>
      </c>
      <c r="B817" t="s">
        <v>833</v>
      </c>
      <c r="C817">
        <v>196</v>
      </c>
      <c r="D817">
        <v>71</v>
      </c>
      <c r="E817" t="s">
        <v>9</v>
      </c>
    </row>
    <row r="818" spans="1:5" x14ac:dyDescent="0.35">
      <c r="A818" t="s">
        <v>759</v>
      </c>
      <c r="B818" t="s">
        <v>834</v>
      </c>
      <c r="C818">
        <v>287</v>
      </c>
      <c r="D818">
        <v>53</v>
      </c>
      <c r="E818" t="s">
        <v>9</v>
      </c>
    </row>
    <row r="819" spans="1:5" x14ac:dyDescent="0.35">
      <c r="A819" t="s">
        <v>759</v>
      </c>
      <c r="B819" t="s">
        <v>835</v>
      </c>
      <c r="C819">
        <v>47</v>
      </c>
      <c r="D819">
        <v>40</v>
      </c>
      <c r="E819" t="s">
        <v>11</v>
      </c>
    </row>
    <row r="820" spans="1:5" x14ac:dyDescent="0.35">
      <c r="A820" t="s">
        <v>759</v>
      </c>
      <c r="B820" t="s">
        <v>836</v>
      </c>
      <c r="C820">
        <v>259</v>
      </c>
      <c r="D820">
        <v>74</v>
      </c>
      <c r="E820" t="s">
        <v>11</v>
      </c>
    </row>
    <row r="821" spans="1:5" x14ac:dyDescent="0.35">
      <c r="A821" t="s">
        <v>759</v>
      </c>
      <c r="B821" t="s">
        <v>837</v>
      </c>
      <c r="C821">
        <v>157</v>
      </c>
      <c r="D821">
        <v>102</v>
      </c>
      <c r="E821" t="s">
        <v>15</v>
      </c>
    </row>
    <row r="822" spans="1:5" x14ac:dyDescent="0.35">
      <c r="A822" t="s">
        <v>759</v>
      </c>
      <c r="B822" t="s">
        <v>838</v>
      </c>
      <c r="C822">
        <v>183</v>
      </c>
      <c r="D822">
        <v>143</v>
      </c>
      <c r="E822" t="s">
        <v>7</v>
      </c>
    </row>
    <row r="823" spans="1:5" x14ac:dyDescent="0.35">
      <c r="A823" t="s">
        <v>759</v>
      </c>
      <c r="B823" t="s">
        <v>839</v>
      </c>
      <c r="C823">
        <v>148</v>
      </c>
      <c r="D823">
        <v>119</v>
      </c>
      <c r="E823" t="s">
        <v>33</v>
      </c>
    </row>
    <row r="824" spans="1:5" x14ac:dyDescent="0.35">
      <c r="A824" t="s">
        <v>759</v>
      </c>
      <c r="B824" t="s">
        <v>840</v>
      </c>
      <c r="C824">
        <v>161</v>
      </c>
      <c r="D824">
        <v>135</v>
      </c>
      <c r="E824" t="s">
        <v>21</v>
      </c>
    </row>
    <row r="825" spans="1:5" x14ac:dyDescent="0.35">
      <c r="A825" t="s">
        <v>759</v>
      </c>
      <c r="B825" t="s">
        <v>841</v>
      </c>
      <c r="C825">
        <v>125</v>
      </c>
      <c r="D825">
        <v>92</v>
      </c>
      <c r="E825" t="s">
        <v>9</v>
      </c>
    </row>
    <row r="826" spans="1:5" x14ac:dyDescent="0.35">
      <c r="A826" t="s">
        <v>759</v>
      </c>
      <c r="B826" t="s">
        <v>842</v>
      </c>
      <c r="C826">
        <v>164</v>
      </c>
      <c r="D826">
        <v>40</v>
      </c>
      <c r="E826" t="s">
        <v>21</v>
      </c>
    </row>
    <row r="827" spans="1:5" x14ac:dyDescent="0.35">
      <c r="A827" t="s">
        <v>759</v>
      </c>
      <c r="B827" t="s">
        <v>843</v>
      </c>
      <c r="C827">
        <v>226</v>
      </c>
      <c r="D827">
        <v>128</v>
      </c>
      <c r="E827" t="s">
        <v>9</v>
      </c>
    </row>
    <row r="828" spans="1:5" x14ac:dyDescent="0.35">
      <c r="A828" t="s">
        <v>759</v>
      </c>
      <c r="B828" t="s">
        <v>844</v>
      </c>
      <c r="C828">
        <v>57</v>
      </c>
      <c r="D828">
        <v>55</v>
      </c>
      <c r="E828" t="s">
        <v>21</v>
      </c>
    </row>
    <row r="829" spans="1:5" x14ac:dyDescent="0.35">
      <c r="A829" t="s">
        <v>759</v>
      </c>
      <c r="B829" t="s">
        <v>845</v>
      </c>
      <c r="C829">
        <v>302</v>
      </c>
      <c r="D829">
        <v>163</v>
      </c>
      <c r="E829" t="s">
        <v>33</v>
      </c>
    </row>
    <row r="830" spans="1:5" x14ac:dyDescent="0.35">
      <c r="A830" t="s">
        <v>759</v>
      </c>
      <c r="B830" t="s">
        <v>846</v>
      </c>
      <c r="C830">
        <v>221</v>
      </c>
      <c r="D830">
        <v>121</v>
      </c>
      <c r="E830" t="s">
        <v>15</v>
      </c>
    </row>
    <row r="831" spans="1:5" x14ac:dyDescent="0.35">
      <c r="A831" t="s">
        <v>759</v>
      </c>
      <c r="B831" t="s">
        <v>847</v>
      </c>
      <c r="C831">
        <v>125</v>
      </c>
      <c r="D831">
        <v>67</v>
      </c>
      <c r="E831" t="s">
        <v>17</v>
      </c>
    </row>
    <row r="832" spans="1:5" x14ac:dyDescent="0.35">
      <c r="A832" t="s">
        <v>759</v>
      </c>
      <c r="B832" t="s">
        <v>848</v>
      </c>
      <c r="C832">
        <v>319</v>
      </c>
      <c r="D832">
        <v>61</v>
      </c>
      <c r="E832" t="s">
        <v>11</v>
      </c>
    </row>
    <row r="833" spans="1:5" x14ac:dyDescent="0.35">
      <c r="A833" t="s">
        <v>759</v>
      </c>
      <c r="B833" t="s">
        <v>849</v>
      </c>
      <c r="C833">
        <v>268</v>
      </c>
      <c r="D833">
        <v>74</v>
      </c>
      <c r="E833" t="s">
        <v>33</v>
      </c>
    </row>
    <row r="834" spans="1:5" x14ac:dyDescent="0.35">
      <c r="A834" t="s">
        <v>759</v>
      </c>
      <c r="B834" t="s">
        <v>850</v>
      </c>
      <c r="C834">
        <v>166</v>
      </c>
      <c r="D834">
        <v>85</v>
      </c>
      <c r="E834" t="s">
        <v>9</v>
      </c>
    </row>
    <row r="835" spans="1:5" x14ac:dyDescent="0.35">
      <c r="A835" t="s">
        <v>759</v>
      </c>
      <c r="B835" t="s">
        <v>851</v>
      </c>
      <c r="C835">
        <v>278</v>
      </c>
      <c r="D835">
        <v>110</v>
      </c>
      <c r="E835" t="s">
        <v>7</v>
      </c>
    </row>
    <row r="836" spans="1:5" x14ac:dyDescent="0.35">
      <c r="A836" t="s">
        <v>759</v>
      </c>
      <c r="B836" t="s">
        <v>852</v>
      </c>
      <c r="C836">
        <v>258</v>
      </c>
      <c r="D836">
        <v>153</v>
      </c>
      <c r="E836" t="s">
        <v>11</v>
      </c>
    </row>
    <row r="837" spans="1:5" x14ac:dyDescent="0.35">
      <c r="A837" t="s">
        <v>759</v>
      </c>
      <c r="B837" t="s">
        <v>853</v>
      </c>
      <c r="C837">
        <v>273</v>
      </c>
      <c r="D837">
        <v>182</v>
      </c>
      <c r="E837" t="s">
        <v>7</v>
      </c>
    </row>
    <row r="838" spans="1:5" x14ac:dyDescent="0.35">
      <c r="A838" t="s">
        <v>759</v>
      </c>
      <c r="B838" t="s">
        <v>854</v>
      </c>
      <c r="C838">
        <v>294</v>
      </c>
      <c r="D838">
        <v>129</v>
      </c>
      <c r="E838" t="s">
        <v>33</v>
      </c>
    </row>
    <row r="839" spans="1:5" x14ac:dyDescent="0.35">
      <c r="A839" t="s">
        <v>759</v>
      </c>
      <c r="B839" t="s">
        <v>855</v>
      </c>
      <c r="C839">
        <v>260</v>
      </c>
      <c r="D839">
        <v>184</v>
      </c>
      <c r="E839" t="s">
        <v>11</v>
      </c>
    </row>
    <row r="840" spans="1:5" x14ac:dyDescent="0.35">
      <c r="A840" t="s">
        <v>759</v>
      </c>
      <c r="B840" t="s">
        <v>856</v>
      </c>
      <c r="C840">
        <v>102</v>
      </c>
      <c r="D840">
        <v>38</v>
      </c>
      <c r="E840" t="s">
        <v>9</v>
      </c>
    </row>
    <row r="841" spans="1:5" x14ac:dyDescent="0.35">
      <c r="A841" t="s">
        <v>759</v>
      </c>
      <c r="B841" t="s">
        <v>857</v>
      </c>
      <c r="C841">
        <v>312</v>
      </c>
      <c r="D841">
        <v>126</v>
      </c>
      <c r="E841" t="s">
        <v>17</v>
      </c>
    </row>
    <row r="842" spans="1:5" x14ac:dyDescent="0.35">
      <c r="A842" t="s">
        <v>759</v>
      </c>
      <c r="B842" t="s">
        <v>858</v>
      </c>
      <c r="C842">
        <v>172</v>
      </c>
      <c r="D842">
        <v>104</v>
      </c>
      <c r="E842" t="s">
        <v>11</v>
      </c>
    </row>
    <row r="843" spans="1:5" x14ac:dyDescent="0.35">
      <c r="A843" t="s">
        <v>759</v>
      </c>
      <c r="B843" t="s">
        <v>859</v>
      </c>
      <c r="C843">
        <v>212</v>
      </c>
      <c r="D843">
        <v>184</v>
      </c>
      <c r="E843" t="s">
        <v>17</v>
      </c>
    </row>
    <row r="844" spans="1:5" x14ac:dyDescent="0.35">
      <c r="A844" t="s">
        <v>759</v>
      </c>
      <c r="B844" t="s">
        <v>860</v>
      </c>
      <c r="C844">
        <v>46</v>
      </c>
      <c r="D844">
        <v>43</v>
      </c>
      <c r="E844" t="s">
        <v>9</v>
      </c>
    </row>
    <row r="845" spans="1:5" x14ac:dyDescent="0.35">
      <c r="A845" t="s">
        <v>759</v>
      </c>
      <c r="B845" t="s">
        <v>861</v>
      </c>
      <c r="C845">
        <v>214</v>
      </c>
      <c r="D845">
        <v>72</v>
      </c>
      <c r="E845" t="s">
        <v>11</v>
      </c>
    </row>
    <row r="846" spans="1:5" x14ac:dyDescent="0.35">
      <c r="A846" t="s">
        <v>759</v>
      </c>
      <c r="B846" t="s">
        <v>862</v>
      </c>
      <c r="C846">
        <v>260</v>
      </c>
      <c r="D846">
        <v>49</v>
      </c>
      <c r="E846" t="s">
        <v>33</v>
      </c>
    </row>
    <row r="847" spans="1:5" x14ac:dyDescent="0.35">
      <c r="A847" t="s">
        <v>759</v>
      </c>
      <c r="B847" t="s">
        <v>863</v>
      </c>
      <c r="C847">
        <v>186</v>
      </c>
      <c r="D847">
        <v>141</v>
      </c>
      <c r="E847" t="s">
        <v>15</v>
      </c>
    </row>
    <row r="848" spans="1:5" x14ac:dyDescent="0.35">
      <c r="A848" t="s">
        <v>759</v>
      </c>
      <c r="B848" t="s">
        <v>864</v>
      </c>
      <c r="C848">
        <v>266</v>
      </c>
      <c r="D848">
        <v>72</v>
      </c>
      <c r="E848" t="s">
        <v>7</v>
      </c>
    </row>
    <row r="849" spans="1:5" x14ac:dyDescent="0.35">
      <c r="A849" t="s">
        <v>759</v>
      </c>
      <c r="B849" t="s">
        <v>865</v>
      </c>
      <c r="C849">
        <v>194</v>
      </c>
      <c r="D849">
        <v>153</v>
      </c>
      <c r="E849" t="s">
        <v>21</v>
      </c>
    </row>
    <row r="850" spans="1:5" x14ac:dyDescent="0.35">
      <c r="A850" t="s">
        <v>759</v>
      </c>
      <c r="B850" t="s">
        <v>866</v>
      </c>
      <c r="C850">
        <v>310</v>
      </c>
      <c r="D850">
        <v>79</v>
      </c>
      <c r="E850" t="s">
        <v>9</v>
      </c>
    </row>
    <row r="851" spans="1:5" x14ac:dyDescent="0.35">
      <c r="A851" t="s">
        <v>759</v>
      </c>
      <c r="B851" t="s">
        <v>867</v>
      </c>
      <c r="C851">
        <v>275</v>
      </c>
      <c r="D851">
        <v>162</v>
      </c>
      <c r="E851" t="s">
        <v>33</v>
      </c>
    </row>
    <row r="852" spans="1:5" x14ac:dyDescent="0.35">
      <c r="A852" t="s">
        <v>759</v>
      </c>
      <c r="B852" t="s">
        <v>868</v>
      </c>
      <c r="C852">
        <v>200</v>
      </c>
      <c r="D852">
        <v>95</v>
      </c>
      <c r="E852" t="s">
        <v>21</v>
      </c>
    </row>
    <row r="853" spans="1:5" x14ac:dyDescent="0.35">
      <c r="A853" t="s">
        <v>759</v>
      </c>
      <c r="B853" t="s">
        <v>869</v>
      </c>
      <c r="C853">
        <v>291</v>
      </c>
      <c r="D853">
        <v>84</v>
      </c>
      <c r="E853" t="s">
        <v>33</v>
      </c>
    </row>
    <row r="854" spans="1:5" x14ac:dyDescent="0.35">
      <c r="A854" t="s">
        <v>759</v>
      </c>
      <c r="B854" t="s">
        <v>870</v>
      </c>
      <c r="C854">
        <v>166</v>
      </c>
      <c r="D854">
        <v>112</v>
      </c>
      <c r="E854" t="s">
        <v>21</v>
      </c>
    </row>
    <row r="855" spans="1:5" x14ac:dyDescent="0.35">
      <c r="A855" t="s">
        <v>759</v>
      </c>
      <c r="B855" t="s">
        <v>871</v>
      </c>
      <c r="C855">
        <v>245</v>
      </c>
      <c r="D855">
        <v>47</v>
      </c>
      <c r="E855" t="s">
        <v>33</v>
      </c>
    </row>
    <row r="856" spans="1:5" x14ac:dyDescent="0.35">
      <c r="A856" t="s">
        <v>759</v>
      </c>
      <c r="B856" t="s">
        <v>872</v>
      </c>
      <c r="C856">
        <v>35</v>
      </c>
      <c r="D856">
        <v>34</v>
      </c>
      <c r="E856" t="s">
        <v>9</v>
      </c>
    </row>
    <row r="857" spans="1:5" x14ac:dyDescent="0.35">
      <c r="A857" t="s">
        <v>759</v>
      </c>
      <c r="B857" t="s">
        <v>873</v>
      </c>
      <c r="C857">
        <v>279</v>
      </c>
      <c r="D857">
        <v>144</v>
      </c>
      <c r="E857" t="s">
        <v>17</v>
      </c>
    </row>
    <row r="858" spans="1:5" x14ac:dyDescent="0.35">
      <c r="A858" t="s">
        <v>759</v>
      </c>
      <c r="B858" t="s">
        <v>874</v>
      </c>
      <c r="C858">
        <v>278</v>
      </c>
      <c r="D858">
        <v>66</v>
      </c>
      <c r="E858" t="s">
        <v>17</v>
      </c>
    </row>
    <row r="859" spans="1:5" x14ac:dyDescent="0.35">
      <c r="A859" t="s">
        <v>759</v>
      </c>
      <c r="B859" t="s">
        <v>875</v>
      </c>
      <c r="C859">
        <v>239</v>
      </c>
      <c r="D859">
        <v>90</v>
      </c>
      <c r="E859" t="s">
        <v>11</v>
      </c>
    </row>
    <row r="860" spans="1:5" x14ac:dyDescent="0.35">
      <c r="A860" t="s">
        <v>759</v>
      </c>
      <c r="B860" t="s">
        <v>876</v>
      </c>
      <c r="C860">
        <v>174</v>
      </c>
      <c r="D860">
        <v>86</v>
      </c>
      <c r="E860" t="s">
        <v>21</v>
      </c>
    </row>
    <row r="861" spans="1:5" x14ac:dyDescent="0.35">
      <c r="A861" t="s">
        <v>759</v>
      </c>
      <c r="B861" t="s">
        <v>877</v>
      </c>
      <c r="C861">
        <v>186</v>
      </c>
      <c r="D861">
        <v>80</v>
      </c>
      <c r="E861" t="s">
        <v>17</v>
      </c>
    </row>
    <row r="862" spans="1:5" x14ac:dyDescent="0.35">
      <c r="A862" t="s">
        <v>759</v>
      </c>
      <c r="B862" t="s">
        <v>878</v>
      </c>
      <c r="C862">
        <v>251</v>
      </c>
      <c r="D862">
        <v>142</v>
      </c>
      <c r="E862" t="s">
        <v>17</v>
      </c>
    </row>
    <row r="863" spans="1:5" x14ac:dyDescent="0.35">
      <c r="A863" t="s">
        <v>759</v>
      </c>
      <c r="B863" t="s">
        <v>879</v>
      </c>
      <c r="C863">
        <v>275</v>
      </c>
      <c r="D863">
        <v>91</v>
      </c>
      <c r="E863" t="s">
        <v>9</v>
      </c>
    </row>
    <row r="864" spans="1:5" x14ac:dyDescent="0.35">
      <c r="A864" t="s">
        <v>759</v>
      </c>
      <c r="B864" t="s">
        <v>880</v>
      </c>
      <c r="C864">
        <v>257</v>
      </c>
      <c r="D864">
        <v>183</v>
      </c>
      <c r="E864" t="s">
        <v>33</v>
      </c>
    </row>
    <row r="865" spans="1:5" x14ac:dyDescent="0.35">
      <c r="A865" t="s">
        <v>759</v>
      </c>
      <c r="B865" t="s">
        <v>881</v>
      </c>
      <c r="C865">
        <v>154</v>
      </c>
      <c r="D865">
        <v>83</v>
      </c>
      <c r="E865" t="s">
        <v>33</v>
      </c>
    </row>
    <row r="866" spans="1:5" x14ac:dyDescent="0.35">
      <c r="A866" t="s">
        <v>759</v>
      </c>
      <c r="B866" t="s">
        <v>882</v>
      </c>
      <c r="C866">
        <v>182</v>
      </c>
      <c r="D866">
        <v>43</v>
      </c>
      <c r="E866" t="s">
        <v>15</v>
      </c>
    </row>
    <row r="867" spans="1:5" x14ac:dyDescent="0.35">
      <c r="A867" t="s">
        <v>759</v>
      </c>
      <c r="B867" t="s">
        <v>883</v>
      </c>
      <c r="C867">
        <v>237</v>
      </c>
      <c r="D867">
        <v>184</v>
      </c>
      <c r="E867" t="s">
        <v>11</v>
      </c>
    </row>
    <row r="868" spans="1:5" x14ac:dyDescent="0.35">
      <c r="A868" t="s">
        <v>759</v>
      </c>
      <c r="B868" t="s">
        <v>884</v>
      </c>
      <c r="C868">
        <v>167</v>
      </c>
      <c r="D868">
        <v>80</v>
      </c>
      <c r="E868" t="s">
        <v>9</v>
      </c>
    </row>
    <row r="869" spans="1:5" x14ac:dyDescent="0.35">
      <c r="A869" t="s">
        <v>759</v>
      </c>
      <c r="B869" t="s">
        <v>885</v>
      </c>
      <c r="C869">
        <v>89</v>
      </c>
      <c r="D869">
        <v>45</v>
      </c>
      <c r="E869" t="s">
        <v>15</v>
      </c>
    </row>
    <row r="870" spans="1:5" x14ac:dyDescent="0.35">
      <c r="A870" t="s">
        <v>759</v>
      </c>
      <c r="B870" t="s">
        <v>886</v>
      </c>
      <c r="C870">
        <v>158</v>
      </c>
      <c r="D870">
        <v>37</v>
      </c>
      <c r="E870" t="s">
        <v>9</v>
      </c>
    </row>
    <row r="871" spans="1:5" x14ac:dyDescent="0.35">
      <c r="A871" t="s">
        <v>759</v>
      </c>
      <c r="B871" t="s">
        <v>887</v>
      </c>
      <c r="C871">
        <v>61</v>
      </c>
      <c r="D871">
        <v>45</v>
      </c>
      <c r="E871" t="s">
        <v>15</v>
      </c>
    </row>
    <row r="872" spans="1:5" x14ac:dyDescent="0.35">
      <c r="A872" t="s">
        <v>759</v>
      </c>
      <c r="B872" t="s">
        <v>888</v>
      </c>
      <c r="C872">
        <v>101</v>
      </c>
      <c r="D872">
        <v>100</v>
      </c>
      <c r="E872" t="s">
        <v>21</v>
      </c>
    </row>
    <row r="873" spans="1:5" x14ac:dyDescent="0.35">
      <c r="A873" t="s">
        <v>759</v>
      </c>
      <c r="B873" t="s">
        <v>889</v>
      </c>
      <c r="C873">
        <v>105</v>
      </c>
      <c r="D873">
        <v>105</v>
      </c>
      <c r="E873" t="s">
        <v>15</v>
      </c>
    </row>
    <row r="874" spans="1:5" x14ac:dyDescent="0.35">
      <c r="A874" t="s">
        <v>759</v>
      </c>
      <c r="B874" t="s">
        <v>890</v>
      </c>
      <c r="C874">
        <v>191</v>
      </c>
      <c r="D874">
        <v>100</v>
      </c>
      <c r="E874" t="s">
        <v>17</v>
      </c>
    </row>
    <row r="875" spans="1:5" x14ac:dyDescent="0.35">
      <c r="A875" t="s">
        <v>759</v>
      </c>
      <c r="B875" t="s">
        <v>891</v>
      </c>
      <c r="C875">
        <v>293</v>
      </c>
      <c r="D875">
        <v>123</v>
      </c>
      <c r="E875" t="s">
        <v>15</v>
      </c>
    </row>
    <row r="876" spans="1:5" x14ac:dyDescent="0.35">
      <c r="A876" t="s">
        <v>759</v>
      </c>
      <c r="B876" t="s">
        <v>892</v>
      </c>
      <c r="C876">
        <v>99</v>
      </c>
      <c r="D876">
        <v>73</v>
      </c>
      <c r="E876" t="s">
        <v>33</v>
      </c>
    </row>
    <row r="877" spans="1:5" x14ac:dyDescent="0.35">
      <c r="A877" t="s">
        <v>759</v>
      </c>
      <c r="B877" t="s">
        <v>893</v>
      </c>
      <c r="C877">
        <v>307</v>
      </c>
      <c r="D877">
        <v>115</v>
      </c>
      <c r="E877" t="s">
        <v>11</v>
      </c>
    </row>
    <row r="878" spans="1:5" x14ac:dyDescent="0.35">
      <c r="A878" t="s">
        <v>759</v>
      </c>
      <c r="B878" t="s">
        <v>894</v>
      </c>
      <c r="C878">
        <v>203</v>
      </c>
      <c r="D878">
        <v>106</v>
      </c>
      <c r="E878" t="s">
        <v>9</v>
      </c>
    </row>
    <row r="879" spans="1:5" x14ac:dyDescent="0.35">
      <c r="A879" t="s">
        <v>759</v>
      </c>
      <c r="B879" t="s">
        <v>895</v>
      </c>
      <c r="C879">
        <v>122</v>
      </c>
      <c r="D879">
        <v>87</v>
      </c>
      <c r="E879" t="s">
        <v>15</v>
      </c>
    </row>
    <row r="880" spans="1:5" x14ac:dyDescent="0.35">
      <c r="A880" t="s">
        <v>759</v>
      </c>
      <c r="B880" t="s">
        <v>896</v>
      </c>
      <c r="C880">
        <v>183</v>
      </c>
      <c r="D880">
        <v>156</v>
      </c>
      <c r="E880" t="s">
        <v>9</v>
      </c>
    </row>
    <row r="881" spans="1:5" x14ac:dyDescent="0.35">
      <c r="A881" t="s">
        <v>759</v>
      </c>
      <c r="B881" t="s">
        <v>897</v>
      </c>
      <c r="C881">
        <v>127</v>
      </c>
      <c r="D881">
        <v>101</v>
      </c>
      <c r="E881" t="s">
        <v>17</v>
      </c>
    </row>
    <row r="882" spans="1:5" x14ac:dyDescent="0.35">
      <c r="A882" t="s">
        <v>759</v>
      </c>
      <c r="B882" t="s">
        <v>898</v>
      </c>
      <c r="C882">
        <v>255</v>
      </c>
      <c r="D882">
        <v>139</v>
      </c>
      <c r="E882" t="s">
        <v>33</v>
      </c>
    </row>
    <row r="883" spans="1:5" x14ac:dyDescent="0.35">
      <c r="A883" t="s">
        <v>759</v>
      </c>
      <c r="B883" t="s">
        <v>899</v>
      </c>
      <c r="C883">
        <v>133</v>
      </c>
      <c r="D883">
        <v>42</v>
      </c>
      <c r="E883" t="s">
        <v>21</v>
      </c>
    </row>
    <row r="884" spans="1:5" x14ac:dyDescent="0.35">
      <c r="A884" t="s">
        <v>759</v>
      </c>
      <c r="B884" t="s">
        <v>900</v>
      </c>
      <c r="C884">
        <v>252</v>
      </c>
      <c r="D884">
        <v>154</v>
      </c>
      <c r="E884" t="s">
        <v>21</v>
      </c>
    </row>
    <row r="885" spans="1:5" x14ac:dyDescent="0.35">
      <c r="A885" t="s">
        <v>759</v>
      </c>
      <c r="B885" t="s">
        <v>901</v>
      </c>
      <c r="C885">
        <v>313</v>
      </c>
      <c r="D885">
        <v>57</v>
      </c>
      <c r="E885" t="s">
        <v>9</v>
      </c>
    </row>
    <row r="886" spans="1:5" x14ac:dyDescent="0.35">
      <c r="A886" t="s">
        <v>759</v>
      </c>
      <c r="B886" t="s">
        <v>902</v>
      </c>
      <c r="C886">
        <v>241</v>
      </c>
      <c r="D886">
        <v>36</v>
      </c>
      <c r="E886" t="s">
        <v>17</v>
      </c>
    </row>
    <row r="887" spans="1:5" x14ac:dyDescent="0.35">
      <c r="A887" t="s">
        <v>759</v>
      </c>
      <c r="B887" t="s">
        <v>903</v>
      </c>
      <c r="C887">
        <v>221</v>
      </c>
      <c r="D887">
        <v>52</v>
      </c>
      <c r="E887" t="s">
        <v>21</v>
      </c>
    </row>
    <row r="888" spans="1:5" x14ac:dyDescent="0.35">
      <c r="A888" t="s">
        <v>759</v>
      </c>
      <c r="B888" t="s">
        <v>904</v>
      </c>
      <c r="C888">
        <v>258</v>
      </c>
      <c r="D888">
        <v>163</v>
      </c>
      <c r="E888" t="s">
        <v>9</v>
      </c>
    </row>
    <row r="889" spans="1:5" x14ac:dyDescent="0.35">
      <c r="A889" t="s">
        <v>759</v>
      </c>
      <c r="B889" t="s">
        <v>905</v>
      </c>
      <c r="C889">
        <v>306</v>
      </c>
      <c r="D889">
        <v>152</v>
      </c>
      <c r="E889" t="s">
        <v>33</v>
      </c>
    </row>
    <row r="890" spans="1:5" x14ac:dyDescent="0.35">
      <c r="A890" t="s">
        <v>759</v>
      </c>
      <c r="B890" t="s">
        <v>906</v>
      </c>
      <c r="C890">
        <v>224</v>
      </c>
      <c r="D890">
        <v>133</v>
      </c>
      <c r="E890" t="s">
        <v>33</v>
      </c>
    </row>
    <row r="891" spans="1:5" x14ac:dyDescent="0.35">
      <c r="A891" t="s">
        <v>759</v>
      </c>
      <c r="B891" t="s">
        <v>907</v>
      </c>
      <c r="C891">
        <v>276</v>
      </c>
      <c r="D891">
        <v>119</v>
      </c>
      <c r="E891" t="s">
        <v>33</v>
      </c>
    </row>
    <row r="892" spans="1:5" x14ac:dyDescent="0.35">
      <c r="A892" t="s">
        <v>759</v>
      </c>
      <c r="B892" t="s">
        <v>908</v>
      </c>
      <c r="C892">
        <v>303</v>
      </c>
      <c r="D892">
        <v>116</v>
      </c>
      <c r="E892" t="s">
        <v>17</v>
      </c>
    </row>
    <row r="893" spans="1:5" x14ac:dyDescent="0.35">
      <c r="A893" t="s">
        <v>759</v>
      </c>
      <c r="B893" t="s">
        <v>909</v>
      </c>
      <c r="C893">
        <v>173</v>
      </c>
      <c r="D893">
        <v>161</v>
      </c>
      <c r="E893" t="s">
        <v>7</v>
      </c>
    </row>
    <row r="894" spans="1:5" x14ac:dyDescent="0.35">
      <c r="A894" t="s">
        <v>759</v>
      </c>
      <c r="B894" t="s">
        <v>910</v>
      </c>
      <c r="C894">
        <v>255</v>
      </c>
      <c r="D894">
        <v>186</v>
      </c>
      <c r="E894" t="s">
        <v>17</v>
      </c>
    </row>
    <row r="895" spans="1:5" x14ac:dyDescent="0.35">
      <c r="A895" t="s">
        <v>759</v>
      </c>
      <c r="B895" t="s">
        <v>911</v>
      </c>
      <c r="C895">
        <v>221</v>
      </c>
      <c r="D895">
        <v>167</v>
      </c>
      <c r="E895" t="s">
        <v>11</v>
      </c>
    </row>
    <row r="896" spans="1:5" x14ac:dyDescent="0.35">
      <c r="A896" t="s">
        <v>759</v>
      </c>
      <c r="B896" t="s">
        <v>912</v>
      </c>
      <c r="C896">
        <v>176</v>
      </c>
      <c r="D896">
        <v>65</v>
      </c>
      <c r="E896" t="s">
        <v>9</v>
      </c>
    </row>
    <row r="897" spans="1:5" x14ac:dyDescent="0.35">
      <c r="A897" t="s">
        <v>759</v>
      </c>
      <c r="B897" t="s">
        <v>913</v>
      </c>
      <c r="C897">
        <v>212</v>
      </c>
      <c r="D897">
        <v>190</v>
      </c>
      <c r="E897" t="s">
        <v>15</v>
      </c>
    </row>
    <row r="898" spans="1:5" x14ac:dyDescent="0.35">
      <c r="A898" t="s">
        <v>759</v>
      </c>
      <c r="B898" t="s">
        <v>914</v>
      </c>
      <c r="C898">
        <v>316</v>
      </c>
      <c r="D898">
        <v>88</v>
      </c>
      <c r="E898" t="s">
        <v>11</v>
      </c>
    </row>
    <row r="899" spans="1:5" x14ac:dyDescent="0.35">
      <c r="A899" t="s">
        <v>759</v>
      </c>
      <c r="B899" t="s">
        <v>915</v>
      </c>
      <c r="C899">
        <v>203</v>
      </c>
      <c r="D899">
        <v>164</v>
      </c>
      <c r="E899" t="s">
        <v>33</v>
      </c>
    </row>
    <row r="900" spans="1:5" x14ac:dyDescent="0.35">
      <c r="A900" t="s">
        <v>759</v>
      </c>
      <c r="B900" t="s">
        <v>916</v>
      </c>
      <c r="C900">
        <v>129</v>
      </c>
      <c r="D900">
        <v>129</v>
      </c>
      <c r="E900" t="s">
        <v>15</v>
      </c>
    </row>
    <row r="901" spans="1:5" x14ac:dyDescent="0.35">
      <c r="A901" t="s">
        <v>759</v>
      </c>
      <c r="B901" t="s">
        <v>917</v>
      </c>
      <c r="C901">
        <v>120</v>
      </c>
      <c r="D901">
        <v>58</v>
      </c>
      <c r="E901" t="s">
        <v>21</v>
      </c>
    </row>
    <row r="902" spans="1:5" x14ac:dyDescent="0.35">
      <c r="A902" t="s">
        <v>759</v>
      </c>
      <c r="B902" t="s">
        <v>918</v>
      </c>
      <c r="C902">
        <v>320</v>
      </c>
      <c r="D902">
        <v>182</v>
      </c>
      <c r="E902" t="s">
        <v>15</v>
      </c>
    </row>
    <row r="903" spans="1:5" x14ac:dyDescent="0.35">
      <c r="A903" t="s">
        <v>759</v>
      </c>
      <c r="B903" t="s">
        <v>919</v>
      </c>
      <c r="C903">
        <v>126</v>
      </c>
      <c r="D903">
        <v>38</v>
      </c>
      <c r="E903" t="s">
        <v>9</v>
      </c>
    </row>
    <row r="904" spans="1:5" x14ac:dyDescent="0.35">
      <c r="A904" t="s">
        <v>759</v>
      </c>
      <c r="B904" t="s">
        <v>920</v>
      </c>
      <c r="C904">
        <v>240</v>
      </c>
      <c r="D904">
        <v>93</v>
      </c>
      <c r="E904" t="s">
        <v>15</v>
      </c>
    </row>
    <row r="905" spans="1:5" x14ac:dyDescent="0.35">
      <c r="A905" t="s">
        <v>759</v>
      </c>
      <c r="B905" t="s">
        <v>921</v>
      </c>
      <c r="C905">
        <v>109</v>
      </c>
      <c r="D905">
        <v>102</v>
      </c>
      <c r="E905" t="s">
        <v>11</v>
      </c>
    </row>
    <row r="906" spans="1:5" x14ac:dyDescent="0.35">
      <c r="A906" t="s">
        <v>759</v>
      </c>
      <c r="B906" t="s">
        <v>922</v>
      </c>
      <c r="C906">
        <v>222</v>
      </c>
      <c r="D906">
        <v>98</v>
      </c>
      <c r="E906" t="s">
        <v>21</v>
      </c>
    </row>
    <row r="907" spans="1:5" x14ac:dyDescent="0.35">
      <c r="A907" t="s">
        <v>759</v>
      </c>
      <c r="B907" t="s">
        <v>923</v>
      </c>
      <c r="C907">
        <v>152</v>
      </c>
      <c r="D907">
        <v>58</v>
      </c>
      <c r="E907" t="s">
        <v>17</v>
      </c>
    </row>
    <row r="908" spans="1:5" x14ac:dyDescent="0.35">
      <c r="A908" t="s">
        <v>759</v>
      </c>
      <c r="B908" t="s">
        <v>924</v>
      </c>
      <c r="C908">
        <v>48</v>
      </c>
      <c r="D908">
        <v>36</v>
      </c>
      <c r="E908" t="s">
        <v>7</v>
      </c>
    </row>
    <row r="909" spans="1:5" x14ac:dyDescent="0.35">
      <c r="A909" t="s">
        <v>759</v>
      </c>
      <c r="B909" t="s">
        <v>925</v>
      </c>
      <c r="C909">
        <v>205</v>
      </c>
      <c r="D909">
        <v>42</v>
      </c>
      <c r="E909" t="s">
        <v>17</v>
      </c>
    </row>
    <row r="910" spans="1:5" x14ac:dyDescent="0.35">
      <c r="A910" t="s">
        <v>759</v>
      </c>
      <c r="B910" t="s">
        <v>926</v>
      </c>
      <c r="C910">
        <v>303</v>
      </c>
      <c r="D910">
        <v>163</v>
      </c>
      <c r="E910" t="s">
        <v>9</v>
      </c>
    </row>
    <row r="911" spans="1:5" x14ac:dyDescent="0.35">
      <c r="A911" t="s">
        <v>759</v>
      </c>
      <c r="B911" t="s">
        <v>927</v>
      </c>
      <c r="C911">
        <v>313</v>
      </c>
      <c r="D911">
        <v>74</v>
      </c>
      <c r="E911" t="s">
        <v>33</v>
      </c>
    </row>
    <row r="912" spans="1:5" x14ac:dyDescent="0.35">
      <c r="A912" t="s">
        <v>759</v>
      </c>
      <c r="B912" t="s">
        <v>928</v>
      </c>
      <c r="C912">
        <v>203</v>
      </c>
      <c r="D912">
        <v>125</v>
      </c>
      <c r="E912" t="s">
        <v>7</v>
      </c>
    </row>
    <row r="913" spans="1:5" x14ac:dyDescent="0.35">
      <c r="A913" t="s">
        <v>759</v>
      </c>
      <c r="B913" t="s">
        <v>929</v>
      </c>
      <c r="C913">
        <v>247</v>
      </c>
      <c r="D913">
        <v>37</v>
      </c>
      <c r="E913" t="s">
        <v>7</v>
      </c>
    </row>
    <row r="914" spans="1:5" x14ac:dyDescent="0.35">
      <c r="A914" t="s">
        <v>759</v>
      </c>
      <c r="B914" t="s">
        <v>930</v>
      </c>
      <c r="C914">
        <v>284</v>
      </c>
      <c r="D914">
        <v>86</v>
      </c>
      <c r="E914" t="s">
        <v>21</v>
      </c>
    </row>
    <row r="915" spans="1:5" x14ac:dyDescent="0.35">
      <c r="A915" t="s">
        <v>759</v>
      </c>
      <c r="B915" t="s">
        <v>931</v>
      </c>
      <c r="C915">
        <v>178</v>
      </c>
      <c r="D915">
        <v>107</v>
      </c>
      <c r="E915" t="s">
        <v>9</v>
      </c>
    </row>
    <row r="916" spans="1:5" x14ac:dyDescent="0.35">
      <c r="A916" t="s">
        <v>759</v>
      </c>
      <c r="B916" t="s">
        <v>932</v>
      </c>
      <c r="C916">
        <v>151</v>
      </c>
      <c r="D916">
        <v>35</v>
      </c>
      <c r="E916" t="s">
        <v>7</v>
      </c>
    </row>
    <row r="917" spans="1:5" x14ac:dyDescent="0.35">
      <c r="A917" t="s">
        <v>759</v>
      </c>
      <c r="B917" t="s">
        <v>933</v>
      </c>
      <c r="C917">
        <v>108</v>
      </c>
      <c r="D917">
        <v>99</v>
      </c>
      <c r="E917" t="s">
        <v>15</v>
      </c>
    </row>
    <row r="918" spans="1:5" x14ac:dyDescent="0.35">
      <c r="A918" t="s">
        <v>759</v>
      </c>
      <c r="B918" t="s">
        <v>934</v>
      </c>
      <c r="C918">
        <v>180</v>
      </c>
      <c r="D918">
        <v>176</v>
      </c>
      <c r="E918" t="s">
        <v>33</v>
      </c>
    </row>
    <row r="919" spans="1:5" x14ac:dyDescent="0.35">
      <c r="A919" t="s">
        <v>759</v>
      </c>
      <c r="B919" t="s">
        <v>935</v>
      </c>
      <c r="C919">
        <v>213</v>
      </c>
      <c r="D919">
        <v>171</v>
      </c>
      <c r="E919" t="s">
        <v>11</v>
      </c>
    </row>
    <row r="920" spans="1:5" x14ac:dyDescent="0.35">
      <c r="A920" t="s">
        <v>759</v>
      </c>
      <c r="B920" t="s">
        <v>936</v>
      </c>
      <c r="C920">
        <v>225</v>
      </c>
      <c r="D920">
        <v>136</v>
      </c>
      <c r="E920" t="s">
        <v>11</v>
      </c>
    </row>
    <row r="921" spans="1:5" x14ac:dyDescent="0.35">
      <c r="A921" t="s">
        <v>759</v>
      </c>
      <c r="B921" t="s">
        <v>937</v>
      </c>
      <c r="C921">
        <v>96</v>
      </c>
      <c r="D921">
        <v>62</v>
      </c>
      <c r="E921" t="s">
        <v>15</v>
      </c>
    </row>
    <row r="922" spans="1:5" x14ac:dyDescent="0.35">
      <c r="A922" t="s">
        <v>759</v>
      </c>
      <c r="B922" t="s">
        <v>938</v>
      </c>
      <c r="C922">
        <v>245</v>
      </c>
      <c r="D922">
        <v>122</v>
      </c>
      <c r="E922" t="s">
        <v>15</v>
      </c>
    </row>
    <row r="923" spans="1:5" x14ac:dyDescent="0.35">
      <c r="A923" t="s">
        <v>759</v>
      </c>
      <c r="B923" t="s">
        <v>939</v>
      </c>
      <c r="C923">
        <v>311</v>
      </c>
      <c r="D923">
        <v>108</v>
      </c>
      <c r="E923" t="s">
        <v>21</v>
      </c>
    </row>
    <row r="924" spans="1:5" x14ac:dyDescent="0.35">
      <c r="A924" t="s">
        <v>759</v>
      </c>
      <c r="B924" t="s">
        <v>940</v>
      </c>
      <c r="C924">
        <v>135</v>
      </c>
      <c r="D924">
        <v>132</v>
      </c>
      <c r="E924" t="s">
        <v>9</v>
      </c>
    </row>
    <row r="925" spans="1:5" x14ac:dyDescent="0.35">
      <c r="A925" t="s">
        <v>759</v>
      </c>
      <c r="B925" t="s">
        <v>941</v>
      </c>
      <c r="C925">
        <v>208</v>
      </c>
      <c r="D925">
        <v>186</v>
      </c>
      <c r="E925" t="s">
        <v>21</v>
      </c>
    </row>
    <row r="926" spans="1:5" x14ac:dyDescent="0.35">
      <c r="A926" t="s">
        <v>759</v>
      </c>
      <c r="B926" t="s">
        <v>942</v>
      </c>
      <c r="C926">
        <v>287</v>
      </c>
      <c r="D926">
        <v>77</v>
      </c>
      <c r="E926" t="s">
        <v>9</v>
      </c>
    </row>
    <row r="927" spans="1:5" x14ac:dyDescent="0.35">
      <c r="A927" t="s">
        <v>759</v>
      </c>
      <c r="B927" t="s">
        <v>943</v>
      </c>
      <c r="C927">
        <v>301</v>
      </c>
      <c r="D927">
        <v>132</v>
      </c>
      <c r="E927" t="s">
        <v>15</v>
      </c>
    </row>
    <row r="928" spans="1:5" x14ac:dyDescent="0.35">
      <c r="A928" t="s">
        <v>759</v>
      </c>
      <c r="B928" t="s">
        <v>944</v>
      </c>
      <c r="C928">
        <v>74</v>
      </c>
      <c r="D928">
        <v>72</v>
      </c>
      <c r="E928" t="s">
        <v>21</v>
      </c>
    </row>
    <row r="929" spans="1:5" x14ac:dyDescent="0.35">
      <c r="A929" t="s">
        <v>759</v>
      </c>
      <c r="B929" t="s">
        <v>945</v>
      </c>
      <c r="C929">
        <v>262</v>
      </c>
      <c r="D929">
        <v>79</v>
      </c>
      <c r="E929" t="s">
        <v>21</v>
      </c>
    </row>
    <row r="930" spans="1:5" x14ac:dyDescent="0.35">
      <c r="A930" t="s">
        <v>759</v>
      </c>
      <c r="B930" t="s">
        <v>946</v>
      </c>
      <c r="C930">
        <v>242</v>
      </c>
      <c r="D930">
        <v>153</v>
      </c>
      <c r="E930" t="s">
        <v>17</v>
      </c>
    </row>
    <row r="931" spans="1:5" x14ac:dyDescent="0.35">
      <c r="A931" t="s">
        <v>759</v>
      </c>
      <c r="B931" t="s">
        <v>947</v>
      </c>
      <c r="C931">
        <v>254</v>
      </c>
      <c r="D931">
        <v>97</v>
      </c>
      <c r="E931" t="s">
        <v>7</v>
      </c>
    </row>
    <row r="932" spans="1:5" x14ac:dyDescent="0.35">
      <c r="A932" t="s">
        <v>759</v>
      </c>
      <c r="B932" t="s">
        <v>948</v>
      </c>
      <c r="C932">
        <v>192</v>
      </c>
      <c r="D932">
        <v>178</v>
      </c>
      <c r="E932" t="s">
        <v>9</v>
      </c>
    </row>
    <row r="933" spans="1:5" x14ac:dyDescent="0.35">
      <c r="A933" t="s">
        <v>949</v>
      </c>
      <c r="B933" t="s">
        <v>950</v>
      </c>
      <c r="C933">
        <v>80</v>
      </c>
      <c r="D933">
        <v>37</v>
      </c>
      <c r="E933" t="s">
        <v>21</v>
      </c>
    </row>
    <row r="934" spans="1:5" x14ac:dyDescent="0.35">
      <c r="A934" t="s">
        <v>949</v>
      </c>
      <c r="B934" t="s">
        <v>951</v>
      </c>
      <c r="C934">
        <v>216</v>
      </c>
      <c r="D934">
        <v>149</v>
      </c>
      <c r="E934" t="s">
        <v>9</v>
      </c>
    </row>
    <row r="935" spans="1:5" x14ac:dyDescent="0.35">
      <c r="A935" t="s">
        <v>949</v>
      </c>
      <c r="B935" t="s">
        <v>952</v>
      </c>
      <c r="C935">
        <v>234</v>
      </c>
      <c r="D935">
        <v>151</v>
      </c>
      <c r="E935" t="s">
        <v>17</v>
      </c>
    </row>
    <row r="936" spans="1:5" x14ac:dyDescent="0.35">
      <c r="A936" t="s">
        <v>949</v>
      </c>
      <c r="B936" t="s">
        <v>953</v>
      </c>
      <c r="C936">
        <v>318</v>
      </c>
      <c r="D936">
        <v>177</v>
      </c>
      <c r="E936" t="s">
        <v>33</v>
      </c>
    </row>
    <row r="937" spans="1:5" x14ac:dyDescent="0.35">
      <c r="A937" t="s">
        <v>949</v>
      </c>
      <c r="B937" t="s">
        <v>954</v>
      </c>
      <c r="C937">
        <v>285</v>
      </c>
      <c r="D937">
        <v>32</v>
      </c>
      <c r="E937" t="s">
        <v>17</v>
      </c>
    </row>
    <row r="938" spans="1:5" x14ac:dyDescent="0.35">
      <c r="A938" t="s">
        <v>949</v>
      </c>
      <c r="B938" t="s">
        <v>955</v>
      </c>
      <c r="C938">
        <v>186</v>
      </c>
      <c r="D938">
        <v>183</v>
      </c>
      <c r="E938" t="s">
        <v>33</v>
      </c>
    </row>
    <row r="939" spans="1:5" x14ac:dyDescent="0.35">
      <c r="A939" t="s">
        <v>949</v>
      </c>
      <c r="B939" t="s">
        <v>956</v>
      </c>
      <c r="C939">
        <v>189</v>
      </c>
      <c r="D939">
        <v>160</v>
      </c>
      <c r="E939" t="s">
        <v>21</v>
      </c>
    </row>
    <row r="940" spans="1:5" x14ac:dyDescent="0.35">
      <c r="A940" t="s">
        <v>957</v>
      </c>
      <c r="B940" t="s">
        <v>958</v>
      </c>
      <c r="C940">
        <v>320</v>
      </c>
      <c r="D940">
        <v>55</v>
      </c>
      <c r="E940" t="s">
        <v>9</v>
      </c>
    </row>
    <row r="941" spans="1:5" x14ac:dyDescent="0.35">
      <c r="A941" t="s">
        <v>957</v>
      </c>
      <c r="B941" t="s">
        <v>959</v>
      </c>
      <c r="C941">
        <v>285</v>
      </c>
      <c r="D941">
        <v>165</v>
      </c>
      <c r="E941" t="s">
        <v>15</v>
      </c>
    </row>
    <row r="942" spans="1:5" x14ac:dyDescent="0.35">
      <c r="A942" t="s">
        <v>957</v>
      </c>
      <c r="B942" t="s">
        <v>960</v>
      </c>
      <c r="C942">
        <v>153</v>
      </c>
      <c r="D942">
        <v>68</v>
      </c>
      <c r="E942" t="s">
        <v>33</v>
      </c>
    </row>
    <row r="943" spans="1:5" x14ac:dyDescent="0.35">
      <c r="A943" t="s">
        <v>957</v>
      </c>
      <c r="B943" t="s">
        <v>961</v>
      </c>
      <c r="C943">
        <v>274</v>
      </c>
      <c r="D943">
        <v>117</v>
      </c>
      <c r="E943" t="s">
        <v>33</v>
      </c>
    </row>
    <row r="944" spans="1:5" x14ac:dyDescent="0.35">
      <c r="A944" t="s">
        <v>957</v>
      </c>
      <c r="B944" t="s">
        <v>962</v>
      </c>
      <c r="C944">
        <v>98</v>
      </c>
      <c r="D944">
        <v>41</v>
      </c>
      <c r="E944" t="s">
        <v>11</v>
      </c>
    </row>
    <row r="945" spans="1:5" x14ac:dyDescent="0.35">
      <c r="A945" t="s">
        <v>957</v>
      </c>
      <c r="B945" t="s">
        <v>963</v>
      </c>
      <c r="C945">
        <v>195</v>
      </c>
      <c r="D945">
        <v>136</v>
      </c>
      <c r="E945" t="s">
        <v>11</v>
      </c>
    </row>
    <row r="946" spans="1:5" x14ac:dyDescent="0.35">
      <c r="A946" t="s">
        <v>957</v>
      </c>
      <c r="B946" t="s">
        <v>964</v>
      </c>
      <c r="C946">
        <v>167</v>
      </c>
      <c r="D946">
        <v>84</v>
      </c>
      <c r="E946" t="s">
        <v>21</v>
      </c>
    </row>
    <row r="947" spans="1:5" x14ac:dyDescent="0.35">
      <c r="A947" t="s">
        <v>957</v>
      </c>
      <c r="B947" t="s">
        <v>965</v>
      </c>
      <c r="C947">
        <v>250</v>
      </c>
      <c r="D947">
        <v>178</v>
      </c>
      <c r="E947" t="s">
        <v>9</v>
      </c>
    </row>
    <row r="948" spans="1:5" x14ac:dyDescent="0.35">
      <c r="A948" t="s">
        <v>957</v>
      </c>
      <c r="B948" t="s">
        <v>966</v>
      </c>
      <c r="C948">
        <v>292</v>
      </c>
      <c r="D948">
        <v>151</v>
      </c>
      <c r="E948" t="s">
        <v>9</v>
      </c>
    </row>
    <row r="949" spans="1:5" x14ac:dyDescent="0.35">
      <c r="A949" t="s">
        <v>957</v>
      </c>
      <c r="B949" t="s">
        <v>967</v>
      </c>
      <c r="C949">
        <v>183</v>
      </c>
      <c r="D949">
        <v>64</v>
      </c>
      <c r="E949" t="s">
        <v>7</v>
      </c>
    </row>
    <row r="950" spans="1:5" x14ac:dyDescent="0.35">
      <c r="A950" t="s">
        <v>957</v>
      </c>
      <c r="B950" t="s">
        <v>968</v>
      </c>
      <c r="C950">
        <v>245</v>
      </c>
      <c r="D950">
        <v>179</v>
      </c>
      <c r="E950" t="s">
        <v>11</v>
      </c>
    </row>
    <row r="951" spans="1:5" x14ac:dyDescent="0.35">
      <c r="A951" t="s">
        <v>957</v>
      </c>
      <c r="B951" t="s">
        <v>969</v>
      </c>
      <c r="C951">
        <v>119</v>
      </c>
      <c r="D951">
        <v>116</v>
      </c>
      <c r="E951" t="s">
        <v>33</v>
      </c>
    </row>
    <row r="952" spans="1:5" x14ac:dyDescent="0.35">
      <c r="A952" t="s">
        <v>957</v>
      </c>
      <c r="B952" t="s">
        <v>970</v>
      </c>
      <c r="C952">
        <v>301</v>
      </c>
      <c r="D952">
        <v>127</v>
      </c>
      <c r="E952" t="s">
        <v>17</v>
      </c>
    </row>
    <row r="953" spans="1:5" x14ac:dyDescent="0.35">
      <c r="A953" t="s">
        <v>957</v>
      </c>
      <c r="B953" t="s">
        <v>971</v>
      </c>
      <c r="C953">
        <v>185</v>
      </c>
      <c r="D953">
        <v>93</v>
      </c>
      <c r="E953" t="s">
        <v>15</v>
      </c>
    </row>
    <row r="954" spans="1:5" x14ac:dyDescent="0.35">
      <c r="A954" t="s">
        <v>972</v>
      </c>
      <c r="B954" t="s">
        <v>973</v>
      </c>
      <c r="C954">
        <v>409</v>
      </c>
      <c r="D954">
        <v>285</v>
      </c>
      <c r="E954" t="s">
        <v>7</v>
      </c>
    </row>
    <row r="955" spans="1:5" x14ac:dyDescent="0.35">
      <c r="A955" t="s">
        <v>972</v>
      </c>
      <c r="B955" t="s">
        <v>974</v>
      </c>
      <c r="C955">
        <v>483</v>
      </c>
      <c r="D955">
        <v>467</v>
      </c>
      <c r="E955" t="s">
        <v>21</v>
      </c>
    </row>
    <row r="956" spans="1:5" x14ac:dyDescent="0.35">
      <c r="A956" t="s">
        <v>972</v>
      </c>
      <c r="B956" t="s">
        <v>975</v>
      </c>
      <c r="C956">
        <v>495</v>
      </c>
      <c r="D956">
        <v>480</v>
      </c>
      <c r="E956" t="s">
        <v>7</v>
      </c>
    </row>
    <row r="957" spans="1:5" x14ac:dyDescent="0.35">
      <c r="A957" t="s">
        <v>972</v>
      </c>
      <c r="B957" t="s">
        <v>976</v>
      </c>
      <c r="C957">
        <v>459</v>
      </c>
      <c r="D957">
        <v>458</v>
      </c>
      <c r="E957" t="s">
        <v>17</v>
      </c>
    </row>
    <row r="958" spans="1:5" x14ac:dyDescent="0.35">
      <c r="A958" t="s">
        <v>972</v>
      </c>
      <c r="B958" t="s">
        <v>977</v>
      </c>
      <c r="C958">
        <v>316</v>
      </c>
      <c r="D958">
        <v>159</v>
      </c>
      <c r="E958" t="s">
        <v>17</v>
      </c>
    </row>
    <row r="959" spans="1:5" x14ac:dyDescent="0.35">
      <c r="A959" t="s">
        <v>972</v>
      </c>
      <c r="B959" t="s">
        <v>978</v>
      </c>
      <c r="C959">
        <v>466</v>
      </c>
      <c r="D959">
        <v>462</v>
      </c>
      <c r="E959" t="s">
        <v>9</v>
      </c>
    </row>
    <row r="960" spans="1:5" x14ac:dyDescent="0.35">
      <c r="A960" t="s">
        <v>972</v>
      </c>
      <c r="B960" t="s">
        <v>979</v>
      </c>
      <c r="C960">
        <v>437</v>
      </c>
      <c r="D960">
        <v>437</v>
      </c>
      <c r="E960" t="s">
        <v>9</v>
      </c>
    </row>
    <row r="961" spans="1:5" x14ac:dyDescent="0.35">
      <c r="A961" t="s">
        <v>972</v>
      </c>
      <c r="B961" t="s">
        <v>980</v>
      </c>
      <c r="C961">
        <v>487</v>
      </c>
      <c r="D961">
        <v>471</v>
      </c>
      <c r="E961" t="s">
        <v>21</v>
      </c>
    </row>
    <row r="962" spans="1:5" x14ac:dyDescent="0.35">
      <c r="A962" t="s">
        <v>972</v>
      </c>
      <c r="B962" t="s">
        <v>981</v>
      </c>
      <c r="C962">
        <v>256</v>
      </c>
      <c r="D962">
        <v>226</v>
      </c>
      <c r="E962" t="s">
        <v>21</v>
      </c>
    </row>
    <row r="963" spans="1:5" x14ac:dyDescent="0.35">
      <c r="A963" t="s">
        <v>972</v>
      </c>
      <c r="B963" t="s">
        <v>982</v>
      </c>
      <c r="C963">
        <v>404</v>
      </c>
      <c r="D963">
        <v>262</v>
      </c>
      <c r="E963" t="s">
        <v>17</v>
      </c>
    </row>
    <row r="964" spans="1:5" x14ac:dyDescent="0.35">
      <c r="A964" t="s">
        <v>972</v>
      </c>
      <c r="B964" t="s">
        <v>983</v>
      </c>
      <c r="C964">
        <v>438</v>
      </c>
      <c r="D964">
        <v>294</v>
      </c>
      <c r="E964" t="s">
        <v>15</v>
      </c>
    </row>
    <row r="965" spans="1:5" x14ac:dyDescent="0.35">
      <c r="A965" t="s">
        <v>972</v>
      </c>
      <c r="B965" t="s">
        <v>984</v>
      </c>
      <c r="C965">
        <v>449</v>
      </c>
      <c r="D965">
        <v>326</v>
      </c>
      <c r="E965" t="s">
        <v>17</v>
      </c>
    </row>
    <row r="966" spans="1:5" x14ac:dyDescent="0.35">
      <c r="A966" t="s">
        <v>972</v>
      </c>
      <c r="B966" t="s">
        <v>985</v>
      </c>
      <c r="C966">
        <v>377</v>
      </c>
      <c r="D966">
        <v>326</v>
      </c>
      <c r="E966" t="s">
        <v>33</v>
      </c>
    </row>
    <row r="967" spans="1:5" x14ac:dyDescent="0.35">
      <c r="A967" t="s">
        <v>972</v>
      </c>
      <c r="B967" t="s">
        <v>986</v>
      </c>
      <c r="C967">
        <v>409</v>
      </c>
      <c r="D967">
        <v>406</v>
      </c>
      <c r="E967" t="s">
        <v>21</v>
      </c>
    </row>
    <row r="968" spans="1:5" x14ac:dyDescent="0.35">
      <c r="A968" t="s">
        <v>972</v>
      </c>
      <c r="B968" t="s">
        <v>987</v>
      </c>
      <c r="C968">
        <v>452</v>
      </c>
      <c r="D968">
        <v>428</v>
      </c>
      <c r="E968" t="s">
        <v>17</v>
      </c>
    </row>
    <row r="969" spans="1:5" x14ac:dyDescent="0.35">
      <c r="A969" t="s">
        <v>972</v>
      </c>
      <c r="B969" t="s">
        <v>988</v>
      </c>
      <c r="C969">
        <v>451</v>
      </c>
      <c r="D969">
        <v>158</v>
      </c>
      <c r="E969" t="s">
        <v>7</v>
      </c>
    </row>
    <row r="970" spans="1:5" x14ac:dyDescent="0.35">
      <c r="A970" t="s">
        <v>972</v>
      </c>
      <c r="B970" t="s">
        <v>989</v>
      </c>
      <c r="C970">
        <v>459</v>
      </c>
      <c r="D970">
        <v>190</v>
      </c>
      <c r="E970" t="s">
        <v>7</v>
      </c>
    </row>
    <row r="971" spans="1:5" x14ac:dyDescent="0.35">
      <c r="A971" t="s">
        <v>972</v>
      </c>
      <c r="B971" t="s">
        <v>990</v>
      </c>
      <c r="C971">
        <v>376</v>
      </c>
      <c r="D971">
        <v>372</v>
      </c>
      <c r="E971" t="s">
        <v>21</v>
      </c>
    </row>
    <row r="972" spans="1:5" x14ac:dyDescent="0.35">
      <c r="A972" t="s">
        <v>972</v>
      </c>
      <c r="B972" t="s">
        <v>991</v>
      </c>
      <c r="C972">
        <v>496</v>
      </c>
      <c r="D972">
        <v>262</v>
      </c>
      <c r="E972" t="s">
        <v>21</v>
      </c>
    </row>
    <row r="973" spans="1:5" x14ac:dyDescent="0.35">
      <c r="A973" t="s">
        <v>972</v>
      </c>
      <c r="B973" t="s">
        <v>992</v>
      </c>
      <c r="C973">
        <v>260</v>
      </c>
      <c r="D973">
        <v>258</v>
      </c>
      <c r="E973" t="s">
        <v>17</v>
      </c>
    </row>
    <row r="974" spans="1:5" x14ac:dyDescent="0.35">
      <c r="A974" t="s">
        <v>972</v>
      </c>
      <c r="B974" t="s">
        <v>993</v>
      </c>
      <c r="C974">
        <v>458</v>
      </c>
      <c r="D974">
        <v>401</v>
      </c>
      <c r="E974" t="s">
        <v>7</v>
      </c>
    </row>
    <row r="975" spans="1:5" x14ac:dyDescent="0.35">
      <c r="A975" t="s">
        <v>972</v>
      </c>
      <c r="B975" t="s">
        <v>994</v>
      </c>
      <c r="C975">
        <v>439</v>
      </c>
      <c r="D975">
        <v>399</v>
      </c>
      <c r="E975" t="s">
        <v>17</v>
      </c>
    </row>
    <row r="976" spans="1:5" x14ac:dyDescent="0.35">
      <c r="A976" t="s">
        <v>972</v>
      </c>
      <c r="B976" t="s">
        <v>995</v>
      </c>
      <c r="C976">
        <v>482</v>
      </c>
      <c r="D976">
        <v>164</v>
      </c>
      <c r="E976" t="s">
        <v>11</v>
      </c>
    </row>
    <row r="977" spans="1:5" x14ac:dyDescent="0.35">
      <c r="A977" t="s">
        <v>972</v>
      </c>
      <c r="B977" t="s">
        <v>996</v>
      </c>
      <c r="C977">
        <v>315</v>
      </c>
      <c r="D977">
        <v>177</v>
      </c>
      <c r="E977" t="s">
        <v>17</v>
      </c>
    </row>
    <row r="978" spans="1:5" x14ac:dyDescent="0.35">
      <c r="A978" t="s">
        <v>972</v>
      </c>
      <c r="B978" t="s">
        <v>997</v>
      </c>
      <c r="C978">
        <v>370</v>
      </c>
      <c r="D978">
        <v>174</v>
      </c>
      <c r="E978" t="s">
        <v>33</v>
      </c>
    </row>
    <row r="979" spans="1:5" x14ac:dyDescent="0.35">
      <c r="A979" t="s">
        <v>972</v>
      </c>
      <c r="B979" t="s">
        <v>998</v>
      </c>
      <c r="C979">
        <v>433</v>
      </c>
      <c r="D979">
        <v>260</v>
      </c>
      <c r="E979" t="s">
        <v>17</v>
      </c>
    </row>
    <row r="980" spans="1:5" x14ac:dyDescent="0.35">
      <c r="A980" t="s">
        <v>972</v>
      </c>
      <c r="B980" t="s">
        <v>999</v>
      </c>
      <c r="C980">
        <v>463</v>
      </c>
      <c r="D980">
        <v>285</v>
      </c>
      <c r="E980" t="s">
        <v>11</v>
      </c>
    </row>
    <row r="981" spans="1:5" x14ac:dyDescent="0.35">
      <c r="A981" t="s">
        <v>972</v>
      </c>
      <c r="B981" t="s">
        <v>1000</v>
      </c>
      <c r="C981">
        <v>391</v>
      </c>
      <c r="D981">
        <v>326</v>
      </c>
      <c r="E981" t="s">
        <v>7</v>
      </c>
    </row>
    <row r="982" spans="1:5" x14ac:dyDescent="0.35">
      <c r="A982" t="s">
        <v>972</v>
      </c>
      <c r="B982" t="s">
        <v>1001</v>
      </c>
      <c r="C982">
        <v>202</v>
      </c>
      <c r="D982">
        <v>188</v>
      </c>
      <c r="E982" t="s">
        <v>17</v>
      </c>
    </row>
    <row r="983" spans="1:5" x14ac:dyDescent="0.35">
      <c r="A983" t="s">
        <v>972</v>
      </c>
      <c r="B983" t="s">
        <v>1002</v>
      </c>
      <c r="C983">
        <v>400</v>
      </c>
      <c r="D983">
        <v>384</v>
      </c>
      <c r="E983" t="s">
        <v>21</v>
      </c>
    </row>
    <row r="984" spans="1:5" x14ac:dyDescent="0.35">
      <c r="A984" t="s">
        <v>972</v>
      </c>
      <c r="B984" t="s">
        <v>1003</v>
      </c>
      <c r="C984">
        <v>445</v>
      </c>
      <c r="D984">
        <v>373</v>
      </c>
      <c r="E984" t="s">
        <v>17</v>
      </c>
    </row>
    <row r="985" spans="1:5" x14ac:dyDescent="0.35">
      <c r="A985" t="s">
        <v>972</v>
      </c>
      <c r="B985" t="s">
        <v>1004</v>
      </c>
      <c r="C985">
        <v>462</v>
      </c>
      <c r="D985">
        <v>427</v>
      </c>
      <c r="E985" t="s">
        <v>17</v>
      </c>
    </row>
    <row r="986" spans="1:5" x14ac:dyDescent="0.35">
      <c r="A986" t="s">
        <v>972</v>
      </c>
      <c r="B986" t="s">
        <v>1005</v>
      </c>
      <c r="C986">
        <v>477</v>
      </c>
      <c r="D986">
        <v>427</v>
      </c>
      <c r="E986" t="s">
        <v>17</v>
      </c>
    </row>
    <row r="987" spans="1:5" x14ac:dyDescent="0.35">
      <c r="A987" t="s">
        <v>972</v>
      </c>
      <c r="B987" t="s">
        <v>1006</v>
      </c>
      <c r="C987">
        <v>460</v>
      </c>
      <c r="D987">
        <v>392</v>
      </c>
      <c r="E987" t="s">
        <v>7</v>
      </c>
    </row>
    <row r="988" spans="1:5" x14ac:dyDescent="0.35">
      <c r="A988" t="s">
        <v>972</v>
      </c>
      <c r="B988" t="s">
        <v>1007</v>
      </c>
      <c r="C988">
        <v>485</v>
      </c>
      <c r="D988">
        <v>208</v>
      </c>
      <c r="E988" t="s">
        <v>7</v>
      </c>
    </row>
    <row r="989" spans="1:5" x14ac:dyDescent="0.35">
      <c r="A989" t="s">
        <v>972</v>
      </c>
      <c r="B989" t="s">
        <v>1008</v>
      </c>
      <c r="C989">
        <v>268</v>
      </c>
      <c r="D989">
        <v>227</v>
      </c>
      <c r="E989" t="s">
        <v>7</v>
      </c>
    </row>
    <row r="990" spans="1:5" x14ac:dyDescent="0.35">
      <c r="A990" t="s">
        <v>972</v>
      </c>
      <c r="B990" t="s">
        <v>1009</v>
      </c>
      <c r="C990">
        <v>487</v>
      </c>
      <c r="D990">
        <v>474</v>
      </c>
      <c r="E990" t="s">
        <v>17</v>
      </c>
    </row>
    <row r="991" spans="1:5" x14ac:dyDescent="0.35">
      <c r="A991" t="s">
        <v>972</v>
      </c>
      <c r="B991" t="s">
        <v>1010</v>
      </c>
      <c r="C991">
        <v>246</v>
      </c>
      <c r="D991">
        <v>234</v>
      </c>
      <c r="E991" t="s">
        <v>9</v>
      </c>
    </row>
    <row r="992" spans="1:5" x14ac:dyDescent="0.35">
      <c r="A992" t="s">
        <v>972</v>
      </c>
      <c r="B992" t="s">
        <v>1011</v>
      </c>
      <c r="C992">
        <v>316</v>
      </c>
      <c r="D992">
        <v>306</v>
      </c>
      <c r="E992" t="s">
        <v>21</v>
      </c>
    </row>
    <row r="993" spans="1:5" x14ac:dyDescent="0.35">
      <c r="A993" t="s">
        <v>972</v>
      </c>
      <c r="B993" t="s">
        <v>1012</v>
      </c>
      <c r="C993">
        <v>422</v>
      </c>
      <c r="D993">
        <v>338</v>
      </c>
      <c r="E993" t="s">
        <v>17</v>
      </c>
    </row>
    <row r="994" spans="1:5" x14ac:dyDescent="0.35">
      <c r="A994" t="s">
        <v>972</v>
      </c>
      <c r="B994" t="s">
        <v>1013</v>
      </c>
      <c r="C994">
        <v>332</v>
      </c>
      <c r="D994">
        <v>292</v>
      </c>
      <c r="E994" t="s">
        <v>17</v>
      </c>
    </row>
    <row r="995" spans="1:5" x14ac:dyDescent="0.35">
      <c r="A995" t="s">
        <v>972</v>
      </c>
      <c r="B995" t="s">
        <v>1014</v>
      </c>
      <c r="C995">
        <v>467</v>
      </c>
      <c r="D995">
        <v>399</v>
      </c>
      <c r="E995" t="s">
        <v>9</v>
      </c>
    </row>
    <row r="996" spans="1:5" x14ac:dyDescent="0.35">
      <c r="A996" t="s">
        <v>972</v>
      </c>
      <c r="B996" t="s">
        <v>1015</v>
      </c>
      <c r="C996">
        <v>440</v>
      </c>
      <c r="D996">
        <v>363</v>
      </c>
      <c r="E996" t="s">
        <v>9</v>
      </c>
    </row>
    <row r="997" spans="1:5" x14ac:dyDescent="0.35">
      <c r="A997" t="s">
        <v>972</v>
      </c>
      <c r="B997" t="s">
        <v>1016</v>
      </c>
      <c r="C997">
        <v>324</v>
      </c>
      <c r="D997">
        <v>237</v>
      </c>
      <c r="E997" t="s">
        <v>21</v>
      </c>
    </row>
    <row r="998" spans="1:5" x14ac:dyDescent="0.35">
      <c r="A998" t="s">
        <v>972</v>
      </c>
      <c r="B998" t="s">
        <v>1017</v>
      </c>
      <c r="C998">
        <v>309</v>
      </c>
      <c r="D998">
        <v>256</v>
      </c>
      <c r="E998" t="s">
        <v>15</v>
      </c>
    </row>
    <row r="999" spans="1:5" x14ac:dyDescent="0.35">
      <c r="A999" t="s">
        <v>972</v>
      </c>
      <c r="B999" t="s">
        <v>1018</v>
      </c>
      <c r="C999">
        <v>392</v>
      </c>
      <c r="D999">
        <v>377</v>
      </c>
      <c r="E999" t="s">
        <v>21</v>
      </c>
    </row>
    <row r="1000" spans="1:5" x14ac:dyDescent="0.35">
      <c r="A1000" t="s">
        <v>972</v>
      </c>
      <c r="B1000" t="s">
        <v>1019</v>
      </c>
      <c r="C1000">
        <v>488</v>
      </c>
      <c r="D1000">
        <v>394</v>
      </c>
      <c r="E1000" t="s">
        <v>9</v>
      </c>
    </row>
    <row r="1001" spans="1:5" x14ac:dyDescent="0.35">
      <c r="A1001" t="s">
        <v>972</v>
      </c>
      <c r="B1001" t="s">
        <v>1020</v>
      </c>
      <c r="C1001">
        <v>422</v>
      </c>
      <c r="D1001">
        <v>336</v>
      </c>
      <c r="E1001" t="s">
        <v>9</v>
      </c>
    </row>
    <row r="1002" spans="1:5" x14ac:dyDescent="0.35">
      <c r="A1002" t="s">
        <v>972</v>
      </c>
      <c r="B1002" t="s">
        <v>1021</v>
      </c>
      <c r="C1002">
        <v>200</v>
      </c>
      <c r="D1002">
        <v>175</v>
      </c>
      <c r="E1002" t="s">
        <v>17</v>
      </c>
    </row>
    <row r="1003" spans="1:5" x14ac:dyDescent="0.35">
      <c r="A1003" t="s">
        <v>972</v>
      </c>
      <c r="B1003" t="s">
        <v>1022</v>
      </c>
      <c r="C1003">
        <v>465</v>
      </c>
      <c r="D1003">
        <v>247</v>
      </c>
      <c r="E1003" t="s">
        <v>17</v>
      </c>
    </row>
    <row r="1004" spans="1:5" x14ac:dyDescent="0.35">
      <c r="A1004" t="s">
        <v>972</v>
      </c>
      <c r="B1004" t="s">
        <v>1023</v>
      </c>
      <c r="C1004">
        <v>388</v>
      </c>
      <c r="D1004">
        <v>378</v>
      </c>
      <c r="E1004" t="s">
        <v>17</v>
      </c>
    </row>
    <row r="1005" spans="1:5" x14ac:dyDescent="0.35">
      <c r="A1005" t="s">
        <v>972</v>
      </c>
      <c r="B1005" t="s">
        <v>1024</v>
      </c>
      <c r="C1005">
        <v>421</v>
      </c>
      <c r="D1005">
        <v>243</v>
      </c>
      <c r="E1005" t="s">
        <v>17</v>
      </c>
    </row>
    <row r="1006" spans="1:5" x14ac:dyDescent="0.35">
      <c r="A1006" t="s">
        <v>972</v>
      </c>
      <c r="B1006" t="s">
        <v>1025</v>
      </c>
      <c r="C1006">
        <v>415</v>
      </c>
      <c r="D1006">
        <v>236</v>
      </c>
      <c r="E1006" t="s">
        <v>9</v>
      </c>
    </row>
    <row r="1007" spans="1:5" x14ac:dyDescent="0.35">
      <c r="A1007" t="s">
        <v>972</v>
      </c>
      <c r="B1007" t="s">
        <v>1026</v>
      </c>
      <c r="C1007">
        <v>462</v>
      </c>
      <c r="D1007">
        <v>290</v>
      </c>
      <c r="E1007" t="s">
        <v>17</v>
      </c>
    </row>
    <row r="1008" spans="1:5" x14ac:dyDescent="0.35">
      <c r="A1008" t="s">
        <v>972</v>
      </c>
      <c r="B1008" t="s">
        <v>1027</v>
      </c>
      <c r="C1008">
        <v>449</v>
      </c>
      <c r="D1008">
        <v>220</v>
      </c>
      <c r="E1008" t="s">
        <v>17</v>
      </c>
    </row>
    <row r="1009" spans="1:5" x14ac:dyDescent="0.35">
      <c r="A1009" t="s">
        <v>972</v>
      </c>
      <c r="B1009" t="s">
        <v>1028</v>
      </c>
      <c r="C1009">
        <v>451</v>
      </c>
      <c r="D1009">
        <v>343</v>
      </c>
      <c r="E1009" t="s">
        <v>17</v>
      </c>
    </row>
    <row r="1010" spans="1:5" x14ac:dyDescent="0.35">
      <c r="A1010" t="s">
        <v>972</v>
      </c>
      <c r="B1010" t="s">
        <v>1029</v>
      </c>
      <c r="C1010">
        <v>372</v>
      </c>
      <c r="D1010">
        <v>282</v>
      </c>
      <c r="E1010" t="s">
        <v>17</v>
      </c>
    </row>
    <row r="1011" spans="1:5" x14ac:dyDescent="0.35">
      <c r="A1011" t="s">
        <v>972</v>
      </c>
      <c r="B1011" t="s">
        <v>1030</v>
      </c>
      <c r="C1011">
        <v>346</v>
      </c>
      <c r="D1011">
        <v>169</v>
      </c>
      <c r="E1011" t="s">
        <v>17</v>
      </c>
    </row>
    <row r="1012" spans="1:5" x14ac:dyDescent="0.35">
      <c r="A1012" t="s">
        <v>972</v>
      </c>
      <c r="B1012" t="s">
        <v>1031</v>
      </c>
      <c r="C1012">
        <v>452</v>
      </c>
      <c r="D1012">
        <v>380</v>
      </c>
      <c r="E1012" t="s">
        <v>9</v>
      </c>
    </row>
    <row r="1013" spans="1:5" x14ac:dyDescent="0.35">
      <c r="A1013" t="s">
        <v>972</v>
      </c>
      <c r="B1013" t="s">
        <v>1032</v>
      </c>
      <c r="C1013">
        <v>298</v>
      </c>
      <c r="D1013">
        <v>261</v>
      </c>
      <c r="E1013" t="s">
        <v>17</v>
      </c>
    </row>
    <row r="1014" spans="1:5" x14ac:dyDescent="0.35">
      <c r="A1014" t="s">
        <v>972</v>
      </c>
      <c r="B1014" t="s">
        <v>1033</v>
      </c>
      <c r="C1014">
        <v>353</v>
      </c>
      <c r="D1014">
        <v>324</v>
      </c>
      <c r="E1014" t="s">
        <v>17</v>
      </c>
    </row>
    <row r="1015" spans="1:5" x14ac:dyDescent="0.35">
      <c r="A1015" t="s">
        <v>972</v>
      </c>
      <c r="B1015" t="s">
        <v>1034</v>
      </c>
      <c r="C1015">
        <v>353</v>
      </c>
      <c r="D1015">
        <v>219</v>
      </c>
      <c r="E1015" t="s">
        <v>17</v>
      </c>
    </row>
    <row r="1016" spans="1:5" x14ac:dyDescent="0.35">
      <c r="A1016" t="s">
        <v>972</v>
      </c>
      <c r="B1016" t="s">
        <v>1035</v>
      </c>
      <c r="C1016">
        <v>224</v>
      </c>
      <c r="D1016">
        <v>150</v>
      </c>
      <c r="E1016" t="s">
        <v>15</v>
      </c>
    </row>
    <row r="1017" spans="1:5" x14ac:dyDescent="0.35">
      <c r="A1017" t="s">
        <v>972</v>
      </c>
      <c r="B1017" t="s">
        <v>1036</v>
      </c>
      <c r="C1017">
        <v>468</v>
      </c>
      <c r="D1017">
        <v>448</v>
      </c>
      <c r="E1017" t="s">
        <v>17</v>
      </c>
    </row>
    <row r="1018" spans="1:5" x14ac:dyDescent="0.35">
      <c r="A1018" t="s">
        <v>972</v>
      </c>
      <c r="B1018" t="s">
        <v>1037</v>
      </c>
      <c r="C1018">
        <v>493</v>
      </c>
      <c r="D1018">
        <v>465</v>
      </c>
      <c r="E1018" t="s">
        <v>21</v>
      </c>
    </row>
    <row r="1019" spans="1:5" x14ac:dyDescent="0.35">
      <c r="A1019" t="s">
        <v>972</v>
      </c>
      <c r="B1019" t="s">
        <v>1038</v>
      </c>
      <c r="C1019">
        <v>437</v>
      </c>
      <c r="D1019">
        <v>436</v>
      </c>
      <c r="E1019" t="s">
        <v>7</v>
      </c>
    </row>
    <row r="1020" spans="1:5" x14ac:dyDescent="0.35">
      <c r="A1020" t="s">
        <v>972</v>
      </c>
      <c r="B1020" t="s">
        <v>1039</v>
      </c>
      <c r="C1020">
        <v>497</v>
      </c>
      <c r="D1020">
        <v>385</v>
      </c>
      <c r="E1020" t="s">
        <v>9</v>
      </c>
    </row>
    <row r="1021" spans="1:5" x14ac:dyDescent="0.35">
      <c r="A1021" t="s">
        <v>972</v>
      </c>
      <c r="B1021" t="s">
        <v>1040</v>
      </c>
      <c r="C1021">
        <v>500</v>
      </c>
      <c r="D1021">
        <v>462</v>
      </c>
      <c r="E1021" t="s">
        <v>21</v>
      </c>
    </row>
    <row r="1022" spans="1:5" x14ac:dyDescent="0.35">
      <c r="A1022" t="s">
        <v>972</v>
      </c>
      <c r="B1022" t="s">
        <v>1041</v>
      </c>
      <c r="C1022">
        <v>276</v>
      </c>
      <c r="D1022">
        <v>190</v>
      </c>
      <c r="E1022" t="s">
        <v>17</v>
      </c>
    </row>
    <row r="1023" spans="1:5" x14ac:dyDescent="0.35">
      <c r="A1023" t="s">
        <v>972</v>
      </c>
      <c r="B1023" t="s">
        <v>1042</v>
      </c>
      <c r="C1023">
        <v>372</v>
      </c>
      <c r="D1023">
        <v>358</v>
      </c>
      <c r="E1023" t="s">
        <v>7</v>
      </c>
    </row>
    <row r="1024" spans="1:5" x14ac:dyDescent="0.35">
      <c r="A1024" t="s">
        <v>972</v>
      </c>
      <c r="B1024" t="s">
        <v>1043</v>
      </c>
      <c r="C1024">
        <v>373</v>
      </c>
      <c r="D1024">
        <v>321</v>
      </c>
      <c r="E1024" t="s">
        <v>33</v>
      </c>
    </row>
    <row r="1025" spans="1:5" x14ac:dyDescent="0.35">
      <c r="A1025" t="s">
        <v>972</v>
      </c>
      <c r="B1025" t="s">
        <v>1044</v>
      </c>
      <c r="C1025">
        <v>216</v>
      </c>
      <c r="D1025">
        <v>159</v>
      </c>
      <c r="E1025" t="s">
        <v>33</v>
      </c>
    </row>
    <row r="1026" spans="1:5" x14ac:dyDescent="0.35">
      <c r="A1026" t="s">
        <v>972</v>
      </c>
      <c r="B1026" t="s">
        <v>1045</v>
      </c>
      <c r="C1026">
        <v>288</v>
      </c>
      <c r="D1026">
        <v>207</v>
      </c>
      <c r="E1026" t="s">
        <v>21</v>
      </c>
    </row>
    <row r="1027" spans="1:5" x14ac:dyDescent="0.35">
      <c r="A1027" t="s">
        <v>972</v>
      </c>
      <c r="B1027" t="s">
        <v>1046</v>
      </c>
      <c r="C1027">
        <v>491</v>
      </c>
      <c r="D1027">
        <v>349</v>
      </c>
      <c r="E1027" t="s">
        <v>17</v>
      </c>
    </row>
    <row r="1028" spans="1:5" x14ac:dyDescent="0.35">
      <c r="A1028" t="s">
        <v>972</v>
      </c>
      <c r="B1028" t="s">
        <v>1047</v>
      </c>
      <c r="C1028">
        <v>484</v>
      </c>
      <c r="D1028">
        <v>155</v>
      </c>
      <c r="E1028" t="s">
        <v>17</v>
      </c>
    </row>
    <row r="1029" spans="1:5" x14ac:dyDescent="0.35">
      <c r="A1029" t="s">
        <v>972</v>
      </c>
      <c r="B1029" t="s">
        <v>1048</v>
      </c>
      <c r="C1029">
        <v>439</v>
      </c>
      <c r="D1029">
        <v>279</v>
      </c>
      <c r="E1029" t="s">
        <v>21</v>
      </c>
    </row>
    <row r="1030" spans="1:5" x14ac:dyDescent="0.35">
      <c r="A1030" t="s">
        <v>972</v>
      </c>
      <c r="B1030" t="s">
        <v>1049</v>
      </c>
      <c r="C1030">
        <v>452</v>
      </c>
      <c r="D1030">
        <v>444</v>
      </c>
      <c r="E1030" t="s">
        <v>21</v>
      </c>
    </row>
    <row r="1031" spans="1:5" x14ac:dyDescent="0.35">
      <c r="A1031" t="s">
        <v>1050</v>
      </c>
      <c r="B1031" t="s">
        <v>1051</v>
      </c>
      <c r="C1031">
        <v>177</v>
      </c>
      <c r="D1031">
        <v>36</v>
      </c>
      <c r="E1031" t="s">
        <v>11</v>
      </c>
    </row>
    <row r="1032" spans="1:5" x14ac:dyDescent="0.35">
      <c r="A1032" t="s">
        <v>1050</v>
      </c>
      <c r="B1032" t="s">
        <v>1052</v>
      </c>
      <c r="C1032">
        <v>216</v>
      </c>
      <c r="D1032">
        <v>159</v>
      </c>
      <c r="E1032" t="s">
        <v>11</v>
      </c>
    </row>
    <row r="1033" spans="1:5" x14ac:dyDescent="0.35">
      <c r="A1033" t="s">
        <v>1050</v>
      </c>
      <c r="B1033" t="s">
        <v>1053</v>
      </c>
      <c r="C1033">
        <v>259</v>
      </c>
      <c r="D1033">
        <v>91</v>
      </c>
      <c r="E1033" t="s">
        <v>33</v>
      </c>
    </row>
    <row r="1034" spans="1:5" x14ac:dyDescent="0.35">
      <c r="A1034" t="s">
        <v>1050</v>
      </c>
      <c r="B1034" t="s">
        <v>1054</v>
      </c>
      <c r="C1034">
        <v>165</v>
      </c>
      <c r="D1034">
        <v>103</v>
      </c>
      <c r="E1034" t="s">
        <v>15</v>
      </c>
    </row>
    <row r="1035" spans="1:5" x14ac:dyDescent="0.35">
      <c r="A1035" t="s">
        <v>1050</v>
      </c>
      <c r="B1035" t="s">
        <v>1055</v>
      </c>
      <c r="C1035">
        <v>99</v>
      </c>
      <c r="D1035">
        <v>94</v>
      </c>
      <c r="E1035" t="s">
        <v>15</v>
      </c>
    </row>
    <row r="1036" spans="1:5" x14ac:dyDescent="0.35">
      <c r="A1036" t="s">
        <v>1050</v>
      </c>
      <c r="B1036" t="s">
        <v>1056</v>
      </c>
      <c r="C1036">
        <v>311</v>
      </c>
      <c r="D1036">
        <v>135</v>
      </c>
      <c r="E1036" t="s">
        <v>9</v>
      </c>
    </row>
    <row r="1037" spans="1:5" x14ac:dyDescent="0.35">
      <c r="A1037" t="s">
        <v>1050</v>
      </c>
      <c r="B1037" t="s">
        <v>1057</v>
      </c>
      <c r="C1037">
        <v>167</v>
      </c>
      <c r="D1037">
        <v>156</v>
      </c>
      <c r="E1037" t="s">
        <v>15</v>
      </c>
    </row>
    <row r="1038" spans="1:5" x14ac:dyDescent="0.35">
      <c r="A1038" t="s">
        <v>1050</v>
      </c>
      <c r="B1038" t="s">
        <v>1058</v>
      </c>
      <c r="C1038">
        <v>148</v>
      </c>
      <c r="D1038">
        <v>57</v>
      </c>
      <c r="E1038" t="s">
        <v>33</v>
      </c>
    </row>
    <row r="1039" spans="1:5" x14ac:dyDescent="0.35">
      <c r="A1039" t="s">
        <v>1050</v>
      </c>
      <c r="B1039" t="s">
        <v>1059</v>
      </c>
      <c r="C1039">
        <v>228</v>
      </c>
      <c r="D1039">
        <v>147</v>
      </c>
      <c r="E1039" t="s">
        <v>11</v>
      </c>
    </row>
    <row r="1040" spans="1:5" x14ac:dyDescent="0.35">
      <c r="A1040" t="s">
        <v>1050</v>
      </c>
      <c r="B1040" t="s">
        <v>1060</v>
      </c>
      <c r="C1040">
        <v>140</v>
      </c>
      <c r="D1040">
        <v>44</v>
      </c>
      <c r="E1040" t="s">
        <v>15</v>
      </c>
    </row>
    <row r="1041" spans="1:5" x14ac:dyDescent="0.35">
      <c r="A1041" t="s">
        <v>1050</v>
      </c>
      <c r="B1041" t="s">
        <v>1061</v>
      </c>
      <c r="C1041">
        <v>289</v>
      </c>
      <c r="D1041">
        <v>51</v>
      </c>
      <c r="E1041" t="s">
        <v>15</v>
      </c>
    </row>
    <row r="1042" spans="1:5" x14ac:dyDescent="0.35">
      <c r="A1042" t="s">
        <v>1050</v>
      </c>
      <c r="B1042" t="s">
        <v>1062</v>
      </c>
      <c r="C1042">
        <v>193</v>
      </c>
      <c r="D1042">
        <v>88</v>
      </c>
      <c r="E1042" t="s">
        <v>17</v>
      </c>
    </row>
    <row r="1043" spans="1:5" x14ac:dyDescent="0.35">
      <c r="A1043" t="s">
        <v>1050</v>
      </c>
      <c r="B1043" t="s">
        <v>1063</v>
      </c>
      <c r="C1043">
        <v>225</v>
      </c>
      <c r="D1043">
        <v>93</v>
      </c>
      <c r="E1043" t="s">
        <v>21</v>
      </c>
    </row>
    <row r="1044" spans="1:5" x14ac:dyDescent="0.35">
      <c r="A1044" t="s">
        <v>1050</v>
      </c>
      <c r="B1044" t="s">
        <v>1064</v>
      </c>
      <c r="C1044">
        <v>308</v>
      </c>
      <c r="D1044">
        <v>144</v>
      </c>
      <c r="E1044" t="s">
        <v>7</v>
      </c>
    </row>
    <row r="1045" spans="1:5" x14ac:dyDescent="0.35">
      <c r="A1045" t="s">
        <v>1065</v>
      </c>
      <c r="B1045" t="s">
        <v>1066</v>
      </c>
      <c r="C1045">
        <v>299</v>
      </c>
      <c r="D1045">
        <v>98</v>
      </c>
      <c r="E1045" t="s">
        <v>7</v>
      </c>
    </row>
    <row r="1046" spans="1:5" x14ac:dyDescent="0.35">
      <c r="A1046" t="s">
        <v>1065</v>
      </c>
      <c r="B1046" t="s">
        <v>1067</v>
      </c>
      <c r="C1046">
        <v>304</v>
      </c>
      <c r="D1046">
        <v>120</v>
      </c>
      <c r="E1046" t="s">
        <v>21</v>
      </c>
    </row>
    <row r="1047" spans="1:5" x14ac:dyDescent="0.35">
      <c r="A1047" t="s">
        <v>1065</v>
      </c>
      <c r="B1047" t="s">
        <v>1068</v>
      </c>
      <c r="C1047">
        <v>88</v>
      </c>
      <c r="D1047">
        <v>64</v>
      </c>
      <c r="E1047" t="s">
        <v>7</v>
      </c>
    </row>
    <row r="1048" spans="1:5" x14ac:dyDescent="0.35">
      <c r="A1048" t="s">
        <v>1065</v>
      </c>
      <c r="B1048" t="s">
        <v>1069</v>
      </c>
      <c r="C1048">
        <v>251</v>
      </c>
      <c r="D1048">
        <v>109</v>
      </c>
      <c r="E1048" t="s">
        <v>17</v>
      </c>
    </row>
    <row r="1049" spans="1:5" x14ac:dyDescent="0.35">
      <c r="A1049" t="s">
        <v>1065</v>
      </c>
      <c r="B1049" t="s">
        <v>1070</v>
      </c>
      <c r="C1049">
        <v>220</v>
      </c>
      <c r="D1049">
        <v>179</v>
      </c>
      <c r="E1049" t="s">
        <v>15</v>
      </c>
    </row>
    <row r="1050" spans="1:5" x14ac:dyDescent="0.35">
      <c r="A1050" t="s">
        <v>1065</v>
      </c>
      <c r="B1050" t="s">
        <v>1071</v>
      </c>
      <c r="C1050">
        <v>278</v>
      </c>
      <c r="D1050">
        <v>159</v>
      </c>
      <c r="E1050" t="s">
        <v>15</v>
      </c>
    </row>
    <row r="1051" spans="1:5" x14ac:dyDescent="0.35">
      <c r="A1051" t="s">
        <v>1065</v>
      </c>
      <c r="B1051" t="s">
        <v>1072</v>
      </c>
      <c r="C1051">
        <v>187</v>
      </c>
      <c r="D1051">
        <v>111</v>
      </c>
      <c r="E1051" t="s">
        <v>21</v>
      </c>
    </row>
    <row r="1052" spans="1:5" x14ac:dyDescent="0.35">
      <c r="A1052" t="s">
        <v>1065</v>
      </c>
      <c r="B1052" t="s">
        <v>1073</v>
      </c>
      <c r="C1052">
        <v>292</v>
      </c>
      <c r="D1052">
        <v>92</v>
      </c>
      <c r="E1052" t="s">
        <v>21</v>
      </c>
    </row>
    <row r="1053" spans="1:5" x14ac:dyDescent="0.35">
      <c r="A1053" t="s">
        <v>1065</v>
      </c>
      <c r="B1053" t="s">
        <v>1074</v>
      </c>
      <c r="C1053">
        <v>226</v>
      </c>
      <c r="D1053">
        <v>170</v>
      </c>
      <c r="E1053" t="s">
        <v>11</v>
      </c>
    </row>
    <row r="1054" spans="1:5" x14ac:dyDescent="0.35">
      <c r="A1054" t="s">
        <v>1065</v>
      </c>
      <c r="B1054" t="s">
        <v>1075</v>
      </c>
      <c r="C1054">
        <v>291</v>
      </c>
      <c r="D1054">
        <v>135</v>
      </c>
      <c r="E1054" t="s">
        <v>21</v>
      </c>
    </row>
    <row r="1055" spans="1:5" x14ac:dyDescent="0.35">
      <c r="A1055" t="s">
        <v>1065</v>
      </c>
      <c r="B1055" t="s">
        <v>1076</v>
      </c>
      <c r="C1055">
        <v>320</v>
      </c>
      <c r="D1055">
        <v>176</v>
      </c>
      <c r="E1055" t="s">
        <v>15</v>
      </c>
    </row>
    <row r="1056" spans="1:5" x14ac:dyDescent="0.35">
      <c r="A1056" t="s">
        <v>1065</v>
      </c>
      <c r="B1056" t="s">
        <v>1077</v>
      </c>
      <c r="C1056">
        <v>245</v>
      </c>
      <c r="D1056">
        <v>46</v>
      </c>
      <c r="E1056" t="s">
        <v>7</v>
      </c>
    </row>
    <row r="1057" spans="1:5" x14ac:dyDescent="0.35">
      <c r="A1057" t="s">
        <v>1065</v>
      </c>
      <c r="B1057" t="s">
        <v>1078</v>
      </c>
      <c r="C1057">
        <v>222</v>
      </c>
      <c r="D1057">
        <v>62</v>
      </c>
      <c r="E1057" t="s">
        <v>21</v>
      </c>
    </row>
    <row r="1058" spans="1:5" x14ac:dyDescent="0.35">
      <c r="A1058" t="s">
        <v>1065</v>
      </c>
      <c r="B1058" t="s">
        <v>1079</v>
      </c>
      <c r="C1058">
        <v>316</v>
      </c>
      <c r="D1058">
        <v>107</v>
      </c>
      <c r="E1058" t="s">
        <v>17</v>
      </c>
    </row>
    <row r="1059" spans="1:5" x14ac:dyDescent="0.35">
      <c r="A1059" t="s">
        <v>1065</v>
      </c>
      <c r="B1059" t="s">
        <v>1080</v>
      </c>
      <c r="C1059">
        <v>260</v>
      </c>
      <c r="D1059">
        <v>81</v>
      </c>
      <c r="E1059" t="s">
        <v>33</v>
      </c>
    </row>
    <row r="1060" spans="1:5" x14ac:dyDescent="0.35">
      <c r="A1060" t="s">
        <v>1065</v>
      </c>
      <c r="B1060" t="s">
        <v>1081</v>
      </c>
      <c r="C1060">
        <v>190</v>
      </c>
      <c r="D1060">
        <v>59</v>
      </c>
      <c r="E1060" t="s">
        <v>15</v>
      </c>
    </row>
    <row r="1061" spans="1:5" x14ac:dyDescent="0.35">
      <c r="A1061" t="s">
        <v>1065</v>
      </c>
      <c r="B1061" t="s">
        <v>1082</v>
      </c>
      <c r="C1061">
        <v>275</v>
      </c>
      <c r="D1061">
        <v>178</v>
      </c>
      <c r="E1061" t="s">
        <v>7</v>
      </c>
    </row>
    <row r="1062" spans="1:5" x14ac:dyDescent="0.35">
      <c r="A1062" t="s">
        <v>1065</v>
      </c>
      <c r="B1062" t="s">
        <v>1083</v>
      </c>
      <c r="C1062">
        <v>223</v>
      </c>
      <c r="D1062">
        <v>114</v>
      </c>
      <c r="E1062" t="s">
        <v>9</v>
      </c>
    </row>
    <row r="1063" spans="1:5" x14ac:dyDescent="0.35">
      <c r="A1063" t="s">
        <v>1065</v>
      </c>
      <c r="B1063" t="s">
        <v>1084</v>
      </c>
      <c r="C1063">
        <v>138</v>
      </c>
      <c r="D1063">
        <v>71</v>
      </c>
      <c r="E1063" t="s">
        <v>21</v>
      </c>
    </row>
    <row r="1064" spans="1:5" x14ac:dyDescent="0.35">
      <c r="A1064" t="s">
        <v>1065</v>
      </c>
      <c r="B1064" t="s">
        <v>1085</v>
      </c>
      <c r="C1064">
        <v>293</v>
      </c>
      <c r="D1064">
        <v>117</v>
      </c>
      <c r="E1064" t="s">
        <v>21</v>
      </c>
    </row>
    <row r="1065" spans="1:5" x14ac:dyDescent="0.35">
      <c r="A1065" t="s">
        <v>1065</v>
      </c>
      <c r="B1065" t="s">
        <v>1086</v>
      </c>
      <c r="C1065">
        <v>121</v>
      </c>
      <c r="D1065">
        <v>100</v>
      </c>
      <c r="E1065" t="s">
        <v>11</v>
      </c>
    </row>
    <row r="1066" spans="1:5" x14ac:dyDescent="0.35">
      <c r="A1066" t="s">
        <v>1065</v>
      </c>
      <c r="B1066" t="s">
        <v>1087</v>
      </c>
      <c r="C1066">
        <v>97</v>
      </c>
      <c r="D1066">
        <v>78</v>
      </c>
      <c r="E1066" t="s">
        <v>11</v>
      </c>
    </row>
    <row r="1067" spans="1:5" x14ac:dyDescent="0.35">
      <c r="A1067" t="s">
        <v>1065</v>
      </c>
      <c r="B1067" t="s">
        <v>1088</v>
      </c>
      <c r="C1067">
        <v>289</v>
      </c>
      <c r="D1067">
        <v>151</v>
      </c>
      <c r="E1067" t="s">
        <v>33</v>
      </c>
    </row>
    <row r="1068" spans="1:5" x14ac:dyDescent="0.35">
      <c r="A1068" t="s">
        <v>1065</v>
      </c>
      <c r="B1068" t="s">
        <v>1089</v>
      </c>
      <c r="C1068">
        <v>154</v>
      </c>
      <c r="D1068">
        <v>142</v>
      </c>
      <c r="E1068" t="s">
        <v>9</v>
      </c>
    </row>
    <row r="1069" spans="1:5" x14ac:dyDescent="0.35">
      <c r="A1069" t="s">
        <v>1065</v>
      </c>
      <c r="B1069" t="s">
        <v>1090</v>
      </c>
      <c r="C1069">
        <v>220</v>
      </c>
      <c r="D1069">
        <v>35</v>
      </c>
      <c r="E1069" t="s">
        <v>9</v>
      </c>
    </row>
    <row r="1070" spans="1:5" x14ac:dyDescent="0.35">
      <c r="A1070" t="s">
        <v>1065</v>
      </c>
      <c r="B1070" t="s">
        <v>1091</v>
      </c>
      <c r="C1070">
        <v>198</v>
      </c>
      <c r="D1070">
        <v>65</v>
      </c>
      <c r="E1070" t="s">
        <v>7</v>
      </c>
    </row>
    <row r="1071" spans="1:5" x14ac:dyDescent="0.35">
      <c r="A1071" t="s">
        <v>1065</v>
      </c>
      <c r="B1071" t="s">
        <v>1092</v>
      </c>
      <c r="C1071">
        <v>268</v>
      </c>
      <c r="D1071">
        <v>114</v>
      </c>
      <c r="E1071" t="s">
        <v>33</v>
      </c>
    </row>
    <row r="1072" spans="1:5" x14ac:dyDescent="0.35">
      <c r="A1072" t="s">
        <v>1065</v>
      </c>
      <c r="B1072" t="s">
        <v>1093</v>
      </c>
      <c r="C1072">
        <v>225</v>
      </c>
      <c r="D1072">
        <v>172</v>
      </c>
      <c r="E1072" t="s">
        <v>7</v>
      </c>
    </row>
    <row r="1073" spans="1:5" x14ac:dyDescent="0.35">
      <c r="A1073" t="s">
        <v>1065</v>
      </c>
      <c r="B1073" t="s">
        <v>1094</v>
      </c>
      <c r="C1073">
        <v>216</v>
      </c>
      <c r="D1073">
        <v>115</v>
      </c>
      <c r="E1073" t="s">
        <v>17</v>
      </c>
    </row>
    <row r="1074" spans="1:5" x14ac:dyDescent="0.35">
      <c r="A1074" t="s">
        <v>1065</v>
      </c>
      <c r="B1074" t="s">
        <v>1095</v>
      </c>
      <c r="C1074">
        <v>214</v>
      </c>
      <c r="D1074">
        <v>116</v>
      </c>
      <c r="E1074" t="s">
        <v>17</v>
      </c>
    </row>
    <row r="1075" spans="1:5" x14ac:dyDescent="0.35">
      <c r="A1075" t="s">
        <v>1065</v>
      </c>
      <c r="B1075" t="s">
        <v>1096</v>
      </c>
      <c r="C1075">
        <v>214</v>
      </c>
      <c r="D1075">
        <v>139</v>
      </c>
      <c r="E1075" t="s">
        <v>33</v>
      </c>
    </row>
    <row r="1076" spans="1:5" x14ac:dyDescent="0.35">
      <c r="A1076" t="s">
        <v>1065</v>
      </c>
      <c r="B1076" t="s">
        <v>1097</v>
      </c>
      <c r="C1076">
        <v>222</v>
      </c>
      <c r="D1076">
        <v>144</v>
      </c>
      <c r="E1076" t="s">
        <v>9</v>
      </c>
    </row>
    <row r="1077" spans="1:5" x14ac:dyDescent="0.35">
      <c r="A1077" t="s">
        <v>1065</v>
      </c>
      <c r="B1077" t="s">
        <v>1098</v>
      </c>
      <c r="C1077">
        <v>156</v>
      </c>
      <c r="D1077">
        <v>128</v>
      </c>
      <c r="E1077" t="s">
        <v>7</v>
      </c>
    </row>
    <row r="1078" spans="1:5" x14ac:dyDescent="0.35">
      <c r="A1078" t="s">
        <v>1065</v>
      </c>
      <c r="B1078" t="s">
        <v>1099</v>
      </c>
      <c r="C1078">
        <v>240</v>
      </c>
      <c r="D1078">
        <v>146</v>
      </c>
      <c r="E1078" t="s">
        <v>7</v>
      </c>
    </row>
    <row r="1079" spans="1:5" x14ac:dyDescent="0.35">
      <c r="A1079" t="s">
        <v>1065</v>
      </c>
      <c r="B1079" t="s">
        <v>1100</v>
      </c>
      <c r="C1079">
        <v>311</v>
      </c>
      <c r="D1079">
        <v>135</v>
      </c>
      <c r="E1079" t="s">
        <v>11</v>
      </c>
    </row>
    <row r="1080" spans="1:5" x14ac:dyDescent="0.35">
      <c r="A1080" t="s">
        <v>1065</v>
      </c>
      <c r="B1080" t="s">
        <v>1101</v>
      </c>
      <c r="C1080">
        <v>252</v>
      </c>
      <c r="D1080">
        <v>107</v>
      </c>
      <c r="E1080" t="s">
        <v>15</v>
      </c>
    </row>
    <row r="1081" spans="1:5" x14ac:dyDescent="0.35">
      <c r="A1081" t="s">
        <v>1065</v>
      </c>
      <c r="B1081" t="s">
        <v>1102</v>
      </c>
      <c r="C1081">
        <v>291</v>
      </c>
      <c r="D1081">
        <v>113</v>
      </c>
      <c r="E1081" t="s">
        <v>17</v>
      </c>
    </row>
    <row r="1082" spans="1:5" x14ac:dyDescent="0.35">
      <c r="A1082" t="s">
        <v>1065</v>
      </c>
      <c r="B1082" t="s">
        <v>1103</v>
      </c>
      <c r="C1082">
        <v>150</v>
      </c>
      <c r="D1082">
        <v>70</v>
      </c>
      <c r="E1082" t="s">
        <v>21</v>
      </c>
    </row>
    <row r="1083" spans="1:5" x14ac:dyDescent="0.35">
      <c r="A1083" t="s">
        <v>1065</v>
      </c>
      <c r="B1083" t="s">
        <v>1104</v>
      </c>
      <c r="C1083">
        <v>246</v>
      </c>
      <c r="D1083">
        <v>138</v>
      </c>
      <c r="E1083" t="s">
        <v>15</v>
      </c>
    </row>
    <row r="1084" spans="1:5" x14ac:dyDescent="0.35">
      <c r="A1084" t="s">
        <v>1065</v>
      </c>
      <c r="B1084" t="s">
        <v>1105</v>
      </c>
      <c r="C1084">
        <v>113</v>
      </c>
      <c r="D1084">
        <v>113</v>
      </c>
      <c r="E1084" t="s">
        <v>17</v>
      </c>
    </row>
    <row r="1085" spans="1:5" x14ac:dyDescent="0.35">
      <c r="A1085" t="s">
        <v>1065</v>
      </c>
      <c r="B1085" t="s">
        <v>1106</v>
      </c>
      <c r="C1085">
        <v>269</v>
      </c>
      <c r="D1085">
        <v>100</v>
      </c>
      <c r="E1085" t="s">
        <v>11</v>
      </c>
    </row>
    <row r="1086" spans="1:5" x14ac:dyDescent="0.35">
      <c r="A1086" t="s">
        <v>1065</v>
      </c>
      <c r="B1086" t="s">
        <v>1107</v>
      </c>
      <c r="C1086">
        <v>100</v>
      </c>
      <c r="D1086">
        <v>63</v>
      </c>
      <c r="E1086" t="s">
        <v>9</v>
      </c>
    </row>
    <row r="1087" spans="1:5" x14ac:dyDescent="0.35">
      <c r="A1087" t="s">
        <v>1065</v>
      </c>
      <c r="B1087" t="s">
        <v>1108</v>
      </c>
      <c r="C1087">
        <v>87</v>
      </c>
      <c r="D1087">
        <v>74</v>
      </c>
      <c r="E1087" t="s">
        <v>7</v>
      </c>
    </row>
    <row r="1088" spans="1:5" x14ac:dyDescent="0.35">
      <c r="A1088" t="s">
        <v>1065</v>
      </c>
      <c r="B1088" t="s">
        <v>1109</v>
      </c>
      <c r="C1088">
        <v>303</v>
      </c>
      <c r="D1088">
        <v>32</v>
      </c>
      <c r="E1088" t="s">
        <v>33</v>
      </c>
    </row>
    <row r="1089" spans="1:5" x14ac:dyDescent="0.35">
      <c r="A1089" t="s">
        <v>1065</v>
      </c>
      <c r="B1089" t="s">
        <v>1110</v>
      </c>
      <c r="C1089">
        <v>237</v>
      </c>
      <c r="D1089">
        <v>146</v>
      </c>
      <c r="E1089" t="s">
        <v>9</v>
      </c>
    </row>
    <row r="1090" spans="1:5" x14ac:dyDescent="0.35">
      <c r="A1090" t="s">
        <v>1065</v>
      </c>
      <c r="B1090" t="s">
        <v>1111</v>
      </c>
      <c r="C1090">
        <v>302</v>
      </c>
      <c r="D1090">
        <v>176</v>
      </c>
      <c r="E1090" t="s">
        <v>9</v>
      </c>
    </row>
    <row r="1091" spans="1:5" x14ac:dyDescent="0.35">
      <c r="A1091" t="s">
        <v>1065</v>
      </c>
      <c r="B1091" t="s">
        <v>1112</v>
      </c>
      <c r="C1091">
        <v>150</v>
      </c>
      <c r="D1091">
        <v>53</v>
      </c>
      <c r="E1091" t="s">
        <v>33</v>
      </c>
    </row>
    <row r="1092" spans="1:5" x14ac:dyDescent="0.35">
      <c r="A1092" t="s">
        <v>1065</v>
      </c>
      <c r="B1092" t="s">
        <v>1113</v>
      </c>
      <c r="C1092">
        <v>241</v>
      </c>
      <c r="D1092">
        <v>83</v>
      </c>
      <c r="E1092" t="s">
        <v>9</v>
      </c>
    </row>
    <row r="1093" spans="1:5" x14ac:dyDescent="0.35">
      <c r="A1093" t="s">
        <v>1065</v>
      </c>
      <c r="B1093" t="s">
        <v>1114</v>
      </c>
      <c r="C1093">
        <v>186</v>
      </c>
      <c r="D1093">
        <v>144</v>
      </c>
      <c r="E1093" t="s">
        <v>21</v>
      </c>
    </row>
    <row r="1094" spans="1:5" x14ac:dyDescent="0.35">
      <c r="A1094" t="s">
        <v>1065</v>
      </c>
      <c r="B1094" t="s">
        <v>1115</v>
      </c>
      <c r="C1094">
        <v>228</v>
      </c>
      <c r="D1094">
        <v>128</v>
      </c>
      <c r="E1094" t="s">
        <v>21</v>
      </c>
    </row>
    <row r="1095" spans="1:5" x14ac:dyDescent="0.35">
      <c r="A1095" t="s">
        <v>1065</v>
      </c>
      <c r="B1095" t="s">
        <v>1116</v>
      </c>
      <c r="C1095">
        <v>254</v>
      </c>
      <c r="D1095">
        <v>103</v>
      </c>
      <c r="E1095" t="s">
        <v>15</v>
      </c>
    </row>
    <row r="1096" spans="1:5" x14ac:dyDescent="0.35">
      <c r="A1096" t="s">
        <v>1065</v>
      </c>
      <c r="B1096" t="s">
        <v>1117</v>
      </c>
      <c r="C1096">
        <v>104</v>
      </c>
      <c r="D1096">
        <v>73</v>
      </c>
      <c r="E1096" t="s">
        <v>21</v>
      </c>
    </row>
    <row r="1097" spans="1:5" x14ac:dyDescent="0.35">
      <c r="A1097" t="s">
        <v>1065</v>
      </c>
      <c r="B1097" t="s">
        <v>1118</v>
      </c>
      <c r="C1097">
        <v>209</v>
      </c>
      <c r="D1097">
        <v>175</v>
      </c>
      <c r="E1097" t="s">
        <v>9</v>
      </c>
    </row>
    <row r="1098" spans="1:5" x14ac:dyDescent="0.35">
      <c r="A1098" t="s">
        <v>1065</v>
      </c>
      <c r="B1098" t="s">
        <v>1119</v>
      </c>
      <c r="C1098">
        <v>296</v>
      </c>
      <c r="D1098">
        <v>163</v>
      </c>
      <c r="E1098" t="s">
        <v>21</v>
      </c>
    </row>
    <row r="1099" spans="1:5" x14ac:dyDescent="0.35">
      <c r="A1099" t="s">
        <v>1065</v>
      </c>
      <c r="B1099" t="s">
        <v>1120</v>
      </c>
      <c r="C1099">
        <v>114</v>
      </c>
      <c r="D1099">
        <v>58</v>
      </c>
      <c r="E1099" t="s">
        <v>15</v>
      </c>
    </row>
    <row r="1100" spans="1:5" x14ac:dyDescent="0.35">
      <c r="A1100" t="s">
        <v>1065</v>
      </c>
      <c r="B1100" t="s">
        <v>1121</v>
      </c>
      <c r="C1100">
        <v>185</v>
      </c>
      <c r="D1100">
        <v>82</v>
      </c>
      <c r="E1100" t="s">
        <v>11</v>
      </c>
    </row>
    <row r="1101" spans="1:5" x14ac:dyDescent="0.35">
      <c r="A1101" t="s">
        <v>1065</v>
      </c>
      <c r="B1101" t="s">
        <v>1122</v>
      </c>
      <c r="C1101">
        <v>157</v>
      </c>
      <c r="D1101">
        <v>65</v>
      </c>
      <c r="E1101" t="s">
        <v>21</v>
      </c>
    </row>
    <row r="1102" spans="1:5" x14ac:dyDescent="0.35">
      <c r="A1102" t="s">
        <v>1065</v>
      </c>
      <c r="B1102" t="s">
        <v>1123</v>
      </c>
      <c r="C1102">
        <v>159</v>
      </c>
      <c r="D1102">
        <v>120</v>
      </c>
      <c r="E1102" t="s">
        <v>7</v>
      </c>
    </row>
    <row r="1103" spans="1:5" x14ac:dyDescent="0.35">
      <c r="A1103" t="s">
        <v>1065</v>
      </c>
      <c r="B1103" t="s">
        <v>1124</v>
      </c>
      <c r="C1103">
        <v>225</v>
      </c>
      <c r="D1103">
        <v>75</v>
      </c>
      <c r="E1103" t="s">
        <v>17</v>
      </c>
    </row>
    <row r="1104" spans="1:5" x14ac:dyDescent="0.35">
      <c r="A1104" t="s">
        <v>1065</v>
      </c>
      <c r="B1104" t="s">
        <v>1125</v>
      </c>
      <c r="C1104">
        <v>46</v>
      </c>
      <c r="D1104">
        <v>39</v>
      </c>
      <c r="E1104" t="s">
        <v>11</v>
      </c>
    </row>
    <row r="1105" spans="1:5" x14ac:dyDescent="0.35">
      <c r="A1105" t="s">
        <v>1065</v>
      </c>
      <c r="B1105" t="s">
        <v>1126</v>
      </c>
      <c r="C1105">
        <v>152</v>
      </c>
      <c r="D1105">
        <v>94</v>
      </c>
      <c r="E1105" t="s">
        <v>33</v>
      </c>
    </row>
    <row r="1106" spans="1:5" x14ac:dyDescent="0.35">
      <c r="A1106" t="s">
        <v>1065</v>
      </c>
      <c r="B1106" t="s">
        <v>1127</v>
      </c>
      <c r="C1106">
        <v>157</v>
      </c>
      <c r="D1106">
        <v>110</v>
      </c>
      <c r="E1106" t="s">
        <v>17</v>
      </c>
    </row>
    <row r="1107" spans="1:5" x14ac:dyDescent="0.35">
      <c r="A1107" t="s">
        <v>1065</v>
      </c>
      <c r="B1107" t="s">
        <v>1128</v>
      </c>
      <c r="C1107">
        <v>272</v>
      </c>
      <c r="D1107">
        <v>190</v>
      </c>
      <c r="E1107" t="s">
        <v>9</v>
      </c>
    </row>
    <row r="1108" spans="1:5" x14ac:dyDescent="0.35">
      <c r="A1108" t="s">
        <v>1065</v>
      </c>
      <c r="B1108" t="s">
        <v>1129</v>
      </c>
      <c r="C1108">
        <v>244</v>
      </c>
      <c r="D1108">
        <v>45</v>
      </c>
      <c r="E1108" t="s">
        <v>11</v>
      </c>
    </row>
    <row r="1109" spans="1:5" x14ac:dyDescent="0.35">
      <c r="A1109" t="s">
        <v>1065</v>
      </c>
      <c r="B1109" t="s">
        <v>1130</v>
      </c>
      <c r="C1109">
        <v>183</v>
      </c>
      <c r="D1109">
        <v>113</v>
      </c>
      <c r="E1109" t="s">
        <v>15</v>
      </c>
    </row>
    <row r="1110" spans="1:5" x14ac:dyDescent="0.35">
      <c r="A1110" t="s">
        <v>1065</v>
      </c>
      <c r="B1110" t="s">
        <v>1131</v>
      </c>
      <c r="C1110">
        <v>174</v>
      </c>
      <c r="D1110">
        <v>173</v>
      </c>
      <c r="E1110" t="s">
        <v>15</v>
      </c>
    </row>
    <row r="1111" spans="1:5" x14ac:dyDescent="0.35">
      <c r="A1111" t="s">
        <v>1065</v>
      </c>
      <c r="B1111" t="s">
        <v>1132</v>
      </c>
      <c r="C1111">
        <v>120</v>
      </c>
      <c r="D1111">
        <v>78</v>
      </c>
      <c r="E1111" t="s">
        <v>11</v>
      </c>
    </row>
    <row r="1112" spans="1:5" x14ac:dyDescent="0.35">
      <c r="A1112" t="s">
        <v>1065</v>
      </c>
      <c r="B1112" t="s">
        <v>1133</v>
      </c>
      <c r="C1112">
        <v>282</v>
      </c>
      <c r="D1112">
        <v>137</v>
      </c>
      <c r="E1112" t="s">
        <v>21</v>
      </c>
    </row>
    <row r="1113" spans="1:5" x14ac:dyDescent="0.35">
      <c r="A1113" t="s">
        <v>1065</v>
      </c>
      <c r="B1113" t="s">
        <v>1134</v>
      </c>
      <c r="C1113">
        <v>202</v>
      </c>
      <c r="D1113">
        <v>38</v>
      </c>
      <c r="E1113" t="s">
        <v>7</v>
      </c>
    </row>
    <row r="1114" spans="1:5" x14ac:dyDescent="0.35">
      <c r="A1114" t="s">
        <v>1065</v>
      </c>
      <c r="B1114" t="s">
        <v>1135</v>
      </c>
      <c r="C1114">
        <v>234</v>
      </c>
      <c r="D1114">
        <v>127</v>
      </c>
      <c r="E1114" t="s">
        <v>15</v>
      </c>
    </row>
    <row r="1115" spans="1:5" x14ac:dyDescent="0.35">
      <c r="A1115" t="s">
        <v>1065</v>
      </c>
      <c r="B1115" t="s">
        <v>1136</v>
      </c>
      <c r="C1115">
        <v>217</v>
      </c>
      <c r="D1115">
        <v>70</v>
      </c>
      <c r="E1115" t="s">
        <v>11</v>
      </c>
    </row>
    <row r="1116" spans="1:5" x14ac:dyDescent="0.35">
      <c r="A1116" t="s">
        <v>1065</v>
      </c>
      <c r="B1116" t="s">
        <v>1137</v>
      </c>
      <c r="C1116">
        <v>82</v>
      </c>
      <c r="D1116">
        <v>38</v>
      </c>
      <c r="E1116" t="s">
        <v>9</v>
      </c>
    </row>
    <row r="1117" spans="1:5" x14ac:dyDescent="0.35">
      <c r="A1117" t="s">
        <v>1065</v>
      </c>
      <c r="B1117" t="s">
        <v>1138</v>
      </c>
      <c r="C1117">
        <v>128</v>
      </c>
      <c r="D1117">
        <v>120</v>
      </c>
      <c r="E1117" t="s">
        <v>11</v>
      </c>
    </row>
    <row r="1118" spans="1:5" x14ac:dyDescent="0.35">
      <c r="A1118" t="s">
        <v>1065</v>
      </c>
      <c r="B1118" t="s">
        <v>1139</v>
      </c>
      <c r="C1118">
        <v>301</v>
      </c>
      <c r="D1118">
        <v>31</v>
      </c>
      <c r="E1118" t="s">
        <v>21</v>
      </c>
    </row>
    <row r="1119" spans="1:5" x14ac:dyDescent="0.35">
      <c r="A1119" t="s">
        <v>1065</v>
      </c>
      <c r="B1119" t="s">
        <v>1140</v>
      </c>
      <c r="C1119">
        <v>157</v>
      </c>
      <c r="D1119">
        <v>92</v>
      </c>
      <c r="E1119" t="s">
        <v>11</v>
      </c>
    </row>
    <row r="1120" spans="1:5" x14ac:dyDescent="0.35">
      <c r="A1120" t="s">
        <v>1065</v>
      </c>
      <c r="B1120" t="s">
        <v>1141</v>
      </c>
      <c r="C1120">
        <v>244</v>
      </c>
      <c r="D1120">
        <v>45</v>
      </c>
      <c r="E1120" t="s">
        <v>17</v>
      </c>
    </row>
    <row r="1121" spans="1:5" x14ac:dyDescent="0.35">
      <c r="A1121" t="s">
        <v>1065</v>
      </c>
      <c r="B1121" t="s">
        <v>1142</v>
      </c>
      <c r="C1121">
        <v>46</v>
      </c>
      <c r="D1121">
        <v>31</v>
      </c>
      <c r="E1121" t="s">
        <v>15</v>
      </c>
    </row>
    <row r="1122" spans="1:5" x14ac:dyDescent="0.35">
      <c r="A1122" t="s">
        <v>1065</v>
      </c>
      <c r="B1122" t="s">
        <v>1143</v>
      </c>
      <c r="C1122">
        <v>246</v>
      </c>
      <c r="D1122">
        <v>159</v>
      </c>
      <c r="E1122" t="s">
        <v>33</v>
      </c>
    </row>
    <row r="1123" spans="1:5" x14ac:dyDescent="0.35">
      <c r="A1123" t="s">
        <v>1065</v>
      </c>
      <c r="B1123" t="s">
        <v>1144</v>
      </c>
      <c r="C1123">
        <v>185</v>
      </c>
      <c r="D1123">
        <v>93</v>
      </c>
      <c r="E1123" t="s">
        <v>9</v>
      </c>
    </row>
    <row r="1124" spans="1:5" x14ac:dyDescent="0.35">
      <c r="A1124" t="s">
        <v>1065</v>
      </c>
      <c r="B1124" t="s">
        <v>1145</v>
      </c>
      <c r="C1124">
        <v>215</v>
      </c>
      <c r="D1124">
        <v>130</v>
      </c>
      <c r="E1124" t="s">
        <v>9</v>
      </c>
    </row>
    <row r="1125" spans="1:5" x14ac:dyDescent="0.35">
      <c r="A1125" t="s">
        <v>1065</v>
      </c>
      <c r="B1125" t="s">
        <v>1146</v>
      </c>
      <c r="C1125">
        <v>165</v>
      </c>
      <c r="D1125">
        <v>60</v>
      </c>
      <c r="E1125" t="s">
        <v>15</v>
      </c>
    </row>
    <row r="1126" spans="1:5" x14ac:dyDescent="0.35">
      <c r="A1126" t="s">
        <v>1065</v>
      </c>
      <c r="B1126" t="s">
        <v>1147</v>
      </c>
      <c r="C1126">
        <v>228</v>
      </c>
      <c r="D1126">
        <v>163</v>
      </c>
      <c r="E1126" t="s">
        <v>33</v>
      </c>
    </row>
    <row r="1127" spans="1:5" x14ac:dyDescent="0.35">
      <c r="A1127" t="s">
        <v>1065</v>
      </c>
      <c r="B1127" t="s">
        <v>1148</v>
      </c>
      <c r="C1127">
        <v>177</v>
      </c>
      <c r="D1127">
        <v>112</v>
      </c>
      <c r="E1127" t="s">
        <v>33</v>
      </c>
    </row>
    <row r="1128" spans="1:5" x14ac:dyDescent="0.35">
      <c r="A1128" t="s">
        <v>1065</v>
      </c>
      <c r="B1128" t="s">
        <v>1149</v>
      </c>
      <c r="C1128">
        <v>163</v>
      </c>
      <c r="D1128">
        <v>145</v>
      </c>
      <c r="E1128" t="s">
        <v>17</v>
      </c>
    </row>
    <row r="1129" spans="1:5" x14ac:dyDescent="0.35">
      <c r="A1129" t="s">
        <v>1065</v>
      </c>
      <c r="B1129" t="s">
        <v>1150</v>
      </c>
      <c r="C1129">
        <v>306</v>
      </c>
      <c r="D1129">
        <v>178</v>
      </c>
      <c r="E1129" t="s">
        <v>17</v>
      </c>
    </row>
    <row r="1130" spans="1:5" x14ac:dyDescent="0.35">
      <c r="A1130" t="s">
        <v>1065</v>
      </c>
      <c r="B1130" t="s">
        <v>1151</v>
      </c>
      <c r="C1130">
        <v>91</v>
      </c>
      <c r="D1130">
        <v>31</v>
      </c>
      <c r="E1130" t="s">
        <v>33</v>
      </c>
    </row>
    <row r="1131" spans="1:5" x14ac:dyDescent="0.35">
      <c r="A1131" t="s">
        <v>1065</v>
      </c>
      <c r="B1131" t="s">
        <v>1152</v>
      </c>
      <c r="C1131">
        <v>109</v>
      </c>
      <c r="D1131">
        <v>99</v>
      </c>
      <c r="E1131" t="s">
        <v>17</v>
      </c>
    </row>
    <row r="1132" spans="1:5" x14ac:dyDescent="0.35">
      <c r="A1132" t="s">
        <v>1065</v>
      </c>
      <c r="B1132" t="s">
        <v>1153</v>
      </c>
      <c r="C1132">
        <v>301</v>
      </c>
      <c r="D1132">
        <v>110</v>
      </c>
      <c r="E1132" t="s">
        <v>9</v>
      </c>
    </row>
    <row r="1133" spans="1:5" x14ac:dyDescent="0.35">
      <c r="A1133" t="s">
        <v>1065</v>
      </c>
      <c r="B1133" t="s">
        <v>1154</v>
      </c>
      <c r="C1133">
        <v>189</v>
      </c>
      <c r="D1133">
        <v>165</v>
      </c>
      <c r="E1133" t="s">
        <v>21</v>
      </c>
    </row>
    <row r="1134" spans="1:5" x14ac:dyDescent="0.35">
      <c r="A1134" t="s">
        <v>1065</v>
      </c>
      <c r="B1134" t="s">
        <v>1155</v>
      </c>
      <c r="C1134">
        <v>275</v>
      </c>
      <c r="D1134">
        <v>91</v>
      </c>
      <c r="E1134" t="s">
        <v>21</v>
      </c>
    </row>
    <row r="1135" spans="1:5" x14ac:dyDescent="0.35">
      <c r="A1135" t="s">
        <v>1065</v>
      </c>
      <c r="B1135" t="s">
        <v>1156</v>
      </c>
      <c r="C1135">
        <v>192</v>
      </c>
      <c r="D1135">
        <v>127</v>
      </c>
      <c r="E1135" t="s">
        <v>7</v>
      </c>
    </row>
    <row r="1136" spans="1:5" x14ac:dyDescent="0.35">
      <c r="A1136" t="s">
        <v>1065</v>
      </c>
      <c r="B1136" t="s">
        <v>1157</v>
      </c>
      <c r="C1136">
        <v>262</v>
      </c>
      <c r="D1136">
        <v>190</v>
      </c>
      <c r="E1136" t="s">
        <v>17</v>
      </c>
    </row>
    <row r="1137" spans="1:5" x14ac:dyDescent="0.35">
      <c r="A1137" t="s">
        <v>1065</v>
      </c>
      <c r="B1137" t="s">
        <v>1158</v>
      </c>
      <c r="C1137">
        <v>313</v>
      </c>
      <c r="D1137">
        <v>66</v>
      </c>
      <c r="E1137" t="s">
        <v>17</v>
      </c>
    </row>
    <row r="1138" spans="1:5" x14ac:dyDescent="0.35">
      <c r="A1138" t="s">
        <v>1065</v>
      </c>
      <c r="B1138" t="s">
        <v>1159</v>
      </c>
      <c r="C1138">
        <v>287</v>
      </c>
      <c r="D1138">
        <v>91</v>
      </c>
      <c r="E1138" t="s">
        <v>11</v>
      </c>
    </row>
    <row r="1139" spans="1:5" x14ac:dyDescent="0.35">
      <c r="A1139" t="s">
        <v>1065</v>
      </c>
      <c r="B1139" t="s">
        <v>1160</v>
      </c>
      <c r="C1139">
        <v>221</v>
      </c>
      <c r="D1139">
        <v>142</v>
      </c>
      <c r="E1139" t="s">
        <v>33</v>
      </c>
    </row>
    <row r="1140" spans="1:5" x14ac:dyDescent="0.35">
      <c r="A1140" t="s">
        <v>1065</v>
      </c>
      <c r="B1140" t="s">
        <v>1161</v>
      </c>
      <c r="C1140">
        <v>252</v>
      </c>
      <c r="D1140">
        <v>160</v>
      </c>
      <c r="E1140" t="s">
        <v>9</v>
      </c>
    </row>
    <row r="1141" spans="1:5" x14ac:dyDescent="0.35">
      <c r="A1141" t="s">
        <v>1065</v>
      </c>
      <c r="B1141" t="s">
        <v>1162</v>
      </c>
      <c r="C1141">
        <v>189</v>
      </c>
      <c r="D1141">
        <v>138</v>
      </c>
      <c r="E1141" t="s">
        <v>11</v>
      </c>
    </row>
    <row r="1142" spans="1:5" x14ac:dyDescent="0.35">
      <c r="A1142" t="s">
        <v>1065</v>
      </c>
      <c r="B1142" t="s">
        <v>1163</v>
      </c>
      <c r="C1142">
        <v>187</v>
      </c>
      <c r="D1142">
        <v>127</v>
      </c>
      <c r="E1142" t="s">
        <v>33</v>
      </c>
    </row>
    <row r="1143" spans="1:5" x14ac:dyDescent="0.35">
      <c r="A1143" t="s">
        <v>1065</v>
      </c>
      <c r="B1143" t="s">
        <v>1164</v>
      </c>
      <c r="C1143">
        <v>248</v>
      </c>
      <c r="D1143">
        <v>32</v>
      </c>
      <c r="E1143" t="s">
        <v>11</v>
      </c>
    </row>
    <row r="1144" spans="1:5" x14ac:dyDescent="0.35">
      <c r="A1144" t="s">
        <v>1065</v>
      </c>
      <c r="B1144" t="s">
        <v>1165</v>
      </c>
      <c r="C1144">
        <v>180</v>
      </c>
      <c r="D1144">
        <v>89</v>
      </c>
      <c r="E1144" t="s">
        <v>11</v>
      </c>
    </row>
    <row r="1145" spans="1:5" x14ac:dyDescent="0.35">
      <c r="A1145" t="s">
        <v>1065</v>
      </c>
      <c r="B1145" t="s">
        <v>1166</v>
      </c>
      <c r="C1145">
        <v>98</v>
      </c>
      <c r="D1145">
        <v>51</v>
      </c>
      <c r="E1145" t="s">
        <v>9</v>
      </c>
    </row>
    <row r="1146" spans="1:5" x14ac:dyDescent="0.35">
      <c r="A1146" t="s">
        <v>1065</v>
      </c>
      <c r="B1146" t="s">
        <v>1167</v>
      </c>
      <c r="C1146">
        <v>123</v>
      </c>
      <c r="D1146">
        <v>97</v>
      </c>
      <c r="E1146" t="s">
        <v>9</v>
      </c>
    </row>
    <row r="1147" spans="1:5" x14ac:dyDescent="0.35">
      <c r="A1147" t="s">
        <v>1065</v>
      </c>
      <c r="B1147" t="s">
        <v>1168</v>
      </c>
      <c r="C1147">
        <v>234</v>
      </c>
      <c r="D1147">
        <v>76</v>
      </c>
      <c r="E1147" t="s">
        <v>9</v>
      </c>
    </row>
    <row r="1148" spans="1:5" x14ac:dyDescent="0.35">
      <c r="A1148" t="s">
        <v>1065</v>
      </c>
      <c r="B1148" t="s">
        <v>1169</v>
      </c>
      <c r="C1148">
        <v>132</v>
      </c>
      <c r="D1148">
        <v>86</v>
      </c>
      <c r="E1148" t="s">
        <v>17</v>
      </c>
    </row>
    <row r="1149" spans="1:5" x14ac:dyDescent="0.35">
      <c r="A1149" t="s">
        <v>1065</v>
      </c>
      <c r="B1149" t="s">
        <v>1170</v>
      </c>
      <c r="C1149">
        <v>280</v>
      </c>
      <c r="D1149">
        <v>114</v>
      </c>
      <c r="E1149" t="s">
        <v>33</v>
      </c>
    </row>
    <row r="1150" spans="1:5" x14ac:dyDescent="0.35">
      <c r="A1150" t="s">
        <v>1065</v>
      </c>
      <c r="B1150" t="s">
        <v>1171</v>
      </c>
      <c r="C1150">
        <v>274</v>
      </c>
      <c r="D1150">
        <v>42</v>
      </c>
      <c r="E1150" t="s">
        <v>17</v>
      </c>
    </row>
    <row r="1151" spans="1:5" x14ac:dyDescent="0.35">
      <c r="A1151" t="s">
        <v>1065</v>
      </c>
      <c r="B1151" t="s">
        <v>1172</v>
      </c>
      <c r="C1151">
        <v>211</v>
      </c>
      <c r="D1151">
        <v>60</v>
      </c>
      <c r="E1151" t="s">
        <v>11</v>
      </c>
    </row>
    <row r="1152" spans="1:5" x14ac:dyDescent="0.35">
      <c r="A1152" t="s">
        <v>1065</v>
      </c>
      <c r="B1152" t="s">
        <v>1173</v>
      </c>
      <c r="C1152">
        <v>81</v>
      </c>
      <c r="D1152">
        <v>74</v>
      </c>
      <c r="E1152" t="s">
        <v>33</v>
      </c>
    </row>
    <row r="1153" spans="1:5" x14ac:dyDescent="0.35">
      <c r="A1153" t="s">
        <v>1065</v>
      </c>
      <c r="B1153" t="s">
        <v>1174</v>
      </c>
      <c r="C1153">
        <v>283</v>
      </c>
      <c r="D1153">
        <v>190</v>
      </c>
      <c r="E1153" t="s">
        <v>7</v>
      </c>
    </row>
    <row r="1154" spans="1:5" x14ac:dyDescent="0.35">
      <c r="A1154" t="s">
        <v>1065</v>
      </c>
      <c r="B1154" t="s">
        <v>1175</v>
      </c>
      <c r="C1154">
        <v>245</v>
      </c>
      <c r="D1154">
        <v>166</v>
      </c>
      <c r="E1154" t="s">
        <v>11</v>
      </c>
    </row>
    <row r="1155" spans="1:5" x14ac:dyDescent="0.35">
      <c r="A1155" t="s">
        <v>1065</v>
      </c>
      <c r="B1155" t="s">
        <v>1176</v>
      </c>
      <c r="C1155">
        <v>288</v>
      </c>
      <c r="D1155">
        <v>88</v>
      </c>
      <c r="E1155" t="s">
        <v>15</v>
      </c>
    </row>
    <row r="1156" spans="1:5" x14ac:dyDescent="0.35">
      <c r="A1156" t="s">
        <v>1065</v>
      </c>
      <c r="B1156" t="s">
        <v>1177</v>
      </c>
      <c r="C1156">
        <v>96</v>
      </c>
      <c r="D1156">
        <v>84</v>
      </c>
      <c r="E1156" t="s">
        <v>11</v>
      </c>
    </row>
    <row r="1157" spans="1:5" x14ac:dyDescent="0.35">
      <c r="A1157" t="s">
        <v>1065</v>
      </c>
      <c r="B1157" t="s">
        <v>1178</v>
      </c>
      <c r="C1157">
        <v>254</v>
      </c>
      <c r="D1157">
        <v>143</v>
      </c>
      <c r="E1157" t="s">
        <v>17</v>
      </c>
    </row>
    <row r="1158" spans="1:5" x14ac:dyDescent="0.35">
      <c r="A1158" t="s">
        <v>1065</v>
      </c>
      <c r="B1158" t="s">
        <v>1179</v>
      </c>
      <c r="C1158">
        <v>257</v>
      </c>
      <c r="D1158">
        <v>62</v>
      </c>
      <c r="E1158" t="s">
        <v>11</v>
      </c>
    </row>
    <row r="1159" spans="1:5" x14ac:dyDescent="0.35">
      <c r="A1159" t="s">
        <v>1065</v>
      </c>
      <c r="B1159" t="s">
        <v>1180</v>
      </c>
      <c r="C1159">
        <v>221</v>
      </c>
      <c r="D1159">
        <v>153</v>
      </c>
      <c r="E1159" t="s">
        <v>33</v>
      </c>
    </row>
    <row r="1160" spans="1:5" x14ac:dyDescent="0.35">
      <c r="A1160" t="s">
        <v>1065</v>
      </c>
      <c r="B1160" t="s">
        <v>1181</v>
      </c>
      <c r="C1160">
        <v>315</v>
      </c>
      <c r="D1160">
        <v>47</v>
      </c>
      <c r="E1160" t="s">
        <v>11</v>
      </c>
    </row>
    <row r="1161" spans="1:5" x14ac:dyDescent="0.35">
      <c r="A1161" t="s">
        <v>1065</v>
      </c>
      <c r="B1161" t="s">
        <v>1182</v>
      </c>
      <c r="C1161">
        <v>258</v>
      </c>
      <c r="D1161">
        <v>104</v>
      </c>
      <c r="E1161" t="s">
        <v>17</v>
      </c>
    </row>
    <row r="1162" spans="1:5" x14ac:dyDescent="0.35">
      <c r="A1162" t="s">
        <v>1065</v>
      </c>
      <c r="B1162" t="s">
        <v>1183</v>
      </c>
      <c r="C1162">
        <v>235</v>
      </c>
      <c r="D1162">
        <v>172</v>
      </c>
      <c r="E1162" t="s">
        <v>17</v>
      </c>
    </row>
    <row r="1163" spans="1:5" x14ac:dyDescent="0.35">
      <c r="A1163" t="s">
        <v>1065</v>
      </c>
      <c r="B1163" t="s">
        <v>1184</v>
      </c>
      <c r="C1163">
        <v>136</v>
      </c>
      <c r="D1163">
        <v>59</v>
      </c>
      <c r="E1163" t="s">
        <v>7</v>
      </c>
    </row>
    <row r="1164" spans="1:5" x14ac:dyDescent="0.35">
      <c r="A1164" t="s">
        <v>1065</v>
      </c>
      <c r="B1164" t="s">
        <v>1185</v>
      </c>
      <c r="C1164">
        <v>307</v>
      </c>
      <c r="D1164">
        <v>137</v>
      </c>
      <c r="E1164" t="s">
        <v>9</v>
      </c>
    </row>
    <row r="1165" spans="1:5" x14ac:dyDescent="0.35">
      <c r="A1165" t="s">
        <v>1065</v>
      </c>
      <c r="B1165" t="s">
        <v>1186</v>
      </c>
      <c r="C1165">
        <v>225</v>
      </c>
      <c r="D1165">
        <v>185</v>
      </c>
      <c r="E1165" t="s">
        <v>17</v>
      </c>
    </row>
    <row r="1166" spans="1:5" x14ac:dyDescent="0.35">
      <c r="A1166" t="s">
        <v>1065</v>
      </c>
      <c r="B1166" t="s">
        <v>1187</v>
      </c>
      <c r="C1166">
        <v>184</v>
      </c>
      <c r="D1166">
        <v>113</v>
      </c>
      <c r="E1166" t="s">
        <v>17</v>
      </c>
    </row>
    <row r="1167" spans="1:5" x14ac:dyDescent="0.35">
      <c r="A1167" t="s">
        <v>1065</v>
      </c>
      <c r="B1167" t="s">
        <v>1188</v>
      </c>
      <c r="C1167">
        <v>101</v>
      </c>
      <c r="D1167">
        <v>34</v>
      </c>
      <c r="E1167" t="s">
        <v>21</v>
      </c>
    </row>
    <row r="1168" spans="1:5" x14ac:dyDescent="0.35">
      <c r="A1168" t="s">
        <v>1065</v>
      </c>
      <c r="B1168" t="s">
        <v>1189</v>
      </c>
      <c r="C1168">
        <v>202</v>
      </c>
      <c r="D1168">
        <v>70</v>
      </c>
      <c r="E1168" t="s">
        <v>9</v>
      </c>
    </row>
    <row r="1169" spans="1:5" x14ac:dyDescent="0.35">
      <c r="A1169" t="s">
        <v>1065</v>
      </c>
      <c r="B1169" t="s">
        <v>1190</v>
      </c>
      <c r="C1169">
        <v>244</v>
      </c>
      <c r="D1169">
        <v>98</v>
      </c>
      <c r="E1169" t="s">
        <v>21</v>
      </c>
    </row>
    <row r="1170" spans="1:5" x14ac:dyDescent="0.35">
      <c r="A1170" t="s">
        <v>1065</v>
      </c>
      <c r="B1170" t="s">
        <v>1191</v>
      </c>
      <c r="C1170">
        <v>284</v>
      </c>
      <c r="D1170">
        <v>127</v>
      </c>
      <c r="E1170" t="s">
        <v>21</v>
      </c>
    </row>
    <row r="1171" spans="1:5" x14ac:dyDescent="0.35">
      <c r="A1171" t="s">
        <v>1065</v>
      </c>
      <c r="B1171" t="s">
        <v>1192</v>
      </c>
      <c r="C1171">
        <v>195</v>
      </c>
      <c r="D1171">
        <v>64</v>
      </c>
      <c r="E1171" t="s">
        <v>33</v>
      </c>
    </row>
    <row r="1172" spans="1:5" x14ac:dyDescent="0.35">
      <c r="A1172" t="s">
        <v>1065</v>
      </c>
      <c r="B1172" t="s">
        <v>1193</v>
      </c>
      <c r="C1172">
        <v>164</v>
      </c>
      <c r="D1172">
        <v>158</v>
      </c>
      <c r="E1172" t="s">
        <v>21</v>
      </c>
    </row>
    <row r="1173" spans="1:5" x14ac:dyDescent="0.35">
      <c r="A1173" t="s">
        <v>1065</v>
      </c>
      <c r="B1173" t="s">
        <v>1194</v>
      </c>
      <c r="C1173">
        <v>190</v>
      </c>
      <c r="D1173">
        <v>163</v>
      </c>
      <c r="E1173" t="s">
        <v>9</v>
      </c>
    </row>
    <row r="1174" spans="1:5" x14ac:dyDescent="0.35">
      <c r="A1174" t="s">
        <v>1065</v>
      </c>
      <c r="B1174" t="s">
        <v>1195</v>
      </c>
      <c r="C1174">
        <v>230</v>
      </c>
      <c r="D1174">
        <v>123</v>
      </c>
      <c r="E1174" t="s">
        <v>17</v>
      </c>
    </row>
    <row r="1175" spans="1:5" x14ac:dyDescent="0.35">
      <c r="A1175" t="s">
        <v>1065</v>
      </c>
      <c r="B1175" t="s">
        <v>1196</v>
      </c>
      <c r="C1175">
        <v>303</v>
      </c>
      <c r="D1175">
        <v>159</v>
      </c>
      <c r="E1175" t="s">
        <v>33</v>
      </c>
    </row>
    <row r="1176" spans="1:5" x14ac:dyDescent="0.35">
      <c r="A1176" t="s">
        <v>1065</v>
      </c>
      <c r="B1176" t="s">
        <v>1197</v>
      </c>
      <c r="C1176">
        <v>172</v>
      </c>
      <c r="D1176">
        <v>146</v>
      </c>
      <c r="E1176" t="s">
        <v>33</v>
      </c>
    </row>
    <row r="1177" spans="1:5" x14ac:dyDescent="0.35">
      <c r="A1177" t="s">
        <v>1065</v>
      </c>
      <c r="B1177" t="s">
        <v>1198</v>
      </c>
      <c r="C1177">
        <v>295</v>
      </c>
      <c r="D1177">
        <v>190</v>
      </c>
      <c r="E1177" t="s">
        <v>11</v>
      </c>
    </row>
    <row r="1178" spans="1:5" x14ac:dyDescent="0.35">
      <c r="A1178" t="s">
        <v>1065</v>
      </c>
      <c r="B1178" t="s">
        <v>1199</v>
      </c>
      <c r="C1178">
        <v>110</v>
      </c>
      <c r="D1178">
        <v>81</v>
      </c>
      <c r="E1178" t="s">
        <v>11</v>
      </c>
    </row>
    <row r="1179" spans="1:5" x14ac:dyDescent="0.35">
      <c r="A1179" t="s">
        <v>1065</v>
      </c>
      <c r="B1179" t="s">
        <v>1200</v>
      </c>
      <c r="C1179">
        <v>129</v>
      </c>
      <c r="D1179">
        <v>100</v>
      </c>
      <c r="E1179" t="s">
        <v>33</v>
      </c>
    </row>
    <row r="1180" spans="1:5" x14ac:dyDescent="0.35">
      <c r="A1180" t="s">
        <v>1065</v>
      </c>
      <c r="B1180" t="s">
        <v>1201</v>
      </c>
      <c r="C1180">
        <v>284</v>
      </c>
      <c r="D1180">
        <v>98</v>
      </c>
      <c r="E1180" t="s">
        <v>15</v>
      </c>
    </row>
    <row r="1181" spans="1:5" x14ac:dyDescent="0.35">
      <c r="A1181" t="s">
        <v>1065</v>
      </c>
      <c r="B1181" t="s">
        <v>1202</v>
      </c>
      <c r="C1181">
        <v>201</v>
      </c>
      <c r="D1181">
        <v>59</v>
      </c>
      <c r="E1181" t="s">
        <v>11</v>
      </c>
    </row>
    <row r="1182" spans="1:5" x14ac:dyDescent="0.35">
      <c r="A1182" t="s">
        <v>1065</v>
      </c>
      <c r="B1182" t="s">
        <v>1203</v>
      </c>
      <c r="C1182">
        <v>181</v>
      </c>
      <c r="D1182">
        <v>170</v>
      </c>
      <c r="E1182" t="s">
        <v>11</v>
      </c>
    </row>
    <row r="1183" spans="1:5" x14ac:dyDescent="0.35">
      <c r="A1183" t="s">
        <v>1065</v>
      </c>
      <c r="B1183" t="s">
        <v>1204</v>
      </c>
      <c r="C1183">
        <v>250</v>
      </c>
      <c r="D1183">
        <v>134</v>
      </c>
      <c r="E1183" t="s">
        <v>33</v>
      </c>
    </row>
    <row r="1184" spans="1:5" x14ac:dyDescent="0.35">
      <c r="A1184" t="s">
        <v>1065</v>
      </c>
      <c r="B1184" t="s">
        <v>1205</v>
      </c>
      <c r="C1184">
        <v>280</v>
      </c>
      <c r="D1184">
        <v>98</v>
      </c>
      <c r="E1184" t="s">
        <v>7</v>
      </c>
    </row>
    <row r="1185" spans="1:5" x14ac:dyDescent="0.35">
      <c r="A1185" t="s">
        <v>1065</v>
      </c>
      <c r="B1185" t="s">
        <v>1206</v>
      </c>
      <c r="C1185">
        <v>207</v>
      </c>
      <c r="D1185">
        <v>135</v>
      </c>
      <c r="E1185" t="s">
        <v>7</v>
      </c>
    </row>
    <row r="1186" spans="1:5" x14ac:dyDescent="0.35">
      <c r="A1186" t="s">
        <v>1065</v>
      </c>
      <c r="B1186" t="s">
        <v>1207</v>
      </c>
      <c r="C1186">
        <v>290</v>
      </c>
      <c r="D1186">
        <v>117</v>
      </c>
      <c r="E1186" t="s">
        <v>9</v>
      </c>
    </row>
    <row r="1187" spans="1:5" x14ac:dyDescent="0.35">
      <c r="A1187" t="s">
        <v>1065</v>
      </c>
      <c r="B1187" t="s">
        <v>1208</v>
      </c>
      <c r="C1187">
        <v>283</v>
      </c>
      <c r="D1187">
        <v>184</v>
      </c>
      <c r="E1187" t="s">
        <v>17</v>
      </c>
    </row>
    <row r="1188" spans="1:5" x14ac:dyDescent="0.35">
      <c r="A1188" t="s">
        <v>1065</v>
      </c>
      <c r="B1188" t="s">
        <v>1209</v>
      </c>
      <c r="C1188">
        <v>260</v>
      </c>
      <c r="D1188">
        <v>34</v>
      </c>
      <c r="E1188" t="s">
        <v>21</v>
      </c>
    </row>
    <row r="1189" spans="1:5" x14ac:dyDescent="0.35">
      <c r="A1189" t="s">
        <v>1065</v>
      </c>
      <c r="B1189" t="s">
        <v>1210</v>
      </c>
      <c r="C1189">
        <v>237</v>
      </c>
      <c r="D1189">
        <v>110</v>
      </c>
      <c r="E1189" t="s">
        <v>7</v>
      </c>
    </row>
    <row r="1190" spans="1:5" x14ac:dyDescent="0.35">
      <c r="A1190" t="s">
        <v>1065</v>
      </c>
      <c r="B1190" t="s">
        <v>1211</v>
      </c>
      <c r="C1190">
        <v>303</v>
      </c>
      <c r="D1190">
        <v>137</v>
      </c>
      <c r="E1190" t="s">
        <v>15</v>
      </c>
    </row>
    <row r="1191" spans="1:5" x14ac:dyDescent="0.35">
      <c r="A1191" t="s">
        <v>1065</v>
      </c>
      <c r="B1191" t="s">
        <v>1212</v>
      </c>
      <c r="C1191">
        <v>220</v>
      </c>
      <c r="D1191">
        <v>157</v>
      </c>
      <c r="E1191" t="s">
        <v>7</v>
      </c>
    </row>
    <row r="1192" spans="1:5" x14ac:dyDescent="0.35">
      <c r="A1192" t="s">
        <v>1065</v>
      </c>
      <c r="B1192" t="s">
        <v>1213</v>
      </c>
      <c r="C1192">
        <v>240</v>
      </c>
      <c r="D1192">
        <v>185</v>
      </c>
      <c r="E1192" t="s">
        <v>17</v>
      </c>
    </row>
    <row r="1193" spans="1:5" x14ac:dyDescent="0.35">
      <c r="A1193" t="s">
        <v>1065</v>
      </c>
      <c r="B1193" t="s">
        <v>1214</v>
      </c>
      <c r="C1193">
        <v>184</v>
      </c>
      <c r="D1193">
        <v>116</v>
      </c>
      <c r="E1193" t="s">
        <v>11</v>
      </c>
    </row>
    <row r="1194" spans="1:5" x14ac:dyDescent="0.35">
      <c r="A1194" t="s">
        <v>1065</v>
      </c>
      <c r="B1194" t="s">
        <v>1215</v>
      </c>
      <c r="C1194">
        <v>133</v>
      </c>
      <c r="D1194">
        <v>48</v>
      </c>
      <c r="E1194" t="s">
        <v>11</v>
      </c>
    </row>
    <row r="1195" spans="1:5" x14ac:dyDescent="0.35">
      <c r="A1195" t="s">
        <v>1065</v>
      </c>
      <c r="B1195" t="s">
        <v>1216</v>
      </c>
      <c r="C1195">
        <v>243</v>
      </c>
      <c r="D1195">
        <v>55</v>
      </c>
      <c r="E1195" t="s">
        <v>33</v>
      </c>
    </row>
    <row r="1196" spans="1:5" x14ac:dyDescent="0.35">
      <c r="A1196" t="s">
        <v>1065</v>
      </c>
      <c r="B1196" t="s">
        <v>1217</v>
      </c>
      <c r="C1196">
        <v>208</v>
      </c>
      <c r="D1196">
        <v>135</v>
      </c>
      <c r="E1196" t="s">
        <v>17</v>
      </c>
    </row>
    <row r="1197" spans="1:5" x14ac:dyDescent="0.35">
      <c r="A1197" t="s">
        <v>1065</v>
      </c>
      <c r="B1197" t="s">
        <v>1218</v>
      </c>
      <c r="C1197">
        <v>282</v>
      </c>
      <c r="D1197">
        <v>123</v>
      </c>
      <c r="E1197" t="s">
        <v>21</v>
      </c>
    </row>
    <row r="1198" spans="1:5" x14ac:dyDescent="0.35">
      <c r="A1198" t="s">
        <v>1065</v>
      </c>
      <c r="B1198" t="s">
        <v>1219</v>
      </c>
      <c r="C1198">
        <v>77</v>
      </c>
      <c r="D1198">
        <v>44</v>
      </c>
      <c r="E1198" t="s">
        <v>21</v>
      </c>
    </row>
    <row r="1199" spans="1:5" x14ac:dyDescent="0.35">
      <c r="A1199" t="s">
        <v>1065</v>
      </c>
      <c r="B1199" t="s">
        <v>1220</v>
      </c>
      <c r="C1199">
        <v>184</v>
      </c>
      <c r="D1199">
        <v>176</v>
      </c>
      <c r="E1199" t="s">
        <v>11</v>
      </c>
    </row>
    <row r="1200" spans="1:5" x14ac:dyDescent="0.35">
      <c r="A1200" t="s">
        <v>1065</v>
      </c>
      <c r="B1200" t="s">
        <v>1221</v>
      </c>
      <c r="C1200">
        <v>302</v>
      </c>
      <c r="D1200">
        <v>70</v>
      </c>
      <c r="E1200" t="s">
        <v>11</v>
      </c>
    </row>
    <row r="1201" spans="1:5" x14ac:dyDescent="0.35">
      <c r="A1201" t="s">
        <v>1065</v>
      </c>
      <c r="B1201" t="s">
        <v>1222</v>
      </c>
      <c r="C1201">
        <v>219</v>
      </c>
      <c r="D1201">
        <v>121</v>
      </c>
      <c r="E1201" t="s">
        <v>9</v>
      </c>
    </row>
    <row r="1202" spans="1:5" x14ac:dyDescent="0.35">
      <c r="A1202" t="s">
        <v>1065</v>
      </c>
      <c r="B1202" t="s">
        <v>1223</v>
      </c>
      <c r="C1202">
        <v>180</v>
      </c>
      <c r="D1202">
        <v>97</v>
      </c>
      <c r="E1202" t="s">
        <v>33</v>
      </c>
    </row>
    <row r="1203" spans="1:5" x14ac:dyDescent="0.35">
      <c r="A1203" t="s">
        <v>1065</v>
      </c>
      <c r="B1203" t="s">
        <v>1224</v>
      </c>
      <c r="C1203">
        <v>262</v>
      </c>
      <c r="D1203">
        <v>147</v>
      </c>
      <c r="E1203" t="s">
        <v>11</v>
      </c>
    </row>
    <row r="1204" spans="1:5" x14ac:dyDescent="0.35">
      <c r="A1204" t="s">
        <v>1065</v>
      </c>
      <c r="B1204" t="s">
        <v>1225</v>
      </c>
      <c r="C1204">
        <v>191</v>
      </c>
      <c r="D1204">
        <v>170</v>
      </c>
      <c r="E1204" t="s">
        <v>33</v>
      </c>
    </row>
    <row r="1205" spans="1:5" x14ac:dyDescent="0.35">
      <c r="A1205" t="s">
        <v>1065</v>
      </c>
      <c r="B1205" t="s">
        <v>1226</v>
      </c>
      <c r="C1205">
        <v>296</v>
      </c>
      <c r="D1205">
        <v>61</v>
      </c>
      <c r="E1205" t="s">
        <v>33</v>
      </c>
    </row>
    <row r="1206" spans="1:5" x14ac:dyDescent="0.35">
      <c r="A1206" t="s">
        <v>1065</v>
      </c>
      <c r="B1206" t="s">
        <v>1227</v>
      </c>
      <c r="C1206">
        <v>136</v>
      </c>
      <c r="D1206">
        <v>66</v>
      </c>
      <c r="E1206" t="s">
        <v>9</v>
      </c>
    </row>
    <row r="1207" spans="1:5" x14ac:dyDescent="0.35">
      <c r="A1207" t="s">
        <v>1065</v>
      </c>
      <c r="B1207" t="s">
        <v>1228</v>
      </c>
      <c r="C1207">
        <v>231</v>
      </c>
      <c r="D1207">
        <v>136</v>
      </c>
      <c r="E1207" t="s">
        <v>9</v>
      </c>
    </row>
    <row r="1208" spans="1:5" x14ac:dyDescent="0.35">
      <c r="A1208" t="s">
        <v>1065</v>
      </c>
      <c r="B1208" t="s">
        <v>1229</v>
      </c>
      <c r="C1208">
        <v>183</v>
      </c>
      <c r="D1208">
        <v>128</v>
      </c>
      <c r="E1208" t="s">
        <v>15</v>
      </c>
    </row>
    <row r="1209" spans="1:5" x14ac:dyDescent="0.35">
      <c r="A1209" t="s">
        <v>1065</v>
      </c>
      <c r="B1209" t="s">
        <v>1230</v>
      </c>
      <c r="C1209">
        <v>112</v>
      </c>
      <c r="D1209">
        <v>96</v>
      </c>
      <c r="E1209" t="s">
        <v>9</v>
      </c>
    </row>
    <row r="1210" spans="1:5" x14ac:dyDescent="0.35">
      <c r="A1210" t="s">
        <v>1065</v>
      </c>
      <c r="B1210" t="s">
        <v>1231</v>
      </c>
      <c r="C1210">
        <v>254</v>
      </c>
      <c r="D1210">
        <v>116</v>
      </c>
      <c r="E1210" t="s">
        <v>33</v>
      </c>
    </row>
    <row r="1211" spans="1:5" x14ac:dyDescent="0.35">
      <c r="A1211" t="s">
        <v>1065</v>
      </c>
      <c r="B1211" t="s">
        <v>1232</v>
      </c>
      <c r="C1211">
        <v>176</v>
      </c>
      <c r="D1211">
        <v>152</v>
      </c>
      <c r="E1211" t="s">
        <v>9</v>
      </c>
    </row>
    <row r="1212" spans="1:5" x14ac:dyDescent="0.35">
      <c r="A1212" t="s">
        <v>1065</v>
      </c>
      <c r="B1212" t="s">
        <v>1233</v>
      </c>
      <c r="C1212">
        <v>265</v>
      </c>
      <c r="D1212">
        <v>187</v>
      </c>
      <c r="E1212" t="s">
        <v>17</v>
      </c>
    </row>
    <row r="1213" spans="1:5" x14ac:dyDescent="0.35">
      <c r="A1213" t="s">
        <v>1065</v>
      </c>
      <c r="B1213" t="s">
        <v>1234</v>
      </c>
      <c r="C1213">
        <v>296</v>
      </c>
      <c r="D1213">
        <v>109</v>
      </c>
      <c r="E1213" t="s">
        <v>33</v>
      </c>
    </row>
    <row r="1214" spans="1:5" x14ac:dyDescent="0.35">
      <c r="A1214" t="s">
        <v>1065</v>
      </c>
      <c r="B1214" t="s">
        <v>1235</v>
      </c>
      <c r="C1214">
        <v>212</v>
      </c>
      <c r="D1214">
        <v>76</v>
      </c>
      <c r="E1214" t="s">
        <v>21</v>
      </c>
    </row>
    <row r="1215" spans="1:5" x14ac:dyDescent="0.35">
      <c r="A1215" t="s">
        <v>1065</v>
      </c>
      <c r="B1215" t="s">
        <v>1236</v>
      </c>
      <c r="C1215">
        <v>130</v>
      </c>
      <c r="D1215">
        <v>102</v>
      </c>
      <c r="E1215" t="s">
        <v>17</v>
      </c>
    </row>
    <row r="1216" spans="1:5" x14ac:dyDescent="0.35">
      <c r="A1216" t="s">
        <v>1065</v>
      </c>
      <c r="B1216" t="s">
        <v>1237</v>
      </c>
      <c r="C1216">
        <v>222</v>
      </c>
      <c r="D1216">
        <v>73</v>
      </c>
      <c r="E1216" t="s">
        <v>17</v>
      </c>
    </row>
    <row r="1217" spans="1:5" x14ac:dyDescent="0.35">
      <c r="A1217" t="s">
        <v>1065</v>
      </c>
      <c r="B1217" t="s">
        <v>1238</v>
      </c>
      <c r="C1217">
        <v>319</v>
      </c>
      <c r="D1217">
        <v>101</v>
      </c>
      <c r="E1217" t="s">
        <v>11</v>
      </c>
    </row>
    <row r="1218" spans="1:5" x14ac:dyDescent="0.35">
      <c r="A1218" t="s">
        <v>1065</v>
      </c>
      <c r="B1218" t="s">
        <v>1239</v>
      </c>
      <c r="C1218">
        <v>221</v>
      </c>
      <c r="D1218">
        <v>155</v>
      </c>
      <c r="E1218" t="s">
        <v>33</v>
      </c>
    </row>
    <row r="1219" spans="1:5" x14ac:dyDescent="0.35">
      <c r="A1219" t="s">
        <v>1065</v>
      </c>
      <c r="B1219" t="s">
        <v>1240</v>
      </c>
      <c r="C1219">
        <v>107</v>
      </c>
      <c r="D1219">
        <v>106</v>
      </c>
      <c r="E1219" t="s">
        <v>15</v>
      </c>
    </row>
    <row r="1220" spans="1:5" x14ac:dyDescent="0.35">
      <c r="A1220" t="s">
        <v>1065</v>
      </c>
      <c r="B1220" t="s">
        <v>1241</v>
      </c>
      <c r="C1220">
        <v>242</v>
      </c>
      <c r="D1220">
        <v>92</v>
      </c>
      <c r="E1220" t="s">
        <v>15</v>
      </c>
    </row>
    <row r="1221" spans="1:5" x14ac:dyDescent="0.35">
      <c r="A1221" t="s">
        <v>1065</v>
      </c>
      <c r="B1221" t="s">
        <v>1242</v>
      </c>
      <c r="C1221">
        <v>200</v>
      </c>
      <c r="D1221">
        <v>101</v>
      </c>
      <c r="E1221" t="s">
        <v>21</v>
      </c>
    </row>
    <row r="1222" spans="1:5" x14ac:dyDescent="0.35">
      <c r="A1222" t="s">
        <v>1065</v>
      </c>
      <c r="B1222" t="s">
        <v>1243</v>
      </c>
      <c r="C1222">
        <v>293</v>
      </c>
      <c r="D1222">
        <v>122</v>
      </c>
      <c r="E1222" t="s">
        <v>17</v>
      </c>
    </row>
    <row r="1223" spans="1:5" x14ac:dyDescent="0.35">
      <c r="A1223" t="s">
        <v>1065</v>
      </c>
      <c r="B1223" t="s">
        <v>1244</v>
      </c>
      <c r="C1223">
        <v>137</v>
      </c>
      <c r="D1223">
        <v>133</v>
      </c>
      <c r="E1223" t="s">
        <v>7</v>
      </c>
    </row>
    <row r="1224" spans="1:5" x14ac:dyDescent="0.35">
      <c r="A1224" t="s">
        <v>1065</v>
      </c>
      <c r="B1224" t="s">
        <v>1245</v>
      </c>
      <c r="C1224">
        <v>149</v>
      </c>
      <c r="D1224">
        <v>71</v>
      </c>
      <c r="E1224" t="s">
        <v>15</v>
      </c>
    </row>
    <row r="1225" spans="1:5" x14ac:dyDescent="0.35">
      <c r="A1225" t="s">
        <v>1065</v>
      </c>
      <c r="B1225" t="s">
        <v>1246</v>
      </c>
      <c r="C1225">
        <v>221</v>
      </c>
      <c r="D1225">
        <v>82</v>
      </c>
      <c r="E1225" t="s">
        <v>9</v>
      </c>
    </row>
    <row r="1226" spans="1:5" x14ac:dyDescent="0.35">
      <c r="A1226" t="s">
        <v>1065</v>
      </c>
      <c r="B1226" t="s">
        <v>1247</v>
      </c>
      <c r="C1226">
        <v>221</v>
      </c>
      <c r="D1226">
        <v>188</v>
      </c>
      <c r="E1226" t="s">
        <v>21</v>
      </c>
    </row>
    <row r="1227" spans="1:5" x14ac:dyDescent="0.35">
      <c r="A1227" t="s">
        <v>1065</v>
      </c>
      <c r="B1227" t="s">
        <v>1248</v>
      </c>
      <c r="C1227">
        <v>182</v>
      </c>
      <c r="D1227">
        <v>50</v>
      </c>
      <c r="E1227" t="s">
        <v>9</v>
      </c>
    </row>
    <row r="1228" spans="1:5" x14ac:dyDescent="0.35">
      <c r="A1228" t="s">
        <v>1065</v>
      </c>
      <c r="B1228" t="s">
        <v>1249</v>
      </c>
      <c r="C1228">
        <v>129</v>
      </c>
      <c r="D1228">
        <v>32</v>
      </c>
      <c r="E1228" t="s">
        <v>21</v>
      </c>
    </row>
    <row r="1229" spans="1:5" x14ac:dyDescent="0.35">
      <c r="A1229" t="s">
        <v>1065</v>
      </c>
      <c r="B1229" t="s">
        <v>1250</v>
      </c>
      <c r="C1229">
        <v>149</v>
      </c>
      <c r="D1229">
        <v>132</v>
      </c>
      <c r="E1229" t="s">
        <v>33</v>
      </c>
    </row>
    <row r="1230" spans="1:5" x14ac:dyDescent="0.35">
      <c r="A1230" t="s">
        <v>1065</v>
      </c>
      <c r="B1230" t="s">
        <v>1251</v>
      </c>
      <c r="C1230">
        <v>288</v>
      </c>
      <c r="D1230">
        <v>78</v>
      </c>
      <c r="E1230" t="s">
        <v>15</v>
      </c>
    </row>
    <row r="1231" spans="1:5" x14ac:dyDescent="0.35">
      <c r="A1231" t="s">
        <v>1065</v>
      </c>
      <c r="B1231" t="s">
        <v>1252</v>
      </c>
      <c r="C1231">
        <v>304</v>
      </c>
      <c r="D1231">
        <v>162</v>
      </c>
      <c r="E1231" t="s">
        <v>7</v>
      </c>
    </row>
    <row r="1232" spans="1:5" x14ac:dyDescent="0.35">
      <c r="A1232" t="s">
        <v>1065</v>
      </c>
      <c r="B1232" t="s">
        <v>1253</v>
      </c>
      <c r="C1232">
        <v>231</v>
      </c>
      <c r="D1232">
        <v>87</v>
      </c>
      <c r="E1232" t="s">
        <v>11</v>
      </c>
    </row>
    <row r="1233" spans="1:5" x14ac:dyDescent="0.35">
      <c r="A1233" t="s">
        <v>1065</v>
      </c>
      <c r="B1233" t="s">
        <v>1254</v>
      </c>
      <c r="C1233">
        <v>57</v>
      </c>
      <c r="D1233">
        <v>44</v>
      </c>
      <c r="E1233" t="s">
        <v>7</v>
      </c>
    </row>
    <row r="1234" spans="1:5" x14ac:dyDescent="0.35">
      <c r="A1234" t="s">
        <v>1065</v>
      </c>
      <c r="B1234" t="s">
        <v>1255</v>
      </c>
      <c r="C1234">
        <v>122</v>
      </c>
      <c r="D1234">
        <v>93</v>
      </c>
      <c r="E1234" t="s">
        <v>21</v>
      </c>
    </row>
    <row r="1235" spans="1:5" x14ac:dyDescent="0.35">
      <c r="A1235" t="s">
        <v>1065</v>
      </c>
      <c r="B1235" t="s">
        <v>1256</v>
      </c>
      <c r="C1235">
        <v>262</v>
      </c>
      <c r="D1235">
        <v>123</v>
      </c>
      <c r="E1235" t="s">
        <v>21</v>
      </c>
    </row>
    <row r="1236" spans="1:5" x14ac:dyDescent="0.35">
      <c r="A1236" t="s">
        <v>1065</v>
      </c>
      <c r="B1236" t="s">
        <v>1257</v>
      </c>
      <c r="C1236">
        <v>217</v>
      </c>
      <c r="D1236">
        <v>183</v>
      </c>
      <c r="E1236" t="s">
        <v>7</v>
      </c>
    </row>
    <row r="1237" spans="1:5" x14ac:dyDescent="0.35">
      <c r="A1237" t="s">
        <v>1065</v>
      </c>
      <c r="B1237" t="s">
        <v>1258</v>
      </c>
      <c r="C1237">
        <v>192</v>
      </c>
      <c r="D1237">
        <v>126</v>
      </c>
      <c r="E1237" t="s">
        <v>33</v>
      </c>
    </row>
    <row r="1238" spans="1:5" x14ac:dyDescent="0.35">
      <c r="A1238" t="s">
        <v>1065</v>
      </c>
      <c r="B1238" t="s">
        <v>1259</v>
      </c>
      <c r="C1238">
        <v>218</v>
      </c>
      <c r="D1238">
        <v>184</v>
      </c>
      <c r="E1238" t="s">
        <v>15</v>
      </c>
    </row>
    <row r="1239" spans="1:5" x14ac:dyDescent="0.35">
      <c r="A1239" t="s">
        <v>1065</v>
      </c>
      <c r="B1239" t="s">
        <v>1260</v>
      </c>
      <c r="C1239">
        <v>266</v>
      </c>
      <c r="D1239">
        <v>160</v>
      </c>
      <c r="E1239" t="s">
        <v>15</v>
      </c>
    </row>
    <row r="1240" spans="1:5" x14ac:dyDescent="0.35">
      <c r="A1240" t="s">
        <v>1065</v>
      </c>
      <c r="B1240" t="s">
        <v>1261</v>
      </c>
      <c r="C1240">
        <v>303</v>
      </c>
      <c r="D1240">
        <v>176</v>
      </c>
      <c r="E1240" t="s">
        <v>17</v>
      </c>
    </row>
    <row r="1241" spans="1:5" x14ac:dyDescent="0.35">
      <c r="A1241" t="s">
        <v>1065</v>
      </c>
      <c r="B1241" t="s">
        <v>1262</v>
      </c>
      <c r="C1241">
        <v>249</v>
      </c>
      <c r="D1241">
        <v>125</v>
      </c>
      <c r="E1241" t="s">
        <v>11</v>
      </c>
    </row>
    <row r="1242" spans="1:5" x14ac:dyDescent="0.35">
      <c r="A1242" t="s">
        <v>1065</v>
      </c>
      <c r="B1242" t="s">
        <v>1263</v>
      </c>
      <c r="C1242">
        <v>121</v>
      </c>
      <c r="D1242">
        <v>65</v>
      </c>
      <c r="E1242" t="s">
        <v>15</v>
      </c>
    </row>
    <row r="1243" spans="1:5" x14ac:dyDescent="0.35">
      <c r="A1243" t="s">
        <v>1065</v>
      </c>
      <c r="B1243" t="s">
        <v>1264</v>
      </c>
      <c r="C1243">
        <v>310</v>
      </c>
      <c r="D1243">
        <v>175</v>
      </c>
      <c r="E1243" t="s">
        <v>9</v>
      </c>
    </row>
    <row r="1244" spans="1:5" x14ac:dyDescent="0.35">
      <c r="A1244" t="s">
        <v>1065</v>
      </c>
      <c r="B1244" t="s">
        <v>1265</v>
      </c>
      <c r="C1244">
        <v>268</v>
      </c>
      <c r="D1244">
        <v>163</v>
      </c>
      <c r="E1244" t="s">
        <v>9</v>
      </c>
    </row>
    <row r="1245" spans="1:5" x14ac:dyDescent="0.35">
      <c r="A1245" t="s">
        <v>1065</v>
      </c>
      <c r="B1245" t="s">
        <v>1266</v>
      </c>
      <c r="C1245">
        <v>191</v>
      </c>
      <c r="D1245">
        <v>171</v>
      </c>
      <c r="E1245" t="s">
        <v>11</v>
      </c>
    </row>
    <row r="1246" spans="1:5" x14ac:dyDescent="0.35">
      <c r="A1246" t="s">
        <v>1065</v>
      </c>
      <c r="B1246" t="s">
        <v>1267</v>
      </c>
      <c r="C1246">
        <v>251</v>
      </c>
      <c r="D1246">
        <v>75</v>
      </c>
      <c r="E1246" t="s">
        <v>15</v>
      </c>
    </row>
    <row r="1247" spans="1:5" x14ac:dyDescent="0.35">
      <c r="A1247" t="s">
        <v>1065</v>
      </c>
      <c r="B1247" t="s">
        <v>1268</v>
      </c>
      <c r="C1247">
        <v>268</v>
      </c>
      <c r="D1247">
        <v>149</v>
      </c>
      <c r="E1247" t="s">
        <v>21</v>
      </c>
    </row>
    <row r="1248" spans="1:5" x14ac:dyDescent="0.35">
      <c r="A1248" t="s">
        <v>1065</v>
      </c>
      <c r="B1248" t="s">
        <v>1269</v>
      </c>
      <c r="C1248">
        <v>286</v>
      </c>
      <c r="D1248">
        <v>127</v>
      </c>
      <c r="E1248" t="s">
        <v>17</v>
      </c>
    </row>
    <row r="1249" spans="1:5" x14ac:dyDescent="0.35">
      <c r="A1249" t="s">
        <v>1065</v>
      </c>
      <c r="B1249" t="s">
        <v>1270</v>
      </c>
      <c r="C1249">
        <v>281</v>
      </c>
      <c r="D1249">
        <v>146</v>
      </c>
      <c r="E1249" t="s">
        <v>33</v>
      </c>
    </row>
    <row r="1250" spans="1:5" x14ac:dyDescent="0.35">
      <c r="A1250" t="s">
        <v>1065</v>
      </c>
      <c r="B1250" t="s">
        <v>1271</v>
      </c>
      <c r="C1250">
        <v>244</v>
      </c>
      <c r="D1250">
        <v>175</v>
      </c>
      <c r="E1250" t="s">
        <v>17</v>
      </c>
    </row>
    <row r="1251" spans="1:5" x14ac:dyDescent="0.35">
      <c r="A1251" t="s">
        <v>1065</v>
      </c>
      <c r="B1251" t="s">
        <v>1272</v>
      </c>
      <c r="C1251">
        <v>146</v>
      </c>
      <c r="D1251">
        <v>74</v>
      </c>
      <c r="E1251" t="s">
        <v>15</v>
      </c>
    </row>
    <row r="1252" spans="1:5" x14ac:dyDescent="0.35">
      <c r="A1252" t="s">
        <v>1065</v>
      </c>
      <c r="B1252" t="s">
        <v>1273</v>
      </c>
      <c r="C1252">
        <v>302</v>
      </c>
      <c r="D1252">
        <v>111</v>
      </c>
      <c r="E1252" t="s">
        <v>17</v>
      </c>
    </row>
    <row r="1253" spans="1:5" x14ac:dyDescent="0.35">
      <c r="A1253" t="s">
        <v>1065</v>
      </c>
      <c r="B1253" t="s">
        <v>1274</v>
      </c>
      <c r="C1253">
        <v>250</v>
      </c>
      <c r="D1253">
        <v>55</v>
      </c>
      <c r="E1253" t="s">
        <v>33</v>
      </c>
    </row>
    <row r="1254" spans="1:5" x14ac:dyDescent="0.35">
      <c r="A1254" t="s">
        <v>1065</v>
      </c>
      <c r="B1254" t="s">
        <v>1275</v>
      </c>
      <c r="C1254">
        <v>99</v>
      </c>
      <c r="D1254">
        <v>86</v>
      </c>
      <c r="E1254" t="s">
        <v>17</v>
      </c>
    </row>
    <row r="1255" spans="1:5" x14ac:dyDescent="0.35">
      <c r="A1255" t="s">
        <v>1065</v>
      </c>
      <c r="B1255" t="s">
        <v>1276</v>
      </c>
      <c r="C1255">
        <v>212</v>
      </c>
      <c r="D1255">
        <v>160</v>
      </c>
      <c r="E1255" t="s">
        <v>11</v>
      </c>
    </row>
    <row r="1256" spans="1:5" x14ac:dyDescent="0.35">
      <c r="A1256" t="s">
        <v>1065</v>
      </c>
      <c r="B1256" t="s">
        <v>1277</v>
      </c>
      <c r="C1256">
        <v>301</v>
      </c>
      <c r="D1256">
        <v>82</v>
      </c>
      <c r="E1256" t="s">
        <v>33</v>
      </c>
    </row>
    <row r="1257" spans="1:5" x14ac:dyDescent="0.35">
      <c r="A1257" t="s">
        <v>1065</v>
      </c>
      <c r="B1257" t="s">
        <v>1278</v>
      </c>
      <c r="C1257">
        <v>275</v>
      </c>
      <c r="D1257">
        <v>115</v>
      </c>
      <c r="E1257" t="s">
        <v>11</v>
      </c>
    </row>
    <row r="1258" spans="1:5" x14ac:dyDescent="0.35">
      <c r="A1258" t="s">
        <v>1065</v>
      </c>
      <c r="B1258" t="s">
        <v>1279</v>
      </c>
      <c r="C1258">
        <v>270</v>
      </c>
      <c r="D1258">
        <v>186</v>
      </c>
      <c r="E1258" t="s">
        <v>17</v>
      </c>
    </row>
    <row r="1259" spans="1:5" x14ac:dyDescent="0.35">
      <c r="A1259" t="s">
        <v>1065</v>
      </c>
      <c r="B1259" t="s">
        <v>1280</v>
      </c>
      <c r="C1259">
        <v>189</v>
      </c>
      <c r="D1259">
        <v>138</v>
      </c>
      <c r="E1259" t="s">
        <v>9</v>
      </c>
    </row>
    <row r="1260" spans="1:5" x14ac:dyDescent="0.35">
      <c r="A1260" t="s">
        <v>1065</v>
      </c>
      <c r="B1260" t="s">
        <v>1281</v>
      </c>
      <c r="C1260">
        <v>197</v>
      </c>
      <c r="D1260">
        <v>43</v>
      </c>
      <c r="E1260" t="s">
        <v>15</v>
      </c>
    </row>
    <row r="1261" spans="1:5" x14ac:dyDescent="0.35">
      <c r="A1261" t="s">
        <v>1065</v>
      </c>
      <c r="B1261" t="s">
        <v>1282</v>
      </c>
      <c r="C1261">
        <v>233</v>
      </c>
      <c r="D1261">
        <v>113</v>
      </c>
      <c r="E1261" t="s">
        <v>33</v>
      </c>
    </row>
    <row r="1262" spans="1:5" x14ac:dyDescent="0.35">
      <c r="A1262" t="s">
        <v>1065</v>
      </c>
      <c r="B1262" t="s">
        <v>1283</v>
      </c>
      <c r="C1262">
        <v>223</v>
      </c>
      <c r="D1262">
        <v>130</v>
      </c>
      <c r="E1262" t="s">
        <v>11</v>
      </c>
    </row>
    <row r="1263" spans="1:5" x14ac:dyDescent="0.35">
      <c r="A1263" t="s">
        <v>1065</v>
      </c>
      <c r="B1263" t="s">
        <v>1284</v>
      </c>
      <c r="C1263">
        <v>161</v>
      </c>
      <c r="D1263">
        <v>106</v>
      </c>
      <c r="E1263" t="s">
        <v>33</v>
      </c>
    </row>
    <row r="1264" spans="1:5" x14ac:dyDescent="0.35">
      <c r="A1264" t="s">
        <v>1065</v>
      </c>
      <c r="B1264" t="s">
        <v>1285</v>
      </c>
      <c r="C1264">
        <v>204</v>
      </c>
      <c r="D1264">
        <v>68</v>
      </c>
      <c r="E1264" t="s">
        <v>33</v>
      </c>
    </row>
    <row r="1265" spans="1:5" x14ac:dyDescent="0.35">
      <c r="A1265" t="s">
        <v>1065</v>
      </c>
      <c r="B1265" t="s">
        <v>1286</v>
      </c>
      <c r="C1265">
        <v>212</v>
      </c>
      <c r="D1265">
        <v>80</v>
      </c>
      <c r="E1265" t="s">
        <v>33</v>
      </c>
    </row>
    <row r="1266" spans="1:5" x14ac:dyDescent="0.35">
      <c r="A1266" t="s">
        <v>1065</v>
      </c>
      <c r="B1266" t="s">
        <v>1287</v>
      </c>
      <c r="C1266">
        <v>213</v>
      </c>
      <c r="D1266">
        <v>172</v>
      </c>
      <c r="E1266" t="s">
        <v>21</v>
      </c>
    </row>
    <row r="1267" spans="1:5" x14ac:dyDescent="0.35">
      <c r="A1267" t="s">
        <v>1065</v>
      </c>
      <c r="B1267" t="s">
        <v>1288</v>
      </c>
      <c r="C1267">
        <v>179</v>
      </c>
      <c r="D1267">
        <v>98</v>
      </c>
      <c r="E1267" t="s">
        <v>21</v>
      </c>
    </row>
    <row r="1268" spans="1:5" x14ac:dyDescent="0.35">
      <c r="A1268" t="s">
        <v>1065</v>
      </c>
      <c r="B1268" t="s">
        <v>1289</v>
      </c>
      <c r="C1268">
        <v>284</v>
      </c>
      <c r="D1268">
        <v>53</v>
      </c>
      <c r="E1268" t="s">
        <v>33</v>
      </c>
    </row>
    <row r="1269" spans="1:5" x14ac:dyDescent="0.35">
      <c r="A1269" t="s">
        <v>1065</v>
      </c>
      <c r="B1269" t="s">
        <v>1290</v>
      </c>
      <c r="C1269">
        <v>262</v>
      </c>
      <c r="D1269">
        <v>77</v>
      </c>
      <c r="E1269" t="s">
        <v>17</v>
      </c>
    </row>
    <row r="1270" spans="1:5" x14ac:dyDescent="0.35">
      <c r="A1270" t="s">
        <v>1065</v>
      </c>
      <c r="B1270" t="s">
        <v>1291</v>
      </c>
      <c r="C1270">
        <v>248</v>
      </c>
      <c r="D1270">
        <v>160</v>
      </c>
      <c r="E1270" t="s">
        <v>33</v>
      </c>
    </row>
    <row r="1271" spans="1:5" x14ac:dyDescent="0.35">
      <c r="A1271" t="s">
        <v>1065</v>
      </c>
      <c r="B1271" t="s">
        <v>1292</v>
      </c>
      <c r="C1271">
        <v>299</v>
      </c>
      <c r="D1271">
        <v>95</v>
      </c>
      <c r="E1271" t="s">
        <v>11</v>
      </c>
    </row>
    <row r="1272" spans="1:5" x14ac:dyDescent="0.35">
      <c r="A1272" t="s">
        <v>1065</v>
      </c>
      <c r="B1272" t="s">
        <v>1293</v>
      </c>
      <c r="C1272">
        <v>310</v>
      </c>
      <c r="D1272">
        <v>180</v>
      </c>
      <c r="E1272" t="s">
        <v>15</v>
      </c>
    </row>
    <row r="1273" spans="1:5" x14ac:dyDescent="0.35">
      <c r="A1273" t="s">
        <v>1065</v>
      </c>
      <c r="B1273" t="s">
        <v>1294</v>
      </c>
      <c r="C1273">
        <v>276</v>
      </c>
      <c r="D1273">
        <v>132</v>
      </c>
      <c r="E1273" t="s">
        <v>15</v>
      </c>
    </row>
    <row r="1274" spans="1:5" x14ac:dyDescent="0.35">
      <c r="A1274" t="s">
        <v>1065</v>
      </c>
      <c r="B1274" t="s">
        <v>1295</v>
      </c>
      <c r="C1274">
        <v>144</v>
      </c>
      <c r="D1274">
        <v>110</v>
      </c>
      <c r="E1274" t="s">
        <v>7</v>
      </c>
    </row>
    <row r="1275" spans="1:5" x14ac:dyDescent="0.35">
      <c r="A1275" t="s">
        <v>1065</v>
      </c>
      <c r="B1275" t="s">
        <v>1296</v>
      </c>
      <c r="C1275">
        <v>182</v>
      </c>
      <c r="D1275">
        <v>45</v>
      </c>
      <c r="E1275" t="s">
        <v>7</v>
      </c>
    </row>
    <row r="1276" spans="1:5" x14ac:dyDescent="0.35">
      <c r="A1276" t="s">
        <v>1297</v>
      </c>
      <c r="B1276" t="s">
        <v>1298</v>
      </c>
      <c r="C1276">
        <v>410</v>
      </c>
      <c r="D1276">
        <v>289</v>
      </c>
      <c r="E1276" t="s">
        <v>9</v>
      </c>
    </row>
    <row r="1277" spans="1:5" x14ac:dyDescent="0.35">
      <c r="A1277" t="s">
        <v>1297</v>
      </c>
      <c r="B1277" t="s">
        <v>1299</v>
      </c>
      <c r="C1277">
        <v>482</v>
      </c>
      <c r="D1277">
        <v>475</v>
      </c>
      <c r="E1277" t="s">
        <v>21</v>
      </c>
    </row>
    <row r="1278" spans="1:5" x14ac:dyDescent="0.35">
      <c r="A1278" t="s">
        <v>1297</v>
      </c>
      <c r="B1278" t="s">
        <v>1300</v>
      </c>
      <c r="C1278">
        <v>476</v>
      </c>
      <c r="D1278">
        <v>346</v>
      </c>
      <c r="E1278" t="s">
        <v>11</v>
      </c>
    </row>
    <row r="1279" spans="1:5" x14ac:dyDescent="0.35">
      <c r="A1279" t="s">
        <v>1297</v>
      </c>
      <c r="B1279" t="s">
        <v>1301</v>
      </c>
      <c r="C1279">
        <v>351</v>
      </c>
      <c r="D1279">
        <v>349</v>
      </c>
      <c r="E1279" t="s">
        <v>17</v>
      </c>
    </row>
    <row r="1280" spans="1:5" x14ac:dyDescent="0.35">
      <c r="A1280" t="s">
        <v>1297</v>
      </c>
      <c r="B1280" t="s">
        <v>1302</v>
      </c>
      <c r="C1280">
        <v>352</v>
      </c>
      <c r="D1280">
        <v>300</v>
      </c>
      <c r="E1280" t="s">
        <v>21</v>
      </c>
    </row>
    <row r="1281" spans="1:5" x14ac:dyDescent="0.35">
      <c r="A1281" t="s">
        <v>1297</v>
      </c>
      <c r="B1281" t="s">
        <v>1303</v>
      </c>
      <c r="C1281">
        <v>466</v>
      </c>
      <c r="D1281">
        <v>344</v>
      </c>
      <c r="E1281" t="s">
        <v>15</v>
      </c>
    </row>
    <row r="1282" spans="1:5" x14ac:dyDescent="0.35">
      <c r="A1282" t="s">
        <v>1297</v>
      </c>
      <c r="B1282" t="s">
        <v>1304</v>
      </c>
      <c r="C1282">
        <v>372</v>
      </c>
      <c r="D1282">
        <v>350</v>
      </c>
      <c r="E1282" t="s">
        <v>11</v>
      </c>
    </row>
    <row r="1283" spans="1:5" x14ac:dyDescent="0.35">
      <c r="A1283" t="s">
        <v>1297</v>
      </c>
      <c r="B1283" t="s">
        <v>1305</v>
      </c>
      <c r="C1283">
        <v>272</v>
      </c>
      <c r="D1283">
        <v>234</v>
      </c>
      <c r="E1283" t="s">
        <v>17</v>
      </c>
    </row>
    <row r="1284" spans="1:5" x14ac:dyDescent="0.35">
      <c r="A1284" t="s">
        <v>1297</v>
      </c>
      <c r="B1284" t="s">
        <v>1306</v>
      </c>
      <c r="C1284">
        <v>485</v>
      </c>
      <c r="D1284">
        <v>270</v>
      </c>
      <c r="E1284" t="s">
        <v>17</v>
      </c>
    </row>
    <row r="1285" spans="1:5" x14ac:dyDescent="0.35">
      <c r="A1285" t="s">
        <v>1297</v>
      </c>
      <c r="B1285" t="s">
        <v>1307</v>
      </c>
      <c r="C1285">
        <v>463</v>
      </c>
      <c r="D1285">
        <v>410</v>
      </c>
      <c r="E1285" t="s">
        <v>17</v>
      </c>
    </row>
    <row r="1286" spans="1:5" x14ac:dyDescent="0.35">
      <c r="A1286" t="s">
        <v>1297</v>
      </c>
      <c r="B1286" t="s">
        <v>1308</v>
      </c>
      <c r="C1286">
        <v>431</v>
      </c>
      <c r="D1286">
        <v>287</v>
      </c>
      <c r="E1286" t="s">
        <v>17</v>
      </c>
    </row>
    <row r="1287" spans="1:5" x14ac:dyDescent="0.35">
      <c r="A1287" t="s">
        <v>1297</v>
      </c>
      <c r="B1287" t="s">
        <v>1309</v>
      </c>
      <c r="C1287">
        <v>357</v>
      </c>
      <c r="D1287">
        <v>224</v>
      </c>
      <c r="E1287" t="s">
        <v>33</v>
      </c>
    </row>
    <row r="1288" spans="1:5" x14ac:dyDescent="0.35">
      <c r="A1288" t="s">
        <v>1297</v>
      </c>
      <c r="B1288" t="s">
        <v>1310</v>
      </c>
      <c r="C1288">
        <v>465</v>
      </c>
      <c r="D1288">
        <v>461</v>
      </c>
      <c r="E1288" t="s">
        <v>21</v>
      </c>
    </row>
    <row r="1289" spans="1:5" x14ac:dyDescent="0.35">
      <c r="A1289" t="s">
        <v>1297</v>
      </c>
      <c r="B1289" t="s">
        <v>1311</v>
      </c>
      <c r="C1289">
        <v>496</v>
      </c>
      <c r="D1289">
        <v>440</v>
      </c>
      <c r="E1289" t="s">
        <v>9</v>
      </c>
    </row>
    <row r="1290" spans="1:5" x14ac:dyDescent="0.35">
      <c r="A1290" t="s">
        <v>1297</v>
      </c>
      <c r="B1290" t="s">
        <v>1312</v>
      </c>
      <c r="C1290">
        <v>188</v>
      </c>
      <c r="D1290">
        <v>174</v>
      </c>
      <c r="E1290" t="s">
        <v>9</v>
      </c>
    </row>
    <row r="1291" spans="1:5" x14ac:dyDescent="0.35">
      <c r="A1291" t="s">
        <v>1297</v>
      </c>
      <c r="B1291" t="s">
        <v>1313</v>
      </c>
      <c r="C1291">
        <v>386</v>
      </c>
      <c r="D1291">
        <v>259</v>
      </c>
      <c r="E1291" t="s">
        <v>9</v>
      </c>
    </row>
    <row r="1292" spans="1:5" x14ac:dyDescent="0.35">
      <c r="A1292" t="s">
        <v>1297</v>
      </c>
      <c r="B1292" t="s">
        <v>1314</v>
      </c>
      <c r="C1292">
        <v>244</v>
      </c>
      <c r="D1292">
        <v>197</v>
      </c>
      <c r="E1292" t="s">
        <v>33</v>
      </c>
    </row>
    <row r="1293" spans="1:5" x14ac:dyDescent="0.35">
      <c r="A1293" t="s">
        <v>1297</v>
      </c>
      <c r="B1293" t="s">
        <v>1315</v>
      </c>
      <c r="C1293">
        <v>410</v>
      </c>
      <c r="D1293">
        <v>242</v>
      </c>
      <c r="E1293" t="s">
        <v>21</v>
      </c>
    </row>
    <row r="1294" spans="1:5" x14ac:dyDescent="0.35">
      <c r="A1294" t="s">
        <v>1297</v>
      </c>
      <c r="B1294" t="s">
        <v>1316</v>
      </c>
      <c r="C1294">
        <v>456</v>
      </c>
      <c r="D1294">
        <v>272</v>
      </c>
      <c r="E1294" t="s">
        <v>9</v>
      </c>
    </row>
    <row r="1295" spans="1:5" x14ac:dyDescent="0.35">
      <c r="A1295" t="s">
        <v>1297</v>
      </c>
      <c r="B1295" t="s">
        <v>1317</v>
      </c>
      <c r="C1295">
        <v>476</v>
      </c>
      <c r="D1295">
        <v>403</v>
      </c>
      <c r="E1295" t="s">
        <v>17</v>
      </c>
    </row>
    <row r="1296" spans="1:5" x14ac:dyDescent="0.35">
      <c r="A1296" t="s">
        <v>1297</v>
      </c>
      <c r="B1296" t="s">
        <v>1318</v>
      </c>
      <c r="C1296">
        <v>444</v>
      </c>
      <c r="D1296">
        <v>194</v>
      </c>
      <c r="E1296" t="s">
        <v>17</v>
      </c>
    </row>
    <row r="1297" spans="1:5" x14ac:dyDescent="0.35">
      <c r="A1297" t="s">
        <v>1297</v>
      </c>
      <c r="B1297" t="s">
        <v>1319</v>
      </c>
      <c r="C1297">
        <v>405</v>
      </c>
      <c r="D1297">
        <v>404</v>
      </c>
      <c r="E1297" t="s">
        <v>7</v>
      </c>
    </row>
    <row r="1298" spans="1:5" x14ac:dyDescent="0.35">
      <c r="A1298" t="s">
        <v>1297</v>
      </c>
      <c r="B1298" t="s">
        <v>1320</v>
      </c>
      <c r="C1298">
        <v>434</v>
      </c>
      <c r="D1298">
        <v>301</v>
      </c>
      <c r="E1298" t="s">
        <v>11</v>
      </c>
    </row>
    <row r="1299" spans="1:5" x14ac:dyDescent="0.35">
      <c r="A1299" t="s">
        <v>1297</v>
      </c>
      <c r="B1299" t="s">
        <v>1321</v>
      </c>
      <c r="C1299">
        <v>238</v>
      </c>
      <c r="D1299">
        <v>220</v>
      </c>
      <c r="E1299" t="s">
        <v>17</v>
      </c>
    </row>
    <row r="1300" spans="1:5" x14ac:dyDescent="0.35">
      <c r="A1300" t="s">
        <v>1297</v>
      </c>
      <c r="B1300" t="s">
        <v>1322</v>
      </c>
      <c r="C1300">
        <v>418</v>
      </c>
      <c r="D1300">
        <v>321</v>
      </c>
      <c r="E1300" t="s">
        <v>17</v>
      </c>
    </row>
    <row r="1301" spans="1:5" x14ac:dyDescent="0.35">
      <c r="A1301" t="s">
        <v>1297</v>
      </c>
      <c r="B1301" t="s">
        <v>1323</v>
      </c>
      <c r="C1301">
        <v>409</v>
      </c>
      <c r="D1301">
        <v>377</v>
      </c>
      <c r="E1301" t="s">
        <v>17</v>
      </c>
    </row>
    <row r="1302" spans="1:5" x14ac:dyDescent="0.35">
      <c r="A1302" t="s">
        <v>1297</v>
      </c>
      <c r="B1302" t="s">
        <v>1324</v>
      </c>
      <c r="C1302">
        <v>485</v>
      </c>
      <c r="D1302">
        <v>479</v>
      </c>
      <c r="E1302" t="s">
        <v>17</v>
      </c>
    </row>
    <row r="1303" spans="1:5" x14ac:dyDescent="0.35">
      <c r="A1303" t="s">
        <v>1297</v>
      </c>
      <c r="B1303" t="s">
        <v>1325</v>
      </c>
      <c r="C1303">
        <v>442</v>
      </c>
      <c r="D1303">
        <v>442</v>
      </c>
      <c r="E1303" t="s">
        <v>7</v>
      </c>
    </row>
    <row r="1304" spans="1:5" x14ac:dyDescent="0.35">
      <c r="A1304" t="s">
        <v>1297</v>
      </c>
      <c r="B1304" t="s">
        <v>1326</v>
      </c>
      <c r="C1304">
        <v>492</v>
      </c>
      <c r="D1304">
        <v>453</v>
      </c>
      <c r="E1304" t="s">
        <v>17</v>
      </c>
    </row>
    <row r="1305" spans="1:5" x14ac:dyDescent="0.35">
      <c r="A1305" t="s">
        <v>1297</v>
      </c>
      <c r="B1305" t="s">
        <v>1327</v>
      </c>
      <c r="C1305">
        <v>487</v>
      </c>
      <c r="D1305">
        <v>462</v>
      </c>
      <c r="E1305" t="s">
        <v>17</v>
      </c>
    </row>
    <row r="1306" spans="1:5" x14ac:dyDescent="0.35">
      <c r="A1306" t="s">
        <v>1297</v>
      </c>
      <c r="B1306" t="s">
        <v>1328</v>
      </c>
      <c r="C1306">
        <v>429</v>
      </c>
      <c r="D1306">
        <v>375</v>
      </c>
      <c r="E1306" t="s">
        <v>17</v>
      </c>
    </row>
    <row r="1307" spans="1:5" x14ac:dyDescent="0.35">
      <c r="A1307" t="s">
        <v>1297</v>
      </c>
      <c r="B1307" t="s">
        <v>1329</v>
      </c>
      <c r="C1307">
        <v>238</v>
      </c>
      <c r="D1307">
        <v>197</v>
      </c>
      <c r="E1307" t="s">
        <v>17</v>
      </c>
    </row>
    <row r="1308" spans="1:5" x14ac:dyDescent="0.35">
      <c r="A1308" t="s">
        <v>1297</v>
      </c>
      <c r="B1308" t="s">
        <v>1330</v>
      </c>
      <c r="C1308">
        <v>466</v>
      </c>
      <c r="D1308">
        <v>453</v>
      </c>
      <c r="E1308" t="s">
        <v>9</v>
      </c>
    </row>
    <row r="1309" spans="1:5" x14ac:dyDescent="0.35">
      <c r="A1309" t="s">
        <v>1297</v>
      </c>
      <c r="B1309" t="s">
        <v>1331</v>
      </c>
      <c r="C1309">
        <v>495</v>
      </c>
      <c r="D1309">
        <v>239</v>
      </c>
      <c r="E1309" t="s">
        <v>17</v>
      </c>
    </row>
    <row r="1310" spans="1:5" x14ac:dyDescent="0.35">
      <c r="A1310" t="s">
        <v>1297</v>
      </c>
      <c r="B1310" t="s">
        <v>1332</v>
      </c>
      <c r="C1310">
        <v>449</v>
      </c>
      <c r="D1310">
        <v>276</v>
      </c>
      <c r="E1310" t="s">
        <v>17</v>
      </c>
    </row>
    <row r="1311" spans="1:5" x14ac:dyDescent="0.35">
      <c r="A1311" t="s">
        <v>1297</v>
      </c>
      <c r="B1311" t="s">
        <v>1333</v>
      </c>
      <c r="C1311">
        <v>408</v>
      </c>
      <c r="D1311">
        <v>346</v>
      </c>
      <c r="E1311" t="s">
        <v>17</v>
      </c>
    </row>
    <row r="1312" spans="1:5" x14ac:dyDescent="0.35">
      <c r="A1312" t="s">
        <v>1297</v>
      </c>
      <c r="B1312" t="s">
        <v>1334</v>
      </c>
      <c r="C1312">
        <v>433</v>
      </c>
      <c r="D1312">
        <v>195</v>
      </c>
      <c r="E1312" t="s">
        <v>17</v>
      </c>
    </row>
    <row r="1313" spans="1:5" x14ac:dyDescent="0.35">
      <c r="A1313" t="s">
        <v>1297</v>
      </c>
      <c r="B1313" t="s">
        <v>1335</v>
      </c>
      <c r="C1313">
        <v>380</v>
      </c>
      <c r="D1313">
        <v>267</v>
      </c>
      <c r="E1313" t="s">
        <v>9</v>
      </c>
    </row>
    <row r="1314" spans="1:5" x14ac:dyDescent="0.35">
      <c r="A1314" t="s">
        <v>1297</v>
      </c>
      <c r="B1314" t="s">
        <v>1336</v>
      </c>
      <c r="C1314">
        <v>322</v>
      </c>
      <c r="D1314">
        <v>322</v>
      </c>
      <c r="E1314" t="s">
        <v>9</v>
      </c>
    </row>
    <row r="1315" spans="1:5" x14ac:dyDescent="0.35">
      <c r="A1315" t="s">
        <v>1297</v>
      </c>
      <c r="B1315" t="s">
        <v>1337</v>
      </c>
      <c r="C1315">
        <v>422</v>
      </c>
      <c r="D1315">
        <v>360</v>
      </c>
      <c r="E1315" t="s">
        <v>7</v>
      </c>
    </row>
    <row r="1316" spans="1:5" x14ac:dyDescent="0.35">
      <c r="A1316" t="s">
        <v>1297</v>
      </c>
      <c r="B1316" t="s">
        <v>1338</v>
      </c>
      <c r="C1316">
        <v>308</v>
      </c>
      <c r="D1316">
        <v>184</v>
      </c>
      <c r="E1316" t="s">
        <v>17</v>
      </c>
    </row>
    <row r="1317" spans="1:5" x14ac:dyDescent="0.35">
      <c r="A1317" t="s">
        <v>1297</v>
      </c>
      <c r="B1317" t="s">
        <v>1339</v>
      </c>
      <c r="C1317">
        <v>372</v>
      </c>
      <c r="D1317">
        <v>360</v>
      </c>
      <c r="E1317" t="s">
        <v>7</v>
      </c>
    </row>
    <row r="1318" spans="1:5" x14ac:dyDescent="0.35">
      <c r="A1318" t="s">
        <v>1297</v>
      </c>
      <c r="B1318" t="s">
        <v>1340</v>
      </c>
      <c r="C1318">
        <v>458</v>
      </c>
      <c r="D1318">
        <v>456</v>
      </c>
      <c r="E1318" t="s">
        <v>17</v>
      </c>
    </row>
    <row r="1319" spans="1:5" x14ac:dyDescent="0.35">
      <c r="A1319" t="s">
        <v>1297</v>
      </c>
      <c r="B1319" t="s">
        <v>1341</v>
      </c>
      <c r="C1319">
        <v>494</v>
      </c>
      <c r="D1319">
        <v>390</v>
      </c>
      <c r="E1319" t="s">
        <v>21</v>
      </c>
    </row>
    <row r="1320" spans="1:5" x14ac:dyDescent="0.35">
      <c r="A1320" t="s">
        <v>1297</v>
      </c>
      <c r="B1320" t="s">
        <v>1342</v>
      </c>
      <c r="C1320">
        <v>393</v>
      </c>
      <c r="D1320">
        <v>352</v>
      </c>
      <c r="E1320" t="s">
        <v>7</v>
      </c>
    </row>
    <row r="1321" spans="1:5" x14ac:dyDescent="0.35">
      <c r="A1321" t="s">
        <v>1297</v>
      </c>
      <c r="B1321" t="s">
        <v>1343</v>
      </c>
      <c r="C1321">
        <v>411</v>
      </c>
      <c r="D1321">
        <v>297</v>
      </c>
      <c r="E1321" t="s">
        <v>7</v>
      </c>
    </row>
    <row r="1322" spans="1:5" x14ac:dyDescent="0.35">
      <c r="A1322" t="s">
        <v>1297</v>
      </c>
      <c r="B1322" t="s">
        <v>1344</v>
      </c>
      <c r="C1322">
        <v>457</v>
      </c>
      <c r="D1322">
        <v>447</v>
      </c>
      <c r="E1322" t="s">
        <v>17</v>
      </c>
    </row>
    <row r="1323" spans="1:5" x14ac:dyDescent="0.35">
      <c r="A1323" t="s">
        <v>1297</v>
      </c>
      <c r="B1323" t="s">
        <v>1345</v>
      </c>
      <c r="C1323">
        <v>374</v>
      </c>
      <c r="D1323">
        <v>354</v>
      </c>
      <c r="E1323" t="s">
        <v>21</v>
      </c>
    </row>
    <row r="1324" spans="1:5" x14ac:dyDescent="0.35">
      <c r="A1324" t="s">
        <v>1297</v>
      </c>
      <c r="B1324" t="s">
        <v>1346</v>
      </c>
      <c r="C1324">
        <v>446</v>
      </c>
      <c r="D1324">
        <v>442</v>
      </c>
      <c r="E1324" t="s">
        <v>21</v>
      </c>
    </row>
    <row r="1325" spans="1:5" x14ac:dyDescent="0.35">
      <c r="A1325" t="s">
        <v>1297</v>
      </c>
      <c r="B1325" t="s">
        <v>1347</v>
      </c>
      <c r="C1325">
        <v>494</v>
      </c>
      <c r="D1325">
        <v>353</v>
      </c>
      <c r="E1325" t="s">
        <v>7</v>
      </c>
    </row>
    <row r="1326" spans="1:5" x14ac:dyDescent="0.35">
      <c r="A1326" t="s">
        <v>1297</v>
      </c>
      <c r="B1326" t="s">
        <v>1348</v>
      </c>
      <c r="C1326">
        <v>346</v>
      </c>
      <c r="D1326">
        <v>335</v>
      </c>
      <c r="E1326" t="s">
        <v>15</v>
      </c>
    </row>
    <row r="1327" spans="1:5" x14ac:dyDescent="0.35">
      <c r="A1327" t="s">
        <v>1297</v>
      </c>
      <c r="B1327" t="s">
        <v>1349</v>
      </c>
      <c r="C1327">
        <v>451</v>
      </c>
      <c r="D1327">
        <v>254</v>
      </c>
      <c r="E1327" t="s">
        <v>7</v>
      </c>
    </row>
    <row r="1328" spans="1:5" x14ac:dyDescent="0.35">
      <c r="A1328" t="s">
        <v>1297</v>
      </c>
      <c r="B1328" t="s">
        <v>1350</v>
      </c>
      <c r="C1328">
        <v>444</v>
      </c>
      <c r="D1328">
        <v>188</v>
      </c>
      <c r="E1328" t="s">
        <v>17</v>
      </c>
    </row>
    <row r="1329" spans="1:5" x14ac:dyDescent="0.35">
      <c r="A1329" t="s">
        <v>1297</v>
      </c>
      <c r="B1329" t="s">
        <v>1351</v>
      </c>
      <c r="C1329">
        <v>478</v>
      </c>
      <c r="D1329">
        <v>310</v>
      </c>
      <c r="E1329" t="s">
        <v>17</v>
      </c>
    </row>
    <row r="1330" spans="1:5" x14ac:dyDescent="0.35">
      <c r="A1330" t="s">
        <v>1297</v>
      </c>
      <c r="B1330" t="s">
        <v>1352</v>
      </c>
      <c r="C1330">
        <v>325</v>
      </c>
      <c r="D1330">
        <v>158</v>
      </c>
      <c r="E1330" t="s">
        <v>17</v>
      </c>
    </row>
    <row r="1331" spans="1:5" x14ac:dyDescent="0.35">
      <c r="A1331" t="s">
        <v>1297</v>
      </c>
      <c r="B1331" t="s">
        <v>1353</v>
      </c>
      <c r="C1331">
        <v>328</v>
      </c>
      <c r="D1331">
        <v>290</v>
      </c>
      <c r="E1331" t="s">
        <v>17</v>
      </c>
    </row>
    <row r="1332" spans="1:5" x14ac:dyDescent="0.35">
      <c r="A1332" t="s">
        <v>1297</v>
      </c>
      <c r="B1332" t="s">
        <v>1354</v>
      </c>
      <c r="C1332">
        <v>472</v>
      </c>
      <c r="D1332">
        <v>358</v>
      </c>
      <c r="E1332" t="s">
        <v>21</v>
      </c>
    </row>
    <row r="1333" spans="1:5" x14ac:dyDescent="0.35">
      <c r="A1333" t="s">
        <v>1297</v>
      </c>
      <c r="B1333" t="s">
        <v>1355</v>
      </c>
      <c r="C1333">
        <v>452</v>
      </c>
      <c r="D1333">
        <v>409</v>
      </c>
      <c r="E1333" t="s">
        <v>7</v>
      </c>
    </row>
    <row r="1334" spans="1:5" x14ac:dyDescent="0.35">
      <c r="A1334" t="s">
        <v>1297</v>
      </c>
      <c r="B1334" t="s">
        <v>1356</v>
      </c>
      <c r="C1334">
        <v>396</v>
      </c>
      <c r="D1334">
        <v>245</v>
      </c>
      <c r="E1334" t="s">
        <v>33</v>
      </c>
    </row>
    <row r="1335" spans="1:5" x14ac:dyDescent="0.35">
      <c r="A1335" t="s">
        <v>1297</v>
      </c>
      <c r="B1335" t="s">
        <v>1357</v>
      </c>
      <c r="C1335">
        <v>488</v>
      </c>
      <c r="D1335">
        <v>432</v>
      </c>
      <c r="E1335" t="s">
        <v>17</v>
      </c>
    </row>
    <row r="1336" spans="1:5" x14ac:dyDescent="0.35">
      <c r="A1336" t="s">
        <v>1297</v>
      </c>
      <c r="B1336" t="s">
        <v>1358</v>
      </c>
      <c r="C1336">
        <v>261</v>
      </c>
      <c r="D1336">
        <v>186</v>
      </c>
      <c r="E1336" t="s">
        <v>15</v>
      </c>
    </row>
    <row r="1337" spans="1:5" x14ac:dyDescent="0.35">
      <c r="A1337" t="s">
        <v>1297</v>
      </c>
      <c r="B1337" t="s">
        <v>1359</v>
      </c>
      <c r="C1337">
        <v>378</v>
      </c>
      <c r="D1337">
        <v>233</v>
      </c>
      <c r="E1337" t="s">
        <v>9</v>
      </c>
    </row>
    <row r="1338" spans="1:5" x14ac:dyDescent="0.35">
      <c r="A1338" t="s">
        <v>1297</v>
      </c>
      <c r="B1338" t="s">
        <v>1360</v>
      </c>
      <c r="C1338">
        <v>448</v>
      </c>
      <c r="D1338">
        <v>361</v>
      </c>
      <c r="E1338" t="s">
        <v>7</v>
      </c>
    </row>
    <row r="1339" spans="1:5" x14ac:dyDescent="0.35">
      <c r="A1339" t="s">
        <v>1297</v>
      </c>
      <c r="B1339" t="s">
        <v>1361</v>
      </c>
      <c r="C1339">
        <v>430</v>
      </c>
      <c r="D1339">
        <v>410</v>
      </c>
      <c r="E1339" t="s">
        <v>7</v>
      </c>
    </row>
    <row r="1340" spans="1:5" x14ac:dyDescent="0.35">
      <c r="A1340" t="s">
        <v>1297</v>
      </c>
      <c r="B1340" t="s">
        <v>1362</v>
      </c>
      <c r="C1340">
        <v>354</v>
      </c>
      <c r="D1340">
        <v>163</v>
      </c>
      <c r="E1340" t="s">
        <v>17</v>
      </c>
    </row>
    <row r="1341" spans="1:5" x14ac:dyDescent="0.35">
      <c r="A1341" t="s">
        <v>1297</v>
      </c>
      <c r="B1341" t="s">
        <v>1363</v>
      </c>
      <c r="C1341">
        <v>499</v>
      </c>
      <c r="D1341">
        <v>454</v>
      </c>
      <c r="E1341" t="s">
        <v>21</v>
      </c>
    </row>
    <row r="1342" spans="1:5" x14ac:dyDescent="0.35">
      <c r="A1342" t="s">
        <v>1297</v>
      </c>
      <c r="B1342" t="s">
        <v>1364</v>
      </c>
      <c r="C1342">
        <v>416</v>
      </c>
      <c r="D1342">
        <v>397</v>
      </c>
      <c r="E1342" t="s">
        <v>21</v>
      </c>
    </row>
    <row r="1343" spans="1:5" x14ac:dyDescent="0.35">
      <c r="A1343" t="s">
        <v>1297</v>
      </c>
      <c r="B1343" t="s">
        <v>1365</v>
      </c>
      <c r="C1343">
        <v>442</v>
      </c>
      <c r="D1343">
        <v>367</v>
      </c>
      <c r="E1343" t="s">
        <v>21</v>
      </c>
    </row>
    <row r="1344" spans="1:5" x14ac:dyDescent="0.35">
      <c r="A1344" t="s">
        <v>1297</v>
      </c>
      <c r="B1344" t="s">
        <v>1366</v>
      </c>
      <c r="C1344">
        <v>484</v>
      </c>
      <c r="D1344">
        <v>435</v>
      </c>
      <c r="E1344" t="s">
        <v>7</v>
      </c>
    </row>
    <row r="1345" spans="1:5" x14ac:dyDescent="0.35">
      <c r="A1345" t="s">
        <v>1297</v>
      </c>
      <c r="B1345" t="s">
        <v>1367</v>
      </c>
      <c r="C1345">
        <v>348</v>
      </c>
      <c r="D1345">
        <v>283</v>
      </c>
      <c r="E1345" t="s">
        <v>17</v>
      </c>
    </row>
    <row r="1346" spans="1:5" x14ac:dyDescent="0.35">
      <c r="A1346" t="s">
        <v>1297</v>
      </c>
      <c r="B1346" t="s">
        <v>1368</v>
      </c>
      <c r="C1346">
        <v>492</v>
      </c>
      <c r="D1346">
        <v>296</v>
      </c>
      <c r="E1346" t="s">
        <v>17</v>
      </c>
    </row>
    <row r="1347" spans="1:5" x14ac:dyDescent="0.35">
      <c r="A1347" t="s">
        <v>1297</v>
      </c>
      <c r="B1347" t="s">
        <v>1369</v>
      </c>
      <c r="C1347">
        <v>489</v>
      </c>
      <c r="D1347">
        <v>271</v>
      </c>
      <c r="E1347" t="s">
        <v>17</v>
      </c>
    </row>
    <row r="1348" spans="1:5" x14ac:dyDescent="0.35">
      <c r="A1348" t="s">
        <v>1297</v>
      </c>
      <c r="B1348" t="s">
        <v>1370</v>
      </c>
      <c r="C1348">
        <v>349</v>
      </c>
      <c r="D1348">
        <v>202</v>
      </c>
      <c r="E1348" t="s">
        <v>17</v>
      </c>
    </row>
    <row r="1349" spans="1:5" x14ac:dyDescent="0.35">
      <c r="A1349" t="s">
        <v>1297</v>
      </c>
      <c r="B1349" t="s">
        <v>1371</v>
      </c>
      <c r="C1349">
        <v>307</v>
      </c>
      <c r="D1349">
        <v>239</v>
      </c>
      <c r="E1349" t="s">
        <v>17</v>
      </c>
    </row>
    <row r="1350" spans="1:5" x14ac:dyDescent="0.35">
      <c r="A1350" t="s">
        <v>1297</v>
      </c>
      <c r="B1350" t="s">
        <v>1372</v>
      </c>
      <c r="C1350">
        <v>408</v>
      </c>
      <c r="D1350">
        <v>342</v>
      </c>
      <c r="E1350" t="s">
        <v>17</v>
      </c>
    </row>
    <row r="1351" spans="1:5" x14ac:dyDescent="0.35">
      <c r="A1351" t="s">
        <v>1297</v>
      </c>
      <c r="B1351" t="s">
        <v>1373</v>
      </c>
      <c r="C1351">
        <v>377</v>
      </c>
      <c r="D1351">
        <v>185</v>
      </c>
      <c r="E1351" t="s">
        <v>9</v>
      </c>
    </row>
    <row r="1352" spans="1:5" x14ac:dyDescent="0.35">
      <c r="A1352" t="s">
        <v>1297</v>
      </c>
      <c r="B1352" t="s">
        <v>1374</v>
      </c>
      <c r="C1352">
        <v>322</v>
      </c>
      <c r="D1352">
        <v>167</v>
      </c>
      <c r="E1352" t="s">
        <v>17</v>
      </c>
    </row>
    <row r="1353" spans="1:5" x14ac:dyDescent="0.35">
      <c r="A1353" t="s">
        <v>1297</v>
      </c>
      <c r="B1353" t="s">
        <v>1375</v>
      </c>
      <c r="C1353">
        <v>302</v>
      </c>
      <c r="D1353">
        <v>208</v>
      </c>
      <c r="E1353" t="s">
        <v>15</v>
      </c>
    </row>
    <row r="1354" spans="1:5" x14ac:dyDescent="0.35">
      <c r="A1354" t="s">
        <v>1297</v>
      </c>
      <c r="B1354" t="s">
        <v>1376</v>
      </c>
      <c r="C1354">
        <v>461</v>
      </c>
      <c r="D1354">
        <v>345</v>
      </c>
      <c r="E1354" t="s">
        <v>17</v>
      </c>
    </row>
    <row r="1355" spans="1:5" x14ac:dyDescent="0.35">
      <c r="A1355" t="s">
        <v>1297</v>
      </c>
      <c r="B1355" t="s">
        <v>1377</v>
      </c>
      <c r="C1355">
        <v>326</v>
      </c>
      <c r="D1355">
        <v>281</v>
      </c>
      <c r="E1355" t="s">
        <v>17</v>
      </c>
    </row>
    <row r="1356" spans="1:5" x14ac:dyDescent="0.35">
      <c r="A1356" t="s">
        <v>1297</v>
      </c>
      <c r="B1356" t="s">
        <v>1378</v>
      </c>
      <c r="C1356">
        <v>461</v>
      </c>
      <c r="D1356">
        <v>439</v>
      </c>
      <c r="E1356" t="s">
        <v>21</v>
      </c>
    </row>
    <row r="1357" spans="1:5" x14ac:dyDescent="0.35">
      <c r="A1357" t="s">
        <v>1297</v>
      </c>
      <c r="B1357" t="s">
        <v>1379</v>
      </c>
      <c r="C1357">
        <v>369</v>
      </c>
      <c r="D1357">
        <v>341</v>
      </c>
      <c r="E1357" t="s">
        <v>17</v>
      </c>
    </row>
    <row r="1358" spans="1:5" x14ac:dyDescent="0.35">
      <c r="A1358" t="s">
        <v>1297</v>
      </c>
      <c r="B1358" t="s">
        <v>1380</v>
      </c>
      <c r="C1358">
        <v>485</v>
      </c>
      <c r="D1358">
        <v>448</v>
      </c>
      <c r="E1358" t="s">
        <v>17</v>
      </c>
    </row>
    <row r="1359" spans="1:5" x14ac:dyDescent="0.35">
      <c r="A1359" t="s">
        <v>1297</v>
      </c>
      <c r="B1359" t="s">
        <v>1381</v>
      </c>
      <c r="C1359">
        <v>487</v>
      </c>
      <c r="D1359">
        <v>244</v>
      </c>
      <c r="E1359" t="s">
        <v>17</v>
      </c>
    </row>
    <row r="1360" spans="1:5" x14ac:dyDescent="0.35">
      <c r="A1360" t="s">
        <v>1297</v>
      </c>
      <c r="B1360" t="s">
        <v>1382</v>
      </c>
      <c r="C1360">
        <v>384</v>
      </c>
      <c r="D1360">
        <v>337</v>
      </c>
      <c r="E1360" t="s">
        <v>17</v>
      </c>
    </row>
    <row r="1361" spans="1:5" x14ac:dyDescent="0.35">
      <c r="A1361" t="s">
        <v>1297</v>
      </c>
      <c r="B1361" t="s">
        <v>1383</v>
      </c>
      <c r="C1361">
        <v>449</v>
      </c>
      <c r="D1361">
        <v>337</v>
      </c>
      <c r="E1361" t="s">
        <v>15</v>
      </c>
    </row>
    <row r="1362" spans="1:5" x14ac:dyDescent="0.35">
      <c r="A1362" t="s">
        <v>1297</v>
      </c>
      <c r="B1362" t="s">
        <v>1384</v>
      </c>
      <c r="C1362">
        <v>482</v>
      </c>
      <c r="D1362">
        <v>476</v>
      </c>
      <c r="E1362" t="s">
        <v>17</v>
      </c>
    </row>
    <row r="1363" spans="1:5" x14ac:dyDescent="0.35">
      <c r="A1363" t="s">
        <v>1297</v>
      </c>
      <c r="B1363" t="s">
        <v>1385</v>
      </c>
      <c r="C1363">
        <v>303</v>
      </c>
      <c r="D1363">
        <v>273</v>
      </c>
      <c r="E1363" t="s">
        <v>17</v>
      </c>
    </row>
    <row r="1364" spans="1:5" x14ac:dyDescent="0.35">
      <c r="A1364" t="s">
        <v>1297</v>
      </c>
      <c r="B1364" t="s">
        <v>1386</v>
      </c>
      <c r="C1364">
        <v>500</v>
      </c>
      <c r="D1364">
        <v>359</v>
      </c>
      <c r="E1364" t="s">
        <v>7</v>
      </c>
    </row>
    <row r="1365" spans="1:5" x14ac:dyDescent="0.35">
      <c r="A1365" t="s">
        <v>1297</v>
      </c>
      <c r="B1365" t="s">
        <v>1387</v>
      </c>
      <c r="C1365">
        <v>484</v>
      </c>
      <c r="D1365">
        <v>381</v>
      </c>
      <c r="E1365" t="s">
        <v>17</v>
      </c>
    </row>
    <row r="1366" spans="1:5" x14ac:dyDescent="0.35">
      <c r="A1366" t="s">
        <v>1297</v>
      </c>
      <c r="B1366" t="s">
        <v>1388</v>
      </c>
      <c r="C1366">
        <v>344</v>
      </c>
      <c r="D1366">
        <v>267</v>
      </c>
      <c r="E1366" t="s">
        <v>11</v>
      </c>
    </row>
    <row r="1367" spans="1:5" x14ac:dyDescent="0.35">
      <c r="A1367" t="s">
        <v>1297</v>
      </c>
      <c r="B1367" t="s">
        <v>1389</v>
      </c>
      <c r="C1367">
        <v>311</v>
      </c>
      <c r="D1367">
        <v>291</v>
      </c>
      <c r="E1367" t="s">
        <v>11</v>
      </c>
    </row>
    <row r="1368" spans="1:5" x14ac:dyDescent="0.35">
      <c r="A1368" t="s">
        <v>1297</v>
      </c>
      <c r="B1368" t="s">
        <v>1390</v>
      </c>
      <c r="C1368">
        <v>493</v>
      </c>
      <c r="D1368">
        <v>289</v>
      </c>
      <c r="E1368" t="s">
        <v>11</v>
      </c>
    </row>
    <row r="1369" spans="1:5" x14ac:dyDescent="0.35">
      <c r="A1369" t="s">
        <v>1297</v>
      </c>
      <c r="B1369" t="s">
        <v>1391</v>
      </c>
      <c r="C1369">
        <v>500</v>
      </c>
      <c r="D1369">
        <v>472</v>
      </c>
      <c r="E1369" t="s">
        <v>17</v>
      </c>
    </row>
    <row r="1370" spans="1:5" x14ac:dyDescent="0.35">
      <c r="A1370" t="s">
        <v>1297</v>
      </c>
      <c r="B1370" t="s">
        <v>1392</v>
      </c>
      <c r="C1370">
        <v>472</v>
      </c>
      <c r="D1370">
        <v>469</v>
      </c>
      <c r="E1370" t="s">
        <v>9</v>
      </c>
    </row>
    <row r="1371" spans="1:5" x14ac:dyDescent="0.35">
      <c r="A1371" t="s">
        <v>1297</v>
      </c>
      <c r="B1371" t="s">
        <v>1393</v>
      </c>
      <c r="C1371">
        <v>455</v>
      </c>
      <c r="D1371">
        <v>398</v>
      </c>
      <c r="E1371" t="s">
        <v>17</v>
      </c>
    </row>
    <row r="1372" spans="1:5" x14ac:dyDescent="0.35">
      <c r="A1372" t="s">
        <v>1297</v>
      </c>
      <c r="B1372" t="s">
        <v>1394</v>
      </c>
      <c r="C1372">
        <v>412</v>
      </c>
      <c r="D1372">
        <v>324</v>
      </c>
      <c r="E1372" t="s">
        <v>7</v>
      </c>
    </row>
    <row r="1373" spans="1:5" x14ac:dyDescent="0.35">
      <c r="A1373" t="s">
        <v>1297</v>
      </c>
      <c r="B1373" t="s">
        <v>1395</v>
      </c>
      <c r="C1373">
        <v>482</v>
      </c>
      <c r="D1373">
        <v>370</v>
      </c>
      <c r="E1373" t="s">
        <v>17</v>
      </c>
    </row>
    <row r="1374" spans="1:5" x14ac:dyDescent="0.35">
      <c r="A1374" t="s">
        <v>1297</v>
      </c>
      <c r="B1374" t="s">
        <v>1396</v>
      </c>
      <c r="C1374">
        <v>363</v>
      </c>
      <c r="D1374">
        <v>242</v>
      </c>
      <c r="E1374" t="s">
        <v>33</v>
      </c>
    </row>
    <row r="1375" spans="1:5" x14ac:dyDescent="0.35">
      <c r="A1375" t="s">
        <v>1297</v>
      </c>
      <c r="B1375" t="s">
        <v>1397</v>
      </c>
      <c r="C1375">
        <v>348</v>
      </c>
      <c r="D1375">
        <v>301</v>
      </c>
      <c r="E1375" t="s">
        <v>17</v>
      </c>
    </row>
    <row r="1376" spans="1:5" x14ac:dyDescent="0.35">
      <c r="A1376" t="s">
        <v>1297</v>
      </c>
      <c r="B1376" t="s">
        <v>1398</v>
      </c>
      <c r="C1376">
        <v>489</v>
      </c>
      <c r="D1376">
        <v>469</v>
      </c>
      <c r="E1376" t="s">
        <v>17</v>
      </c>
    </row>
    <row r="1377" spans="1:5" x14ac:dyDescent="0.35">
      <c r="A1377" t="s">
        <v>1297</v>
      </c>
      <c r="B1377" t="s">
        <v>1399</v>
      </c>
      <c r="C1377">
        <v>478</v>
      </c>
      <c r="D1377">
        <v>407</v>
      </c>
      <c r="E1377" t="s">
        <v>17</v>
      </c>
    </row>
    <row r="1378" spans="1:5" x14ac:dyDescent="0.35">
      <c r="A1378" t="s">
        <v>1297</v>
      </c>
      <c r="B1378" t="s">
        <v>1400</v>
      </c>
      <c r="C1378">
        <v>366</v>
      </c>
      <c r="D1378">
        <v>267</v>
      </c>
      <c r="E1378" t="s">
        <v>9</v>
      </c>
    </row>
    <row r="1379" spans="1:5" x14ac:dyDescent="0.35">
      <c r="A1379" t="s">
        <v>1297</v>
      </c>
      <c r="B1379" t="s">
        <v>1401</v>
      </c>
      <c r="C1379">
        <v>491</v>
      </c>
      <c r="D1379">
        <v>469</v>
      </c>
      <c r="E1379" t="s">
        <v>17</v>
      </c>
    </row>
    <row r="1380" spans="1:5" x14ac:dyDescent="0.35">
      <c r="A1380" t="s">
        <v>1297</v>
      </c>
      <c r="B1380" t="s">
        <v>1402</v>
      </c>
      <c r="C1380">
        <v>492</v>
      </c>
      <c r="D1380">
        <v>209</v>
      </c>
      <c r="E1380" t="s">
        <v>15</v>
      </c>
    </row>
    <row r="1381" spans="1:5" x14ac:dyDescent="0.35">
      <c r="A1381" t="s">
        <v>1297</v>
      </c>
      <c r="B1381" t="s">
        <v>1403</v>
      </c>
      <c r="C1381">
        <v>486</v>
      </c>
      <c r="D1381">
        <v>417</v>
      </c>
      <c r="E1381" t="s">
        <v>17</v>
      </c>
    </row>
    <row r="1382" spans="1:5" x14ac:dyDescent="0.35">
      <c r="A1382" t="s">
        <v>1297</v>
      </c>
      <c r="B1382" t="s">
        <v>1404</v>
      </c>
      <c r="C1382">
        <v>374</v>
      </c>
      <c r="D1382">
        <v>170</v>
      </c>
      <c r="E1382" t="s">
        <v>11</v>
      </c>
    </row>
    <row r="1383" spans="1:5" x14ac:dyDescent="0.35">
      <c r="A1383" t="s">
        <v>1297</v>
      </c>
      <c r="B1383" t="s">
        <v>1405</v>
      </c>
      <c r="C1383">
        <v>371</v>
      </c>
      <c r="D1383">
        <v>291</v>
      </c>
      <c r="E1383" t="s">
        <v>17</v>
      </c>
    </row>
    <row r="1384" spans="1:5" x14ac:dyDescent="0.35">
      <c r="A1384" t="s">
        <v>1297</v>
      </c>
      <c r="B1384" t="s">
        <v>1406</v>
      </c>
      <c r="C1384">
        <v>260</v>
      </c>
      <c r="D1384">
        <v>164</v>
      </c>
      <c r="E1384" t="s">
        <v>21</v>
      </c>
    </row>
    <row r="1385" spans="1:5" x14ac:dyDescent="0.35">
      <c r="A1385" t="s">
        <v>1297</v>
      </c>
      <c r="B1385" t="s">
        <v>1407</v>
      </c>
      <c r="C1385">
        <v>308</v>
      </c>
      <c r="D1385">
        <v>159</v>
      </c>
      <c r="E1385" t="s">
        <v>7</v>
      </c>
    </row>
    <row r="1386" spans="1:5" x14ac:dyDescent="0.35">
      <c r="A1386" t="s">
        <v>1297</v>
      </c>
      <c r="B1386" t="s">
        <v>1408</v>
      </c>
      <c r="C1386">
        <v>361</v>
      </c>
      <c r="D1386">
        <v>350</v>
      </c>
      <c r="E1386" t="s">
        <v>21</v>
      </c>
    </row>
    <row r="1387" spans="1:5" x14ac:dyDescent="0.35">
      <c r="A1387" t="s">
        <v>1297</v>
      </c>
      <c r="B1387" t="s">
        <v>1409</v>
      </c>
      <c r="C1387">
        <v>435</v>
      </c>
      <c r="D1387">
        <v>392</v>
      </c>
      <c r="E1387" t="s">
        <v>7</v>
      </c>
    </row>
    <row r="1388" spans="1:5" x14ac:dyDescent="0.35">
      <c r="A1388" t="s">
        <v>1297</v>
      </c>
      <c r="B1388" t="s">
        <v>1410</v>
      </c>
      <c r="C1388">
        <v>373</v>
      </c>
      <c r="D1388">
        <v>315</v>
      </c>
      <c r="E1388" t="s">
        <v>7</v>
      </c>
    </row>
    <row r="1389" spans="1:5" x14ac:dyDescent="0.35">
      <c r="A1389" t="s">
        <v>1297</v>
      </c>
      <c r="B1389" t="s">
        <v>1411</v>
      </c>
      <c r="C1389">
        <v>417</v>
      </c>
      <c r="D1389">
        <v>369</v>
      </c>
      <c r="E1389" t="s">
        <v>7</v>
      </c>
    </row>
    <row r="1390" spans="1:5" x14ac:dyDescent="0.35">
      <c r="A1390" t="s">
        <v>1297</v>
      </c>
      <c r="B1390" t="s">
        <v>1412</v>
      </c>
      <c r="C1390">
        <v>487</v>
      </c>
      <c r="D1390">
        <v>193</v>
      </c>
      <c r="E1390" t="s">
        <v>17</v>
      </c>
    </row>
    <row r="1391" spans="1:5" x14ac:dyDescent="0.35">
      <c r="A1391" t="s">
        <v>1297</v>
      </c>
      <c r="B1391" t="s">
        <v>1413</v>
      </c>
      <c r="C1391">
        <v>260</v>
      </c>
      <c r="D1391">
        <v>170</v>
      </c>
      <c r="E1391" t="s">
        <v>9</v>
      </c>
    </row>
    <row r="1392" spans="1:5" x14ac:dyDescent="0.35">
      <c r="A1392" t="s">
        <v>1297</v>
      </c>
      <c r="B1392" t="s">
        <v>1414</v>
      </c>
      <c r="C1392">
        <v>415</v>
      </c>
      <c r="D1392">
        <v>376</v>
      </c>
      <c r="E1392" t="s">
        <v>9</v>
      </c>
    </row>
    <row r="1393" spans="1:5" x14ac:dyDescent="0.35">
      <c r="A1393" t="s">
        <v>1297</v>
      </c>
      <c r="B1393" t="s">
        <v>1415</v>
      </c>
      <c r="C1393">
        <v>484</v>
      </c>
      <c r="D1393">
        <v>450</v>
      </c>
      <c r="E1393" t="s">
        <v>21</v>
      </c>
    </row>
    <row r="1394" spans="1:5" x14ac:dyDescent="0.35">
      <c r="A1394" t="s">
        <v>1297</v>
      </c>
      <c r="B1394" t="s">
        <v>1416</v>
      </c>
      <c r="C1394">
        <v>279</v>
      </c>
      <c r="D1394">
        <v>167</v>
      </c>
      <c r="E1394" t="s">
        <v>9</v>
      </c>
    </row>
    <row r="1395" spans="1:5" x14ac:dyDescent="0.35">
      <c r="A1395" t="s">
        <v>1297</v>
      </c>
      <c r="B1395" t="s">
        <v>1417</v>
      </c>
      <c r="C1395">
        <v>376</v>
      </c>
      <c r="D1395">
        <v>224</v>
      </c>
      <c r="E1395" t="s">
        <v>11</v>
      </c>
    </row>
    <row r="1396" spans="1:5" x14ac:dyDescent="0.35">
      <c r="A1396" t="s">
        <v>1297</v>
      </c>
      <c r="B1396" t="s">
        <v>1418</v>
      </c>
      <c r="C1396">
        <v>492</v>
      </c>
      <c r="D1396">
        <v>438</v>
      </c>
      <c r="E1396" t="s">
        <v>21</v>
      </c>
    </row>
    <row r="1397" spans="1:5" x14ac:dyDescent="0.35">
      <c r="A1397" t="s">
        <v>1297</v>
      </c>
      <c r="B1397" t="s">
        <v>1419</v>
      </c>
      <c r="C1397">
        <v>314</v>
      </c>
      <c r="D1397">
        <v>217</v>
      </c>
      <c r="E1397" t="s">
        <v>17</v>
      </c>
    </row>
    <row r="1398" spans="1:5" x14ac:dyDescent="0.35">
      <c r="A1398" t="s">
        <v>1297</v>
      </c>
      <c r="B1398" t="s">
        <v>1420</v>
      </c>
      <c r="C1398">
        <v>345</v>
      </c>
      <c r="D1398">
        <v>201</v>
      </c>
      <c r="E1398" t="s">
        <v>17</v>
      </c>
    </row>
    <row r="1399" spans="1:5" x14ac:dyDescent="0.35">
      <c r="A1399" t="s">
        <v>1297</v>
      </c>
      <c r="B1399" t="s">
        <v>1421</v>
      </c>
      <c r="C1399">
        <v>371</v>
      </c>
      <c r="D1399">
        <v>268</v>
      </c>
      <c r="E1399" t="s">
        <v>7</v>
      </c>
    </row>
    <row r="1400" spans="1:5" x14ac:dyDescent="0.35">
      <c r="A1400" t="s">
        <v>1297</v>
      </c>
      <c r="B1400" t="s">
        <v>1422</v>
      </c>
      <c r="C1400">
        <v>403</v>
      </c>
      <c r="D1400">
        <v>369</v>
      </c>
      <c r="E1400" t="s">
        <v>21</v>
      </c>
    </row>
    <row r="1401" spans="1:5" x14ac:dyDescent="0.35">
      <c r="A1401" t="s">
        <v>1297</v>
      </c>
      <c r="B1401" t="s">
        <v>1423</v>
      </c>
      <c r="C1401">
        <v>215</v>
      </c>
      <c r="D1401">
        <v>171</v>
      </c>
      <c r="E1401" t="s">
        <v>17</v>
      </c>
    </row>
    <row r="1402" spans="1:5" x14ac:dyDescent="0.35">
      <c r="A1402" t="s">
        <v>1297</v>
      </c>
      <c r="B1402" t="s">
        <v>1424</v>
      </c>
      <c r="C1402">
        <v>377</v>
      </c>
      <c r="D1402">
        <v>186</v>
      </c>
      <c r="E1402" t="s">
        <v>17</v>
      </c>
    </row>
    <row r="1403" spans="1:5" x14ac:dyDescent="0.35">
      <c r="A1403" t="s">
        <v>1297</v>
      </c>
      <c r="B1403" t="s">
        <v>1425</v>
      </c>
      <c r="C1403">
        <v>475</v>
      </c>
      <c r="D1403">
        <v>412</v>
      </c>
      <c r="E1403" t="s">
        <v>21</v>
      </c>
    </row>
    <row r="1404" spans="1:5" x14ac:dyDescent="0.35">
      <c r="A1404" t="s">
        <v>1297</v>
      </c>
      <c r="B1404" t="s">
        <v>1426</v>
      </c>
      <c r="C1404">
        <v>332</v>
      </c>
      <c r="D1404">
        <v>265</v>
      </c>
      <c r="E1404" t="s">
        <v>9</v>
      </c>
    </row>
    <row r="1405" spans="1:5" x14ac:dyDescent="0.35">
      <c r="A1405" t="s">
        <v>1297</v>
      </c>
      <c r="B1405" t="s">
        <v>1427</v>
      </c>
      <c r="C1405">
        <v>498</v>
      </c>
      <c r="D1405">
        <v>459</v>
      </c>
      <c r="E1405" t="s">
        <v>17</v>
      </c>
    </row>
    <row r="1406" spans="1:5" x14ac:dyDescent="0.35">
      <c r="A1406" t="s">
        <v>1297</v>
      </c>
      <c r="B1406" t="s">
        <v>1428</v>
      </c>
      <c r="C1406">
        <v>483</v>
      </c>
      <c r="D1406">
        <v>449</v>
      </c>
      <c r="E1406" t="s">
        <v>17</v>
      </c>
    </row>
    <row r="1407" spans="1:5" x14ac:dyDescent="0.35">
      <c r="A1407" t="s">
        <v>1297</v>
      </c>
      <c r="B1407" t="s">
        <v>1429</v>
      </c>
      <c r="C1407">
        <v>461</v>
      </c>
      <c r="D1407">
        <v>424</v>
      </c>
      <c r="E1407" t="s">
        <v>21</v>
      </c>
    </row>
    <row r="1408" spans="1:5" x14ac:dyDescent="0.35">
      <c r="A1408" t="s">
        <v>1297</v>
      </c>
      <c r="B1408" t="s">
        <v>1430</v>
      </c>
      <c r="C1408">
        <v>465</v>
      </c>
      <c r="D1408">
        <v>222</v>
      </c>
      <c r="E1408" t="s">
        <v>17</v>
      </c>
    </row>
    <row r="1409" spans="1:5" x14ac:dyDescent="0.35">
      <c r="A1409" t="s">
        <v>1297</v>
      </c>
      <c r="B1409" t="s">
        <v>1431</v>
      </c>
      <c r="C1409">
        <v>359</v>
      </c>
      <c r="D1409">
        <v>272</v>
      </c>
      <c r="E1409" t="s">
        <v>17</v>
      </c>
    </row>
    <row r="1410" spans="1:5" x14ac:dyDescent="0.35">
      <c r="A1410" t="s">
        <v>1297</v>
      </c>
      <c r="B1410" t="s">
        <v>1432</v>
      </c>
      <c r="C1410">
        <v>466</v>
      </c>
      <c r="D1410">
        <v>407</v>
      </c>
      <c r="E1410" t="s">
        <v>7</v>
      </c>
    </row>
    <row r="1411" spans="1:5" x14ac:dyDescent="0.35">
      <c r="A1411" t="s">
        <v>1297</v>
      </c>
      <c r="B1411" t="s">
        <v>1433</v>
      </c>
      <c r="C1411">
        <v>453</v>
      </c>
      <c r="D1411">
        <v>448</v>
      </c>
      <c r="E1411" t="s">
        <v>9</v>
      </c>
    </row>
    <row r="1412" spans="1:5" x14ac:dyDescent="0.35">
      <c r="A1412" t="s">
        <v>1297</v>
      </c>
      <c r="B1412" t="s">
        <v>1434</v>
      </c>
      <c r="C1412">
        <v>271</v>
      </c>
      <c r="D1412">
        <v>176</v>
      </c>
      <c r="E1412" t="s">
        <v>21</v>
      </c>
    </row>
    <row r="1413" spans="1:5" x14ac:dyDescent="0.35">
      <c r="A1413" t="s">
        <v>1297</v>
      </c>
      <c r="B1413" t="s">
        <v>1435</v>
      </c>
      <c r="C1413">
        <v>446</v>
      </c>
      <c r="D1413">
        <v>374</v>
      </c>
      <c r="E1413" t="s">
        <v>17</v>
      </c>
    </row>
    <row r="1414" spans="1:5" x14ac:dyDescent="0.35">
      <c r="A1414" t="s">
        <v>1297</v>
      </c>
      <c r="B1414" t="s">
        <v>1436</v>
      </c>
      <c r="C1414">
        <v>412</v>
      </c>
      <c r="D1414">
        <v>279</v>
      </c>
      <c r="E1414" t="s">
        <v>9</v>
      </c>
    </row>
    <row r="1415" spans="1:5" x14ac:dyDescent="0.35">
      <c r="A1415" t="s">
        <v>1297</v>
      </c>
      <c r="B1415" t="s">
        <v>1437</v>
      </c>
      <c r="C1415">
        <v>278</v>
      </c>
      <c r="D1415">
        <v>189</v>
      </c>
      <c r="E1415" t="s">
        <v>17</v>
      </c>
    </row>
    <row r="1416" spans="1:5" x14ac:dyDescent="0.35">
      <c r="A1416" t="s">
        <v>1297</v>
      </c>
      <c r="B1416" t="s">
        <v>1438</v>
      </c>
      <c r="C1416">
        <v>320</v>
      </c>
      <c r="D1416">
        <v>238</v>
      </c>
      <c r="E1416" t="s">
        <v>17</v>
      </c>
    </row>
    <row r="1417" spans="1:5" x14ac:dyDescent="0.35">
      <c r="A1417" t="s">
        <v>1297</v>
      </c>
      <c r="B1417" t="s">
        <v>1439</v>
      </c>
      <c r="C1417">
        <v>222</v>
      </c>
      <c r="D1417">
        <v>164</v>
      </c>
      <c r="E1417" t="s">
        <v>17</v>
      </c>
    </row>
    <row r="1418" spans="1:5" x14ac:dyDescent="0.35">
      <c r="A1418" t="s">
        <v>1297</v>
      </c>
      <c r="B1418" t="s">
        <v>1440</v>
      </c>
      <c r="C1418">
        <v>422</v>
      </c>
      <c r="D1418">
        <v>335</v>
      </c>
      <c r="E1418" t="s">
        <v>7</v>
      </c>
    </row>
    <row r="1419" spans="1:5" x14ac:dyDescent="0.35">
      <c r="A1419" t="s">
        <v>1297</v>
      </c>
      <c r="B1419" t="s">
        <v>1441</v>
      </c>
      <c r="C1419">
        <v>329</v>
      </c>
      <c r="D1419">
        <v>285</v>
      </c>
      <c r="E1419" t="s">
        <v>15</v>
      </c>
    </row>
    <row r="1420" spans="1:5" x14ac:dyDescent="0.35">
      <c r="A1420" t="s">
        <v>1297</v>
      </c>
      <c r="B1420" t="s">
        <v>1442</v>
      </c>
      <c r="C1420">
        <v>447</v>
      </c>
      <c r="D1420">
        <v>386</v>
      </c>
      <c r="E1420" t="s">
        <v>7</v>
      </c>
    </row>
    <row r="1421" spans="1:5" x14ac:dyDescent="0.35">
      <c r="A1421" t="s">
        <v>1297</v>
      </c>
      <c r="B1421" t="s">
        <v>1443</v>
      </c>
      <c r="C1421">
        <v>365</v>
      </c>
      <c r="D1421">
        <v>242</v>
      </c>
      <c r="E1421" t="s">
        <v>17</v>
      </c>
    </row>
    <row r="1422" spans="1:5" x14ac:dyDescent="0.35">
      <c r="A1422" t="s">
        <v>1297</v>
      </c>
      <c r="B1422" t="s">
        <v>1444</v>
      </c>
      <c r="C1422">
        <v>409</v>
      </c>
      <c r="D1422">
        <v>250</v>
      </c>
      <c r="E1422" t="s">
        <v>7</v>
      </c>
    </row>
    <row r="1423" spans="1:5" x14ac:dyDescent="0.35">
      <c r="A1423" t="s">
        <v>1297</v>
      </c>
      <c r="B1423" t="s">
        <v>1445</v>
      </c>
      <c r="C1423">
        <v>160</v>
      </c>
      <c r="D1423">
        <v>156</v>
      </c>
      <c r="E1423" t="s">
        <v>17</v>
      </c>
    </row>
    <row r="1424" spans="1:5" x14ac:dyDescent="0.35">
      <c r="A1424" t="s">
        <v>1297</v>
      </c>
      <c r="B1424" t="s">
        <v>1446</v>
      </c>
      <c r="C1424">
        <v>474</v>
      </c>
      <c r="D1424">
        <v>447</v>
      </c>
      <c r="E1424" t="s">
        <v>9</v>
      </c>
    </row>
    <row r="1425" spans="1:5" x14ac:dyDescent="0.35">
      <c r="A1425" t="s">
        <v>1297</v>
      </c>
      <c r="B1425" t="s">
        <v>1447</v>
      </c>
      <c r="C1425">
        <v>450</v>
      </c>
      <c r="D1425">
        <v>448</v>
      </c>
      <c r="E1425" t="s">
        <v>21</v>
      </c>
    </row>
    <row r="1426" spans="1:5" x14ac:dyDescent="0.35">
      <c r="A1426" t="s">
        <v>1297</v>
      </c>
      <c r="B1426" t="s">
        <v>1448</v>
      </c>
      <c r="C1426">
        <v>437</v>
      </c>
      <c r="D1426">
        <v>333</v>
      </c>
      <c r="E1426" t="s">
        <v>9</v>
      </c>
    </row>
    <row r="1427" spans="1:5" x14ac:dyDescent="0.35">
      <c r="A1427" t="s">
        <v>1297</v>
      </c>
      <c r="B1427" t="s">
        <v>1449</v>
      </c>
      <c r="C1427">
        <v>379</v>
      </c>
      <c r="D1427">
        <v>169</v>
      </c>
      <c r="E1427" t="s">
        <v>9</v>
      </c>
    </row>
    <row r="1428" spans="1:5" x14ac:dyDescent="0.35">
      <c r="A1428" t="s">
        <v>1297</v>
      </c>
      <c r="B1428" t="s">
        <v>1450</v>
      </c>
      <c r="C1428">
        <v>448</v>
      </c>
      <c r="D1428">
        <v>423</v>
      </c>
      <c r="E1428" t="s">
        <v>21</v>
      </c>
    </row>
    <row r="1429" spans="1:5" x14ac:dyDescent="0.35">
      <c r="A1429" t="s">
        <v>1297</v>
      </c>
      <c r="B1429" t="s">
        <v>1451</v>
      </c>
      <c r="C1429">
        <v>366</v>
      </c>
      <c r="D1429">
        <v>239</v>
      </c>
      <c r="E1429" t="s">
        <v>17</v>
      </c>
    </row>
    <row r="1430" spans="1:5" x14ac:dyDescent="0.35">
      <c r="A1430" t="s">
        <v>1452</v>
      </c>
      <c r="B1430" t="s">
        <v>802</v>
      </c>
      <c r="C1430">
        <v>277</v>
      </c>
      <c r="D1430">
        <v>65</v>
      </c>
      <c r="E1430" t="s">
        <v>17</v>
      </c>
    </row>
    <row r="1431" spans="1:5" x14ac:dyDescent="0.35">
      <c r="A1431" t="s">
        <v>1452</v>
      </c>
      <c r="B1431" t="s">
        <v>803</v>
      </c>
      <c r="C1431">
        <v>293</v>
      </c>
      <c r="D1431">
        <v>39</v>
      </c>
      <c r="E1431" t="s">
        <v>21</v>
      </c>
    </row>
    <row r="1432" spans="1:5" x14ac:dyDescent="0.35">
      <c r="A1432" t="s">
        <v>1452</v>
      </c>
      <c r="B1432" t="s">
        <v>804</v>
      </c>
      <c r="C1432">
        <v>135</v>
      </c>
      <c r="D1432">
        <v>104</v>
      </c>
      <c r="E1432" t="s">
        <v>33</v>
      </c>
    </row>
    <row r="1433" spans="1:5" x14ac:dyDescent="0.35">
      <c r="A1433" t="s">
        <v>1452</v>
      </c>
      <c r="B1433" t="s">
        <v>805</v>
      </c>
      <c r="C1433">
        <v>123</v>
      </c>
      <c r="D1433">
        <v>71</v>
      </c>
      <c r="E1433" t="s">
        <v>21</v>
      </c>
    </row>
    <row r="1434" spans="1:5" x14ac:dyDescent="0.35">
      <c r="A1434" t="s">
        <v>1452</v>
      </c>
      <c r="B1434" t="s">
        <v>806</v>
      </c>
      <c r="C1434">
        <v>250</v>
      </c>
      <c r="D1434">
        <v>69</v>
      </c>
      <c r="E1434" t="s">
        <v>33</v>
      </c>
    </row>
    <row r="1435" spans="1:5" x14ac:dyDescent="0.35">
      <c r="A1435" t="s">
        <v>1452</v>
      </c>
      <c r="B1435" t="s">
        <v>807</v>
      </c>
      <c r="C1435">
        <v>152</v>
      </c>
      <c r="D1435">
        <v>140</v>
      </c>
      <c r="E1435" t="s">
        <v>11</v>
      </c>
    </row>
    <row r="1436" spans="1:5" x14ac:dyDescent="0.35">
      <c r="A1436" t="s">
        <v>1452</v>
      </c>
      <c r="B1436" t="s">
        <v>808</v>
      </c>
      <c r="C1436">
        <v>224</v>
      </c>
      <c r="D1436">
        <v>51</v>
      </c>
      <c r="E1436" t="s">
        <v>9</v>
      </c>
    </row>
    <row r="1437" spans="1:5" x14ac:dyDescent="0.35">
      <c r="A1437" t="s">
        <v>1452</v>
      </c>
      <c r="B1437" t="s">
        <v>1453</v>
      </c>
      <c r="C1437">
        <v>223</v>
      </c>
      <c r="D1437">
        <v>164</v>
      </c>
      <c r="E1437" t="s">
        <v>33</v>
      </c>
    </row>
    <row r="1438" spans="1:5" x14ac:dyDescent="0.35">
      <c r="A1438" t="s">
        <v>1452</v>
      </c>
      <c r="B1438" t="s">
        <v>1454</v>
      </c>
      <c r="C1438">
        <v>189</v>
      </c>
      <c r="D1438">
        <v>130</v>
      </c>
      <c r="E1438" t="s">
        <v>11</v>
      </c>
    </row>
    <row r="1439" spans="1:5" x14ac:dyDescent="0.35">
      <c r="A1439" t="s">
        <v>1452</v>
      </c>
      <c r="B1439" t="s">
        <v>1455</v>
      </c>
      <c r="C1439">
        <v>69</v>
      </c>
      <c r="D1439">
        <v>45</v>
      </c>
      <c r="E1439" t="s">
        <v>11</v>
      </c>
    </row>
    <row r="1440" spans="1:5" x14ac:dyDescent="0.35">
      <c r="A1440" t="s">
        <v>1452</v>
      </c>
      <c r="B1440" t="s">
        <v>1456</v>
      </c>
      <c r="C1440">
        <v>131</v>
      </c>
      <c r="D1440">
        <v>110</v>
      </c>
      <c r="E1440" t="s">
        <v>7</v>
      </c>
    </row>
    <row r="1441" spans="1:5" x14ac:dyDescent="0.35">
      <c r="A1441" t="s">
        <v>1452</v>
      </c>
      <c r="B1441" t="s">
        <v>1457</v>
      </c>
      <c r="C1441">
        <v>274</v>
      </c>
      <c r="D1441">
        <v>119</v>
      </c>
      <c r="E1441" t="s">
        <v>21</v>
      </c>
    </row>
    <row r="1442" spans="1:5" x14ac:dyDescent="0.35">
      <c r="A1442" t="s">
        <v>1452</v>
      </c>
      <c r="B1442" t="s">
        <v>1458</v>
      </c>
      <c r="C1442">
        <v>247</v>
      </c>
      <c r="D1442">
        <v>72</v>
      </c>
      <c r="E1442" t="s">
        <v>15</v>
      </c>
    </row>
    <row r="1443" spans="1:5" x14ac:dyDescent="0.35">
      <c r="A1443" t="s">
        <v>1452</v>
      </c>
      <c r="B1443" t="s">
        <v>1459</v>
      </c>
      <c r="C1443">
        <v>175</v>
      </c>
      <c r="D1443">
        <v>171</v>
      </c>
      <c r="E1443" t="s">
        <v>21</v>
      </c>
    </row>
    <row r="1444" spans="1:5" x14ac:dyDescent="0.35">
      <c r="A1444" t="s">
        <v>1452</v>
      </c>
      <c r="B1444" t="s">
        <v>1460</v>
      </c>
      <c r="C1444">
        <v>122</v>
      </c>
      <c r="D1444">
        <v>47</v>
      </c>
      <c r="E1444" t="s">
        <v>11</v>
      </c>
    </row>
    <row r="1445" spans="1:5" x14ac:dyDescent="0.35">
      <c r="A1445" t="s">
        <v>1452</v>
      </c>
      <c r="B1445" t="s">
        <v>1461</v>
      </c>
      <c r="C1445">
        <v>77</v>
      </c>
      <c r="D1445">
        <v>50</v>
      </c>
      <c r="E1445" t="s">
        <v>9</v>
      </c>
    </row>
    <row r="1446" spans="1:5" x14ac:dyDescent="0.35">
      <c r="A1446" t="s">
        <v>1452</v>
      </c>
      <c r="B1446" t="s">
        <v>1462</v>
      </c>
      <c r="C1446">
        <v>229</v>
      </c>
      <c r="D1446">
        <v>119</v>
      </c>
      <c r="E1446" t="s">
        <v>11</v>
      </c>
    </row>
    <row r="1447" spans="1:5" x14ac:dyDescent="0.35">
      <c r="A1447" t="s">
        <v>1452</v>
      </c>
      <c r="B1447" t="s">
        <v>1463</v>
      </c>
      <c r="C1447">
        <v>188</v>
      </c>
      <c r="D1447">
        <v>165</v>
      </c>
      <c r="E1447" t="s">
        <v>9</v>
      </c>
    </row>
    <row r="1448" spans="1:5" x14ac:dyDescent="0.35">
      <c r="A1448" t="s">
        <v>1452</v>
      </c>
      <c r="B1448" t="s">
        <v>1464</v>
      </c>
      <c r="C1448">
        <v>227</v>
      </c>
      <c r="D1448">
        <v>181</v>
      </c>
      <c r="E1448" t="s">
        <v>17</v>
      </c>
    </row>
    <row r="1449" spans="1:5" x14ac:dyDescent="0.35">
      <c r="A1449" t="s">
        <v>1452</v>
      </c>
      <c r="B1449" t="s">
        <v>1465</v>
      </c>
      <c r="C1449">
        <v>138</v>
      </c>
      <c r="D1449">
        <v>116</v>
      </c>
      <c r="E1449" t="s">
        <v>21</v>
      </c>
    </row>
    <row r="1450" spans="1:5" x14ac:dyDescent="0.35">
      <c r="A1450" t="s">
        <v>1452</v>
      </c>
      <c r="B1450" t="s">
        <v>1466</v>
      </c>
      <c r="C1450">
        <v>154</v>
      </c>
      <c r="D1450">
        <v>89</v>
      </c>
      <c r="E1450" t="s">
        <v>11</v>
      </c>
    </row>
    <row r="1451" spans="1:5" x14ac:dyDescent="0.35">
      <c r="A1451" t="s">
        <v>1452</v>
      </c>
      <c r="B1451" t="s">
        <v>1467</v>
      </c>
      <c r="C1451">
        <v>102</v>
      </c>
      <c r="D1451">
        <v>91</v>
      </c>
      <c r="E1451" t="s">
        <v>7</v>
      </c>
    </row>
    <row r="1452" spans="1:5" x14ac:dyDescent="0.35">
      <c r="A1452" t="s">
        <v>1452</v>
      </c>
      <c r="B1452" t="s">
        <v>1468</v>
      </c>
      <c r="C1452">
        <v>150</v>
      </c>
      <c r="D1452">
        <v>42</v>
      </c>
      <c r="E1452" t="s">
        <v>7</v>
      </c>
    </row>
    <row r="1453" spans="1:5" x14ac:dyDescent="0.35">
      <c r="A1453" t="s">
        <v>1452</v>
      </c>
      <c r="B1453" t="s">
        <v>1469</v>
      </c>
      <c r="C1453">
        <v>246</v>
      </c>
      <c r="D1453">
        <v>43</v>
      </c>
      <c r="E1453" t="s">
        <v>21</v>
      </c>
    </row>
    <row r="1454" spans="1:5" x14ac:dyDescent="0.35">
      <c r="A1454" t="s">
        <v>1452</v>
      </c>
      <c r="B1454" t="s">
        <v>1470</v>
      </c>
      <c r="C1454">
        <v>293</v>
      </c>
      <c r="D1454">
        <v>136</v>
      </c>
      <c r="E1454" t="s">
        <v>33</v>
      </c>
    </row>
    <row r="1455" spans="1:5" x14ac:dyDescent="0.35">
      <c r="A1455" t="s">
        <v>1452</v>
      </c>
      <c r="B1455" t="s">
        <v>1471</v>
      </c>
      <c r="C1455">
        <v>111</v>
      </c>
      <c r="D1455">
        <v>70</v>
      </c>
      <c r="E1455" t="s">
        <v>9</v>
      </c>
    </row>
    <row r="1456" spans="1:5" x14ac:dyDescent="0.35">
      <c r="A1456" t="s">
        <v>1452</v>
      </c>
      <c r="B1456" t="s">
        <v>1472</v>
      </c>
      <c r="C1456">
        <v>301</v>
      </c>
      <c r="D1456">
        <v>147</v>
      </c>
      <c r="E1456" t="s">
        <v>11</v>
      </c>
    </row>
    <row r="1457" spans="1:5" x14ac:dyDescent="0.35">
      <c r="A1457" t="s">
        <v>1452</v>
      </c>
      <c r="B1457" t="s">
        <v>1473</v>
      </c>
      <c r="C1457">
        <v>296</v>
      </c>
      <c r="D1457">
        <v>111</v>
      </c>
      <c r="E1457" t="s">
        <v>11</v>
      </c>
    </row>
    <row r="1458" spans="1:5" x14ac:dyDescent="0.35">
      <c r="A1458" t="s">
        <v>1452</v>
      </c>
      <c r="B1458" t="s">
        <v>1474</v>
      </c>
      <c r="C1458">
        <v>156</v>
      </c>
      <c r="D1458">
        <v>141</v>
      </c>
      <c r="E1458" t="s">
        <v>7</v>
      </c>
    </row>
    <row r="1459" spans="1:5" x14ac:dyDescent="0.35">
      <c r="A1459" t="s">
        <v>1452</v>
      </c>
      <c r="B1459" t="s">
        <v>1475</v>
      </c>
      <c r="C1459">
        <v>162</v>
      </c>
      <c r="D1459">
        <v>49</v>
      </c>
      <c r="E1459" t="s">
        <v>33</v>
      </c>
    </row>
    <row r="1460" spans="1:5" x14ac:dyDescent="0.35">
      <c r="A1460" t="s">
        <v>1452</v>
      </c>
      <c r="B1460" t="s">
        <v>1476</v>
      </c>
      <c r="C1460">
        <v>131</v>
      </c>
      <c r="D1460">
        <v>46</v>
      </c>
      <c r="E1460" t="s">
        <v>9</v>
      </c>
    </row>
    <row r="1461" spans="1:5" x14ac:dyDescent="0.35">
      <c r="A1461" t="s">
        <v>1452</v>
      </c>
      <c r="B1461" t="s">
        <v>1477</v>
      </c>
      <c r="C1461">
        <v>307</v>
      </c>
      <c r="D1461">
        <v>105</v>
      </c>
      <c r="E1461" t="s">
        <v>11</v>
      </c>
    </row>
    <row r="1462" spans="1:5" x14ac:dyDescent="0.35">
      <c r="A1462" t="s">
        <v>1452</v>
      </c>
      <c r="B1462" t="s">
        <v>1478</v>
      </c>
      <c r="C1462">
        <v>319</v>
      </c>
      <c r="D1462">
        <v>82</v>
      </c>
      <c r="E1462" t="s">
        <v>15</v>
      </c>
    </row>
    <row r="1463" spans="1:5" x14ac:dyDescent="0.35">
      <c r="A1463" t="s">
        <v>1452</v>
      </c>
      <c r="B1463" t="s">
        <v>1479</v>
      </c>
      <c r="C1463">
        <v>254</v>
      </c>
      <c r="D1463">
        <v>173</v>
      </c>
      <c r="E1463" t="s">
        <v>9</v>
      </c>
    </row>
    <row r="1464" spans="1:5" x14ac:dyDescent="0.35">
      <c r="A1464" t="s">
        <v>1452</v>
      </c>
      <c r="B1464" t="s">
        <v>1480</v>
      </c>
      <c r="C1464">
        <v>231</v>
      </c>
      <c r="D1464">
        <v>143</v>
      </c>
      <c r="E1464" t="s">
        <v>9</v>
      </c>
    </row>
    <row r="1465" spans="1:5" x14ac:dyDescent="0.35">
      <c r="A1465" t="s">
        <v>1452</v>
      </c>
      <c r="B1465" t="s">
        <v>1481</v>
      </c>
      <c r="C1465">
        <v>205</v>
      </c>
      <c r="D1465">
        <v>190</v>
      </c>
      <c r="E1465" t="s">
        <v>21</v>
      </c>
    </row>
    <row r="1466" spans="1:5" x14ac:dyDescent="0.35">
      <c r="A1466" t="s">
        <v>1452</v>
      </c>
      <c r="B1466" t="s">
        <v>1482</v>
      </c>
      <c r="C1466">
        <v>199</v>
      </c>
      <c r="D1466">
        <v>182</v>
      </c>
      <c r="E1466" t="s">
        <v>33</v>
      </c>
    </row>
    <row r="1467" spans="1:5" x14ac:dyDescent="0.35">
      <c r="A1467" t="s">
        <v>1452</v>
      </c>
      <c r="B1467" t="s">
        <v>1483</v>
      </c>
      <c r="C1467">
        <v>227</v>
      </c>
      <c r="D1467">
        <v>135</v>
      </c>
      <c r="E1467" t="s">
        <v>33</v>
      </c>
    </row>
    <row r="1468" spans="1:5" x14ac:dyDescent="0.35">
      <c r="A1468" t="s">
        <v>1452</v>
      </c>
      <c r="B1468" t="s">
        <v>1484</v>
      </c>
      <c r="C1468">
        <v>158</v>
      </c>
      <c r="D1468">
        <v>42</v>
      </c>
      <c r="E1468" t="s">
        <v>17</v>
      </c>
    </row>
    <row r="1469" spans="1:5" x14ac:dyDescent="0.35">
      <c r="A1469" t="s">
        <v>1452</v>
      </c>
      <c r="B1469" t="s">
        <v>1485</v>
      </c>
      <c r="C1469">
        <v>140</v>
      </c>
      <c r="D1469">
        <v>117</v>
      </c>
      <c r="E1469" t="s">
        <v>9</v>
      </c>
    </row>
    <row r="1470" spans="1:5" x14ac:dyDescent="0.35">
      <c r="A1470" t="s">
        <v>1452</v>
      </c>
      <c r="B1470" t="s">
        <v>1486</v>
      </c>
      <c r="C1470">
        <v>76</v>
      </c>
      <c r="D1470">
        <v>35</v>
      </c>
      <c r="E1470" t="s">
        <v>33</v>
      </c>
    </row>
    <row r="1471" spans="1:5" x14ac:dyDescent="0.35">
      <c r="A1471" t="s">
        <v>1452</v>
      </c>
      <c r="B1471" t="s">
        <v>1487</v>
      </c>
      <c r="C1471">
        <v>149</v>
      </c>
      <c r="D1471">
        <v>75</v>
      </c>
      <c r="E1471" t="s">
        <v>15</v>
      </c>
    </row>
    <row r="1472" spans="1:5" x14ac:dyDescent="0.35">
      <c r="A1472" t="s">
        <v>1452</v>
      </c>
      <c r="B1472" t="s">
        <v>1488</v>
      </c>
      <c r="C1472">
        <v>246</v>
      </c>
      <c r="D1472">
        <v>160</v>
      </c>
      <c r="E1472" t="s">
        <v>21</v>
      </c>
    </row>
    <row r="1473" spans="1:5" x14ac:dyDescent="0.35">
      <c r="A1473" t="s">
        <v>1452</v>
      </c>
      <c r="B1473" t="s">
        <v>1489</v>
      </c>
      <c r="C1473">
        <v>226</v>
      </c>
      <c r="D1473">
        <v>119</v>
      </c>
      <c r="E1473" t="s">
        <v>17</v>
      </c>
    </row>
    <row r="1474" spans="1:5" x14ac:dyDescent="0.35">
      <c r="A1474" t="s">
        <v>1452</v>
      </c>
      <c r="B1474" t="s">
        <v>1490</v>
      </c>
      <c r="C1474">
        <v>180</v>
      </c>
      <c r="D1474">
        <v>155</v>
      </c>
      <c r="E1474" t="s">
        <v>33</v>
      </c>
    </row>
    <row r="1475" spans="1:5" x14ac:dyDescent="0.35">
      <c r="A1475" t="s">
        <v>1452</v>
      </c>
      <c r="B1475" t="s">
        <v>1491</v>
      </c>
      <c r="C1475">
        <v>248</v>
      </c>
      <c r="D1475">
        <v>186</v>
      </c>
      <c r="E1475" t="s">
        <v>11</v>
      </c>
    </row>
    <row r="1476" spans="1:5" x14ac:dyDescent="0.35">
      <c r="A1476" t="s">
        <v>1452</v>
      </c>
      <c r="B1476" t="s">
        <v>1492</v>
      </c>
      <c r="C1476">
        <v>201</v>
      </c>
      <c r="D1476">
        <v>107</v>
      </c>
      <c r="E1476" t="s">
        <v>7</v>
      </c>
    </row>
    <row r="1477" spans="1:5" x14ac:dyDescent="0.35">
      <c r="A1477" t="s">
        <v>1452</v>
      </c>
      <c r="B1477" t="s">
        <v>1493</v>
      </c>
      <c r="C1477">
        <v>290</v>
      </c>
      <c r="D1477">
        <v>190</v>
      </c>
      <c r="E1477" t="s">
        <v>11</v>
      </c>
    </row>
    <row r="1478" spans="1:5" x14ac:dyDescent="0.35">
      <c r="A1478" t="s">
        <v>1452</v>
      </c>
      <c r="B1478" t="s">
        <v>1494</v>
      </c>
      <c r="C1478">
        <v>169</v>
      </c>
      <c r="D1478">
        <v>130</v>
      </c>
      <c r="E1478" t="s">
        <v>7</v>
      </c>
    </row>
    <row r="1479" spans="1:5" x14ac:dyDescent="0.35">
      <c r="A1479" t="s">
        <v>1452</v>
      </c>
      <c r="B1479" t="s">
        <v>1495</v>
      </c>
      <c r="C1479">
        <v>203</v>
      </c>
      <c r="D1479">
        <v>158</v>
      </c>
      <c r="E1479" t="s">
        <v>11</v>
      </c>
    </row>
    <row r="1480" spans="1:5" x14ac:dyDescent="0.35">
      <c r="A1480" t="s">
        <v>1452</v>
      </c>
      <c r="B1480" t="s">
        <v>1496</v>
      </c>
      <c r="C1480">
        <v>156</v>
      </c>
      <c r="D1480">
        <v>62</v>
      </c>
      <c r="E1480" t="s">
        <v>11</v>
      </c>
    </row>
    <row r="1481" spans="1:5" x14ac:dyDescent="0.35">
      <c r="A1481" t="s">
        <v>1452</v>
      </c>
      <c r="B1481" t="s">
        <v>1497</v>
      </c>
      <c r="C1481">
        <v>131</v>
      </c>
      <c r="D1481">
        <v>79</v>
      </c>
      <c r="E1481" t="s">
        <v>11</v>
      </c>
    </row>
    <row r="1482" spans="1:5" x14ac:dyDescent="0.35">
      <c r="A1482" t="s">
        <v>1452</v>
      </c>
      <c r="B1482" t="s">
        <v>1498</v>
      </c>
      <c r="C1482">
        <v>144</v>
      </c>
      <c r="D1482">
        <v>124</v>
      </c>
      <c r="E1482" t="s">
        <v>11</v>
      </c>
    </row>
    <row r="1483" spans="1:5" x14ac:dyDescent="0.35">
      <c r="A1483" t="s">
        <v>1452</v>
      </c>
      <c r="B1483" t="s">
        <v>1499</v>
      </c>
      <c r="C1483">
        <v>275</v>
      </c>
      <c r="D1483">
        <v>53</v>
      </c>
      <c r="E1483" t="s">
        <v>15</v>
      </c>
    </row>
    <row r="1484" spans="1:5" x14ac:dyDescent="0.35">
      <c r="A1484" t="s">
        <v>1452</v>
      </c>
      <c r="B1484" t="s">
        <v>1500</v>
      </c>
      <c r="C1484">
        <v>150</v>
      </c>
      <c r="D1484">
        <v>147</v>
      </c>
      <c r="E1484" t="s">
        <v>33</v>
      </c>
    </row>
    <row r="1485" spans="1:5" x14ac:dyDescent="0.35">
      <c r="A1485" t="s">
        <v>1452</v>
      </c>
      <c r="B1485" t="s">
        <v>1501</v>
      </c>
      <c r="C1485">
        <v>157</v>
      </c>
      <c r="D1485">
        <v>155</v>
      </c>
      <c r="E1485" t="s">
        <v>15</v>
      </c>
    </row>
    <row r="1486" spans="1:5" x14ac:dyDescent="0.35">
      <c r="A1486" t="s">
        <v>1452</v>
      </c>
      <c r="B1486" t="s">
        <v>1502</v>
      </c>
      <c r="C1486">
        <v>110</v>
      </c>
      <c r="D1486">
        <v>35</v>
      </c>
      <c r="E1486" t="s">
        <v>21</v>
      </c>
    </row>
    <row r="1487" spans="1:5" x14ac:dyDescent="0.35">
      <c r="A1487" t="s">
        <v>1452</v>
      </c>
      <c r="B1487" t="s">
        <v>1503</v>
      </c>
      <c r="C1487">
        <v>147</v>
      </c>
      <c r="D1487">
        <v>90</v>
      </c>
      <c r="E1487" t="s">
        <v>9</v>
      </c>
    </row>
    <row r="1488" spans="1:5" x14ac:dyDescent="0.35">
      <c r="A1488" t="s">
        <v>1452</v>
      </c>
      <c r="B1488" t="s">
        <v>1504</v>
      </c>
      <c r="C1488">
        <v>306</v>
      </c>
      <c r="D1488">
        <v>82</v>
      </c>
      <c r="E1488" t="s">
        <v>17</v>
      </c>
    </row>
    <row r="1489" spans="1:5" x14ac:dyDescent="0.35">
      <c r="A1489" t="s">
        <v>1452</v>
      </c>
      <c r="B1489" t="s">
        <v>1505</v>
      </c>
      <c r="C1489">
        <v>185</v>
      </c>
      <c r="D1489">
        <v>153</v>
      </c>
      <c r="E1489" t="s">
        <v>9</v>
      </c>
    </row>
    <row r="1490" spans="1:5" x14ac:dyDescent="0.35">
      <c r="A1490" t="s">
        <v>1452</v>
      </c>
      <c r="B1490" t="s">
        <v>1506</v>
      </c>
      <c r="C1490">
        <v>229</v>
      </c>
      <c r="D1490">
        <v>70</v>
      </c>
      <c r="E1490" t="s">
        <v>15</v>
      </c>
    </row>
    <row r="1491" spans="1:5" x14ac:dyDescent="0.35">
      <c r="A1491" t="s">
        <v>1452</v>
      </c>
      <c r="B1491" t="s">
        <v>1507</v>
      </c>
      <c r="C1491">
        <v>166</v>
      </c>
      <c r="D1491">
        <v>132</v>
      </c>
      <c r="E1491" t="s">
        <v>15</v>
      </c>
    </row>
    <row r="1492" spans="1:5" x14ac:dyDescent="0.35">
      <c r="A1492" t="s">
        <v>1452</v>
      </c>
      <c r="B1492" t="s">
        <v>1508</v>
      </c>
      <c r="C1492">
        <v>257</v>
      </c>
      <c r="D1492">
        <v>102</v>
      </c>
      <c r="E1492" t="s">
        <v>21</v>
      </c>
    </row>
    <row r="1493" spans="1:5" x14ac:dyDescent="0.35">
      <c r="A1493" t="s">
        <v>1452</v>
      </c>
      <c r="B1493" t="s">
        <v>1509</v>
      </c>
      <c r="C1493">
        <v>163</v>
      </c>
      <c r="D1493">
        <v>112</v>
      </c>
      <c r="E1493" t="s">
        <v>21</v>
      </c>
    </row>
    <row r="1494" spans="1:5" x14ac:dyDescent="0.35">
      <c r="A1494" t="s">
        <v>1452</v>
      </c>
      <c r="B1494" t="s">
        <v>1510</v>
      </c>
      <c r="C1494">
        <v>189</v>
      </c>
      <c r="D1494">
        <v>55</v>
      </c>
      <c r="E1494" t="s">
        <v>9</v>
      </c>
    </row>
    <row r="1495" spans="1:5" x14ac:dyDescent="0.35">
      <c r="A1495" t="s">
        <v>1452</v>
      </c>
      <c r="B1495" t="s">
        <v>1511</v>
      </c>
      <c r="C1495">
        <v>184</v>
      </c>
      <c r="D1495">
        <v>139</v>
      </c>
      <c r="E1495" t="s">
        <v>21</v>
      </c>
    </row>
    <row r="1496" spans="1:5" x14ac:dyDescent="0.35">
      <c r="A1496" t="s">
        <v>1452</v>
      </c>
      <c r="B1496" t="s">
        <v>1512</v>
      </c>
      <c r="C1496">
        <v>56</v>
      </c>
      <c r="D1496">
        <v>46</v>
      </c>
      <c r="E1496" t="s">
        <v>17</v>
      </c>
    </row>
    <row r="1497" spans="1:5" x14ac:dyDescent="0.35">
      <c r="A1497" t="s">
        <v>1452</v>
      </c>
      <c r="B1497" t="s">
        <v>1513</v>
      </c>
      <c r="C1497">
        <v>219</v>
      </c>
      <c r="D1497">
        <v>133</v>
      </c>
      <c r="E1497" t="s">
        <v>21</v>
      </c>
    </row>
    <row r="1498" spans="1:5" x14ac:dyDescent="0.35">
      <c r="A1498" t="s">
        <v>1452</v>
      </c>
      <c r="B1498" t="s">
        <v>1514</v>
      </c>
      <c r="C1498">
        <v>265</v>
      </c>
      <c r="D1498">
        <v>116</v>
      </c>
      <c r="E1498" t="s">
        <v>9</v>
      </c>
    </row>
    <row r="1499" spans="1:5" x14ac:dyDescent="0.35">
      <c r="A1499" t="s">
        <v>1452</v>
      </c>
      <c r="B1499" t="s">
        <v>1515</v>
      </c>
      <c r="C1499">
        <v>198</v>
      </c>
      <c r="D1499">
        <v>189</v>
      </c>
      <c r="E1499" t="s">
        <v>15</v>
      </c>
    </row>
    <row r="1500" spans="1:5" x14ac:dyDescent="0.35">
      <c r="A1500" t="s">
        <v>1452</v>
      </c>
      <c r="B1500" t="s">
        <v>1516</v>
      </c>
      <c r="C1500">
        <v>196</v>
      </c>
      <c r="D1500">
        <v>172</v>
      </c>
      <c r="E1500" t="s">
        <v>33</v>
      </c>
    </row>
    <row r="1501" spans="1:5" x14ac:dyDescent="0.35">
      <c r="A1501" t="s">
        <v>1452</v>
      </c>
      <c r="B1501" t="s">
        <v>1517</v>
      </c>
      <c r="C1501">
        <v>130</v>
      </c>
      <c r="D1501">
        <v>99</v>
      </c>
      <c r="E1501" t="s">
        <v>17</v>
      </c>
    </row>
    <row r="1502" spans="1:5" x14ac:dyDescent="0.35">
      <c r="A1502" t="s">
        <v>1452</v>
      </c>
      <c r="B1502" t="s">
        <v>1518</v>
      </c>
      <c r="C1502">
        <v>274</v>
      </c>
      <c r="D1502">
        <v>134</v>
      </c>
      <c r="E1502" t="s">
        <v>7</v>
      </c>
    </row>
    <row r="1503" spans="1:5" x14ac:dyDescent="0.35">
      <c r="A1503" t="s">
        <v>1452</v>
      </c>
      <c r="B1503" t="s">
        <v>1519</v>
      </c>
      <c r="C1503">
        <v>171</v>
      </c>
      <c r="D1503">
        <v>152</v>
      </c>
      <c r="E1503" t="s">
        <v>15</v>
      </c>
    </row>
    <row r="1504" spans="1:5" x14ac:dyDescent="0.35">
      <c r="A1504" t="s">
        <v>1452</v>
      </c>
      <c r="B1504" t="s">
        <v>1520</v>
      </c>
      <c r="C1504">
        <v>131</v>
      </c>
      <c r="D1504">
        <v>108</v>
      </c>
      <c r="E1504" t="s">
        <v>9</v>
      </c>
    </row>
    <row r="1505" spans="1:5" x14ac:dyDescent="0.35">
      <c r="A1505" t="s">
        <v>1452</v>
      </c>
      <c r="B1505" t="s">
        <v>1521</v>
      </c>
      <c r="C1505">
        <v>192</v>
      </c>
      <c r="D1505">
        <v>180</v>
      </c>
      <c r="E1505" t="s">
        <v>33</v>
      </c>
    </row>
    <row r="1506" spans="1:5" x14ac:dyDescent="0.35">
      <c r="A1506" t="s">
        <v>1452</v>
      </c>
      <c r="B1506" t="s">
        <v>1522</v>
      </c>
      <c r="C1506">
        <v>289</v>
      </c>
      <c r="D1506">
        <v>173</v>
      </c>
      <c r="E1506" t="s">
        <v>15</v>
      </c>
    </row>
    <row r="1507" spans="1:5" x14ac:dyDescent="0.35">
      <c r="A1507" t="s">
        <v>1452</v>
      </c>
      <c r="B1507" t="s">
        <v>1523</v>
      </c>
      <c r="C1507">
        <v>195</v>
      </c>
      <c r="D1507">
        <v>125</v>
      </c>
      <c r="E1507" t="s">
        <v>21</v>
      </c>
    </row>
    <row r="1508" spans="1:5" x14ac:dyDescent="0.35">
      <c r="A1508" t="s">
        <v>1452</v>
      </c>
      <c r="B1508" t="s">
        <v>1524</v>
      </c>
      <c r="C1508">
        <v>291</v>
      </c>
      <c r="D1508">
        <v>98</v>
      </c>
      <c r="E1508" t="s">
        <v>11</v>
      </c>
    </row>
    <row r="1509" spans="1:5" x14ac:dyDescent="0.35">
      <c r="A1509" t="s">
        <v>1452</v>
      </c>
      <c r="B1509" t="s">
        <v>1525</v>
      </c>
      <c r="C1509">
        <v>230</v>
      </c>
      <c r="D1509">
        <v>142</v>
      </c>
      <c r="E1509" t="s">
        <v>21</v>
      </c>
    </row>
    <row r="1510" spans="1:5" x14ac:dyDescent="0.35">
      <c r="A1510" t="s">
        <v>1452</v>
      </c>
      <c r="B1510" t="s">
        <v>1526</v>
      </c>
      <c r="C1510">
        <v>129</v>
      </c>
      <c r="D1510">
        <v>69</v>
      </c>
      <c r="E1510" t="s">
        <v>11</v>
      </c>
    </row>
    <row r="1511" spans="1:5" x14ac:dyDescent="0.35">
      <c r="A1511" t="s">
        <v>1452</v>
      </c>
      <c r="B1511" t="s">
        <v>1527</v>
      </c>
      <c r="C1511">
        <v>278</v>
      </c>
      <c r="D1511">
        <v>183</v>
      </c>
      <c r="E1511" t="s">
        <v>11</v>
      </c>
    </row>
    <row r="1512" spans="1:5" x14ac:dyDescent="0.35">
      <c r="A1512" t="s">
        <v>1452</v>
      </c>
      <c r="B1512" t="s">
        <v>1528</v>
      </c>
      <c r="C1512">
        <v>313</v>
      </c>
      <c r="D1512">
        <v>166</v>
      </c>
      <c r="E1512" t="s">
        <v>11</v>
      </c>
    </row>
    <row r="1513" spans="1:5" x14ac:dyDescent="0.35">
      <c r="A1513" t="s">
        <v>1452</v>
      </c>
      <c r="B1513" t="s">
        <v>1529</v>
      </c>
      <c r="C1513">
        <v>215</v>
      </c>
      <c r="D1513">
        <v>154</v>
      </c>
      <c r="E1513" t="s">
        <v>21</v>
      </c>
    </row>
    <row r="1514" spans="1:5" x14ac:dyDescent="0.35">
      <c r="A1514" t="s">
        <v>1530</v>
      </c>
      <c r="B1514" t="s">
        <v>1531</v>
      </c>
      <c r="C1514">
        <v>257</v>
      </c>
      <c r="D1514">
        <v>238</v>
      </c>
      <c r="E1514" t="s">
        <v>11</v>
      </c>
    </row>
    <row r="1515" spans="1:5" x14ac:dyDescent="0.35">
      <c r="A1515" t="s">
        <v>1530</v>
      </c>
      <c r="B1515" t="s">
        <v>1532</v>
      </c>
      <c r="C1515">
        <v>491</v>
      </c>
      <c r="D1515">
        <v>160</v>
      </c>
      <c r="E1515" t="s">
        <v>9</v>
      </c>
    </row>
    <row r="1516" spans="1:5" x14ac:dyDescent="0.35">
      <c r="A1516" t="s">
        <v>1530</v>
      </c>
      <c r="B1516" t="s">
        <v>1533</v>
      </c>
      <c r="C1516">
        <v>325</v>
      </c>
      <c r="D1516">
        <v>193</v>
      </c>
      <c r="E1516" t="s">
        <v>15</v>
      </c>
    </row>
    <row r="1517" spans="1:5" x14ac:dyDescent="0.35">
      <c r="A1517" t="s">
        <v>1530</v>
      </c>
      <c r="B1517" t="s">
        <v>1534</v>
      </c>
      <c r="C1517">
        <v>418</v>
      </c>
      <c r="D1517">
        <v>188</v>
      </c>
      <c r="E1517" t="s">
        <v>11</v>
      </c>
    </row>
    <row r="1518" spans="1:5" x14ac:dyDescent="0.35">
      <c r="A1518" t="s">
        <v>1530</v>
      </c>
      <c r="B1518" t="s">
        <v>1535</v>
      </c>
      <c r="C1518">
        <v>479</v>
      </c>
      <c r="D1518">
        <v>434</v>
      </c>
      <c r="E1518" t="s">
        <v>7</v>
      </c>
    </row>
    <row r="1519" spans="1:5" x14ac:dyDescent="0.35">
      <c r="A1519" t="s">
        <v>1530</v>
      </c>
      <c r="B1519" t="s">
        <v>1536</v>
      </c>
      <c r="C1519">
        <v>371</v>
      </c>
      <c r="D1519">
        <v>273</v>
      </c>
      <c r="E1519" t="s">
        <v>17</v>
      </c>
    </row>
    <row r="1520" spans="1:5" x14ac:dyDescent="0.35">
      <c r="A1520" t="s">
        <v>1530</v>
      </c>
      <c r="B1520" t="s">
        <v>1537</v>
      </c>
      <c r="C1520">
        <v>459</v>
      </c>
      <c r="D1520">
        <v>456</v>
      </c>
      <c r="E1520" t="s">
        <v>9</v>
      </c>
    </row>
    <row r="1521" spans="1:5" x14ac:dyDescent="0.35">
      <c r="A1521" t="s">
        <v>1530</v>
      </c>
      <c r="B1521" t="s">
        <v>1538</v>
      </c>
      <c r="C1521">
        <v>408</v>
      </c>
      <c r="D1521">
        <v>382</v>
      </c>
      <c r="E1521" t="s">
        <v>21</v>
      </c>
    </row>
    <row r="1522" spans="1:5" x14ac:dyDescent="0.35">
      <c r="A1522" t="s">
        <v>1530</v>
      </c>
      <c r="B1522" t="s">
        <v>1539</v>
      </c>
      <c r="C1522">
        <v>228</v>
      </c>
      <c r="D1522">
        <v>209</v>
      </c>
      <c r="E1522" t="s">
        <v>11</v>
      </c>
    </row>
    <row r="1523" spans="1:5" x14ac:dyDescent="0.35">
      <c r="A1523" t="s">
        <v>1530</v>
      </c>
      <c r="B1523" t="s">
        <v>1540</v>
      </c>
      <c r="C1523">
        <v>480</v>
      </c>
      <c r="D1523">
        <v>430</v>
      </c>
      <c r="E1523" t="s">
        <v>9</v>
      </c>
    </row>
    <row r="1524" spans="1:5" x14ac:dyDescent="0.35">
      <c r="A1524" t="s">
        <v>1530</v>
      </c>
      <c r="B1524" t="s">
        <v>1541</v>
      </c>
      <c r="C1524">
        <v>432</v>
      </c>
      <c r="D1524">
        <v>272</v>
      </c>
      <c r="E1524" t="s">
        <v>7</v>
      </c>
    </row>
    <row r="1525" spans="1:5" x14ac:dyDescent="0.35">
      <c r="A1525" t="s">
        <v>1530</v>
      </c>
      <c r="B1525" t="s">
        <v>1542</v>
      </c>
      <c r="C1525">
        <v>494</v>
      </c>
      <c r="D1525">
        <v>442</v>
      </c>
      <c r="E1525" t="s">
        <v>7</v>
      </c>
    </row>
    <row r="1526" spans="1:5" x14ac:dyDescent="0.35">
      <c r="A1526" t="s">
        <v>1530</v>
      </c>
      <c r="B1526" t="s">
        <v>1543</v>
      </c>
      <c r="C1526">
        <v>444</v>
      </c>
      <c r="D1526">
        <v>182</v>
      </c>
      <c r="E1526" t="s">
        <v>7</v>
      </c>
    </row>
    <row r="1527" spans="1:5" x14ac:dyDescent="0.35">
      <c r="A1527" t="s">
        <v>1530</v>
      </c>
      <c r="B1527" t="s">
        <v>1544</v>
      </c>
      <c r="C1527">
        <v>363</v>
      </c>
      <c r="D1527">
        <v>171</v>
      </c>
      <c r="E1527" t="s">
        <v>9</v>
      </c>
    </row>
    <row r="1528" spans="1:5" x14ac:dyDescent="0.35">
      <c r="A1528" t="s">
        <v>1530</v>
      </c>
      <c r="B1528" t="s">
        <v>1545</v>
      </c>
      <c r="C1528">
        <v>350</v>
      </c>
      <c r="D1528">
        <v>332</v>
      </c>
      <c r="E1528" t="s">
        <v>9</v>
      </c>
    </row>
    <row r="1529" spans="1:5" x14ac:dyDescent="0.35">
      <c r="A1529" t="s">
        <v>1530</v>
      </c>
      <c r="B1529" t="s">
        <v>1546</v>
      </c>
      <c r="C1529">
        <v>417</v>
      </c>
      <c r="D1529">
        <v>308</v>
      </c>
      <c r="E1529" t="s">
        <v>17</v>
      </c>
    </row>
    <row r="1530" spans="1:5" x14ac:dyDescent="0.35">
      <c r="A1530" t="s">
        <v>1530</v>
      </c>
      <c r="B1530" t="s">
        <v>1547</v>
      </c>
      <c r="C1530">
        <v>435</v>
      </c>
      <c r="D1530">
        <v>418</v>
      </c>
      <c r="E1530" t="s">
        <v>21</v>
      </c>
    </row>
    <row r="1531" spans="1:5" x14ac:dyDescent="0.35">
      <c r="A1531" t="s">
        <v>1530</v>
      </c>
      <c r="B1531" t="s">
        <v>1548</v>
      </c>
      <c r="C1531">
        <v>449</v>
      </c>
      <c r="D1531">
        <v>220</v>
      </c>
      <c r="E1531" t="s">
        <v>15</v>
      </c>
    </row>
    <row r="1532" spans="1:5" x14ac:dyDescent="0.35">
      <c r="A1532" t="s">
        <v>1530</v>
      </c>
      <c r="B1532" t="s">
        <v>1549</v>
      </c>
      <c r="C1532">
        <v>461</v>
      </c>
      <c r="D1532">
        <v>333</v>
      </c>
      <c r="E1532" t="s">
        <v>33</v>
      </c>
    </row>
    <row r="1533" spans="1:5" x14ac:dyDescent="0.35">
      <c r="A1533" t="s">
        <v>1530</v>
      </c>
      <c r="B1533" t="s">
        <v>1550</v>
      </c>
      <c r="C1533">
        <v>274</v>
      </c>
      <c r="D1533">
        <v>202</v>
      </c>
      <c r="E1533" t="s">
        <v>21</v>
      </c>
    </row>
    <row r="1534" spans="1:5" x14ac:dyDescent="0.35">
      <c r="A1534" t="s">
        <v>1530</v>
      </c>
      <c r="B1534" t="s">
        <v>1551</v>
      </c>
      <c r="C1534">
        <v>339</v>
      </c>
      <c r="D1534">
        <v>257</v>
      </c>
      <c r="E1534" t="s">
        <v>15</v>
      </c>
    </row>
    <row r="1535" spans="1:5" x14ac:dyDescent="0.35">
      <c r="A1535" t="s">
        <v>1530</v>
      </c>
      <c r="B1535" t="s">
        <v>1552</v>
      </c>
      <c r="C1535">
        <v>478</v>
      </c>
      <c r="D1535">
        <v>460</v>
      </c>
      <c r="E1535" t="s">
        <v>7</v>
      </c>
    </row>
    <row r="1536" spans="1:5" x14ac:dyDescent="0.35">
      <c r="A1536" t="s">
        <v>1530</v>
      </c>
      <c r="B1536" t="s">
        <v>1553</v>
      </c>
      <c r="C1536">
        <v>455</v>
      </c>
      <c r="D1536">
        <v>435</v>
      </c>
      <c r="E1536" t="s">
        <v>9</v>
      </c>
    </row>
    <row r="1537" spans="1:5" x14ac:dyDescent="0.35">
      <c r="A1537" t="s">
        <v>1530</v>
      </c>
      <c r="B1537" t="s">
        <v>1554</v>
      </c>
      <c r="C1537">
        <v>386</v>
      </c>
      <c r="D1537">
        <v>165</v>
      </c>
      <c r="E1537" t="s">
        <v>17</v>
      </c>
    </row>
    <row r="1538" spans="1:5" x14ac:dyDescent="0.35">
      <c r="A1538" t="s">
        <v>1530</v>
      </c>
      <c r="B1538" t="s">
        <v>1555</v>
      </c>
      <c r="C1538">
        <v>387</v>
      </c>
      <c r="D1538">
        <v>344</v>
      </c>
      <c r="E1538" t="s">
        <v>15</v>
      </c>
    </row>
    <row r="1539" spans="1:5" x14ac:dyDescent="0.35">
      <c r="A1539" t="s">
        <v>1530</v>
      </c>
      <c r="B1539" t="s">
        <v>1556</v>
      </c>
      <c r="C1539">
        <v>276</v>
      </c>
      <c r="D1539">
        <v>226</v>
      </c>
      <c r="E1539" t="s">
        <v>11</v>
      </c>
    </row>
    <row r="1540" spans="1:5" x14ac:dyDescent="0.35">
      <c r="A1540" t="s">
        <v>1530</v>
      </c>
      <c r="B1540" t="s">
        <v>1557</v>
      </c>
      <c r="C1540">
        <v>445</v>
      </c>
      <c r="D1540">
        <v>245</v>
      </c>
      <c r="E1540" t="s">
        <v>21</v>
      </c>
    </row>
    <row r="1541" spans="1:5" x14ac:dyDescent="0.35">
      <c r="A1541" t="s">
        <v>1530</v>
      </c>
      <c r="B1541" t="s">
        <v>1558</v>
      </c>
      <c r="C1541">
        <v>490</v>
      </c>
      <c r="D1541">
        <v>480</v>
      </c>
      <c r="E1541" t="s">
        <v>7</v>
      </c>
    </row>
    <row r="1542" spans="1:5" x14ac:dyDescent="0.35">
      <c r="A1542" t="s">
        <v>1530</v>
      </c>
      <c r="B1542" t="s">
        <v>1559</v>
      </c>
      <c r="C1542">
        <v>439</v>
      </c>
      <c r="D1542">
        <v>434</v>
      </c>
      <c r="E1542" t="s">
        <v>21</v>
      </c>
    </row>
    <row r="1543" spans="1:5" x14ac:dyDescent="0.35">
      <c r="A1543" t="s">
        <v>1530</v>
      </c>
      <c r="B1543" t="s">
        <v>1560</v>
      </c>
      <c r="C1543">
        <v>317</v>
      </c>
      <c r="D1543">
        <v>306</v>
      </c>
      <c r="E1543" t="s">
        <v>17</v>
      </c>
    </row>
    <row r="1544" spans="1:5" x14ac:dyDescent="0.35">
      <c r="A1544" t="s">
        <v>1530</v>
      </c>
      <c r="B1544" t="s">
        <v>1561</v>
      </c>
      <c r="C1544">
        <v>274</v>
      </c>
      <c r="D1544">
        <v>182</v>
      </c>
      <c r="E1544" t="s">
        <v>33</v>
      </c>
    </row>
    <row r="1545" spans="1:5" x14ac:dyDescent="0.35">
      <c r="A1545" t="s">
        <v>1530</v>
      </c>
      <c r="B1545" t="s">
        <v>1562</v>
      </c>
      <c r="C1545">
        <v>341</v>
      </c>
      <c r="D1545">
        <v>173</v>
      </c>
      <c r="E1545" t="s">
        <v>15</v>
      </c>
    </row>
    <row r="1546" spans="1:5" x14ac:dyDescent="0.35">
      <c r="A1546" t="s">
        <v>1530</v>
      </c>
      <c r="B1546" t="s">
        <v>1563</v>
      </c>
      <c r="C1546">
        <v>377</v>
      </c>
      <c r="D1546">
        <v>163</v>
      </c>
      <c r="E1546" t="s">
        <v>33</v>
      </c>
    </row>
    <row r="1547" spans="1:5" x14ac:dyDescent="0.35">
      <c r="A1547" t="s">
        <v>1530</v>
      </c>
      <c r="B1547" t="s">
        <v>1564</v>
      </c>
      <c r="C1547">
        <v>254</v>
      </c>
      <c r="D1547">
        <v>161</v>
      </c>
      <c r="E1547" t="s">
        <v>17</v>
      </c>
    </row>
    <row r="1548" spans="1:5" x14ac:dyDescent="0.35">
      <c r="A1548" t="s">
        <v>1530</v>
      </c>
      <c r="B1548" t="s">
        <v>1565</v>
      </c>
      <c r="C1548">
        <v>230</v>
      </c>
      <c r="D1548">
        <v>170</v>
      </c>
      <c r="E1548" t="s">
        <v>11</v>
      </c>
    </row>
    <row r="1549" spans="1:5" x14ac:dyDescent="0.35">
      <c r="A1549" t="s">
        <v>1530</v>
      </c>
      <c r="B1549" t="s">
        <v>1566</v>
      </c>
      <c r="C1549">
        <v>395</v>
      </c>
      <c r="D1549">
        <v>337</v>
      </c>
      <c r="E1549" t="s">
        <v>33</v>
      </c>
    </row>
    <row r="1550" spans="1:5" x14ac:dyDescent="0.35">
      <c r="A1550" t="s">
        <v>1530</v>
      </c>
      <c r="B1550" t="s">
        <v>1567</v>
      </c>
      <c r="C1550">
        <v>477</v>
      </c>
      <c r="D1550">
        <v>407</v>
      </c>
      <c r="E1550" t="s">
        <v>9</v>
      </c>
    </row>
    <row r="1551" spans="1:5" x14ac:dyDescent="0.35">
      <c r="A1551" t="s">
        <v>1530</v>
      </c>
      <c r="B1551" t="s">
        <v>1568</v>
      </c>
      <c r="C1551">
        <v>389</v>
      </c>
      <c r="D1551">
        <v>374</v>
      </c>
      <c r="E1551" t="s">
        <v>21</v>
      </c>
    </row>
    <row r="1552" spans="1:5" x14ac:dyDescent="0.35">
      <c r="A1552" t="s">
        <v>1530</v>
      </c>
      <c r="B1552" t="s">
        <v>1569</v>
      </c>
      <c r="C1552">
        <v>428</v>
      </c>
      <c r="D1552">
        <v>257</v>
      </c>
      <c r="E1552" t="s">
        <v>9</v>
      </c>
    </row>
    <row r="1553" spans="1:5" x14ac:dyDescent="0.35">
      <c r="A1553" t="s">
        <v>1530</v>
      </c>
      <c r="B1553" t="s">
        <v>1570</v>
      </c>
      <c r="C1553">
        <v>468</v>
      </c>
      <c r="D1553">
        <v>384</v>
      </c>
      <c r="E1553" t="s">
        <v>7</v>
      </c>
    </row>
    <row r="1554" spans="1:5" x14ac:dyDescent="0.35">
      <c r="A1554" t="s">
        <v>1530</v>
      </c>
      <c r="B1554" t="s">
        <v>1571</v>
      </c>
      <c r="C1554">
        <v>445</v>
      </c>
      <c r="D1554">
        <v>344</v>
      </c>
      <c r="E1554" t="s">
        <v>11</v>
      </c>
    </row>
    <row r="1555" spans="1:5" x14ac:dyDescent="0.35">
      <c r="A1555" t="s">
        <v>1530</v>
      </c>
      <c r="B1555" t="s">
        <v>1572</v>
      </c>
      <c r="C1555">
        <v>331</v>
      </c>
      <c r="D1555">
        <v>309</v>
      </c>
      <c r="E1555" t="s">
        <v>21</v>
      </c>
    </row>
    <row r="1556" spans="1:5" x14ac:dyDescent="0.35">
      <c r="A1556" t="s">
        <v>1530</v>
      </c>
      <c r="B1556" t="s">
        <v>1573</v>
      </c>
      <c r="C1556">
        <v>440</v>
      </c>
      <c r="D1556">
        <v>412</v>
      </c>
      <c r="E1556" t="s">
        <v>21</v>
      </c>
    </row>
    <row r="1557" spans="1:5" x14ac:dyDescent="0.35">
      <c r="A1557" t="s">
        <v>1530</v>
      </c>
      <c r="B1557" t="s">
        <v>1574</v>
      </c>
      <c r="C1557">
        <v>260</v>
      </c>
      <c r="D1557">
        <v>254</v>
      </c>
      <c r="E1557" t="s">
        <v>9</v>
      </c>
    </row>
    <row r="1558" spans="1:5" x14ac:dyDescent="0.35">
      <c r="A1558" t="s">
        <v>1530</v>
      </c>
      <c r="B1558" t="s">
        <v>1575</v>
      </c>
      <c r="C1558">
        <v>352</v>
      </c>
      <c r="D1558">
        <v>251</v>
      </c>
      <c r="E1558" t="s">
        <v>33</v>
      </c>
    </row>
    <row r="1559" spans="1:5" x14ac:dyDescent="0.35">
      <c r="A1559" t="s">
        <v>1530</v>
      </c>
      <c r="B1559" t="s">
        <v>1576</v>
      </c>
      <c r="C1559">
        <v>439</v>
      </c>
      <c r="D1559">
        <v>384</v>
      </c>
      <c r="E1559" t="s">
        <v>9</v>
      </c>
    </row>
    <row r="1560" spans="1:5" x14ac:dyDescent="0.35">
      <c r="A1560" t="s">
        <v>1530</v>
      </c>
      <c r="B1560" t="s">
        <v>1577</v>
      </c>
      <c r="C1560">
        <v>433</v>
      </c>
      <c r="D1560">
        <v>378</v>
      </c>
      <c r="E1560" t="s">
        <v>7</v>
      </c>
    </row>
    <row r="1561" spans="1:5" x14ac:dyDescent="0.35">
      <c r="A1561" t="s">
        <v>1530</v>
      </c>
      <c r="B1561" t="s">
        <v>1578</v>
      </c>
      <c r="C1561">
        <v>399</v>
      </c>
      <c r="D1561">
        <v>176</v>
      </c>
      <c r="E1561" t="s">
        <v>15</v>
      </c>
    </row>
    <row r="1562" spans="1:5" x14ac:dyDescent="0.35">
      <c r="A1562" t="s">
        <v>1530</v>
      </c>
      <c r="B1562" t="s">
        <v>1579</v>
      </c>
      <c r="C1562">
        <v>496</v>
      </c>
      <c r="D1562">
        <v>436</v>
      </c>
      <c r="E1562" t="s">
        <v>9</v>
      </c>
    </row>
    <row r="1563" spans="1:5" x14ac:dyDescent="0.35">
      <c r="A1563" t="s">
        <v>1530</v>
      </c>
      <c r="B1563" t="s">
        <v>1580</v>
      </c>
      <c r="C1563">
        <v>405</v>
      </c>
      <c r="D1563">
        <v>190</v>
      </c>
      <c r="E1563" t="s">
        <v>7</v>
      </c>
    </row>
    <row r="1564" spans="1:5" x14ac:dyDescent="0.35">
      <c r="A1564" t="s">
        <v>1530</v>
      </c>
      <c r="B1564" t="s">
        <v>1581</v>
      </c>
      <c r="C1564">
        <v>457</v>
      </c>
      <c r="D1564">
        <v>400</v>
      </c>
      <c r="E1564" t="s">
        <v>7</v>
      </c>
    </row>
    <row r="1565" spans="1:5" x14ac:dyDescent="0.35">
      <c r="A1565" t="s">
        <v>1530</v>
      </c>
      <c r="B1565" t="s">
        <v>1582</v>
      </c>
      <c r="C1565">
        <v>485</v>
      </c>
      <c r="D1565">
        <v>282</v>
      </c>
      <c r="E1565" t="s">
        <v>7</v>
      </c>
    </row>
    <row r="1566" spans="1:5" x14ac:dyDescent="0.35">
      <c r="A1566" t="s">
        <v>1530</v>
      </c>
      <c r="B1566" t="s">
        <v>1583</v>
      </c>
      <c r="C1566">
        <v>353</v>
      </c>
      <c r="D1566">
        <v>323</v>
      </c>
      <c r="E1566" t="s">
        <v>9</v>
      </c>
    </row>
    <row r="1567" spans="1:5" x14ac:dyDescent="0.35">
      <c r="A1567" t="s">
        <v>1530</v>
      </c>
      <c r="B1567" t="s">
        <v>1584</v>
      </c>
      <c r="C1567">
        <v>325</v>
      </c>
      <c r="D1567">
        <v>213</v>
      </c>
      <c r="E1567" t="s">
        <v>33</v>
      </c>
    </row>
    <row r="1568" spans="1:5" x14ac:dyDescent="0.35">
      <c r="A1568" t="s">
        <v>1530</v>
      </c>
      <c r="B1568" t="s">
        <v>1585</v>
      </c>
      <c r="C1568">
        <v>256</v>
      </c>
      <c r="D1568">
        <v>241</v>
      </c>
      <c r="E1568" t="s">
        <v>21</v>
      </c>
    </row>
    <row r="1569" spans="1:5" x14ac:dyDescent="0.35">
      <c r="A1569" t="s">
        <v>1530</v>
      </c>
      <c r="B1569" t="s">
        <v>1586</v>
      </c>
      <c r="C1569">
        <v>460</v>
      </c>
      <c r="D1569">
        <v>318</v>
      </c>
      <c r="E1569" t="s">
        <v>17</v>
      </c>
    </row>
    <row r="1570" spans="1:5" x14ac:dyDescent="0.35">
      <c r="A1570" t="s">
        <v>1530</v>
      </c>
      <c r="B1570" t="s">
        <v>1587</v>
      </c>
      <c r="C1570">
        <v>313</v>
      </c>
      <c r="D1570">
        <v>215</v>
      </c>
      <c r="E1570" t="s">
        <v>21</v>
      </c>
    </row>
    <row r="1571" spans="1:5" x14ac:dyDescent="0.35">
      <c r="A1571" t="s">
        <v>1530</v>
      </c>
      <c r="B1571" t="s">
        <v>1588</v>
      </c>
      <c r="C1571">
        <v>451</v>
      </c>
      <c r="D1571">
        <v>413</v>
      </c>
      <c r="E1571" t="s">
        <v>21</v>
      </c>
    </row>
    <row r="1572" spans="1:5" x14ac:dyDescent="0.35">
      <c r="A1572" t="s">
        <v>1530</v>
      </c>
      <c r="B1572" t="s">
        <v>1589</v>
      </c>
      <c r="C1572">
        <v>402</v>
      </c>
      <c r="D1572">
        <v>388</v>
      </c>
      <c r="E1572" t="s">
        <v>21</v>
      </c>
    </row>
    <row r="1573" spans="1:5" x14ac:dyDescent="0.35">
      <c r="A1573" t="s">
        <v>1530</v>
      </c>
      <c r="B1573" t="s">
        <v>1590</v>
      </c>
      <c r="C1573">
        <v>344</v>
      </c>
      <c r="D1573">
        <v>206</v>
      </c>
      <c r="E1573" t="s">
        <v>17</v>
      </c>
    </row>
    <row r="1574" spans="1:5" x14ac:dyDescent="0.35">
      <c r="A1574" t="s">
        <v>1530</v>
      </c>
      <c r="B1574" t="s">
        <v>1591</v>
      </c>
      <c r="C1574">
        <v>472</v>
      </c>
      <c r="D1574">
        <v>329</v>
      </c>
      <c r="E1574" t="s">
        <v>21</v>
      </c>
    </row>
    <row r="1575" spans="1:5" x14ac:dyDescent="0.35">
      <c r="A1575" t="s">
        <v>1530</v>
      </c>
      <c r="B1575" t="s">
        <v>1592</v>
      </c>
      <c r="C1575">
        <v>378</v>
      </c>
      <c r="D1575">
        <v>377</v>
      </c>
      <c r="E1575" t="s">
        <v>7</v>
      </c>
    </row>
    <row r="1576" spans="1:5" x14ac:dyDescent="0.35">
      <c r="A1576" t="s">
        <v>1530</v>
      </c>
      <c r="B1576" t="s">
        <v>1593</v>
      </c>
      <c r="C1576">
        <v>460</v>
      </c>
      <c r="D1576">
        <v>412</v>
      </c>
      <c r="E1576" t="s">
        <v>7</v>
      </c>
    </row>
    <row r="1577" spans="1:5" x14ac:dyDescent="0.35">
      <c r="A1577" t="s">
        <v>1530</v>
      </c>
      <c r="B1577" t="s">
        <v>1594</v>
      </c>
      <c r="C1577">
        <v>478</v>
      </c>
      <c r="D1577">
        <v>460</v>
      </c>
      <c r="E1577" t="s">
        <v>7</v>
      </c>
    </row>
    <row r="1578" spans="1:5" x14ac:dyDescent="0.35">
      <c r="A1578" t="s">
        <v>1530</v>
      </c>
      <c r="B1578" t="s">
        <v>1595</v>
      </c>
      <c r="C1578">
        <v>421</v>
      </c>
      <c r="D1578">
        <v>232</v>
      </c>
      <c r="E1578" t="s">
        <v>33</v>
      </c>
    </row>
    <row r="1579" spans="1:5" x14ac:dyDescent="0.35">
      <c r="A1579" t="s">
        <v>1530</v>
      </c>
      <c r="B1579" t="s">
        <v>1596</v>
      </c>
      <c r="C1579">
        <v>484</v>
      </c>
      <c r="D1579">
        <v>395</v>
      </c>
      <c r="E1579" t="s">
        <v>9</v>
      </c>
    </row>
    <row r="1580" spans="1:5" x14ac:dyDescent="0.35">
      <c r="A1580" t="s">
        <v>1530</v>
      </c>
      <c r="B1580" t="s">
        <v>1597</v>
      </c>
      <c r="C1580">
        <v>454</v>
      </c>
      <c r="D1580">
        <v>336</v>
      </c>
      <c r="E1580" t="s">
        <v>7</v>
      </c>
    </row>
    <row r="1581" spans="1:5" x14ac:dyDescent="0.35">
      <c r="A1581" t="s">
        <v>1530</v>
      </c>
      <c r="B1581" t="s">
        <v>1598</v>
      </c>
      <c r="C1581">
        <v>281</v>
      </c>
      <c r="D1581">
        <v>190</v>
      </c>
      <c r="E1581" t="s">
        <v>7</v>
      </c>
    </row>
    <row r="1582" spans="1:5" x14ac:dyDescent="0.35">
      <c r="A1582" t="s">
        <v>1530</v>
      </c>
      <c r="B1582" t="s">
        <v>1599</v>
      </c>
      <c r="C1582">
        <v>414</v>
      </c>
      <c r="D1582">
        <v>292</v>
      </c>
      <c r="E1582" t="s">
        <v>15</v>
      </c>
    </row>
    <row r="1583" spans="1:5" x14ac:dyDescent="0.35">
      <c r="A1583" t="s">
        <v>1530</v>
      </c>
      <c r="B1583" t="s">
        <v>1600</v>
      </c>
      <c r="C1583">
        <v>433</v>
      </c>
      <c r="D1583">
        <v>350</v>
      </c>
      <c r="E1583" t="s">
        <v>21</v>
      </c>
    </row>
    <row r="1584" spans="1:5" x14ac:dyDescent="0.35">
      <c r="A1584" t="s">
        <v>1530</v>
      </c>
      <c r="B1584" t="s">
        <v>1601</v>
      </c>
      <c r="C1584">
        <v>441</v>
      </c>
      <c r="D1584">
        <v>398</v>
      </c>
      <c r="E1584" t="s">
        <v>21</v>
      </c>
    </row>
    <row r="1585" spans="1:5" x14ac:dyDescent="0.35">
      <c r="A1585" t="s">
        <v>1530</v>
      </c>
      <c r="B1585" t="s">
        <v>1602</v>
      </c>
      <c r="C1585">
        <v>411</v>
      </c>
      <c r="D1585">
        <v>406</v>
      </c>
      <c r="E1585" t="s">
        <v>9</v>
      </c>
    </row>
    <row r="1586" spans="1:5" x14ac:dyDescent="0.35">
      <c r="A1586" t="s">
        <v>1530</v>
      </c>
      <c r="B1586" t="s">
        <v>1603</v>
      </c>
      <c r="C1586">
        <v>385</v>
      </c>
      <c r="D1586">
        <v>277</v>
      </c>
      <c r="E1586" t="s">
        <v>7</v>
      </c>
    </row>
    <row r="1587" spans="1:5" x14ac:dyDescent="0.35">
      <c r="A1587" t="s">
        <v>1530</v>
      </c>
      <c r="B1587" t="s">
        <v>1604</v>
      </c>
      <c r="C1587">
        <v>358</v>
      </c>
      <c r="D1587">
        <v>212</v>
      </c>
      <c r="E1587" t="s">
        <v>9</v>
      </c>
    </row>
    <row r="1588" spans="1:5" x14ac:dyDescent="0.35">
      <c r="A1588" t="s">
        <v>1530</v>
      </c>
      <c r="B1588" t="s">
        <v>1605</v>
      </c>
      <c r="C1588">
        <v>446</v>
      </c>
      <c r="D1588">
        <v>443</v>
      </c>
      <c r="E1588" t="s">
        <v>7</v>
      </c>
    </row>
    <row r="1589" spans="1:5" x14ac:dyDescent="0.35">
      <c r="A1589" t="s">
        <v>1530</v>
      </c>
      <c r="B1589" t="s">
        <v>1606</v>
      </c>
      <c r="C1589">
        <v>328</v>
      </c>
      <c r="D1589">
        <v>267</v>
      </c>
      <c r="E1589" t="s">
        <v>7</v>
      </c>
    </row>
    <row r="1590" spans="1:5" x14ac:dyDescent="0.35">
      <c r="A1590" t="s">
        <v>1530</v>
      </c>
      <c r="B1590" t="s">
        <v>1607</v>
      </c>
      <c r="C1590">
        <v>474</v>
      </c>
      <c r="D1590">
        <v>453</v>
      </c>
      <c r="E1590" t="s">
        <v>21</v>
      </c>
    </row>
    <row r="1591" spans="1:5" x14ac:dyDescent="0.35">
      <c r="A1591" t="s">
        <v>1530</v>
      </c>
      <c r="B1591" t="s">
        <v>1608</v>
      </c>
      <c r="C1591">
        <v>493</v>
      </c>
      <c r="D1591">
        <v>241</v>
      </c>
      <c r="E1591" t="s">
        <v>7</v>
      </c>
    </row>
    <row r="1592" spans="1:5" x14ac:dyDescent="0.35">
      <c r="A1592" t="s">
        <v>1530</v>
      </c>
      <c r="B1592" t="s">
        <v>1609</v>
      </c>
      <c r="C1592">
        <v>316</v>
      </c>
      <c r="D1592">
        <v>202</v>
      </c>
      <c r="E1592" t="s">
        <v>11</v>
      </c>
    </row>
    <row r="1593" spans="1:5" x14ac:dyDescent="0.35">
      <c r="A1593" t="s">
        <v>1530</v>
      </c>
      <c r="B1593" t="s">
        <v>1610</v>
      </c>
      <c r="C1593">
        <v>208</v>
      </c>
      <c r="D1593">
        <v>208</v>
      </c>
      <c r="E1593" t="s">
        <v>21</v>
      </c>
    </row>
    <row r="1594" spans="1:5" x14ac:dyDescent="0.35">
      <c r="A1594" t="s">
        <v>1530</v>
      </c>
      <c r="B1594" t="s">
        <v>1611</v>
      </c>
      <c r="C1594">
        <v>453</v>
      </c>
      <c r="D1594">
        <v>281</v>
      </c>
      <c r="E1594" t="s">
        <v>33</v>
      </c>
    </row>
    <row r="1595" spans="1:5" x14ac:dyDescent="0.35">
      <c r="A1595" t="s">
        <v>1530</v>
      </c>
      <c r="B1595" t="s">
        <v>1612</v>
      </c>
      <c r="C1595">
        <v>276</v>
      </c>
      <c r="D1595">
        <v>235</v>
      </c>
      <c r="E1595" t="s">
        <v>11</v>
      </c>
    </row>
    <row r="1596" spans="1:5" x14ac:dyDescent="0.35">
      <c r="A1596" t="s">
        <v>1530</v>
      </c>
      <c r="B1596" t="s">
        <v>1613</v>
      </c>
      <c r="C1596">
        <v>383</v>
      </c>
      <c r="D1596">
        <v>301</v>
      </c>
      <c r="E1596" t="s">
        <v>7</v>
      </c>
    </row>
    <row r="1597" spans="1:5" x14ac:dyDescent="0.35">
      <c r="A1597" t="s">
        <v>1530</v>
      </c>
      <c r="B1597" t="s">
        <v>1614</v>
      </c>
      <c r="C1597">
        <v>451</v>
      </c>
      <c r="D1597">
        <v>346</v>
      </c>
      <c r="E1597" t="s">
        <v>9</v>
      </c>
    </row>
    <row r="1598" spans="1:5" x14ac:dyDescent="0.35">
      <c r="A1598" t="s">
        <v>1530</v>
      </c>
      <c r="B1598" t="s">
        <v>1615</v>
      </c>
      <c r="C1598">
        <v>462</v>
      </c>
      <c r="D1598">
        <v>310</v>
      </c>
      <c r="E1598" t="s">
        <v>15</v>
      </c>
    </row>
    <row r="1599" spans="1:5" x14ac:dyDescent="0.35">
      <c r="A1599" t="s">
        <v>1530</v>
      </c>
      <c r="B1599" t="s">
        <v>1616</v>
      </c>
      <c r="C1599">
        <v>442</v>
      </c>
      <c r="D1599">
        <v>373</v>
      </c>
      <c r="E1599" t="s">
        <v>21</v>
      </c>
    </row>
    <row r="1600" spans="1:5" x14ac:dyDescent="0.35">
      <c r="A1600" t="s">
        <v>1530</v>
      </c>
      <c r="B1600" t="s">
        <v>1617</v>
      </c>
      <c r="C1600">
        <v>494</v>
      </c>
      <c r="D1600">
        <v>454</v>
      </c>
      <c r="E1600" t="s">
        <v>21</v>
      </c>
    </row>
    <row r="1601" spans="1:5" x14ac:dyDescent="0.35">
      <c r="A1601" t="s">
        <v>1530</v>
      </c>
      <c r="B1601" t="s">
        <v>1618</v>
      </c>
      <c r="C1601">
        <v>442</v>
      </c>
      <c r="D1601">
        <v>442</v>
      </c>
      <c r="E1601" t="s">
        <v>7</v>
      </c>
    </row>
    <row r="1602" spans="1:5" x14ac:dyDescent="0.35">
      <c r="A1602" t="s">
        <v>1530</v>
      </c>
      <c r="B1602" t="s">
        <v>1619</v>
      </c>
      <c r="C1602">
        <v>485</v>
      </c>
      <c r="D1602">
        <v>452</v>
      </c>
      <c r="E1602" t="s">
        <v>9</v>
      </c>
    </row>
    <row r="1603" spans="1:5" x14ac:dyDescent="0.35">
      <c r="A1603" t="s">
        <v>1530</v>
      </c>
      <c r="B1603" t="s">
        <v>1620</v>
      </c>
      <c r="C1603">
        <v>493</v>
      </c>
      <c r="D1603">
        <v>472</v>
      </c>
      <c r="E1603" t="s">
        <v>21</v>
      </c>
    </row>
    <row r="1604" spans="1:5" x14ac:dyDescent="0.35">
      <c r="A1604" t="s">
        <v>1530</v>
      </c>
      <c r="B1604" t="s">
        <v>1621</v>
      </c>
      <c r="C1604">
        <v>498</v>
      </c>
      <c r="D1604">
        <v>448</v>
      </c>
      <c r="E1604" t="s">
        <v>21</v>
      </c>
    </row>
    <row r="1605" spans="1:5" x14ac:dyDescent="0.35">
      <c r="A1605" t="s">
        <v>1530</v>
      </c>
      <c r="B1605" t="s">
        <v>1622</v>
      </c>
      <c r="C1605">
        <v>453</v>
      </c>
      <c r="D1605">
        <v>334</v>
      </c>
      <c r="E1605" t="s">
        <v>33</v>
      </c>
    </row>
    <row r="1606" spans="1:5" x14ac:dyDescent="0.35">
      <c r="A1606" t="s">
        <v>1530</v>
      </c>
      <c r="B1606" t="s">
        <v>1623</v>
      </c>
      <c r="C1606">
        <v>421</v>
      </c>
      <c r="D1606">
        <v>357</v>
      </c>
      <c r="E1606" t="s">
        <v>7</v>
      </c>
    </row>
    <row r="1607" spans="1:5" x14ac:dyDescent="0.35">
      <c r="A1607" t="s">
        <v>1530</v>
      </c>
      <c r="B1607" t="s">
        <v>1624</v>
      </c>
      <c r="C1607">
        <v>467</v>
      </c>
      <c r="D1607">
        <v>462</v>
      </c>
      <c r="E1607" t="s">
        <v>7</v>
      </c>
    </row>
    <row r="1608" spans="1:5" x14ac:dyDescent="0.35">
      <c r="A1608" t="s">
        <v>1530</v>
      </c>
      <c r="B1608" t="s">
        <v>1625</v>
      </c>
      <c r="C1608">
        <v>500</v>
      </c>
      <c r="D1608">
        <v>476</v>
      </c>
      <c r="E1608" t="s">
        <v>9</v>
      </c>
    </row>
    <row r="1609" spans="1:5" x14ac:dyDescent="0.35">
      <c r="A1609" t="s">
        <v>1530</v>
      </c>
      <c r="B1609" t="s">
        <v>1626</v>
      </c>
      <c r="C1609">
        <v>345</v>
      </c>
      <c r="D1609">
        <v>317</v>
      </c>
      <c r="E1609" t="s">
        <v>7</v>
      </c>
    </row>
    <row r="1610" spans="1:5" x14ac:dyDescent="0.35">
      <c r="A1610" t="s">
        <v>1530</v>
      </c>
      <c r="B1610" t="s">
        <v>1627</v>
      </c>
      <c r="C1610">
        <v>410</v>
      </c>
      <c r="D1610">
        <v>354</v>
      </c>
      <c r="E1610" t="s">
        <v>9</v>
      </c>
    </row>
    <row r="1611" spans="1:5" x14ac:dyDescent="0.35">
      <c r="A1611" t="s">
        <v>1530</v>
      </c>
      <c r="B1611" t="s">
        <v>1628</v>
      </c>
      <c r="C1611">
        <v>390</v>
      </c>
      <c r="D1611">
        <v>275</v>
      </c>
      <c r="E1611" t="s">
        <v>11</v>
      </c>
    </row>
    <row r="1612" spans="1:5" x14ac:dyDescent="0.35">
      <c r="A1612" t="s">
        <v>1530</v>
      </c>
      <c r="B1612" t="s">
        <v>1629</v>
      </c>
      <c r="C1612">
        <v>493</v>
      </c>
      <c r="D1612">
        <v>474</v>
      </c>
      <c r="E1612" t="s">
        <v>9</v>
      </c>
    </row>
    <row r="1613" spans="1:5" x14ac:dyDescent="0.35">
      <c r="A1613" t="s">
        <v>1530</v>
      </c>
      <c r="B1613" t="s">
        <v>1630</v>
      </c>
      <c r="C1613">
        <v>497</v>
      </c>
      <c r="D1613">
        <v>363</v>
      </c>
      <c r="E1613" t="s">
        <v>21</v>
      </c>
    </row>
    <row r="1614" spans="1:5" x14ac:dyDescent="0.35">
      <c r="A1614" t="s">
        <v>1530</v>
      </c>
      <c r="B1614" t="s">
        <v>1631</v>
      </c>
      <c r="C1614">
        <v>420</v>
      </c>
      <c r="D1614">
        <v>399</v>
      </c>
      <c r="E1614" t="s">
        <v>21</v>
      </c>
    </row>
    <row r="1615" spans="1:5" x14ac:dyDescent="0.35">
      <c r="A1615" t="s">
        <v>1530</v>
      </c>
      <c r="B1615" t="s">
        <v>1632</v>
      </c>
      <c r="C1615">
        <v>493</v>
      </c>
      <c r="D1615">
        <v>478</v>
      </c>
      <c r="E1615" t="s">
        <v>9</v>
      </c>
    </row>
    <row r="1616" spans="1:5" x14ac:dyDescent="0.35">
      <c r="A1616" t="s">
        <v>1530</v>
      </c>
      <c r="B1616" t="s">
        <v>1633</v>
      </c>
      <c r="C1616">
        <v>285</v>
      </c>
      <c r="D1616">
        <v>245</v>
      </c>
      <c r="E1616" t="s">
        <v>9</v>
      </c>
    </row>
    <row r="1617" spans="1:5" x14ac:dyDescent="0.35">
      <c r="A1617" t="s">
        <v>1530</v>
      </c>
      <c r="B1617" t="s">
        <v>1634</v>
      </c>
      <c r="C1617">
        <v>363</v>
      </c>
      <c r="D1617">
        <v>251</v>
      </c>
      <c r="E1617" t="s">
        <v>15</v>
      </c>
    </row>
    <row r="1618" spans="1:5" x14ac:dyDescent="0.35">
      <c r="A1618" t="s">
        <v>1530</v>
      </c>
      <c r="B1618" t="s">
        <v>1635</v>
      </c>
      <c r="C1618">
        <v>409</v>
      </c>
      <c r="D1618">
        <v>167</v>
      </c>
      <c r="E1618" t="s">
        <v>7</v>
      </c>
    </row>
    <row r="1619" spans="1:5" x14ac:dyDescent="0.35">
      <c r="A1619" t="s">
        <v>1530</v>
      </c>
      <c r="B1619" t="s">
        <v>1636</v>
      </c>
      <c r="C1619">
        <v>475</v>
      </c>
      <c r="D1619">
        <v>438</v>
      </c>
      <c r="E1619" t="s">
        <v>9</v>
      </c>
    </row>
    <row r="1620" spans="1:5" x14ac:dyDescent="0.35">
      <c r="A1620" t="s">
        <v>1530</v>
      </c>
      <c r="B1620" t="s">
        <v>1637</v>
      </c>
      <c r="C1620">
        <v>477</v>
      </c>
      <c r="D1620">
        <v>443</v>
      </c>
      <c r="E1620" t="s">
        <v>21</v>
      </c>
    </row>
    <row r="1621" spans="1:5" x14ac:dyDescent="0.35">
      <c r="A1621" t="s">
        <v>1530</v>
      </c>
      <c r="B1621" t="s">
        <v>1638</v>
      </c>
      <c r="C1621">
        <v>320</v>
      </c>
      <c r="D1621">
        <v>301</v>
      </c>
      <c r="E1621" t="s">
        <v>9</v>
      </c>
    </row>
    <row r="1622" spans="1:5" x14ac:dyDescent="0.35">
      <c r="A1622" t="s">
        <v>1530</v>
      </c>
      <c r="B1622" t="s">
        <v>1639</v>
      </c>
      <c r="C1622">
        <v>480</v>
      </c>
      <c r="D1622">
        <v>379</v>
      </c>
      <c r="E1622" t="s">
        <v>9</v>
      </c>
    </row>
    <row r="1623" spans="1:5" x14ac:dyDescent="0.35">
      <c r="A1623" t="s">
        <v>1530</v>
      </c>
      <c r="B1623" t="s">
        <v>1640</v>
      </c>
      <c r="C1623">
        <v>472</v>
      </c>
      <c r="D1623">
        <v>452</v>
      </c>
      <c r="E1623" t="s">
        <v>21</v>
      </c>
    </row>
    <row r="1624" spans="1:5" x14ac:dyDescent="0.35">
      <c r="A1624" t="s">
        <v>1530</v>
      </c>
      <c r="B1624" t="s">
        <v>1641</v>
      </c>
      <c r="C1624">
        <v>185</v>
      </c>
      <c r="D1624">
        <v>171</v>
      </c>
      <c r="E1624" t="s">
        <v>11</v>
      </c>
    </row>
    <row r="1625" spans="1:5" x14ac:dyDescent="0.35">
      <c r="A1625" t="s">
        <v>1530</v>
      </c>
      <c r="B1625" t="s">
        <v>1642</v>
      </c>
      <c r="C1625">
        <v>385</v>
      </c>
      <c r="D1625">
        <v>291</v>
      </c>
      <c r="E1625" t="s">
        <v>21</v>
      </c>
    </row>
    <row r="1626" spans="1:5" x14ac:dyDescent="0.35">
      <c r="A1626" t="s">
        <v>1530</v>
      </c>
      <c r="B1626" t="s">
        <v>1643</v>
      </c>
      <c r="C1626">
        <v>483</v>
      </c>
      <c r="D1626">
        <v>395</v>
      </c>
      <c r="E1626" t="s">
        <v>21</v>
      </c>
    </row>
    <row r="1627" spans="1:5" x14ac:dyDescent="0.35">
      <c r="A1627" t="s">
        <v>1530</v>
      </c>
      <c r="B1627" t="s">
        <v>1644</v>
      </c>
      <c r="C1627">
        <v>471</v>
      </c>
      <c r="D1627">
        <v>462</v>
      </c>
      <c r="E1627" t="s">
        <v>9</v>
      </c>
    </row>
    <row r="1628" spans="1:5" x14ac:dyDescent="0.35">
      <c r="A1628" t="s">
        <v>1530</v>
      </c>
      <c r="B1628" t="s">
        <v>1645</v>
      </c>
      <c r="C1628">
        <v>453</v>
      </c>
      <c r="D1628">
        <v>207</v>
      </c>
      <c r="E1628" t="s">
        <v>21</v>
      </c>
    </row>
    <row r="1629" spans="1:5" x14ac:dyDescent="0.35">
      <c r="A1629" t="s">
        <v>1530</v>
      </c>
      <c r="B1629" t="s">
        <v>1646</v>
      </c>
      <c r="C1629">
        <v>486</v>
      </c>
      <c r="D1629">
        <v>369</v>
      </c>
      <c r="E1629" t="s">
        <v>21</v>
      </c>
    </row>
    <row r="1630" spans="1:5" x14ac:dyDescent="0.35">
      <c r="A1630" t="s">
        <v>1530</v>
      </c>
      <c r="B1630" t="s">
        <v>1647</v>
      </c>
      <c r="C1630">
        <v>469</v>
      </c>
      <c r="D1630">
        <v>449</v>
      </c>
      <c r="E1630" t="s">
        <v>9</v>
      </c>
    </row>
    <row r="1631" spans="1:5" x14ac:dyDescent="0.35">
      <c r="A1631" t="s">
        <v>1530</v>
      </c>
      <c r="B1631" t="s">
        <v>1648</v>
      </c>
      <c r="C1631">
        <v>285</v>
      </c>
      <c r="D1631">
        <v>169</v>
      </c>
      <c r="E1631" t="s">
        <v>11</v>
      </c>
    </row>
    <row r="1632" spans="1:5" x14ac:dyDescent="0.35">
      <c r="A1632" t="s">
        <v>1530</v>
      </c>
      <c r="B1632" t="s">
        <v>1649</v>
      </c>
      <c r="C1632">
        <v>260</v>
      </c>
      <c r="D1632">
        <v>252</v>
      </c>
      <c r="E1632" t="s">
        <v>33</v>
      </c>
    </row>
    <row r="1633" spans="1:5" x14ac:dyDescent="0.35">
      <c r="A1633" t="s">
        <v>1530</v>
      </c>
      <c r="B1633" t="s">
        <v>1650</v>
      </c>
      <c r="C1633">
        <v>431</v>
      </c>
      <c r="D1633">
        <v>212</v>
      </c>
      <c r="E1633" t="s">
        <v>11</v>
      </c>
    </row>
    <row r="1634" spans="1:5" x14ac:dyDescent="0.35">
      <c r="A1634" t="s">
        <v>1530</v>
      </c>
      <c r="B1634" t="s">
        <v>1651</v>
      </c>
      <c r="C1634">
        <v>423</v>
      </c>
      <c r="D1634">
        <v>409</v>
      </c>
      <c r="E1634" t="s">
        <v>21</v>
      </c>
    </row>
    <row r="1635" spans="1:5" x14ac:dyDescent="0.35">
      <c r="A1635" t="s">
        <v>1530</v>
      </c>
      <c r="B1635" t="s">
        <v>1652</v>
      </c>
      <c r="C1635">
        <v>341</v>
      </c>
      <c r="D1635">
        <v>340</v>
      </c>
      <c r="E1635" t="s">
        <v>11</v>
      </c>
    </row>
    <row r="1636" spans="1:5" x14ac:dyDescent="0.35">
      <c r="A1636" t="s">
        <v>1530</v>
      </c>
      <c r="B1636" t="s">
        <v>1653</v>
      </c>
      <c r="C1636">
        <v>484</v>
      </c>
      <c r="D1636">
        <v>437</v>
      </c>
      <c r="E1636" t="s">
        <v>7</v>
      </c>
    </row>
    <row r="1637" spans="1:5" x14ac:dyDescent="0.35">
      <c r="A1637" t="s">
        <v>1530</v>
      </c>
      <c r="B1637" t="s">
        <v>1654</v>
      </c>
      <c r="C1637">
        <v>277</v>
      </c>
      <c r="D1637">
        <v>187</v>
      </c>
      <c r="E1637" t="s">
        <v>9</v>
      </c>
    </row>
    <row r="1638" spans="1:5" x14ac:dyDescent="0.35">
      <c r="A1638" t="s">
        <v>1530</v>
      </c>
      <c r="B1638" t="s">
        <v>1655</v>
      </c>
      <c r="C1638">
        <v>312</v>
      </c>
      <c r="D1638">
        <v>256</v>
      </c>
      <c r="E1638" t="s">
        <v>7</v>
      </c>
    </row>
    <row r="1639" spans="1:5" x14ac:dyDescent="0.35">
      <c r="A1639" t="s">
        <v>1530</v>
      </c>
      <c r="B1639" t="s">
        <v>1656</v>
      </c>
      <c r="C1639">
        <v>372</v>
      </c>
      <c r="D1639">
        <v>324</v>
      </c>
      <c r="E1639" t="s">
        <v>9</v>
      </c>
    </row>
    <row r="1640" spans="1:5" x14ac:dyDescent="0.35">
      <c r="A1640" t="s">
        <v>1530</v>
      </c>
      <c r="B1640" t="s">
        <v>1657</v>
      </c>
      <c r="C1640">
        <v>424</v>
      </c>
      <c r="D1640">
        <v>176</v>
      </c>
      <c r="E1640" t="s">
        <v>9</v>
      </c>
    </row>
    <row r="1641" spans="1:5" x14ac:dyDescent="0.35">
      <c r="A1641" t="s">
        <v>1530</v>
      </c>
      <c r="B1641" t="s">
        <v>1658</v>
      </c>
      <c r="C1641">
        <v>222</v>
      </c>
      <c r="D1641">
        <v>169</v>
      </c>
      <c r="E1641" t="s">
        <v>15</v>
      </c>
    </row>
    <row r="1642" spans="1:5" x14ac:dyDescent="0.35">
      <c r="A1642" t="s">
        <v>1530</v>
      </c>
      <c r="B1642" t="s">
        <v>1659</v>
      </c>
      <c r="C1642">
        <v>397</v>
      </c>
      <c r="D1642">
        <v>376</v>
      </c>
      <c r="E1642" t="s">
        <v>9</v>
      </c>
    </row>
    <row r="1643" spans="1:5" x14ac:dyDescent="0.35">
      <c r="A1643" t="s">
        <v>1530</v>
      </c>
      <c r="B1643" t="s">
        <v>1660</v>
      </c>
      <c r="C1643">
        <v>494</v>
      </c>
      <c r="D1643">
        <v>431</v>
      </c>
      <c r="E1643" t="s">
        <v>7</v>
      </c>
    </row>
    <row r="1644" spans="1:5" x14ac:dyDescent="0.35">
      <c r="A1644" t="s">
        <v>1530</v>
      </c>
      <c r="B1644" t="s">
        <v>1661</v>
      </c>
      <c r="C1644">
        <v>407</v>
      </c>
      <c r="D1644">
        <v>210</v>
      </c>
      <c r="E1644" t="s">
        <v>17</v>
      </c>
    </row>
    <row r="1645" spans="1:5" x14ac:dyDescent="0.35">
      <c r="A1645" t="s">
        <v>1530</v>
      </c>
      <c r="B1645" t="s">
        <v>1662</v>
      </c>
      <c r="C1645">
        <v>317</v>
      </c>
      <c r="D1645">
        <v>265</v>
      </c>
      <c r="E1645" t="s">
        <v>7</v>
      </c>
    </row>
    <row r="1646" spans="1:5" x14ac:dyDescent="0.35">
      <c r="A1646" t="s">
        <v>1530</v>
      </c>
      <c r="B1646" t="s">
        <v>1663</v>
      </c>
      <c r="C1646">
        <v>451</v>
      </c>
      <c r="D1646">
        <v>424</v>
      </c>
      <c r="E1646" t="s">
        <v>7</v>
      </c>
    </row>
    <row r="1647" spans="1:5" x14ac:dyDescent="0.35">
      <c r="A1647" t="s">
        <v>1530</v>
      </c>
      <c r="B1647" t="s">
        <v>1664</v>
      </c>
      <c r="C1647">
        <v>379</v>
      </c>
      <c r="D1647">
        <v>362</v>
      </c>
      <c r="E1647" t="s">
        <v>9</v>
      </c>
    </row>
    <row r="1648" spans="1:5" x14ac:dyDescent="0.35">
      <c r="A1648" t="s">
        <v>1530</v>
      </c>
      <c r="B1648" t="s">
        <v>1665</v>
      </c>
      <c r="C1648">
        <v>325</v>
      </c>
      <c r="D1648">
        <v>215</v>
      </c>
      <c r="E1648" t="s">
        <v>17</v>
      </c>
    </row>
    <row r="1649" spans="1:5" x14ac:dyDescent="0.35">
      <c r="A1649" t="s">
        <v>1530</v>
      </c>
      <c r="B1649" t="s">
        <v>1666</v>
      </c>
      <c r="C1649">
        <v>288</v>
      </c>
      <c r="D1649">
        <v>155</v>
      </c>
      <c r="E1649" t="s">
        <v>33</v>
      </c>
    </row>
    <row r="1650" spans="1:5" x14ac:dyDescent="0.35">
      <c r="A1650" t="s">
        <v>1530</v>
      </c>
      <c r="B1650" t="s">
        <v>1667</v>
      </c>
      <c r="C1650">
        <v>435</v>
      </c>
      <c r="D1650">
        <v>430</v>
      </c>
      <c r="E1650" t="s">
        <v>7</v>
      </c>
    </row>
    <row r="1651" spans="1:5" x14ac:dyDescent="0.35">
      <c r="A1651" t="s">
        <v>1530</v>
      </c>
      <c r="B1651" t="s">
        <v>1668</v>
      </c>
      <c r="C1651">
        <v>457</v>
      </c>
      <c r="D1651">
        <v>449</v>
      </c>
      <c r="E1651" t="s">
        <v>21</v>
      </c>
    </row>
    <row r="1652" spans="1:5" x14ac:dyDescent="0.35">
      <c r="A1652" t="s">
        <v>1530</v>
      </c>
      <c r="B1652" t="s">
        <v>1669</v>
      </c>
      <c r="C1652">
        <v>152</v>
      </c>
      <c r="D1652">
        <v>151</v>
      </c>
      <c r="E1652" t="s">
        <v>21</v>
      </c>
    </row>
    <row r="1653" spans="1:5" x14ac:dyDescent="0.35">
      <c r="A1653" t="s">
        <v>1530</v>
      </c>
      <c r="B1653" t="s">
        <v>1670</v>
      </c>
      <c r="C1653">
        <v>475</v>
      </c>
      <c r="D1653">
        <v>461</v>
      </c>
      <c r="E1653" t="s">
        <v>9</v>
      </c>
    </row>
    <row r="1654" spans="1:5" x14ac:dyDescent="0.35">
      <c r="A1654" t="s">
        <v>1530</v>
      </c>
      <c r="B1654" t="s">
        <v>1671</v>
      </c>
      <c r="C1654">
        <v>427</v>
      </c>
      <c r="D1654">
        <v>405</v>
      </c>
      <c r="E1654" t="s">
        <v>9</v>
      </c>
    </row>
    <row r="1655" spans="1:5" x14ac:dyDescent="0.35">
      <c r="A1655" t="s">
        <v>1530</v>
      </c>
      <c r="B1655" t="s">
        <v>1672</v>
      </c>
      <c r="C1655">
        <v>246</v>
      </c>
      <c r="D1655">
        <v>235</v>
      </c>
      <c r="E1655" t="s">
        <v>17</v>
      </c>
    </row>
    <row r="1656" spans="1:5" x14ac:dyDescent="0.35">
      <c r="A1656" t="s">
        <v>1530</v>
      </c>
      <c r="B1656" t="s">
        <v>1673</v>
      </c>
      <c r="C1656">
        <v>429</v>
      </c>
      <c r="D1656">
        <v>337</v>
      </c>
      <c r="E1656" t="s">
        <v>21</v>
      </c>
    </row>
    <row r="1657" spans="1:5" x14ac:dyDescent="0.35">
      <c r="A1657" t="s">
        <v>1530</v>
      </c>
      <c r="B1657" t="s">
        <v>1674</v>
      </c>
      <c r="C1657">
        <v>245</v>
      </c>
      <c r="D1657">
        <v>239</v>
      </c>
      <c r="E1657" t="s">
        <v>33</v>
      </c>
    </row>
    <row r="1658" spans="1:5" x14ac:dyDescent="0.35">
      <c r="A1658" t="s">
        <v>1530</v>
      </c>
      <c r="B1658" t="s">
        <v>1675</v>
      </c>
      <c r="C1658">
        <v>494</v>
      </c>
      <c r="D1658">
        <v>458</v>
      </c>
      <c r="E1658" t="s">
        <v>7</v>
      </c>
    </row>
    <row r="1659" spans="1:5" x14ac:dyDescent="0.35">
      <c r="A1659" t="s">
        <v>1530</v>
      </c>
      <c r="B1659" t="s">
        <v>1676</v>
      </c>
      <c r="C1659">
        <v>470</v>
      </c>
      <c r="D1659">
        <v>452</v>
      </c>
      <c r="E1659" t="s">
        <v>21</v>
      </c>
    </row>
    <row r="1660" spans="1:5" x14ac:dyDescent="0.35">
      <c r="A1660" t="s">
        <v>1530</v>
      </c>
      <c r="B1660" t="s">
        <v>1677</v>
      </c>
      <c r="C1660">
        <v>461</v>
      </c>
      <c r="D1660">
        <v>418</v>
      </c>
      <c r="E1660" t="s">
        <v>21</v>
      </c>
    </row>
    <row r="1661" spans="1:5" x14ac:dyDescent="0.35">
      <c r="A1661" t="s">
        <v>1530</v>
      </c>
      <c r="B1661" t="s">
        <v>1678</v>
      </c>
      <c r="C1661">
        <v>235</v>
      </c>
      <c r="D1661">
        <v>206</v>
      </c>
      <c r="E1661" t="s">
        <v>15</v>
      </c>
    </row>
    <row r="1662" spans="1:5" x14ac:dyDescent="0.35">
      <c r="A1662" t="s">
        <v>1530</v>
      </c>
      <c r="B1662" t="s">
        <v>1679</v>
      </c>
      <c r="C1662">
        <v>386</v>
      </c>
      <c r="D1662">
        <v>240</v>
      </c>
      <c r="E1662" t="s">
        <v>11</v>
      </c>
    </row>
    <row r="1663" spans="1:5" x14ac:dyDescent="0.35">
      <c r="A1663" t="s">
        <v>1530</v>
      </c>
      <c r="B1663" t="s">
        <v>1680</v>
      </c>
      <c r="C1663">
        <v>371</v>
      </c>
      <c r="D1663">
        <v>360</v>
      </c>
      <c r="E1663" t="s">
        <v>21</v>
      </c>
    </row>
    <row r="1664" spans="1:5" x14ac:dyDescent="0.35">
      <c r="A1664" t="s">
        <v>1530</v>
      </c>
      <c r="B1664" t="s">
        <v>1681</v>
      </c>
      <c r="C1664">
        <v>498</v>
      </c>
      <c r="D1664">
        <v>465</v>
      </c>
      <c r="E1664" t="s">
        <v>7</v>
      </c>
    </row>
    <row r="1665" spans="1:5" x14ac:dyDescent="0.35">
      <c r="A1665" t="s">
        <v>1530</v>
      </c>
      <c r="B1665" t="s">
        <v>1682</v>
      </c>
      <c r="C1665">
        <v>318</v>
      </c>
      <c r="D1665">
        <v>224</v>
      </c>
      <c r="E1665" t="s">
        <v>21</v>
      </c>
    </row>
    <row r="1666" spans="1:5" x14ac:dyDescent="0.35">
      <c r="A1666" t="s">
        <v>1530</v>
      </c>
      <c r="B1666" t="s">
        <v>1683</v>
      </c>
      <c r="C1666">
        <v>486</v>
      </c>
      <c r="D1666">
        <v>473</v>
      </c>
      <c r="E1666" t="s">
        <v>21</v>
      </c>
    </row>
    <row r="1667" spans="1:5" x14ac:dyDescent="0.35">
      <c r="A1667" t="s">
        <v>1530</v>
      </c>
      <c r="B1667" t="s">
        <v>1684</v>
      </c>
      <c r="C1667">
        <v>237</v>
      </c>
      <c r="D1667">
        <v>191</v>
      </c>
      <c r="E1667" t="s">
        <v>15</v>
      </c>
    </row>
    <row r="1668" spans="1:5" x14ac:dyDescent="0.35">
      <c r="A1668" t="s">
        <v>1685</v>
      </c>
      <c r="B1668" t="s">
        <v>1686</v>
      </c>
      <c r="C1668">
        <v>174</v>
      </c>
      <c r="D1668">
        <v>145</v>
      </c>
      <c r="E1668" t="s">
        <v>11</v>
      </c>
    </row>
    <row r="1669" spans="1:5" x14ac:dyDescent="0.35">
      <c r="A1669" t="s">
        <v>1685</v>
      </c>
      <c r="B1669" t="s">
        <v>1687</v>
      </c>
      <c r="C1669">
        <v>279</v>
      </c>
      <c r="D1669">
        <v>132</v>
      </c>
      <c r="E1669" t="s">
        <v>11</v>
      </c>
    </row>
    <row r="1670" spans="1:5" x14ac:dyDescent="0.35">
      <c r="A1670" t="s">
        <v>1685</v>
      </c>
      <c r="B1670" t="s">
        <v>1688</v>
      </c>
      <c r="C1670">
        <v>108</v>
      </c>
      <c r="D1670">
        <v>84</v>
      </c>
      <c r="E1670" t="s">
        <v>21</v>
      </c>
    </row>
    <row r="1671" spans="1:5" x14ac:dyDescent="0.35">
      <c r="A1671" t="s">
        <v>1685</v>
      </c>
      <c r="B1671" t="s">
        <v>1689</v>
      </c>
      <c r="C1671">
        <v>222</v>
      </c>
      <c r="D1671">
        <v>136</v>
      </c>
      <c r="E1671" t="s">
        <v>17</v>
      </c>
    </row>
    <row r="1672" spans="1:5" x14ac:dyDescent="0.35">
      <c r="A1672" t="s">
        <v>1685</v>
      </c>
      <c r="B1672" t="s">
        <v>1690</v>
      </c>
      <c r="C1672">
        <v>252</v>
      </c>
      <c r="D1672">
        <v>87</v>
      </c>
      <c r="E1672" t="s">
        <v>17</v>
      </c>
    </row>
    <row r="1673" spans="1:5" x14ac:dyDescent="0.35">
      <c r="A1673" t="s">
        <v>1685</v>
      </c>
      <c r="B1673" t="s">
        <v>1691</v>
      </c>
      <c r="C1673">
        <v>302</v>
      </c>
      <c r="D1673">
        <v>110</v>
      </c>
      <c r="E1673" t="s">
        <v>7</v>
      </c>
    </row>
    <row r="1674" spans="1:5" x14ac:dyDescent="0.35">
      <c r="A1674" t="s">
        <v>1685</v>
      </c>
      <c r="B1674" t="s">
        <v>1692</v>
      </c>
      <c r="C1674">
        <v>215</v>
      </c>
      <c r="D1674">
        <v>131</v>
      </c>
      <c r="E1674" t="s">
        <v>7</v>
      </c>
    </row>
    <row r="1675" spans="1:5" x14ac:dyDescent="0.35">
      <c r="A1675" t="s">
        <v>1685</v>
      </c>
      <c r="B1675" t="s">
        <v>1693</v>
      </c>
      <c r="C1675">
        <v>289</v>
      </c>
      <c r="D1675">
        <v>54</v>
      </c>
      <c r="E1675" t="s">
        <v>11</v>
      </c>
    </row>
    <row r="1676" spans="1:5" x14ac:dyDescent="0.35">
      <c r="A1676" t="s">
        <v>1685</v>
      </c>
      <c r="B1676" t="s">
        <v>1694</v>
      </c>
      <c r="C1676">
        <v>138</v>
      </c>
      <c r="D1676">
        <v>122</v>
      </c>
      <c r="E1676" t="s">
        <v>9</v>
      </c>
    </row>
    <row r="1677" spans="1:5" x14ac:dyDescent="0.35">
      <c r="A1677" t="s">
        <v>1685</v>
      </c>
      <c r="B1677" t="s">
        <v>1695</v>
      </c>
      <c r="C1677">
        <v>166</v>
      </c>
      <c r="D1677">
        <v>74</v>
      </c>
      <c r="E1677" t="s">
        <v>9</v>
      </c>
    </row>
    <row r="1678" spans="1:5" x14ac:dyDescent="0.35">
      <c r="A1678" t="s">
        <v>1685</v>
      </c>
      <c r="B1678" t="s">
        <v>1696</v>
      </c>
      <c r="C1678">
        <v>288</v>
      </c>
      <c r="D1678">
        <v>121</v>
      </c>
      <c r="E1678" t="s">
        <v>7</v>
      </c>
    </row>
    <row r="1679" spans="1:5" x14ac:dyDescent="0.35">
      <c r="A1679" t="s">
        <v>1685</v>
      </c>
      <c r="B1679" t="s">
        <v>1697</v>
      </c>
      <c r="C1679">
        <v>289</v>
      </c>
      <c r="D1679">
        <v>166</v>
      </c>
      <c r="E1679" t="s">
        <v>15</v>
      </c>
    </row>
    <row r="1680" spans="1:5" x14ac:dyDescent="0.35">
      <c r="A1680" t="s">
        <v>1685</v>
      </c>
      <c r="B1680" t="s">
        <v>1698</v>
      </c>
      <c r="C1680">
        <v>184</v>
      </c>
      <c r="D1680">
        <v>170</v>
      </c>
      <c r="E1680" t="s">
        <v>15</v>
      </c>
    </row>
    <row r="1681" spans="1:5" x14ac:dyDescent="0.35">
      <c r="A1681" t="s">
        <v>1685</v>
      </c>
      <c r="B1681" t="s">
        <v>1699</v>
      </c>
      <c r="C1681">
        <v>176</v>
      </c>
      <c r="D1681">
        <v>152</v>
      </c>
      <c r="E1681" t="s">
        <v>11</v>
      </c>
    </row>
    <row r="1682" spans="1:5" x14ac:dyDescent="0.35">
      <c r="A1682" t="s">
        <v>1685</v>
      </c>
      <c r="B1682" t="s">
        <v>1700</v>
      </c>
      <c r="C1682">
        <v>191</v>
      </c>
      <c r="D1682">
        <v>168</v>
      </c>
      <c r="E1682" t="s">
        <v>9</v>
      </c>
    </row>
    <row r="1683" spans="1:5" x14ac:dyDescent="0.35">
      <c r="A1683" t="s">
        <v>1685</v>
      </c>
      <c r="B1683" t="s">
        <v>1701</v>
      </c>
      <c r="C1683">
        <v>142</v>
      </c>
      <c r="D1683">
        <v>120</v>
      </c>
      <c r="E1683" t="s">
        <v>15</v>
      </c>
    </row>
    <row r="1684" spans="1:5" x14ac:dyDescent="0.35">
      <c r="A1684" t="s">
        <v>1685</v>
      </c>
      <c r="B1684" t="s">
        <v>1702</v>
      </c>
      <c r="C1684">
        <v>214</v>
      </c>
      <c r="D1684">
        <v>60</v>
      </c>
      <c r="E1684" t="s">
        <v>11</v>
      </c>
    </row>
    <row r="1685" spans="1:5" x14ac:dyDescent="0.35">
      <c r="A1685" t="s">
        <v>1685</v>
      </c>
      <c r="B1685" t="s">
        <v>1703</v>
      </c>
      <c r="C1685">
        <v>266</v>
      </c>
      <c r="D1685">
        <v>145</v>
      </c>
      <c r="E1685" t="s">
        <v>17</v>
      </c>
    </row>
    <row r="1686" spans="1:5" x14ac:dyDescent="0.35">
      <c r="A1686" t="s">
        <v>1685</v>
      </c>
      <c r="B1686" t="s">
        <v>1704</v>
      </c>
      <c r="C1686">
        <v>82</v>
      </c>
      <c r="D1686">
        <v>49</v>
      </c>
      <c r="E1686" t="s">
        <v>21</v>
      </c>
    </row>
    <row r="1687" spans="1:5" x14ac:dyDescent="0.35">
      <c r="A1687" t="s">
        <v>1685</v>
      </c>
      <c r="B1687" t="s">
        <v>1705</v>
      </c>
      <c r="C1687">
        <v>257</v>
      </c>
      <c r="D1687">
        <v>132</v>
      </c>
      <c r="E1687" t="s">
        <v>17</v>
      </c>
    </row>
    <row r="1688" spans="1:5" x14ac:dyDescent="0.35">
      <c r="A1688" t="s">
        <v>1685</v>
      </c>
      <c r="B1688" t="s">
        <v>1706</v>
      </c>
      <c r="C1688">
        <v>143</v>
      </c>
      <c r="D1688">
        <v>62</v>
      </c>
      <c r="E1688" t="s">
        <v>17</v>
      </c>
    </row>
    <row r="1689" spans="1:5" x14ac:dyDescent="0.35">
      <c r="A1689" t="s">
        <v>1685</v>
      </c>
      <c r="B1689" t="s">
        <v>1707</v>
      </c>
      <c r="C1689">
        <v>287</v>
      </c>
      <c r="D1689">
        <v>110</v>
      </c>
      <c r="E1689" t="s">
        <v>15</v>
      </c>
    </row>
    <row r="1690" spans="1:5" x14ac:dyDescent="0.35">
      <c r="A1690" t="s">
        <v>1685</v>
      </c>
      <c r="B1690" t="s">
        <v>1708</v>
      </c>
      <c r="C1690">
        <v>215</v>
      </c>
      <c r="D1690">
        <v>133</v>
      </c>
      <c r="E1690" t="s">
        <v>15</v>
      </c>
    </row>
    <row r="1691" spans="1:5" x14ac:dyDescent="0.35">
      <c r="A1691" t="s">
        <v>1685</v>
      </c>
      <c r="B1691" t="s">
        <v>1709</v>
      </c>
      <c r="C1691">
        <v>159</v>
      </c>
      <c r="D1691">
        <v>142</v>
      </c>
      <c r="E1691" t="s">
        <v>17</v>
      </c>
    </row>
    <row r="1692" spans="1:5" x14ac:dyDescent="0.35">
      <c r="A1692" t="s">
        <v>1685</v>
      </c>
      <c r="B1692" t="s">
        <v>1710</v>
      </c>
      <c r="C1692">
        <v>275</v>
      </c>
      <c r="D1692">
        <v>42</v>
      </c>
      <c r="E1692" t="s">
        <v>33</v>
      </c>
    </row>
    <row r="1693" spans="1:5" x14ac:dyDescent="0.35">
      <c r="A1693" t="s">
        <v>1685</v>
      </c>
      <c r="B1693" t="s">
        <v>1711</v>
      </c>
      <c r="C1693">
        <v>236</v>
      </c>
      <c r="D1693">
        <v>162</v>
      </c>
      <c r="E1693" t="s">
        <v>17</v>
      </c>
    </row>
    <row r="1694" spans="1:5" x14ac:dyDescent="0.35">
      <c r="A1694" t="s">
        <v>1685</v>
      </c>
      <c r="B1694" t="s">
        <v>1712</v>
      </c>
      <c r="C1694">
        <v>127</v>
      </c>
      <c r="D1694">
        <v>34</v>
      </c>
      <c r="E1694" t="s">
        <v>7</v>
      </c>
    </row>
    <row r="1695" spans="1:5" x14ac:dyDescent="0.35">
      <c r="A1695" t="s">
        <v>1685</v>
      </c>
      <c r="B1695" t="s">
        <v>1713</v>
      </c>
      <c r="C1695">
        <v>193</v>
      </c>
      <c r="D1695">
        <v>133</v>
      </c>
      <c r="E1695" t="s">
        <v>11</v>
      </c>
    </row>
    <row r="1696" spans="1:5" x14ac:dyDescent="0.35">
      <c r="A1696" t="s">
        <v>1685</v>
      </c>
      <c r="B1696" t="s">
        <v>1714</v>
      </c>
      <c r="C1696">
        <v>188</v>
      </c>
      <c r="D1696">
        <v>103</v>
      </c>
      <c r="E1696" t="s">
        <v>15</v>
      </c>
    </row>
    <row r="1697" spans="1:5" x14ac:dyDescent="0.35">
      <c r="A1697" t="s">
        <v>1685</v>
      </c>
      <c r="B1697" t="s">
        <v>1715</v>
      </c>
      <c r="C1697">
        <v>240</v>
      </c>
      <c r="D1697">
        <v>190</v>
      </c>
      <c r="E1697" t="s">
        <v>9</v>
      </c>
    </row>
    <row r="1698" spans="1:5" x14ac:dyDescent="0.35">
      <c r="A1698" t="s">
        <v>1685</v>
      </c>
      <c r="B1698" t="s">
        <v>1716</v>
      </c>
      <c r="C1698">
        <v>151</v>
      </c>
      <c r="D1698">
        <v>43</v>
      </c>
      <c r="E1698" t="s">
        <v>17</v>
      </c>
    </row>
    <row r="1699" spans="1:5" x14ac:dyDescent="0.35">
      <c r="A1699" t="s">
        <v>1685</v>
      </c>
      <c r="B1699" t="s">
        <v>1717</v>
      </c>
      <c r="C1699">
        <v>320</v>
      </c>
      <c r="D1699">
        <v>148</v>
      </c>
      <c r="E1699" t="s">
        <v>33</v>
      </c>
    </row>
    <row r="1700" spans="1:5" x14ac:dyDescent="0.35">
      <c r="A1700" t="s">
        <v>1685</v>
      </c>
      <c r="B1700" t="s">
        <v>1718</v>
      </c>
      <c r="C1700">
        <v>182</v>
      </c>
      <c r="D1700">
        <v>129</v>
      </c>
      <c r="E1700" t="s">
        <v>9</v>
      </c>
    </row>
    <row r="1701" spans="1:5" x14ac:dyDescent="0.35">
      <c r="A1701" t="s">
        <v>1685</v>
      </c>
      <c r="B1701" t="s">
        <v>1719</v>
      </c>
      <c r="C1701">
        <v>154</v>
      </c>
      <c r="D1701">
        <v>132</v>
      </c>
      <c r="E1701" t="s">
        <v>7</v>
      </c>
    </row>
    <row r="1702" spans="1:5" x14ac:dyDescent="0.35">
      <c r="A1702" t="s">
        <v>1685</v>
      </c>
      <c r="B1702" t="s">
        <v>1720</v>
      </c>
      <c r="C1702">
        <v>227</v>
      </c>
      <c r="D1702">
        <v>169</v>
      </c>
      <c r="E1702" t="s">
        <v>33</v>
      </c>
    </row>
    <row r="1703" spans="1:5" x14ac:dyDescent="0.35">
      <c r="A1703" t="s">
        <v>1685</v>
      </c>
      <c r="B1703" t="s">
        <v>1721</v>
      </c>
      <c r="C1703">
        <v>127</v>
      </c>
      <c r="D1703">
        <v>119</v>
      </c>
      <c r="E1703" t="s">
        <v>7</v>
      </c>
    </row>
    <row r="1704" spans="1:5" x14ac:dyDescent="0.35">
      <c r="A1704" t="s">
        <v>1685</v>
      </c>
      <c r="B1704" t="s">
        <v>1722</v>
      </c>
      <c r="C1704">
        <v>265</v>
      </c>
      <c r="D1704">
        <v>176</v>
      </c>
      <c r="E1704" t="s">
        <v>15</v>
      </c>
    </row>
    <row r="1705" spans="1:5" x14ac:dyDescent="0.35">
      <c r="A1705" t="s">
        <v>1685</v>
      </c>
      <c r="B1705" t="s">
        <v>1723</v>
      </c>
      <c r="C1705">
        <v>102</v>
      </c>
      <c r="D1705">
        <v>71</v>
      </c>
      <c r="E1705" t="s">
        <v>17</v>
      </c>
    </row>
    <row r="1706" spans="1:5" x14ac:dyDescent="0.35">
      <c r="A1706" t="s">
        <v>1685</v>
      </c>
      <c r="B1706" t="s">
        <v>1724</v>
      </c>
      <c r="C1706">
        <v>174</v>
      </c>
      <c r="D1706">
        <v>140</v>
      </c>
      <c r="E1706" t="s">
        <v>9</v>
      </c>
    </row>
    <row r="1707" spans="1:5" x14ac:dyDescent="0.35">
      <c r="A1707" t="s">
        <v>1685</v>
      </c>
      <c r="B1707" t="s">
        <v>1725</v>
      </c>
      <c r="C1707">
        <v>250</v>
      </c>
      <c r="D1707">
        <v>123</v>
      </c>
      <c r="E1707" t="s">
        <v>15</v>
      </c>
    </row>
    <row r="1708" spans="1:5" x14ac:dyDescent="0.35">
      <c r="A1708" t="s">
        <v>1685</v>
      </c>
      <c r="B1708" t="s">
        <v>1726</v>
      </c>
      <c r="C1708">
        <v>116</v>
      </c>
      <c r="D1708">
        <v>55</v>
      </c>
      <c r="E1708" t="s">
        <v>33</v>
      </c>
    </row>
    <row r="1709" spans="1:5" x14ac:dyDescent="0.35">
      <c r="A1709" t="s">
        <v>1685</v>
      </c>
      <c r="B1709" t="s">
        <v>1727</v>
      </c>
      <c r="C1709">
        <v>205</v>
      </c>
      <c r="D1709">
        <v>178</v>
      </c>
      <c r="E1709" t="s">
        <v>11</v>
      </c>
    </row>
    <row r="1710" spans="1:5" x14ac:dyDescent="0.35">
      <c r="A1710" t="s">
        <v>1685</v>
      </c>
      <c r="B1710" t="s">
        <v>1728</v>
      </c>
      <c r="C1710">
        <v>309</v>
      </c>
      <c r="D1710">
        <v>154</v>
      </c>
      <c r="E1710" t="s">
        <v>21</v>
      </c>
    </row>
    <row r="1711" spans="1:5" x14ac:dyDescent="0.35">
      <c r="A1711" t="s">
        <v>1685</v>
      </c>
      <c r="B1711" t="s">
        <v>1729</v>
      </c>
      <c r="C1711">
        <v>304</v>
      </c>
      <c r="D1711">
        <v>94</v>
      </c>
      <c r="E1711" t="s">
        <v>17</v>
      </c>
    </row>
    <row r="1712" spans="1:5" x14ac:dyDescent="0.35">
      <c r="A1712" t="s">
        <v>1685</v>
      </c>
      <c r="B1712" t="s">
        <v>1730</v>
      </c>
      <c r="C1712">
        <v>306</v>
      </c>
      <c r="D1712">
        <v>67</v>
      </c>
      <c r="E1712" t="s">
        <v>17</v>
      </c>
    </row>
    <row r="1713" spans="1:5" x14ac:dyDescent="0.35">
      <c r="A1713" t="s">
        <v>1685</v>
      </c>
      <c r="B1713" t="s">
        <v>1731</v>
      </c>
      <c r="C1713">
        <v>113</v>
      </c>
      <c r="D1713">
        <v>77</v>
      </c>
      <c r="E1713" t="s">
        <v>17</v>
      </c>
    </row>
    <row r="1714" spans="1:5" x14ac:dyDescent="0.35">
      <c r="A1714" t="s">
        <v>1685</v>
      </c>
      <c r="B1714" t="s">
        <v>1732</v>
      </c>
      <c r="C1714">
        <v>146</v>
      </c>
      <c r="D1714">
        <v>40</v>
      </c>
      <c r="E1714" t="s">
        <v>17</v>
      </c>
    </row>
    <row r="1715" spans="1:5" x14ac:dyDescent="0.35">
      <c r="A1715" t="s">
        <v>1685</v>
      </c>
      <c r="B1715" t="s">
        <v>1733</v>
      </c>
      <c r="C1715">
        <v>172</v>
      </c>
      <c r="D1715">
        <v>133</v>
      </c>
      <c r="E1715" t="s">
        <v>33</v>
      </c>
    </row>
    <row r="1716" spans="1:5" x14ac:dyDescent="0.35">
      <c r="A1716" t="s">
        <v>1685</v>
      </c>
      <c r="B1716" t="s">
        <v>1734</v>
      </c>
      <c r="C1716">
        <v>257</v>
      </c>
      <c r="D1716">
        <v>87</v>
      </c>
      <c r="E1716" t="s">
        <v>15</v>
      </c>
    </row>
    <row r="1717" spans="1:5" x14ac:dyDescent="0.35">
      <c r="A1717" t="s">
        <v>1685</v>
      </c>
      <c r="B1717" t="s">
        <v>1735</v>
      </c>
      <c r="C1717">
        <v>270</v>
      </c>
      <c r="D1717">
        <v>179</v>
      </c>
      <c r="E1717" t="s">
        <v>33</v>
      </c>
    </row>
    <row r="1718" spans="1:5" x14ac:dyDescent="0.35">
      <c r="A1718" t="s">
        <v>1685</v>
      </c>
      <c r="B1718" t="s">
        <v>1736</v>
      </c>
      <c r="C1718">
        <v>185</v>
      </c>
      <c r="D1718">
        <v>163</v>
      </c>
      <c r="E1718" t="s">
        <v>7</v>
      </c>
    </row>
    <row r="1719" spans="1:5" x14ac:dyDescent="0.35">
      <c r="A1719" t="s">
        <v>1685</v>
      </c>
      <c r="B1719" t="s">
        <v>1737</v>
      </c>
      <c r="C1719">
        <v>301</v>
      </c>
      <c r="D1719">
        <v>186</v>
      </c>
      <c r="E1719" t="s">
        <v>33</v>
      </c>
    </row>
    <row r="1720" spans="1:5" x14ac:dyDescent="0.35">
      <c r="A1720" t="s">
        <v>1685</v>
      </c>
      <c r="B1720" t="s">
        <v>1738</v>
      </c>
      <c r="C1720">
        <v>165</v>
      </c>
      <c r="D1720">
        <v>126</v>
      </c>
      <c r="E1720" t="s">
        <v>11</v>
      </c>
    </row>
    <row r="1721" spans="1:5" x14ac:dyDescent="0.35">
      <c r="A1721" t="s">
        <v>1685</v>
      </c>
      <c r="B1721" t="s">
        <v>1739</v>
      </c>
      <c r="C1721">
        <v>266</v>
      </c>
      <c r="D1721">
        <v>120</v>
      </c>
      <c r="E1721" t="s">
        <v>15</v>
      </c>
    </row>
    <row r="1722" spans="1:5" x14ac:dyDescent="0.35">
      <c r="A1722" t="s">
        <v>1685</v>
      </c>
      <c r="B1722" t="s">
        <v>1740</v>
      </c>
      <c r="C1722">
        <v>314</v>
      </c>
      <c r="D1722">
        <v>187</v>
      </c>
      <c r="E1722" t="s">
        <v>17</v>
      </c>
    </row>
    <row r="1723" spans="1:5" x14ac:dyDescent="0.35">
      <c r="A1723" t="s">
        <v>1685</v>
      </c>
      <c r="B1723" t="s">
        <v>1741</v>
      </c>
      <c r="C1723">
        <v>117</v>
      </c>
      <c r="D1723">
        <v>108</v>
      </c>
      <c r="E1723" t="s">
        <v>11</v>
      </c>
    </row>
    <row r="1724" spans="1:5" x14ac:dyDescent="0.35">
      <c r="A1724" t="s">
        <v>1685</v>
      </c>
      <c r="B1724" t="s">
        <v>1742</v>
      </c>
      <c r="C1724">
        <v>220</v>
      </c>
      <c r="D1724">
        <v>38</v>
      </c>
      <c r="E1724" t="s">
        <v>17</v>
      </c>
    </row>
    <row r="1725" spans="1:5" x14ac:dyDescent="0.35">
      <c r="A1725" t="s">
        <v>1685</v>
      </c>
      <c r="B1725" t="s">
        <v>1743</v>
      </c>
      <c r="C1725">
        <v>282</v>
      </c>
      <c r="D1725">
        <v>153</v>
      </c>
      <c r="E1725" t="s">
        <v>7</v>
      </c>
    </row>
    <row r="1726" spans="1:5" x14ac:dyDescent="0.35">
      <c r="A1726" t="s">
        <v>1685</v>
      </c>
      <c r="B1726" t="s">
        <v>1744</v>
      </c>
      <c r="C1726">
        <v>267</v>
      </c>
      <c r="D1726">
        <v>35</v>
      </c>
      <c r="E1726" t="s">
        <v>11</v>
      </c>
    </row>
    <row r="1727" spans="1:5" x14ac:dyDescent="0.35">
      <c r="A1727" t="s">
        <v>1685</v>
      </c>
      <c r="B1727" t="s">
        <v>1745</v>
      </c>
      <c r="C1727">
        <v>116</v>
      </c>
      <c r="D1727">
        <v>75</v>
      </c>
      <c r="E1727" t="s">
        <v>7</v>
      </c>
    </row>
    <row r="1728" spans="1:5" x14ac:dyDescent="0.35">
      <c r="A1728" t="s">
        <v>1685</v>
      </c>
      <c r="B1728" t="s">
        <v>1746</v>
      </c>
      <c r="C1728">
        <v>188</v>
      </c>
      <c r="D1728">
        <v>176</v>
      </c>
      <c r="E1728" t="s">
        <v>9</v>
      </c>
    </row>
    <row r="1729" spans="1:5" x14ac:dyDescent="0.35">
      <c r="A1729" t="s">
        <v>1685</v>
      </c>
      <c r="B1729" t="s">
        <v>1747</v>
      </c>
      <c r="C1729">
        <v>266</v>
      </c>
      <c r="D1729">
        <v>156</v>
      </c>
      <c r="E1729" t="s">
        <v>21</v>
      </c>
    </row>
    <row r="1730" spans="1:5" x14ac:dyDescent="0.35">
      <c r="A1730" t="s">
        <v>1685</v>
      </c>
      <c r="B1730" t="s">
        <v>1748</v>
      </c>
      <c r="C1730">
        <v>142</v>
      </c>
      <c r="D1730">
        <v>100</v>
      </c>
      <c r="E1730" t="s">
        <v>7</v>
      </c>
    </row>
    <row r="1731" spans="1:5" x14ac:dyDescent="0.35">
      <c r="A1731" t="s">
        <v>1685</v>
      </c>
      <c r="B1731" t="s">
        <v>1749</v>
      </c>
      <c r="C1731">
        <v>319</v>
      </c>
      <c r="D1731">
        <v>170</v>
      </c>
      <c r="E1731" t="s">
        <v>33</v>
      </c>
    </row>
    <row r="1732" spans="1:5" x14ac:dyDescent="0.35">
      <c r="A1732" t="s">
        <v>1685</v>
      </c>
      <c r="B1732" t="s">
        <v>1750</v>
      </c>
      <c r="C1732">
        <v>46</v>
      </c>
      <c r="D1732">
        <v>45</v>
      </c>
      <c r="E1732" t="s">
        <v>9</v>
      </c>
    </row>
    <row r="1733" spans="1:5" x14ac:dyDescent="0.35">
      <c r="A1733" t="s">
        <v>1685</v>
      </c>
      <c r="B1733" t="s">
        <v>1751</v>
      </c>
      <c r="C1733">
        <v>306</v>
      </c>
      <c r="D1733">
        <v>155</v>
      </c>
      <c r="E1733" t="s">
        <v>17</v>
      </c>
    </row>
    <row r="1734" spans="1:5" x14ac:dyDescent="0.35">
      <c r="A1734" t="s">
        <v>1685</v>
      </c>
      <c r="B1734" t="s">
        <v>1752</v>
      </c>
      <c r="C1734">
        <v>209</v>
      </c>
      <c r="D1734">
        <v>175</v>
      </c>
      <c r="E1734" t="s">
        <v>33</v>
      </c>
    </row>
    <row r="1735" spans="1:5" x14ac:dyDescent="0.35">
      <c r="A1735" t="s">
        <v>1685</v>
      </c>
      <c r="B1735" t="s">
        <v>1753</v>
      </c>
      <c r="C1735">
        <v>185</v>
      </c>
      <c r="D1735">
        <v>112</v>
      </c>
      <c r="E1735" t="s">
        <v>33</v>
      </c>
    </row>
    <row r="1736" spans="1:5" x14ac:dyDescent="0.35">
      <c r="A1736" t="s">
        <v>1685</v>
      </c>
      <c r="B1736" t="s">
        <v>1754</v>
      </c>
      <c r="C1736">
        <v>299</v>
      </c>
      <c r="D1736">
        <v>31</v>
      </c>
      <c r="E1736" t="s">
        <v>21</v>
      </c>
    </row>
    <row r="1737" spans="1:5" x14ac:dyDescent="0.35">
      <c r="A1737" t="s">
        <v>1685</v>
      </c>
      <c r="B1737" t="s">
        <v>1755</v>
      </c>
      <c r="C1737">
        <v>290</v>
      </c>
      <c r="D1737">
        <v>108</v>
      </c>
      <c r="E1737" t="s">
        <v>15</v>
      </c>
    </row>
    <row r="1738" spans="1:5" x14ac:dyDescent="0.35">
      <c r="A1738" t="s">
        <v>1685</v>
      </c>
      <c r="B1738" t="s">
        <v>1756</v>
      </c>
      <c r="C1738">
        <v>143</v>
      </c>
      <c r="D1738">
        <v>134</v>
      </c>
      <c r="E1738" t="s">
        <v>33</v>
      </c>
    </row>
    <row r="1739" spans="1:5" x14ac:dyDescent="0.35">
      <c r="A1739" t="s">
        <v>1685</v>
      </c>
      <c r="B1739" t="s">
        <v>1757</v>
      </c>
      <c r="C1739">
        <v>217</v>
      </c>
      <c r="D1739">
        <v>62</v>
      </c>
      <c r="E1739" t="s">
        <v>7</v>
      </c>
    </row>
    <row r="1740" spans="1:5" x14ac:dyDescent="0.35">
      <c r="A1740" t="s">
        <v>1685</v>
      </c>
      <c r="B1740" t="s">
        <v>1758</v>
      </c>
      <c r="C1740">
        <v>314</v>
      </c>
      <c r="D1740">
        <v>47</v>
      </c>
      <c r="E1740" t="s">
        <v>11</v>
      </c>
    </row>
    <row r="1741" spans="1:5" x14ac:dyDescent="0.35">
      <c r="A1741" t="s">
        <v>1685</v>
      </c>
      <c r="B1741" t="s">
        <v>1759</v>
      </c>
      <c r="C1741">
        <v>223</v>
      </c>
      <c r="D1741">
        <v>129</v>
      </c>
      <c r="E1741" t="s">
        <v>11</v>
      </c>
    </row>
    <row r="1742" spans="1:5" x14ac:dyDescent="0.35">
      <c r="A1742" t="s">
        <v>1685</v>
      </c>
      <c r="B1742" t="s">
        <v>1760</v>
      </c>
      <c r="C1742">
        <v>249</v>
      </c>
      <c r="D1742">
        <v>77</v>
      </c>
      <c r="E1742" t="s">
        <v>7</v>
      </c>
    </row>
    <row r="1743" spans="1:5" x14ac:dyDescent="0.35">
      <c r="A1743" t="s">
        <v>1685</v>
      </c>
      <c r="B1743" t="s">
        <v>1761</v>
      </c>
      <c r="C1743">
        <v>214</v>
      </c>
      <c r="D1743">
        <v>37</v>
      </c>
      <c r="E1743" t="s">
        <v>9</v>
      </c>
    </row>
    <row r="1744" spans="1:5" x14ac:dyDescent="0.35">
      <c r="A1744" t="s">
        <v>1685</v>
      </c>
      <c r="B1744" t="s">
        <v>1762</v>
      </c>
      <c r="C1744">
        <v>206</v>
      </c>
      <c r="D1744">
        <v>90</v>
      </c>
      <c r="E1744" t="s">
        <v>15</v>
      </c>
    </row>
    <row r="1745" spans="1:5" x14ac:dyDescent="0.35">
      <c r="A1745" t="s">
        <v>1685</v>
      </c>
      <c r="B1745" t="s">
        <v>1763</v>
      </c>
      <c r="C1745">
        <v>304</v>
      </c>
      <c r="D1745">
        <v>119</v>
      </c>
      <c r="E1745" t="s">
        <v>9</v>
      </c>
    </row>
    <row r="1746" spans="1:5" x14ac:dyDescent="0.35">
      <c r="A1746" t="s">
        <v>1685</v>
      </c>
      <c r="B1746" t="s">
        <v>1764</v>
      </c>
      <c r="C1746">
        <v>191</v>
      </c>
      <c r="D1746">
        <v>107</v>
      </c>
      <c r="E1746" t="s">
        <v>15</v>
      </c>
    </row>
    <row r="1747" spans="1:5" x14ac:dyDescent="0.35">
      <c r="A1747" t="s">
        <v>1685</v>
      </c>
      <c r="B1747" t="s">
        <v>1765</v>
      </c>
      <c r="C1747">
        <v>143</v>
      </c>
      <c r="D1747">
        <v>65</v>
      </c>
      <c r="E1747" t="s">
        <v>9</v>
      </c>
    </row>
    <row r="1748" spans="1:5" x14ac:dyDescent="0.35">
      <c r="A1748" t="s">
        <v>1685</v>
      </c>
      <c r="B1748" t="s">
        <v>1766</v>
      </c>
      <c r="C1748">
        <v>283</v>
      </c>
      <c r="D1748">
        <v>76</v>
      </c>
      <c r="E1748" t="s">
        <v>17</v>
      </c>
    </row>
    <row r="1749" spans="1:5" x14ac:dyDescent="0.35">
      <c r="A1749" t="s">
        <v>1685</v>
      </c>
      <c r="B1749" t="s">
        <v>1767</v>
      </c>
      <c r="C1749">
        <v>138</v>
      </c>
      <c r="D1749">
        <v>71</v>
      </c>
      <c r="E1749" t="s">
        <v>7</v>
      </c>
    </row>
    <row r="1750" spans="1:5" x14ac:dyDescent="0.35">
      <c r="A1750" t="s">
        <v>1685</v>
      </c>
      <c r="B1750" t="s">
        <v>1768</v>
      </c>
      <c r="C1750">
        <v>279</v>
      </c>
      <c r="D1750">
        <v>93</v>
      </c>
      <c r="E1750" t="s">
        <v>11</v>
      </c>
    </row>
    <row r="1751" spans="1:5" x14ac:dyDescent="0.35">
      <c r="A1751" t="s">
        <v>1685</v>
      </c>
      <c r="B1751" t="s">
        <v>1769</v>
      </c>
      <c r="C1751">
        <v>218</v>
      </c>
      <c r="D1751">
        <v>186</v>
      </c>
      <c r="E1751" t="s">
        <v>21</v>
      </c>
    </row>
    <row r="1752" spans="1:5" x14ac:dyDescent="0.35">
      <c r="A1752" t="s">
        <v>1685</v>
      </c>
      <c r="B1752" t="s">
        <v>1770</v>
      </c>
      <c r="C1752">
        <v>299</v>
      </c>
      <c r="D1752">
        <v>104</v>
      </c>
      <c r="E1752" t="s">
        <v>7</v>
      </c>
    </row>
    <row r="1753" spans="1:5" x14ac:dyDescent="0.35">
      <c r="A1753" t="s">
        <v>1685</v>
      </c>
      <c r="B1753" t="s">
        <v>1771</v>
      </c>
      <c r="C1753">
        <v>273</v>
      </c>
      <c r="D1753">
        <v>155</v>
      </c>
      <c r="E1753" t="s">
        <v>9</v>
      </c>
    </row>
    <row r="1754" spans="1:5" x14ac:dyDescent="0.35">
      <c r="A1754" t="s">
        <v>1685</v>
      </c>
      <c r="B1754" t="s">
        <v>1772</v>
      </c>
      <c r="C1754">
        <v>210</v>
      </c>
      <c r="D1754">
        <v>157</v>
      </c>
      <c r="E1754" t="s">
        <v>21</v>
      </c>
    </row>
    <row r="1755" spans="1:5" x14ac:dyDescent="0.35">
      <c r="A1755" t="s">
        <v>1685</v>
      </c>
      <c r="B1755" t="s">
        <v>1773</v>
      </c>
      <c r="C1755">
        <v>320</v>
      </c>
      <c r="D1755">
        <v>104</v>
      </c>
      <c r="E1755" t="s">
        <v>17</v>
      </c>
    </row>
    <row r="1756" spans="1:5" x14ac:dyDescent="0.35">
      <c r="A1756" t="s">
        <v>1685</v>
      </c>
      <c r="B1756" t="s">
        <v>1774</v>
      </c>
      <c r="C1756">
        <v>251</v>
      </c>
      <c r="D1756">
        <v>103</v>
      </c>
      <c r="E1756" t="s">
        <v>33</v>
      </c>
    </row>
    <row r="1757" spans="1:5" x14ac:dyDescent="0.35">
      <c r="A1757" t="s">
        <v>1685</v>
      </c>
      <c r="B1757" t="s">
        <v>1775</v>
      </c>
      <c r="C1757">
        <v>66</v>
      </c>
      <c r="D1757">
        <v>41</v>
      </c>
      <c r="E1757" t="s">
        <v>21</v>
      </c>
    </row>
    <row r="1758" spans="1:5" x14ac:dyDescent="0.35">
      <c r="A1758" t="s">
        <v>1685</v>
      </c>
      <c r="B1758" t="s">
        <v>1776</v>
      </c>
      <c r="C1758">
        <v>198</v>
      </c>
      <c r="D1758">
        <v>159</v>
      </c>
      <c r="E1758" t="s">
        <v>33</v>
      </c>
    </row>
    <row r="1759" spans="1:5" x14ac:dyDescent="0.35">
      <c r="A1759" t="s">
        <v>1685</v>
      </c>
      <c r="B1759" t="s">
        <v>1777</v>
      </c>
      <c r="C1759">
        <v>174</v>
      </c>
      <c r="D1759">
        <v>76</v>
      </c>
      <c r="E1759" t="s">
        <v>15</v>
      </c>
    </row>
    <row r="1760" spans="1:5" x14ac:dyDescent="0.35">
      <c r="A1760" t="s">
        <v>1685</v>
      </c>
      <c r="B1760" t="s">
        <v>1778</v>
      </c>
      <c r="C1760">
        <v>318</v>
      </c>
      <c r="D1760">
        <v>87</v>
      </c>
      <c r="E1760" t="s">
        <v>11</v>
      </c>
    </row>
    <row r="1761" spans="1:5" x14ac:dyDescent="0.35">
      <c r="A1761" t="s">
        <v>1685</v>
      </c>
      <c r="B1761" t="s">
        <v>1779</v>
      </c>
      <c r="C1761">
        <v>65</v>
      </c>
      <c r="D1761">
        <v>54</v>
      </c>
      <c r="E1761" t="s">
        <v>17</v>
      </c>
    </row>
    <row r="1762" spans="1:5" x14ac:dyDescent="0.35">
      <c r="A1762" t="s">
        <v>1685</v>
      </c>
      <c r="B1762" t="s">
        <v>1780</v>
      </c>
      <c r="C1762">
        <v>236</v>
      </c>
      <c r="D1762">
        <v>187</v>
      </c>
      <c r="E1762" t="s">
        <v>21</v>
      </c>
    </row>
    <row r="1763" spans="1:5" x14ac:dyDescent="0.35">
      <c r="A1763" t="s">
        <v>1685</v>
      </c>
      <c r="B1763" t="s">
        <v>1781</v>
      </c>
      <c r="C1763">
        <v>239</v>
      </c>
      <c r="D1763">
        <v>121</v>
      </c>
      <c r="E1763" t="s">
        <v>7</v>
      </c>
    </row>
    <row r="1764" spans="1:5" x14ac:dyDescent="0.35">
      <c r="A1764" t="s">
        <v>1685</v>
      </c>
      <c r="B1764" t="s">
        <v>1782</v>
      </c>
      <c r="C1764">
        <v>276</v>
      </c>
      <c r="D1764">
        <v>115</v>
      </c>
      <c r="E1764" t="s">
        <v>11</v>
      </c>
    </row>
    <row r="1765" spans="1:5" x14ac:dyDescent="0.35">
      <c r="A1765" t="s">
        <v>1685</v>
      </c>
      <c r="B1765" t="s">
        <v>1783</v>
      </c>
      <c r="C1765">
        <v>211</v>
      </c>
      <c r="D1765">
        <v>108</v>
      </c>
      <c r="E1765" t="s">
        <v>21</v>
      </c>
    </row>
    <row r="1766" spans="1:5" x14ac:dyDescent="0.35">
      <c r="A1766" t="s">
        <v>1685</v>
      </c>
      <c r="B1766" t="s">
        <v>1784</v>
      </c>
      <c r="C1766">
        <v>145</v>
      </c>
      <c r="D1766">
        <v>128</v>
      </c>
      <c r="E1766" t="s">
        <v>9</v>
      </c>
    </row>
    <row r="1767" spans="1:5" x14ac:dyDescent="0.35">
      <c r="A1767" t="s">
        <v>1685</v>
      </c>
      <c r="B1767" t="s">
        <v>1785</v>
      </c>
      <c r="C1767">
        <v>70</v>
      </c>
      <c r="D1767">
        <v>55</v>
      </c>
      <c r="E1767" t="s">
        <v>11</v>
      </c>
    </row>
    <row r="1768" spans="1:5" x14ac:dyDescent="0.35">
      <c r="A1768" t="s">
        <v>1685</v>
      </c>
      <c r="B1768" t="s">
        <v>1786</v>
      </c>
      <c r="C1768">
        <v>220</v>
      </c>
      <c r="D1768">
        <v>116</v>
      </c>
      <c r="E1768" t="s">
        <v>17</v>
      </c>
    </row>
    <row r="1769" spans="1:5" x14ac:dyDescent="0.35">
      <c r="A1769" t="s">
        <v>1685</v>
      </c>
      <c r="B1769" t="s">
        <v>1787</v>
      </c>
      <c r="C1769">
        <v>117</v>
      </c>
      <c r="D1769">
        <v>65</v>
      </c>
      <c r="E1769" t="s">
        <v>33</v>
      </c>
    </row>
    <row r="1770" spans="1:5" x14ac:dyDescent="0.35">
      <c r="A1770" t="s">
        <v>1685</v>
      </c>
      <c r="B1770" t="s">
        <v>1788</v>
      </c>
      <c r="C1770">
        <v>299</v>
      </c>
      <c r="D1770">
        <v>85</v>
      </c>
      <c r="E1770" t="s">
        <v>11</v>
      </c>
    </row>
    <row r="1771" spans="1:5" x14ac:dyDescent="0.35">
      <c r="A1771" t="s">
        <v>1685</v>
      </c>
      <c r="B1771" t="s">
        <v>1789</v>
      </c>
      <c r="C1771">
        <v>256</v>
      </c>
      <c r="D1771">
        <v>171</v>
      </c>
      <c r="E1771" t="s">
        <v>21</v>
      </c>
    </row>
    <row r="1772" spans="1:5" x14ac:dyDescent="0.35">
      <c r="A1772" t="s">
        <v>1685</v>
      </c>
      <c r="B1772" t="s">
        <v>1790</v>
      </c>
      <c r="C1772">
        <v>213</v>
      </c>
      <c r="D1772">
        <v>184</v>
      </c>
      <c r="E1772" t="s">
        <v>9</v>
      </c>
    </row>
    <row r="1773" spans="1:5" x14ac:dyDescent="0.35">
      <c r="A1773" t="s">
        <v>1685</v>
      </c>
      <c r="B1773" t="s">
        <v>1791</v>
      </c>
      <c r="C1773">
        <v>254</v>
      </c>
      <c r="D1773">
        <v>64</v>
      </c>
      <c r="E1773" t="s">
        <v>11</v>
      </c>
    </row>
    <row r="1774" spans="1:5" x14ac:dyDescent="0.35">
      <c r="A1774" t="s">
        <v>1685</v>
      </c>
      <c r="B1774" t="s">
        <v>1792</v>
      </c>
      <c r="C1774">
        <v>282</v>
      </c>
      <c r="D1774">
        <v>166</v>
      </c>
      <c r="E1774" t="s">
        <v>15</v>
      </c>
    </row>
    <row r="1775" spans="1:5" x14ac:dyDescent="0.35">
      <c r="A1775" t="s">
        <v>1685</v>
      </c>
      <c r="B1775" t="s">
        <v>1793</v>
      </c>
      <c r="C1775">
        <v>285</v>
      </c>
      <c r="D1775">
        <v>127</v>
      </c>
      <c r="E1775" t="s">
        <v>9</v>
      </c>
    </row>
    <row r="1776" spans="1:5" x14ac:dyDescent="0.35">
      <c r="A1776" t="s">
        <v>1685</v>
      </c>
      <c r="B1776" t="s">
        <v>1794</v>
      </c>
      <c r="C1776">
        <v>167</v>
      </c>
      <c r="D1776">
        <v>45</v>
      </c>
      <c r="E1776" t="s">
        <v>7</v>
      </c>
    </row>
    <row r="1777" spans="1:5" x14ac:dyDescent="0.35">
      <c r="A1777" t="s">
        <v>1685</v>
      </c>
      <c r="B1777" t="s">
        <v>1795</v>
      </c>
      <c r="C1777">
        <v>291</v>
      </c>
      <c r="D1777">
        <v>123</v>
      </c>
      <c r="E1777" t="s">
        <v>9</v>
      </c>
    </row>
    <row r="1778" spans="1:5" x14ac:dyDescent="0.35">
      <c r="A1778" t="s">
        <v>1685</v>
      </c>
      <c r="B1778" t="s">
        <v>1796</v>
      </c>
      <c r="C1778">
        <v>229</v>
      </c>
      <c r="D1778">
        <v>184</v>
      </c>
      <c r="E1778" t="s">
        <v>15</v>
      </c>
    </row>
    <row r="1779" spans="1:5" x14ac:dyDescent="0.35">
      <c r="A1779" t="s">
        <v>1685</v>
      </c>
      <c r="B1779" t="s">
        <v>1797</v>
      </c>
      <c r="C1779">
        <v>236</v>
      </c>
      <c r="D1779">
        <v>91</v>
      </c>
      <c r="E1779" t="s">
        <v>33</v>
      </c>
    </row>
    <row r="1780" spans="1:5" x14ac:dyDescent="0.35">
      <c r="A1780" t="s">
        <v>1685</v>
      </c>
      <c r="B1780" t="s">
        <v>1798</v>
      </c>
      <c r="C1780">
        <v>99</v>
      </c>
      <c r="D1780">
        <v>95</v>
      </c>
      <c r="E1780" t="s">
        <v>15</v>
      </c>
    </row>
    <row r="1781" spans="1:5" x14ac:dyDescent="0.35">
      <c r="A1781" t="s">
        <v>1685</v>
      </c>
      <c r="B1781" t="s">
        <v>1799</v>
      </c>
      <c r="C1781">
        <v>175</v>
      </c>
      <c r="D1781">
        <v>117</v>
      </c>
      <c r="E1781" t="s">
        <v>15</v>
      </c>
    </row>
    <row r="1782" spans="1:5" x14ac:dyDescent="0.35">
      <c r="A1782" t="s">
        <v>1685</v>
      </c>
      <c r="B1782" t="s">
        <v>1800</v>
      </c>
      <c r="C1782">
        <v>145</v>
      </c>
      <c r="D1782">
        <v>135</v>
      </c>
      <c r="E1782" t="s">
        <v>15</v>
      </c>
    </row>
    <row r="1783" spans="1:5" x14ac:dyDescent="0.35">
      <c r="A1783" t="s">
        <v>1685</v>
      </c>
      <c r="B1783" t="s">
        <v>1801</v>
      </c>
      <c r="C1783">
        <v>211</v>
      </c>
      <c r="D1783">
        <v>137</v>
      </c>
      <c r="E1783" t="s">
        <v>21</v>
      </c>
    </row>
    <row r="1784" spans="1:5" x14ac:dyDescent="0.35">
      <c r="A1784" t="s">
        <v>1685</v>
      </c>
      <c r="B1784" t="s">
        <v>1802</v>
      </c>
      <c r="C1784">
        <v>281</v>
      </c>
      <c r="D1784">
        <v>145</v>
      </c>
      <c r="E1784" t="s">
        <v>7</v>
      </c>
    </row>
    <row r="1785" spans="1:5" x14ac:dyDescent="0.35">
      <c r="A1785" t="s">
        <v>1685</v>
      </c>
      <c r="B1785" t="s">
        <v>1803</v>
      </c>
      <c r="C1785">
        <v>310</v>
      </c>
      <c r="D1785">
        <v>47</v>
      </c>
      <c r="E1785" t="s">
        <v>7</v>
      </c>
    </row>
    <row r="1786" spans="1:5" x14ac:dyDescent="0.35">
      <c r="A1786" t="s">
        <v>1685</v>
      </c>
      <c r="B1786" t="s">
        <v>1804</v>
      </c>
      <c r="C1786">
        <v>149</v>
      </c>
      <c r="D1786">
        <v>94</v>
      </c>
      <c r="E1786" t="s">
        <v>7</v>
      </c>
    </row>
    <row r="1787" spans="1:5" x14ac:dyDescent="0.35">
      <c r="A1787" t="s">
        <v>1685</v>
      </c>
      <c r="B1787" t="s">
        <v>1805</v>
      </c>
      <c r="C1787">
        <v>249</v>
      </c>
      <c r="D1787">
        <v>111</v>
      </c>
      <c r="E1787" t="s">
        <v>17</v>
      </c>
    </row>
    <row r="1788" spans="1:5" x14ac:dyDescent="0.35">
      <c r="A1788" t="s">
        <v>1685</v>
      </c>
      <c r="B1788" t="s">
        <v>1806</v>
      </c>
      <c r="C1788">
        <v>313</v>
      </c>
      <c r="D1788">
        <v>162</v>
      </c>
      <c r="E1788" t="s">
        <v>33</v>
      </c>
    </row>
    <row r="1789" spans="1:5" x14ac:dyDescent="0.35">
      <c r="A1789" t="s">
        <v>1685</v>
      </c>
      <c r="B1789" t="s">
        <v>1807</v>
      </c>
      <c r="C1789">
        <v>153</v>
      </c>
      <c r="D1789">
        <v>115</v>
      </c>
      <c r="E1789" t="s">
        <v>11</v>
      </c>
    </row>
    <row r="1790" spans="1:5" x14ac:dyDescent="0.35">
      <c r="A1790" t="s">
        <v>1685</v>
      </c>
      <c r="B1790" t="s">
        <v>1808</v>
      </c>
      <c r="C1790">
        <v>208</v>
      </c>
      <c r="D1790">
        <v>167</v>
      </c>
      <c r="E1790" t="s">
        <v>17</v>
      </c>
    </row>
    <row r="1791" spans="1:5" x14ac:dyDescent="0.35">
      <c r="A1791" t="s">
        <v>1685</v>
      </c>
      <c r="B1791" t="s">
        <v>1809</v>
      </c>
      <c r="C1791">
        <v>179</v>
      </c>
      <c r="D1791">
        <v>109</v>
      </c>
      <c r="E1791" t="s">
        <v>21</v>
      </c>
    </row>
    <row r="1792" spans="1:5" x14ac:dyDescent="0.35">
      <c r="A1792" t="s">
        <v>1685</v>
      </c>
      <c r="B1792" t="s">
        <v>1810</v>
      </c>
      <c r="C1792">
        <v>171</v>
      </c>
      <c r="D1792">
        <v>124</v>
      </c>
      <c r="E1792" t="s">
        <v>33</v>
      </c>
    </row>
    <row r="1793" spans="1:5" x14ac:dyDescent="0.35">
      <c r="A1793" t="s">
        <v>1685</v>
      </c>
      <c r="B1793" t="s">
        <v>1811</v>
      </c>
      <c r="C1793">
        <v>318</v>
      </c>
      <c r="D1793">
        <v>167</v>
      </c>
      <c r="E1793" t="s">
        <v>21</v>
      </c>
    </row>
    <row r="1794" spans="1:5" x14ac:dyDescent="0.35">
      <c r="A1794" t="s">
        <v>1685</v>
      </c>
      <c r="B1794" t="s">
        <v>1812</v>
      </c>
      <c r="C1794">
        <v>298</v>
      </c>
      <c r="D1794">
        <v>170</v>
      </c>
      <c r="E1794" t="s">
        <v>17</v>
      </c>
    </row>
    <row r="1795" spans="1:5" x14ac:dyDescent="0.35">
      <c r="A1795" t="s">
        <v>1685</v>
      </c>
      <c r="B1795" t="s">
        <v>1813</v>
      </c>
      <c r="C1795">
        <v>136</v>
      </c>
      <c r="D1795">
        <v>130</v>
      </c>
      <c r="E1795" t="s">
        <v>9</v>
      </c>
    </row>
    <row r="1796" spans="1:5" x14ac:dyDescent="0.35">
      <c r="A1796" t="s">
        <v>1685</v>
      </c>
      <c r="B1796" t="s">
        <v>1814</v>
      </c>
      <c r="C1796">
        <v>202</v>
      </c>
      <c r="D1796">
        <v>121</v>
      </c>
      <c r="E1796" t="s">
        <v>9</v>
      </c>
    </row>
    <row r="1797" spans="1:5" x14ac:dyDescent="0.35">
      <c r="A1797" t="s">
        <v>1685</v>
      </c>
      <c r="B1797" t="s">
        <v>1815</v>
      </c>
      <c r="C1797">
        <v>253</v>
      </c>
      <c r="D1797">
        <v>162</v>
      </c>
      <c r="E1797" t="s">
        <v>9</v>
      </c>
    </row>
    <row r="1798" spans="1:5" x14ac:dyDescent="0.35">
      <c r="A1798" t="s">
        <v>1685</v>
      </c>
      <c r="B1798" t="s">
        <v>1816</v>
      </c>
      <c r="C1798">
        <v>103</v>
      </c>
      <c r="D1798">
        <v>72</v>
      </c>
      <c r="E1798" t="s">
        <v>9</v>
      </c>
    </row>
    <row r="1799" spans="1:5" x14ac:dyDescent="0.35">
      <c r="A1799" t="s">
        <v>1685</v>
      </c>
      <c r="B1799" t="s">
        <v>1817</v>
      </c>
      <c r="C1799">
        <v>190</v>
      </c>
      <c r="D1799">
        <v>186</v>
      </c>
      <c r="E1799" t="s">
        <v>11</v>
      </c>
    </row>
    <row r="1800" spans="1:5" x14ac:dyDescent="0.35">
      <c r="A1800" t="s">
        <v>1685</v>
      </c>
      <c r="B1800" t="s">
        <v>1818</v>
      </c>
      <c r="C1800">
        <v>196</v>
      </c>
      <c r="D1800">
        <v>187</v>
      </c>
      <c r="E1800" t="s">
        <v>15</v>
      </c>
    </row>
    <row r="1801" spans="1:5" x14ac:dyDescent="0.35">
      <c r="A1801" t="s">
        <v>1685</v>
      </c>
      <c r="B1801" t="s">
        <v>1819</v>
      </c>
      <c r="C1801">
        <v>308</v>
      </c>
      <c r="D1801">
        <v>165</v>
      </c>
      <c r="E1801" t="s">
        <v>33</v>
      </c>
    </row>
    <row r="1802" spans="1:5" x14ac:dyDescent="0.35">
      <c r="A1802" t="s">
        <v>1685</v>
      </c>
      <c r="B1802" t="s">
        <v>1820</v>
      </c>
      <c r="C1802">
        <v>290</v>
      </c>
      <c r="D1802">
        <v>136</v>
      </c>
      <c r="E1802" t="s">
        <v>33</v>
      </c>
    </row>
    <row r="1803" spans="1:5" x14ac:dyDescent="0.35">
      <c r="A1803" t="s">
        <v>1685</v>
      </c>
      <c r="B1803" t="s">
        <v>1821</v>
      </c>
      <c r="C1803">
        <v>306</v>
      </c>
      <c r="D1803">
        <v>31</v>
      </c>
      <c r="E1803" t="s">
        <v>7</v>
      </c>
    </row>
    <row r="1804" spans="1:5" x14ac:dyDescent="0.35">
      <c r="A1804" t="s">
        <v>1685</v>
      </c>
      <c r="B1804" t="s">
        <v>1822</v>
      </c>
      <c r="C1804">
        <v>189</v>
      </c>
      <c r="D1804">
        <v>109</v>
      </c>
      <c r="E1804" t="s">
        <v>21</v>
      </c>
    </row>
    <row r="1805" spans="1:5" x14ac:dyDescent="0.35">
      <c r="A1805" t="s">
        <v>1685</v>
      </c>
      <c r="B1805" t="s">
        <v>1823</v>
      </c>
      <c r="C1805">
        <v>304</v>
      </c>
      <c r="D1805">
        <v>134</v>
      </c>
      <c r="E1805" t="s">
        <v>9</v>
      </c>
    </row>
    <row r="1806" spans="1:5" x14ac:dyDescent="0.35">
      <c r="A1806" t="s">
        <v>1685</v>
      </c>
      <c r="B1806" t="s">
        <v>1824</v>
      </c>
      <c r="C1806">
        <v>172</v>
      </c>
      <c r="D1806">
        <v>169</v>
      </c>
      <c r="E1806" t="s">
        <v>9</v>
      </c>
    </row>
    <row r="1807" spans="1:5" x14ac:dyDescent="0.35">
      <c r="A1807" t="s">
        <v>1685</v>
      </c>
      <c r="B1807" t="s">
        <v>1825</v>
      </c>
      <c r="C1807">
        <v>201</v>
      </c>
      <c r="D1807">
        <v>86</v>
      </c>
      <c r="E1807" t="s">
        <v>7</v>
      </c>
    </row>
    <row r="1808" spans="1:5" x14ac:dyDescent="0.35">
      <c r="A1808" t="s">
        <v>1685</v>
      </c>
      <c r="B1808" t="s">
        <v>1826</v>
      </c>
      <c r="C1808">
        <v>181</v>
      </c>
      <c r="D1808">
        <v>142</v>
      </c>
      <c r="E1808" t="s">
        <v>17</v>
      </c>
    </row>
    <row r="1809" spans="1:5" x14ac:dyDescent="0.35">
      <c r="A1809" t="s">
        <v>1685</v>
      </c>
      <c r="B1809" t="s">
        <v>1827</v>
      </c>
      <c r="C1809">
        <v>78</v>
      </c>
      <c r="D1809">
        <v>67</v>
      </c>
      <c r="E1809" t="s">
        <v>9</v>
      </c>
    </row>
    <row r="1810" spans="1:5" x14ac:dyDescent="0.35">
      <c r="A1810" t="s">
        <v>1685</v>
      </c>
      <c r="B1810" t="s">
        <v>1828</v>
      </c>
      <c r="C1810">
        <v>223</v>
      </c>
      <c r="D1810">
        <v>53</v>
      </c>
      <c r="E1810" t="s">
        <v>21</v>
      </c>
    </row>
    <row r="1811" spans="1:5" x14ac:dyDescent="0.35">
      <c r="A1811" t="s">
        <v>1685</v>
      </c>
      <c r="B1811" t="s">
        <v>1829</v>
      </c>
      <c r="C1811">
        <v>151</v>
      </c>
      <c r="D1811">
        <v>151</v>
      </c>
      <c r="E1811" t="s">
        <v>9</v>
      </c>
    </row>
    <row r="1812" spans="1:5" x14ac:dyDescent="0.35">
      <c r="A1812" t="s">
        <v>1685</v>
      </c>
      <c r="B1812" t="s">
        <v>1830</v>
      </c>
      <c r="C1812">
        <v>285</v>
      </c>
      <c r="D1812">
        <v>71</v>
      </c>
      <c r="E1812" t="s">
        <v>15</v>
      </c>
    </row>
    <row r="1813" spans="1:5" x14ac:dyDescent="0.35">
      <c r="A1813" t="s">
        <v>1685</v>
      </c>
      <c r="B1813" t="s">
        <v>1831</v>
      </c>
      <c r="C1813">
        <v>282</v>
      </c>
      <c r="D1813">
        <v>126</v>
      </c>
      <c r="E1813" t="s">
        <v>11</v>
      </c>
    </row>
    <row r="1814" spans="1:5" x14ac:dyDescent="0.35">
      <c r="A1814" t="s">
        <v>1685</v>
      </c>
      <c r="B1814" t="s">
        <v>1832</v>
      </c>
      <c r="C1814">
        <v>263</v>
      </c>
      <c r="D1814">
        <v>122</v>
      </c>
      <c r="E1814" t="s">
        <v>11</v>
      </c>
    </row>
    <row r="1815" spans="1:5" x14ac:dyDescent="0.35">
      <c r="A1815" t="s">
        <v>1685</v>
      </c>
      <c r="B1815" t="s">
        <v>1833</v>
      </c>
      <c r="C1815">
        <v>292</v>
      </c>
      <c r="D1815">
        <v>137</v>
      </c>
      <c r="E1815" t="s">
        <v>17</v>
      </c>
    </row>
    <row r="1816" spans="1:5" x14ac:dyDescent="0.35">
      <c r="A1816" t="s">
        <v>1685</v>
      </c>
      <c r="B1816" t="s">
        <v>1834</v>
      </c>
      <c r="C1816">
        <v>185</v>
      </c>
      <c r="D1816">
        <v>151</v>
      </c>
      <c r="E1816" t="s">
        <v>17</v>
      </c>
    </row>
    <row r="1817" spans="1:5" x14ac:dyDescent="0.35">
      <c r="A1817" t="s">
        <v>1685</v>
      </c>
      <c r="B1817" t="s">
        <v>1835</v>
      </c>
      <c r="C1817">
        <v>215</v>
      </c>
      <c r="D1817">
        <v>154</v>
      </c>
      <c r="E1817" t="s">
        <v>21</v>
      </c>
    </row>
    <row r="1818" spans="1:5" x14ac:dyDescent="0.35">
      <c r="A1818" t="s">
        <v>1685</v>
      </c>
      <c r="B1818" t="s">
        <v>1836</v>
      </c>
      <c r="C1818">
        <v>239</v>
      </c>
      <c r="D1818">
        <v>183</v>
      </c>
      <c r="E1818" t="s">
        <v>33</v>
      </c>
    </row>
    <row r="1819" spans="1:5" x14ac:dyDescent="0.35">
      <c r="A1819" t="s">
        <v>1685</v>
      </c>
      <c r="B1819" t="s">
        <v>1837</v>
      </c>
      <c r="C1819">
        <v>227</v>
      </c>
      <c r="D1819">
        <v>128</v>
      </c>
      <c r="E1819" t="s">
        <v>9</v>
      </c>
    </row>
    <row r="1820" spans="1:5" x14ac:dyDescent="0.35">
      <c r="A1820" t="s">
        <v>1685</v>
      </c>
      <c r="B1820" t="s">
        <v>1838</v>
      </c>
      <c r="C1820">
        <v>48</v>
      </c>
      <c r="D1820">
        <v>37</v>
      </c>
      <c r="E1820" t="s">
        <v>9</v>
      </c>
    </row>
    <row r="1821" spans="1:5" x14ac:dyDescent="0.35">
      <c r="A1821" t="s">
        <v>1685</v>
      </c>
      <c r="B1821" t="s">
        <v>1839</v>
      </c>
      <c r="C1821">
        <v>260</v>
      </c>
      <c r="D1821">
        <v>181</v>
      </c>
      <c r="E1821" t="s">
        <v>33</v>
      </c>
    </row>
    <row r="1822" spans="1:5" x14ac:dyDescent="0.35">
      <c r="A1822" t="s">
        <v>1685</v>
      </c>
      <c r="B1822" t="s">
        <v>1840</v>
      </c>
      <c r="C1822">
        <v>188</v>
      </c>
      <c r="D1822">
        <v>183</v>
      </c>
      <c r="E1822" t="s">
        <v>9</v>
      </c>
    </row>
    <row r="1823" spans="1:5" x14ac:dyDescent="0.35">
      <c r="A1823" t="s">
        <v>1685</v>
      </c>
      <c r="B1823" t="s">
        <v>1841</v>
      </c>
      <c r="C1823">
        <v>243</v>
      </c>
      <c r="D1823">
        <v>137</v>
      </c>
      <c r="E1823" t="s">
        <v>9</v>
      </c>
    </row>
    <row r="1824" spans="1:5" x14ac:dyDescent="0.35">
      <c r="A1824" t="s">
        <v>1685</v>
      </c>
      <c r="B1824" t="s">
        <v>1842</v>
      </c>
      <c r="C1824">
        <v>136</v>
      </c>
      <c r="D1824">
        <v>66</v>
      </c>
      <c r="E1824" t="s">
        <v>17</v>
      </c>
    </row>
    <row r="1825" spans="1:5" x14ac:dyDescent="0.35">
      <c r="A1825" t="s">
        <v>1685</v>
      </c>
      <c r="B1825" t="s">
        <v>1843</v>
      </c>
      <c r="C1825">
        <v>276</v>
      </c>
      <c r="D1825">
        <v>129</v>
      </c>
      <c r="E1825" t="s">
        <v>33</v>
      </c>
    </row>
    <row r="1826" spans="1:5" x14ac:dyDescent="0.35">
      <c r="A1826" t="s">
        <v>1685</v>
      </c>
      <c r="B1826" t="s">
        <v>1844</v>
      </c>
      <c r="C1826">
        <v>293</v>
      </c>
      <c r="D1826">
        <v>160</v>
      </c>
      <c r="E1826" t="s">
        <v>21</v>
      </c>
    </row>
    <row r="1827" spans="1:5" x14ac:dyDescent="0.35">
      <c r="A1827" t="s">
        <v>1685</v>
      </c>
      <c r="B1827" t="s">
        <v>1845</v>
      </c>
      <c r="C1827">
        <v>129</v>
      </c>
      <c r="D1827">
        <v>126</v>
      </c>
      <c r="E1827" t="s">
        <v>17</v>
      </c>
    </row>
    <row r="1828" spans="1:5" x14ac:dyDescent="0.35">
      <c r="A1828" t="s">
        <v>1685</v>
      </c>
      <c r="B1828" t="s">
        <v>1846</v>
      </c>
      <c r="C1828">
        <v>170</v>
      </c>
      <c r="D1828">
        <v>117</v>
      </c>
      <c r="E1828" t="s">
        <v>21</v>
      </c>
    </row>
    <row r="1829" spans="1:5" x14ac:dyDescent="0.35">
      <c r="A1829" t="s">
        <v>1685</v>
      </c>
      <c r="B1829" t="s">
        <v>1847</v>
      </c>
      <c r="C1829">
        <v>247</v>
      </c>
      <c r="D1829">
        <v>110</v>
      </c>
      <c r="E1829" t="s">
        <v>33</v>
      </c>
    </row>
    <row r="1830" spans="1:5" x14ac:dyDescent="0.35">
      <c r="A1830" t="s">
        <v>1685</v>
      </c>
      <c r="B1830" t="s">
        <v>1848</v>
      </c>
      <c r="C1830">
        <v>44</v>
      </c>
      <c r="D1830">
        <v>41</v>
      </c>
      <c r="E1830" t="s">
        <v>21</v>
      </c>
    </row>
    <row r="1831" spans="1:5" x14ac:dyDescent="0.35">
      <c r="A1831" t="s">
        <v>1685</v>
      </c>
      <c r="B1831" t="s">
        <v>1849</v>
      </c>
      <c r="C1831">
        <v>153</v>
      </c>
      <c r="D1831">
        <v>107</v>
      </c>
      <c r="E1831" t="s">
        <v>11</v>
      </c>
    </row>
    <row r="1832" spans="1:5" x14ac:dyDescent="0.35">
      <c r="A1832" t="s">
        <v>1685</v>
      </c>
      <c r="B1832" t="s">
        <v>1850</v>
      </c>
      <c r="C1832">
        <v>217</v>
      </c>
      <c r="D1832">
        <v>42</v>
      </c>
      <c r="E1832" t="s">
        <v>33</v>
      </c>
    </row>
    <row r="1833" spans="1:5" x14ac:dyDescent="0.35">
      <c r="A1833" t="s">
        <v>1685</v>
      </c>
      <c r="B1833" t="s">
        <v>1851</v>
      </c>
      <c r="C1833">
        <v>175</v>
      </c>
      <c r="D1833">
        <v>96</v>
      </c>
      <c r="E1833" t="s">
        <v>9</v>
      </c>
    </row>
    <row r="1834" spans="1:5" x14ac:dyDescent="0.35">
      <c r="A1834" t="s">
        <v>1685</v>
      </c>
      <c r="B1834" t="s">
        <v>1852</v>
      </c>
      <c r="C1834">
        <v>267</v>
      </c>
      <c r="D1834">
        <v>48</v>
      </c>
      <c r="E1834" t="s">
        <v>17</v>
      </c>
    </row>
    <row r="1835" spans="1:5" x14ac:dyDescent="0.35">
      <c r="A1835" t="s">
        <v>1685</v>
      </c>
      <c r="B1835" t="s">
        <v>1853</v>
      </c>
      <c r="C1835">
        <v>176</v>
      </c>
      <c r="D1835">
        <v>163</v>
      </c>
      <c r="E1835" t="s">
        <v>15</v>
      </c>
    </row>
    <row r="1836" spans="1:5" x14ac:dyDescent="0.35">
      <c r="A1836" t="s">
        <v>1854</v>
      </c>
      <c r="B1836" t="s">
        <v>1855</v>
      </c>
      <c r="C1836">
        <v>229</v>
      </c>
      <c r="D1836">
        <v>166</v>
      </c>
      <c r="E1836" t="s">
        <v>33</v>
      </c>
    </row>
    <row r="1837" spans="1:5" x14ac:dyDescent="0.35">
      <c r="A1837" t="s">
        <v>1854</v>
      </c>
      <c r="B1837" t="s">
        <v>1856</v>
      </c>
      <c r="C1837">
        <v>221</v>
      </c>
      <c r="D1837">
        <v>117</v>
      </c>
      <c r="E1837" t="s">
        <v>9</v>
      </c>
    </row>
    <row r="1838" spans="1:5" x14ac:dyDescent="0.35">
      <c r="A1838" t="s">
        <v>1854</v>
      </c>
      <c r="B1838" t="s">
        <v>1857</v>
      </c>
      <c r="C1838">
        <v>214</v>
      </c>
      <c r="D1838">
        <v>36</v>
      </c>
      <c r="E1838" t="s">
        <v>15</v>
      </c>
    </row>
    <row r="1839" spans="1:5" x14ac:dyDescent="0.35">
      <c r="A1839" t="s">
        <v>1854</v>
      </c>
      <c r="B1839" t="s">
        <v>1858</v>
      </c>
      <c r="C1839">
        <v>158</v>
      </c>
      <c r="D1839">
        <v>132</v>
      </c>
      <c r="E1839" t="s">
        <v>9</v>
      </c>
    </row>
    <row r="1840" spans="1:5" x14ac:dyDescent="0.35">
      <c r="A1840" t="s">
        <v>1854</v>
      </c>
      <c r="B1840" t="s">
        <v>1859</v>
      </c>
      <c r="C1840">
        <v>117</v>
      </c>
      <c r="D1840">
        <v>110</v>
      </c>
      <c r="E1840" t="s">
        <v>21</v>
      </c>
    </row>
    <row r="1841" spans="1:5" x14ac:dyDescent="0.35">
      <c r="A1841" t="s">
        <v>1854</v>
      </c>
      <c r="B1841" t="s">
        <v>1860</v>
      </c>
      <c r="C1841">
        <v>232</v>
      </c>
      <c r="D1841">
        <v>161</v>
      </c>
      <c r="E1841" t="s">
        <v>9</v>
      </c>
    </row>
    <row r="1842" spans="1:5" x14ac:dyDescent="0.35">
      <c r="A1842" t="s">
        <v>1854</v>
      </c>
      <c r="B1842" t="s">
        <v>1861</v>
      </c>
      <c r="C1842">
        <v>225</v>
      </c>
      <c r="D1842">
        <v>122</v>
      </c>
      <c r="E1842" t="s">
        <v>15</v>
      </c>
    </row>
    <row r="1843" spans="1:5" x14ac:dyDescent="0.35">
      <c r="A1843" t="s">
        <v>1854</v>
      </c>
      <c r="B1843" t="s">
        <v>1862</v>
      </c>
      <c r="C1843">
        <v>271</v>
      </c>
      <c r="D1843">
        <v>131</v>
      </c>
      <c r="E1843" t="s">
        <v>9</v>
      </c>
    </row>
    <row r="1844" spans="1:5" x14ac:dyDescent="0.35">
      <c r="A1844" t="s">
        <v>1854</v>
      </c>
      <c r="B1844" t="s">
        <v>1863</v>
      </c>
      <c r="C1844">
        <v>164</v>
      </c>
      <c r="D1844">
        <v>152</v>
      </c>
      <c r="E1844" t="s">
        <v>9</v>
      </c>
    </row>
    <row r="1845" spans="1:5" x14ac:dyDescent="0.35">
      <c r="A1845" t="s">
        <v>1854</v>
      </c>
      <c r="B1845" t="s">
        <v>1864</v>
      </c>
      <c r="C1845">
        <v>283</v>
      </c>
      <c r="D1845">
        <v>167</v>
      </c>
      <c r="E1845" t="s">
        <v>7</v>
      </c>
    </row>
    <row r="1846" spans="1:5" x14ac:dyDescent="0.35">
      <c r="A1846" t="s">
        <v>1854</v>
      </c>
      <c r="B1846" t="s">
        <v>1865</v>
      </c>
      <c r="C1846">
        <v>92</v>
      </c>
      <c r="D1846">
        <v>32</v>
      </c>
      <c r="E1846" t="s">
        <v>7</v>
      </c>
    </row>
    <row r="1847" spans="1:5" x14ac:dyDescent="0.35">
      <c r="A1847" t="s">
        <v>1854</v>
      </c>
      <c r="B1847" t="s">
        <v>1866</v>
      </c>
      <c r="C1847">
        <v>120</v>
      </c>
      <c r="D1847">
        <v>105</v>
      </c>
      <c r="E1847" t="s">
        <v>15</v>
      </c>
    </row>
    <row r="1848" spans="1:5" x14ac:dyDescent="0.35">
      <c r="A1848" t="s">
        <v>1854</v>
      </c>
      <c r="B1848" t="s">
        <v>1867</v>
      </c>
      <c r="C1848">
        <v>275</v>
      </c>
      <c r="D1848">
        <v>49</v>
      </c>
      <c r="E1848" t="s">
        <v>33</v>
      </c>
    </row>
    <row r="1849" spans="1:5" x14ac:dyDescent="0.35">
      <c r="A1849" t="s">
        <v>1854</v>
      </c>
      <c r="B1849" t="s">
        <v>1868</v>
      </c>
      <c r="C1849">
        <v>255</v>
      </c>
      <c r="D1849">
        <v>98</v>
      </c>
      <c r="E1849" t="s">
        <v>21</v>
      </c>
    </row>
    <row r="1850" spans="1:5" x14ac:dyDescent="0.35">
      <c r="A1850" t="s">
        <v>1854</v>
      </c>
      <c r="B1850" t="s">
        <v>1869</v>
      </c>
      <c r="C1850">
        <v>266</v>
      </c>
      <c r="D1850">
        <v>153</v>
      </c>
      <c r="E1850" t="s">
        <v>21</v>
      </c>
    </row>
    <row r="1851" spans="1:5" x14ac:dyDescent="0.35">
      <c r="A1851" t="s">
        <v>1854</v>
      </c>
      <c r="B1851" t="s">
        <v>1870</v>
      </c>
      <c r="C1851">
        <v>248</v>
      </c>
      <c r="D1851">
        <v>91</v>
      </c>
      <c r="E1851" t="s">
        <v>11</v>
      </c>
    </row>
    <row r="1852" spans="1:5" x14ac:dyDescent="0.35">
      <c r="A1852" t="s">
        <v>1854</v>
      </c>
      <c r="B1852" t="s">
        <v>1871</v>
      </c>
      <c r="C1852">
        <v>109</v>
      </c>
      <c r="D1852">
        <v>79</v>
      </c>
      <c r="E1852" t="s">
        <v>21</v>
      </c>
    </row>
    <row r="1853" spans="1:5" x14ac:dyDescent="0.35">
      <c r="A1853" t="s">
        <v>1854</v>
      </c>
      <c r="B1853" t="s">
        <v>1872</v>
      </c>
      <c r="C1853">
        <v>137</v>
      </c>
      <c r="D1853">
        <v>108</v>
      </c>
      <c r="E1853" t="s">
        <v>33</v>
      </c>
    </row>
    <row r="1854" spans="1:5" x14ac:dyDescent="0.35">
      <c r="A1854" t="s">
        <v>1854</v>
      </c>
      <c r="B1854" t="s">
        <v>1873</v>
      </c>
      <c r="C1854">
        <v>67</v>
      </c>
      <c r="D1854">
        <v>38</v>
      </c>
      <c r="E1854" t="s">
        <v>7</v>
      </c>
    </row>
    <row r="1855" spans="1:5" x14ac:dyDescent="0.35">
      <c r="A1855" t="s">
        <v>1854</v>
      </c>
      <c r="B1855" t="s">
        <v>1874</v>
      </c>
      <c r="C1855">
        <v>72</v>
      </c>
      <c r="D1855">
        <v>50</v>
      </c>
      <c r="E1855" t="s">
        <v>7</v>
      </c>
    </row>
    <row r="1856" spans="1:5" x14ac:dyDescent="0.35">
      <c r="A1856" t="s">
        <v>1854</v>
      </c>
      <c r="B1856" t="s">
        <v>1875</v>
      </c>
      <c r="C1856">
        <v>161</v>
      </c>
      <c r="D1856">
        <v>130</v>
      </c>
      <c r="E1856" t="s">
        <v>11</v>
      </c>
    </row>
    <row r="1857" spans="1:5" x14ac:dyDescent="0.35">
      <c r="A1857" t="s">
        <v>1854</v>
      </c>
      <c r="B1857" t="s">
        <v>1876</v>
      </c>
      <c r="C1857">
        <v>116</v>
      </c>
      <c r="D1857">
        <v>114</v>
      </c>
      <c r="E1857" t="s">
        <v>21</v>
      </c>
    </row>
    <row r="1858" spans="1:5" x14ac:dyDescent="0.35">
      <c r="A1858" t="s">
        <v>1854</v>
      </c>
      <c r="B1858" t="s">
        <v>1877</v>
      </c>
      <c r="C1858">
        <v>105</v>
      </c>
      <c r="D1858">
        <v>30</v>
      </c>
      <c r="E1858" t="s">
        <v>17</v>
      </c>
    </row>
    <row r="1859" spans="1:5" x14ac:dyDescent="0.35">
      <c r="A1859" t="s">
        <v>1854</v>
      </c>
      <c r="B1859" t="s">
        <v>1878</v>
      </c>
      <c r="C1859">
        <v>144</v>
      </c>
      <c r="D1859">
        <v>111</v>
      </c>
      <c r="E1859" t="s">
        <v>17</v>
      </c>
    </row>
    <row r="1860" spans="1:5" x14ac:dyDescent="0.35">
      <c r="A1860" t="s">
        <v>1854</v>
      </c>
      <c r="B1860" t="s">
        <v>1879</v>
      </c>
      <c r="C1860">
        <v>241</v>
      </c>
      <c r="D1860">
        <v>149</v>
      </c>
      <c r="E1860" t="s">
        <v>15</v>
      </c>
    </row>
    <row r="1861" spans="1:5" x14ac:dyDescent="0.35">
      <c r="A1861" t="s">
        <v>1854</v>
      </c>
      <c r="B1861" t="s">
        <v>1880</v>
      </c>
      <c r="C1861">
        <v>228</v>
      </c>
      <c r="D1861">
        <v>116</v>
      </c>
      <c r="E1861" t="s">
        <v>17</v>
      </c>
    </row>
    <row r="1862" spans="1:5" x14ac:dyDescent="0.35">
      <c r="A1862" t="s">
        <v>1854</v>
      </c>
      <c r="B1862" t="s">
        <v>1881</v>
      </c>
      <c r="C1862">
        <v>276</v>
      </c>
      <c r="D1862">
        <v>73</v>
      </c>
      <c r="E1862" t="s">
        <v>9</v>
      </c>
    </row>
    <row r="1863" spans="1:5" x14ac:dyDescent="0.35">
      <c r="A1863" t="s">
        <v>1854</v>
      </c>
      <c r="B1863" t="s">
        <v>1882</v>
      </c>
      <c r="C1863">
        <v>87</v>
      </c>
      <c r="D1863">
        <v>76</v>
      </c>
      <c r="E1863" t="s">
        <v>33</v>
      </c>
    </row>
    <row r="1864" spans="1:5" x14ac:dyDescent="0.35">
      <c r="A1864" t="s">
        <v>1854</v>
      </c>
      <c r="B1864" t="s">
        <v>1883</v>
      </c>
      <c r="C1864">
        <v>190</v>
      </c>
      <c r="D1864">
        <v>160</v>
      </c>
      <c r="E1864" t="s">
        <v>17</v>
      </c>
    </row>
    <row r="1865" spans="1:5" x14ac:dyDescent="0.35">
      <c r="A1865" t="s">
        <v>1854</v>
      </c>
      <c r="B1865" t="s">
        <v>1884</v>
      </c>
      <c r="C1865">
        <v>159</v>
      </c>
      <c r="D1865">
        <v>137</v>
      </c>
      <c r="E1865" t="s">
        <v>15</v>
      </c>
    </row>
    <row r="1866" spans="1:5" x14ac:dyDescent="0.35">
      <c r="A1866" t="s">
        <v>1854</v>
      </c>
      <c r="B1866" t="s">
        <v>1885</v>
      </c>
      <c r="C1866">
        <v>298</v>
      </c>
      <c r="D1866">
        <v>72</v>
      </c>
      <c r="E1866" t="s">
        <v>7</v>
      </c>
    </row>
    <row r="1867" spans="1:5" x14ac:dyDescent="0.35">
      <c r="A1867" t="s">
        <v>1854</v>
      </c>
      <c r="B1867" t="s">
        <v>1886</v>
      </c>
      <c r="C1867">
        <v>265</v>
      </c>
      <c r="D1867">
        <v>188</v>
      </c>
      <c r="E1867" t="s">
        <v>33</v>
      </c>
    </row>
    <row r="1868" spans="1:5" x14ac:dyDescent="0.35">
      <c r="A1868" t="s">
        <v>1854</v>
      </c>
      <c r="B1868" t="s">
        <v>1887</v>
      </c>
      <c r="C1868">
        <v>280</v>
      </c>
      <c r="D1868">
        <v>96</v>
      </c>
      <c r="E1868" t="s">
        <v>11</v>
      </c>
    </row>
    <row r="1869" spans="1:5" x14ac:dyDescent="0.35">
      <c r="A1869" t="s">
        <v>1854</v>
      </c>
      <c r="B1869" t="s">
        <v>1888</v>
      </c>
      <c r="C1869">
        <v>283</v>
      </c>
      <c r="D1869">
        <v>97</v>
      </c>
      <c r="E1869" t="s">
        <v>9</v>
      </c>
    </row>
    <row r="1870" spans="1:5" x14ac:dyDescent="0.35">
      <c r="A1870" t="s">
        <v>1854</v>
      </c>
      <c r="B1870" t="s">
        <v>1889</v>
      </c>
      <c r="C1870">
        <v>295</v>
      </c>
      <c r="D1870">
        <v>189</v>
      </c>
      <c r="E1870" t="s">
        <v>9</v>
      </c>
    </row>
    <row r="1871" spans="1:5" x14ac:dyDescent="0.35">
      <c r="A1871" t="s">
        <v>1854</v>
      </c>
      <c r="B1871" t="s">
        <v>1890</v>
      </c>
      <c r="C1871">
        <v>249</v>
      </c>
      <c r="D1871">
        <v>101</v>
      </c>
      <c r="E1871" t="s">
        <v>21</v>
      </c>
    </row>
    <row r="1872" spans="1:5" x14ac:dyDescent="0.35">
      <c r="A1872" t="s">
        <v>1854</v>
      </c>
      <c r="B1872" t="s">
        <v>1891</v>
      </c>
      <c r="C1872">
        <v>140</v>
      </c>
      <c r="D1872">
        <v>104</v>
      </c>
      <c r="E1872" t="s">
        <v>21</v>
      </c>
    </row>
    <row r="1873" spans="1:5" x14ac:dyDescent="0.35">
      <c r="A1873" t="s">
        <v>1854</v>
      </c>
      <c r="B1873" t="s">
        <v>1892</v>
      </c>
      <c r="C1873">
        <v>113</v>
      </c>
      <c r="D1873">
        <v>60</v>
      </c>
      <c r="E1873" t="s">
        <v>17</v>
      </c>
    </row>
    <row r="1874" spans="1:5" x14ac:dyDescent="0.35">
      <c r="A1874" t="s">
        <v>1854</v>
      </c>
      <c r="B1874" t="s">
        <v>1893</v>
      </c>
      <c r="C1874">
        <v>299</v>
      </c>
      <c r="D1874">
        <v>31</v>
      </c>
      <c r="E1874" t="s">
        <v>15</v>
      </c>
    </row>
    <row r="1875" spans="1:5" x14ac:dyDescent="0.35">
      <c r="A1875" t="s">
        <v>1854</v>
      </c>
      <c r="B1875" t="s">
        <v>1894</v>
      </c>
      <c r="C1875">
        <v>150</v>
      </c>
      <c r="D1875">
        <v>142</v>
      </c>
      <c r="E1875" t="s">
        <v>21</v>
      </c>
    </row>
    <row r="1876" spans="1:5" x14ac:dyDescent="0.35">
      <c r="A1876" t="s">
        <v>1854</v>
      </c>
      <c r="B1876" t="s">
        <v>1895</v>
      </c>
      <c r="C1876">
        <v>178</v>
      </c>
      <c r="D1876">
        <v>50</v>
      </c>
      <c r="E1876" t="s">
        <v>7</v>
      </c>
    </row>
    <row r="1877" spans="1:5" x14ac:dyDescent="0.35">
      <c r="A1877" t="s">
        <v>1854</v>
      </c>
      <c r="B1877" t="s">
        <v>1896</v>
      </c>
      <c r="C1877">
        <v>222</v>
      </c>
      <c r="D1877">
        <v>48</v>
      </c>
      <c r="E1877" t="s">
        <v>15</v>
      </c>
    </row>
    <row r="1878" spans="1:5" x14ac:dyDescent="0.35">
      <c r="A1878" t="s">
        <v>1854</v>
      </c>
      <c r="B1878" t="s">
        <v>1897</v>
      </c>
      <c r="C1878">
        <v>117</v>
      </c>
      <c r="D1878">
        <v>104</v>
      </c>
      <c r="E1878" t="s">
        <v>11</v>
      </c>
    </row>
    <row r="1879" spans="1:5" x14ac:dyDescent="0.35">
      <c r="A1879" t="s">
        <v>1854</v>
      </c>
      <c r="B1879" t="s">
        <v>1898</v>
      </c>
      <c r="C1879">
        <v>222</v>
      </c>
      <c r="D1879">
        <v>156</v>
      </c>
      <c r="E1879" t="s">
        <v>7</v>
      </c>
    </row>
    <row r="1880" spans="1:5" x14ac:dyDescent="0.35">
      <c r="A1880" t="s">
        <v>1854</v>
      </c>
      <c r="B1880" t="s">
        <v>1899</v>
      </c>
      <c r="C1880">
        <v>315</v>
      </c>
      <c r="D1880">
        <v>167</v>
      </c>
      <c r="E1880" t="s">
        <v>11</v>
      </c>
    </row>
    <row r="1881" spans="1:5" x14ac:dyDescent="0.35">
      <c r="A1881" t="s">
        <v>1854</v>
      </c>
      <c r="B1881" t="s">
        <v>1900</v>
      </c>
      <c r="C1881">
        <v>276</v>
      </c>
      <c r="D1881">
        <v>182</v>
      </c>
      <c r="E1881" t="s">
        <v>17</v>
      </c>
    </row>
    <row r="1882" spans="1:5" x14ac:dyDescent="0.35">
      <c r="A1882" t="s">
        <v>1854</v>
      </c>
      <c r="B1882" t="s">
        <v>1901</v>
      </c>
      <c r="C1882">
        <v>78</v>
      </c>
      <c r="D1882">
        <v>40</v>
      </c>
      <c r="E1882" t="s">
        <v>21</v>
      </c>
    </row>
    <row r="1883" spans="1:5" x14ac:dyDescent="0.35">
      <c r="A1883" t="s">
        <v>1854</v>
      </c>
      <c r="B1883" t="s">
        <v>1902</v>
      </c>
      <c r="C1883">
        <v>304</v>
      </c>
      <c r="D1883">
        <v>166</v>
      </c>
      <c r="E1883" t="s">
        <v>7</v>
      </c>
    </row>
    <row r="1884" spans="1:5" x14ac:dyDescent="0.35">
      <c r="A1884" t="s">
        <v>1854</v>
      </c>
      <c r="B1884" t="s">
        <v>1903</v>
      </c>
      <c r="C1884">
        <v>271</v>
      </c>
      <c r="D1884">
        <v>109</v>
      </c>
      <c r="E1884" t="s">
        <v>15</v>
      </c>
    </row>
    <row r="1885" spans="1:5" x14ac:dyDescent="0.35">
      <c r="A1885" t="s">
        <v>1854</v>
      </c>
      <c r="B1885" t="s">
        <v>1904</v>
      </c>
      <c r="C1885">
        <v>145</v>
      </c>
      <c r="D1885">
        <v>90</v>
      </c>
      <c r="E1885" t="s">
        <v>21</v>
      </c>
    </row>
    <row r="1886" spans="1:5" x14ac:dyDescent="0.35">
      <c r="A1886" t="s">
        <v>1854</v>
      </c>
      <c r="B1886" t="s">
        <v>1905</v>
      </c>
      <c r="C1886">
        <v>142</v>
      </c>
      <c r="D1886">
        <v>97</v>
      </c>
      <c r="E1886" t="s">
        <v>7</v>
      </c>
    </row>
    <row r="1887" spans="1:5" x14ac:dyDescent="0.35">
      <c r="A1887" t="s">
        <v>1854</v>
      </c>
      <c r="B1887" t="s">
        <v>1906</v>
      </c>
      <c r="C1887">
        <v>217</v>
      </c>
      <c r="D1887">
        <v>67</v>
      </c>
      <c r="E1887" t="s">
        <v>33</v>
      </c>
    </row>
    <row r="1888" spans="1:5" x14ac:dyDescent="0.35">
      <c r="A1888" t="s">
        <v>1854</v>
      </c>
      <c r="B1888" t="s">
        <v>1907</v>
      </c>
      <c r="C1888">
        <v>235</v>
      </c>
      <c r="D1888">
        <v>107</v>
      </c>
      <c r="E1888" t="s">
        <v>17</v>
      </c>
    </row>
    <row r="1889" spans="1:5" x14ac:dyDescent="0.35">
      <c r="A1889" t="s">
        <v>1854</v>
      </c>
      <c r="B1889" t="s">
        <v>1908</v>
      </c>
      <c r="C1889">
        <v>208</v>
      </c>
      <c r="D1889">
        <v>114</v>
      </c>
      <c r="E1889" t="s">
        <v>7</v>
      </c>
    </row>
    <row r="1890" spans="1:5" x14ac:dyDescent="0.35">
      <c r="A1890" t="s">
        <v>1854</v>
      </c>
      <c r="B1890" t="s">
        <v>1909</v>
      </c>
      <c r="C1890">
        <v>304</v>
      </c>
      <c r="D1890">
        <v>170</v>
      </c>
      <c r="E1890" t="s">
        <v>9</v>
      </c>
    </row>
    <row r="1891" spans="1:5" x14ac:dyDescent="0.35">
      <c r="A1891" t="s">
        <v>1854</v>
      </c>
      <c r="B1891" t="s">
        <v>1910</v>
      </c>
      <c r="C1891">
        <v>200</v>
      </c>
      <c r="D1891">
        <v>36</v>
      </c>
      <c r="E1891" t="s">
        <v>7</v>
      </c>
    </row>
    <row r="1892" spans="1:5" x14ac:dyDescent="0.35">
      <c r="A1892" t="s">
        <v>1854</v>
      </c>
      <c r="B1892" t="s">
        <v>1911</v>
      </c>
      <c r="C1892">
        <v>164</v>
      </c>
      <c r="D1892">
        <v>138</v>
      </c>
      <c r="E1892" t="s">
        <v>11</v>
      </c>
    </row>
    <row r="1893" spans="1:5" x14ac:dyDescent="0.35">
      <c r="A1893" t="s">
        <v>1854</v>
      </c>
      <c r="B1893" t="s">
        <v>1912</v>
      </c>
      <c r="C1893">
        <v>180</v>
      </c>
      <c r="D1893">
        <v>89</v>
      </c>
      <c r="E1893" t="s">
        <v>33</v>
      </c>
    </row>
    <row r="1894" spans="1:5" x14ac:dyDescent="0.35">
      <c r="A1894" t="s">
        <v>1854</v>
      </c>
      <c r="B1894" t="s">
        <v>1913</v>
      </c>
      <c r="C1894">
        <v>222</v>
      </c>
      <c r="D1894">
        <v>162</v>
      </c>
      <c r="E1894" t="s">
        <v>11</v>
      </c>
    </row>
    <row r="1895" spans="1:5" x14ac:dyDescent="0.35">
      <c r="A1895" t="s">
        <v>1854</v>
      </c>
      <c r="B1895" t="s">
        <v>1914</v>
      </c>
      <c r="C1895">
        <v>228</v>
      </c>
      <c r="D1895">
        <v>127</v>
      </c>
      <c r="E1895" t="s">
        <v>21</v>
      </c>
    </row>
    <row r="1896" spans="1:5" x14ac:dyDescent="0.35">
      <c r="A1896" t="s">
        <v>1854</v>
      </c>
      <c r="B1896" t="s">
        <v>1915</v>
      </c>
      <c r="C1896">
        <v>287</v>
      </c>
      <c r="D1896">
        <v>59</v>
      </c>
      <c r="E1896" t="s">
        <v>15</v>
      </c>
    </row>
    <row r="1897" spans="1:5" x14ac:dyDescent="0.35">
      <c r="A1897" t="s">
        <v>1854</v>
      </c>
      <c r="B1897" t="s">
        <v>1916</v>
      </c>
      <c r="C1897">
        <v>142</v>
      </c>
      <c r="D1897">
        <v>131</v>
      </c>
      <c r="E1897" t="s">
        <v>11</v>
      </c>
    </row>
    <row r="1898" spans="1:5" x14ac:dyDescent="0.35">
      <c r="A1898" t="s">
        <v>1854</v>
      </c>
      <c r="B1898" t="s">
        <v>1917</v>
      </c>
      <c r="C1898">
        <v>320</v>
      </c>
      <c r="D1898">
        <v>123</v>
      </c>
      <c r="E1898" t="s">
        <v>11</v>
      </c>
    </row>
    <row r="1899" spans="1:5" x14ac:dyDescent="0.35">
      <c r="A1899" t="s">
        <v>1854</v>
      </c>
      <c r="B1899" t="s">
        <v>1918</v>
      </c>
      <c r="C1899">
        <v>172</v>
      </c>
      <c r="D1899">
        <v>74</v>
      </c>
      <c r="E1899" t="s">
        <v>33</v>
      </c>
    </row>
    <row r="1900" spans="1:5" x14ac:dyDescent="0.35">
      <c r="A1900" t="s">
        <v>1854</v>
      </c>
      <c r="B1900" t="s">
        <v>1919</v>
      </c>
      <c r="C1900">
        <v>156</v>
      </c>
      <c r="D1900">
        <v>33</v>
      </c>
      <c r="E1900" t="s">
        <v>17</v>
      </c>
    </row>
    <row r="1901" spans="1:5" x14ac:dyDescent="0.35">
      <c r="A1901" t="s">
        <v>1854</v>
      </c>
      <c r="B1901" t="s">
        <v>1920</v>
      </c>
      <c r="C1901">
        <v>228</v>
      </c>
      <c r="D1901">
        <v>91</v>
      </c>
      <c r="E1901" t="s">
        <v>33</v>
      </c>
    </row>
    <row r="1902" spans="1:5" x14ac:dyDescent="0.35">
      <c r="A1902" t="s">
        <v>1854</v>
      </c>
      <c r="B1902" t="s">
        <v>1921</v>
      </c>
      <c r="C1902">
        <v>170</v>
      </c>
      <c r="D1902">
        <v>33</v>
      </c>
      <c r="E1902" t="s">
        <v>15</v>
      </c>
    </row>
    <row r="1903" spans="1:5" x14ac:dyDescent="0.35">
      <c r="A1903" t="s">
        <v>1854</v>
      </c>
      <c r="B1903" t="s">
        <v>1922</v>
      </c>
      <c r="C1903">
        <v>239</v>
      </c>
      <c r="D1903">
        <v>172</v>
      </c>
      <c r="E1903" t="s">
        <v>15</v>
      </c>
    </row>
    <row r="1904" spans="1:5" x14ac:dyDescent="0.35">
      <c r="A1904" t="s">
        <v>1854</v>
      </c>
      <c r="B1904" t="s">
        <v>1923</v>
      </c>
      <c r="C1904">
        <v>159</v>
      </c>
      <c r="D1904">
        <v>89</v>
      </c>
      <c r="E1904" t="s">
        <v>15</v>
      </c>
    </row>
    <row r="1905" spans="1:5" x14ac:dyDescent="0.35">
      <c r="A1905" t="s">
        <v>1854</v>
      </c>
      <c r="B1905" t="s">
        <v>1924</v>
      </c>
      <c r="C1905">
        <v>311</v>
      </c>
      <c r="D1905">
        <v>146</v>
      </c>
      <c r="E1905" t="s">
        <v>33</v>
      </c>
    </row>
    <row r="1906" spans="1:5" x14ac:dyDescent="0.35">
      <c r="A1906" t="s">
        <v>1854</v>
      </c>
      <c r="B1906" t="s">
        <v>1925</v>
      </c>
      <c r="C1906">
        <v>165</v>
      </c>
      <c r="D1906">
        <v>142</v>
      </c>
      <c r="E1906" t="s">
        <v>9</v>
      </c>
    </row>
    <row r="1907" spans="1:5" x14ac:dyDescent="0.35">
      <c r="A1907" t="s">
        <v>1854</v>
      </c>
      <c r="B1907" t="s">
        <v>1926</v>
      </c>
      <c r="C1907">
        <v>161</v>
      </c>
      <c r="D1907">
        <v>56</v>
      </c>
      <c r="E1907" t="s">
        <v>11</v>
      </c>
    </row>
    <row r="1908" spans="1:5" x14ac:dyDescent="0.35">
      <c r="A1908" t="s">
        <v>1854</v>
      </c>
      <c r="B1908" t="s">
        <v>1927</v>
      </c>
      <c r="C1908">
        <v>278</v>
      </c>
      <c r="D1908">
        <v>140</v>
      </c>
      <c r="E1908" t="s">
        <v>33</v>
      </c>
    </row>
    <row r="1909" spans="1:5" x14ac:dyDescent="0.35">
      <c r="A1909" t="s">
        <v>1854</v>
      </c>
      <c r="B1909" t="s">
        <v>1928</v>
      </c>
      <c r="C1909">
        <v>131</v>
      </c>
      <c r="D1909">
        <v>31</v>
      </c>
      <c r="E1909" t="s">
        <v>11</v>
      </c>
    </row>
    <row r="1910" spans="1:5" x14ac:dyDescent="0.35">
      <c r="A1910" t="s">
        <v>1854</v>
      </c>
      <c r="B1910" t="s">
        <v>1929</v>
      </c>
      <c r="C1910">
        <v>258</v>
      </c>
      <c r="D1910">
        <v>107</v>
      </c>
      <c r="E1910" t="s">
        <v>11</v>
      </c>
    </row>
    <row r="1911" spans="1:5" x14ac:dyDescent="0.35">
      <c r="A1911" t="s">
        <v>1854</v>
      </c>
      <c r="B1911" t="s">
        <v>1930</v>
      </c>
      <c r="C1911">
        <v>225</v>
      </c>
      <c r="D1911">
        <v>184</v>
      </c>
      <c r="E1911" t="s">
        <v>21</v>
      </c>
    </row>
    <row r="1912" spans="1:5" x14ac:dyDescent="0.35">
      <c r="A1912" t="s">
        <v>1854</v>
      </c>
      <c r="B1912" t="s">
        <v>1931</v>
      </c>
      <c r="C1912">
        <v>259</v>
      </c>
      <c r="D1912">
        <v>89</v>
      </c>
      <c r="E1912" t="s">
        <v>17</v>
      </c>
    </row>
    <row r="1913" spans="1:5" x14ac:dyDescent="0.35">
      <c r="A1913" t="s">
        <v>1854</v>
      </c>
      <c r="B1913" t="s">
        <v>1932</v>
      </c>
      <c r="C1913">
        <v>276</v>
      </c>
      <c r="D1913">
        <v>76</v>
      </c>
      <c r="E1913" t="s">
        <v>15</v>
      </c>
    </row>
    <row r="1914" spans="1:5" x14ac:dyDescent="0.35">
      <c r="A1914" t="s">
        <v>1854</v>
      </c>
      <c r="B1914" t="s">
        <v>1933</v>
      </c>
      <c r="C1914">
        <v>283</v>
      </c>
      <c r="D1914">
        <v>147</v>
      </c>
      <c r="E1914" t="s">
        <v>15</v>
      </c>
    </row>
    <row r="1915" spans="1:5" x14ac:dyDescent="0.35">
      <c r="A1915" t="s">
        <v>1854</v>
      </c>
      <c r="B1915" t="s">
        <v>1934</v>
      </c>
      <c r="C1915">
        <v>138</v>
      </c>
      <c r="D1915">
        <v>82</v>
      </c>
      <c r="E1915" t="s">
        <v>21</v>
      </c>
    </row>
    <row r="1916" spans="1:5" x14ac:dyDescent="0.35">
      <c r="A1916" t="s">
        <v>1854</v>
      </c>
      <c r="B1916" t="s">
        <v>1935</v>
      </c>
      <c r="C1916">
        <v>307</v>
      </c>
      <c r="D1916">
        <v>81</v>
      </c>
      <c r="E1916" t="s">
        <v>33</v>
      </c>
    </row>
    <row r="1917" spans="1:5" x14ac:dyDescent="0.35">
      <c r="A1917" t="s">
        <v>1854</v>
      </c>
      <c r="B1917" t="s">
        <v>1936</v>
      </c>
      <c r="C1917">
        <v>150</v>
      </c>
      <c r="D1917">
        <v>103</v>
      </c>
      <c r="E1917" t="s">
        <v>11</v>
      </c>
    </row>
    <row r="1918" spans="1:5" x14ac:dyDescent="0.35">
      <c r="A1918" t="s">
        <v>1854</v>
      </c>
      <c r="B1918" t="s">
        <v>1937</v>
      </c>
      <c r="C1918">
        <v>100</v>
      </c>
      <c r="D1918">
        <v>99</v>
      </c>
      <c r="E1918" t="s">
        <v>15</v>
      </c>
    </row>
    <row r="1919" spans="1:5" x14ac:dyDescent="0.35">
      <c r="A1919" t="s">
        <v>1854</v>
      </c>
      <c r="B1919" t="s">
        <v>1938</v>
      </c>
      <c r="C1919">
        <v>114</v>
      </c>
      <c r="D1919">
        <v>108</v>
      </c>
      <c r="E1919" t="s">
        <v>21</v>
      </c>
    </row>
    <row r="1920" spans="1:5" x14ac:dyDescent="0.35">
      <c r="A1920" t="s">
        <v>1854</v>
      </c>
      <c r="B1920" t="s">
        <v>1939</v>
      </c>
      <c r="C1920">
        <v>219</v>
      </c>
      <c r="D1920">
        <v>99</v>
      </c>
      <c r="E1920" t="s">
        <v>17</v>
      </c>
    </row>
    <row r="1921" spans="1:5" x14ac:dyDescent="0.35">
      <c r="A1921" t="s">
        <v>1854</v>
      </c>
      <c r="B1921" t="s">
        <v>1940</v>
      </c>
      <c r="C1921">
        <v>227</v>
      </c>
      <c r="D1921">
        <v>190</v>
      </c>
      <c r="E1921" t="s">
        <v>15</v>
      </c>
    </row>
    <row r="1922" spans="1:5" x14ac:dyDescent="0.35">
      <c r="A1922" t="s">
        <v>1854</v>
      </c>
      <c r="B1922" t="s">
        <v>1941</v>
      </c>
      <c r="C1922">
        <v>94</v>
      </c>
      <c r="D1922">
        <v>66</v>
      </c>
      <c r="E1922" t="s">
        <v>9</v>
      </c>
    </row>
    <row r="1923" spans="1:5" x14ac:dyDescent="0.35">
      <c r="A1923" t="s">
        <v>1854</v>
      </c>
      <c r="B1923" t="s">
        <v>1942</v>
      </c>
      <c r="C1923">
        <v>168</v>
      </c>
      <c r="D1923">
        <v>85</v>
      </c>
      <c r="E1923" t="s">
        <v>15</v>
      </c>
    </row>
    <row r="1924" spans="1:5" x14ac:dyDescent="0.35">
      <c r="A1924" t="s">
        <v>1854</v>
      </c>
      <c r="B1924" t="s">
        <v>1943</v>
      </c>
      <c r="C1924">
        <v>282</v>
      </c>
      <c r="D1924">
        <v>143</v>
      </c>
      <c r="E1924" t="s">
        <v>7</v>
      </c>
    </row>
    <row r="1925" spans="1:5" x14ac:dyDescent="0.35">
      <c r="A1925" t="s">
        <v>1854</v>
      </c>
      <c r="B1925" t="s">
        <v>1944</v>
      </c>
      <c r="C1925">
        <v>176</v>
      </c>
      <c r="D1925">
        <v>40</v>
      </c>
      <c r="E1925" t="s">
        <v>11</v>
      </c>
    </row>
    <row r="1926" spans="1:5" x14ac:dyDescent="0.35">
      <c r="A1926" t="s">
        <v>1854</v>
      </c>
      <c r="B1926" t="s">
        <v>1945</v>
      </c>
      <c r="C1926">
        <v>229</v>
      </c>
      <c r="D1926">
        <v>189</v>
      </c>
      <c r="E1926" t="s">
        <v>15</v>
      </c>
    </row>
    <row r="1927" spans="1:5" x14ac:dyDescent="0.35">
      <c r="A1927" t="s">
        <v>1854</v>
      </c>
      <c r="B1927" t="s">
        <v>1946</v>
      </c>
      <c r="C1927">
        <v>301</v>
      </c>
      <c r="D1927">
        <v>170</v>
      </c>
      <c r="E1927" t="s">
        <v>21</v>
      </c>
    </row>
    <row r="1928" spans="1:5" x14ac:dyDescent="0.35">
      <c r="A1928" t="s">
        <v>1854</v>
      </c>
      <c r="B1928" t="s">
        <v>1947</v>
      </c>
      <c r="C1928">
        <v>269</v>
      </c>
      <c r="D1928">
        <v>141</v>
      </c>
      <c r="E1928" t="s">
        <v>7</v>
      </c>
    </row>
    <row r="1929" spans="1:5" x14ac:dyDescent="0.35">
      <c r="A1929" t="s">
        <v>1854</v>
      </c>
      <c r="B1929" t="s">
        <v>1948</v>
      </c>
      <c r="C1929">
        <v>206</v>
      </c>
      <c r="D1929">
        <v>127</v>
      </c>
      <c r="E1929" t="s">
        <v>15</v>
      </c>
    </row>
    <row r="1930" spans="1:5" x14ac:dyDescent="0.35">
      <c r="A1930" t="s">
        <v>1854</v>
      </c>
      <c r="B1930" t="s">
        <v>1949</v>
      </c>
      <c r="C1930">
        <v>173</v>
      </c>
      <c r="D1930">
        <v>145</v>
      </c>
      <c r="E1930" t="s">
        <v>7</v>
      </c>
    </row>
    <row r="1931" spans="1:5" x14ac:dyDescent="0.35">
      <c r="A1931" t="s">
        <v>1854</v>
      </c>
      <c r="B1931" t="s">
        <v>1950</v>
      </c>
      <c r="C1931">
        <v>158</v>
      </c>
      <c r="D1931">
        <v>79</v>
      </c>
      <c r="E1931" t="s">
        <v>7</v>
      </c>
    </row>
    <row r="1932" spans="1:5" x14ac:dyDescent="0.35">
      <c r="A1932" t="s">
        <v>1854</v>
      </c>
      <c r="B1932" t="s">
        <v>1951</v>
      </c>
      <c r="C1932">
        <v>308</v>
      </c>
      <c r="D1932">
        <v>38</v>
      </c>
      <c r="E1932" t="s">
        <v>21</v>
      </c>
    </row>
    <row r="1933" spans="1:5" x14ac:dyDescent="0.35">
      <c r="A1933" t="s">
        <v>1854</v>
      </c>
      <c r="B1933" t="s">
        <v>1952</v>
      </c>
      <c r="C1933">
        <v>208</v>
      </c>
      <c r="D1933">
        <v>147</v>
      </c>
      <c r="E1933" t="s">
        <v>15</v>
      </c>
    </row>
    <row r="1934" spans="1:5" x14ac:dyDescent="0.35">
      <c r="A1934" t="s">
        <v>1854</v>
      </c>
      <c r="B1934" t="s">
        <v>1953</v>
      </c>
      <c r="C1934">
        <v>57</v>
      </c>
      <c r="D1934">
        <v>37</v>
      </c>
      <c r="E1934" t="s">
        <v>17</v>
      </c>
    </row>
    <row r="1935" spans="1:5" x14ac:dyDescent="0.35">
      <c r="A1935" t="s">
        <v>1854</v>
      </c>
      <c r="B1935" t="s">
        <v>1954</v>
      </c>
      <c r="C1935">
        <v>225</v>
      </c>
      <c r="D1935">
        <v>185</v>
      </c>
      <c r="E1935" t="s">
        <v>33</v>
      </c>
    </row>
    <row r="1936" spans="1:5" x14ac:dyDescent="0.35">
      <c r="A1936" t="s">
        <v>1854</v>
      </c>
      <c r="B1936" t="s">
        <v>1955</v>
      </c>
      <c r="C1936">
        <v>125</v>
      </c>
      <c r="D1936">
        <v>85</v>
      </c>
      <c r="E1936" t="s">
        <v>17</v>
      </c>
    </row>
    <row r="1937" spans="1:5" x14ac:dyDescent="0.35">
      <c r="A1937" t="s">
        <v>1854</v>
      </c>
      <c r="B1937" t="s">
        <v>1956</v>
      </c>
      <c r="C1937">
        <v>307</v>
      </c>
      <c r="D1937">
        <v>155</v>
      </c>
      <c r="E1937" t="s">
        <v>9</v>
      </c>
    </row>
    <row r="1938" spans="1:5" x14ac:dyDescent="0.35">
      <c r="A1938" t="s">
        <v>1854</v>
      </c>
      <c r="B1938" t="s">
        <v>1957</v>
      </c>
      <c r="C1938">
        <v>282</v>
      </c>
      <c r="D1938">
        <v>57</v>
      </c>
      <c r="E1938" t="s">
        <v>9</v>
      </c>
    </row>
    <row r="1939" spans="1:5" x14ac:dyDescent="0.35">
      <c r="A1939" t="s">
        <v>1854</v>
      </c>
      <c r="B1939" t="s">
        <v>1958</v>
      </c>
      <c r="C1939">
        <v>277</v>
      </c>
      <c r="D1939">
        <v>76</v>
      </c>
      <c r="E1939" t="s">
        <v>17</v>
      </c>
    </row>
    <row r="1940" spans="1:5" x14ac:dyDescent="0.35">
      <c r="A1940" t="s">
        <v>1854</v>
      </c>
      <c r="B1940" t="s">
        <v>1959</v>
      </c>
      <c r="C1940">
        <v>115</v>
      </c>
      <c r="D1940">
        <v>36</v>
      </c>
      <c r="E1940" t="s">
        <v>21</v>
      </c>
    </row>
    <row r="1941" spans="1:5" x14ac:dyDescent="0.35">
      <c r="A1941" t="s">
        <v>1854</v>
      </c>
      <c r="B1941" t="s">
        <v>1960</v>
      </c>
      <c r="C1941">
        <v>196</v>
      </c>
      <c r="D1941">
        <v>89</v>
      </c>
      <c r="E1941" t="s">
        <v>17</v>
      </c>
    </row>
    <row r="1942" spans="1:5" x14ac:dyDescent="0.35">
      <c r="A1942" t="s">
        <v>1854</v>
      </c>
      <c r="B1942" t="s">
        <v>1961</v>
      </c>
      <c r="C1942">
        <v>208</v>
      </c>
      <c r="D1942">
        <v>75</v>
      </c>
      <c r="E1942" t="s">
        <v>17</v>
      </c>
    </row>
    <row r="1943" spans="1:5" x14ac:dyDescent="0.35">
      <c r="A1943" t="s">
        <v>1854</v>
      </c>
      <c r="B1943" t="s">
        <v>1962</v>
      </c>
      <c r="C1943">
        <v>294</v>
      </c>
      <c r="D1943">
        <v>162</v>
      </c>
      <c r="E1943" t="s">
        <v>9</v>
      </c>
    </row>
    <row r="1944" spans="1:5" x14ac:dyDescent="0.35">
      <c r="A1944" t="s">
        <v>1854</v>
      </c>
      <c r="B1944" t="s">
        <v>1963</v>
      </c>
      <c r="C1944">
        <v>149</v>
      </c>
      <c r="D1944">
        <v>32</v>
      </c>
      <c r="E1944" t="s">
        <v>17</v>
      </c>
    </row>
    <row r="1945" spans="1:5" x14ac:dyDescent="0.35">
      <c r="A1945" t="s">
        <v>1854</v>
      </c>
      <c r="B1945" t="s">
        <v>1964</v>
      </c>
      <c r="C1945">
        <v>299</v>
      </c>
      <c r="D1945">
        <v>58</v>
      </c>
      <c r="E1945" t="s">
        <v>15</v>
      </c>
    </row>
    <row r="1946" spans="1:5" x14ac:dyDescent="0.35">
      <c r="A1946" t="s">
        <v>1854</v>
      </c>
      <c r="B1946" t="s">
        <v>1965</v>
      </c>
      <c r="C1946">
        <v>284</v>
      </c>
      <c r="D1946">
        <v>162</v>
      </c>
      <c r="E1946" t="s">
        <v>33</v>
      </c>
    </row>
    <row r="1947" spans="1:5" x14ac:dyDescent="0.35">
      <c r="A1947" t="s">
        <v>1854</v>
      </c>
      <c r="B1947" t="s">
        <v>1966</v>
      </c>
      <c r="C1947">
        <v>256</v>
      </c>
      <c r="D1947">
        <v>184</v>
      </c>
      <c r="E1947" t="s">
        <v>11</v>
      </c>
    </row>
    <row r="1948" spans="1:5" x14ac:dyDescent="0.35">
      <c r="A1948" t="s">
        <v>1854</v>
      </c>
      <c r="B1948" t="s">
        <v>1967</v>
      </c>
      <c r="C1948">
        <v>215</v>
      </c>
      <c r="D1948">
        <v>69</v>
      </c>
      <c r="E1948" t="s">
        <v>11</v>
      </c>
    </row>
    <row r="1949" spans="1:5" x14ac:dyDescent="0.35">
      <c r="A1949" t="s">
        <v>1854</v>
      </c>
      <c r="B1949" t="s">
        <v>1968</v>
      </c>
      <c r="C1949">
        <v>198</v>
      </c>
      <c r="D1949">
        <v>190</v>
      </c>
      <c r="E1949" t="s">
        <v>15</v>
      </c>
    </row>
    <row r="1950" spans="1:5" x14ac:dyDescent="0.35">
      <c r="A1950" t="s">
        <v>1854</v>
      </c>
      <c r="B1950" t="s">
        <v>1969</v>
      </c>
      <c r="C1950">
        <v>170</v>
      </c>
      <c r="D1950">
        <v>102</v>
      </c>
      <c r="E1950" t="s">
        <v>15</v>
      </c>
    </row>
    <row r="1951" spans="1:5" x14ac:dyDescent="0.35">
      <c r="A1951" t="s">
        <v>1854</v>
      </c>
      <c r="B1951" t="s">
        <v>1970</v>
      </c>
      <c r="C1951">
        <v>206</v>
      </c>
      <c r="D1951">
        <v>133</v>
      </c>
      <c r="E1951" t="s">
        <v>7</v>
      </c>
    </row>
    <row r="1952" spans="1:5" x14ac:dyDescent="0.35">
      <c r="A1952" t="s">
        <v>1854</v>
      </c>
      <c r="B1952" t="s">
        <v>1971</v>
      </c>
      <c r="C1952">
        <v>113</v>
      </c>
      <c r="D1952">
        <v>67</v>
      </c>
      <c r="E1952" t="s">
        <v>21</v>
      </c>
    </row>
    <row r="1953" spans="1:5" x14ac:dyDescent="0.35">
      <c r="A1953" t="s">
        <v>1854</v>
      </c>
      <c r="B1953" t="s">
        <v>1972</v>
      </c>
      <c r="C1953">
        <v>305</v>
      </c>
      <c r="D1953">
        <v>62</v>
      </c>
      <c r="E1953" t="s">
        <v>21</v>
      </c>
    </row>
    <row r="1954" spans="1:5" x14ac:dyDescent="0.35">
      <c r="A1954" t="s">
        <v>1854</v>
      </c>
      <c r="B1954" t="s">
        <v>1973</v>
      </c>
      <c r="C1954">
        <v>188</v>
      </c>
      <c r="D1954">
        <v>118</v>
      </c>
      <c r="E1954" t="s">
        <v>11</v>
      </c>
    </row>
    <row r="1955" spans="1:5" x14ac:dyDescent="0.35">
      <c r="A1955" t="s">
        <v>1854</v>
      </c>
      <c r="B1955" t="s">
        <v>1974</v>
      </c>
      <c r="C1955">
        <v>123</v>
      </c>
      <c r="D1955">
        <v>65</v>
      </c>
      <c r="E1955" t="s">
        <v>7</v>
      </c>
    </row>
    <row r="1956" spans="1:5" x14ac:dyDescent="0.35">
      <c r="A1956" t="s">
        <v>1854</v>
      </c>
      <c r="B1956" t="s">
        <v>1975</v>
      </c>
      <c r="C1956">
        <v>224</v>
      </c>
      <c r="D1956">
        <v>118</v>
      </c>
      <c r="E1956" t="s">
        <v>33</v>
      </c>
    </row>
    <row r="1957" spans="1:5" x14ac:dyDescent="0.35">
      <c r="A1957" t="s">
        <v>1854</v>
      </c>
      <c r="B1957" t="s">
        <v>1976</v>
      </c>
      <c r="C1957">
        <v>307</v>
      </c>
      <c r="D1957">
        <v>173</v>
      </c>
      <c r="E1957" t="s">
        <v>11</v>
      </c>
    </row>
    <row r="1958" spans="1:5" x14ac:dyDescent="0.35">
      <c r="A1958" t="s">
        <v>1854</v>
      </c>
      <c r="B1958" t="s">
        <v>1977</v>
      </c>
      <c r="C1958">
        <v>245</v>
      </c>
      <c r="D1958">
        <v>86</v>
      </c>
      <c r="E1958" t="s">
        <v>21</v>
      </c>
    </row>
    <row r="1959" spans="1:5" x14ac:dyDescent="0.35">
      <c r="A1959" t="s">
        <v>1854</v>
      </c>
      <c r="B1959" t="s">
        <v>1978</v>
      </c>
      <c r="C1959">
        <v>306</v>
      </c>
      <c r="D1959">
        <v>173</v>
      </c>
      <c r="E1959" t="s">
        <v>9</v>
      </c>
    </row>
    <row r="1960" spans="1:5" x14ac:dyDescent="0.35">
      <c r="A1960" t="s">
        <v>1854</v>
      </c>
      <c r="B1960" t="s">
        <v>1979</v>
      </c>
      <c r="C1960">
        <v>248</v>
      </c>
      <c r="D1960">
        <v>102</v>
      </c>
      <c r="E1960" t="s">
        <v>33</v>
      </c>
    </row>
    <row r="1961" spans="1:5" x14ac:dyDescent="0.35">
      <c r="A1961" t="s">
        <v>1854</v>
      </c>
      <c r="B1961" t="s">
        <v>1980</v>
      </c>
      <c r="C1961">
        <v>190</v>
      </c>
      <c r="D1961">
        <v>104</v>
      </c>
      <c r="E1961" t="s">
        <v>17</v>
      </c>
    </row>
    <row r="1962" spans="1:5" x14ac:dyDescent="0.35">
      <c r="A1962" t="s">
        <v>1854</v>
      </c>
      <c r="B1962" t="s">
        <v>1981</v>
      </c>
      <c r="C1962">
        <v>310</v>
      </c>
      <c r="D1962">
        <v>171</v>
      </c>
      <c r="E1962" t="s">
        <v>33</v>
      </c>
    </row>
    <row r="1963" spans="1:5" x14ac:dyDescent="0.35">
      <c r="A1963" t="s">
        <v>1854</v>
      </c>
      <c r="B1963" t="s">
        <v>1982</v>
      </c>
      <c r="C1963">
        <v>263</v>
      </c>
      <c r="D1963">
        <v>58</v>
      </c>
      <c r="E1963" t="s">
        <v>15</v>
      </c>
    </row>
    <row r="1964" spans="1:5" x14ac:dyDescent="0.35">
      <c r="A1964" t="s">
        <v>1854</v>
      </c>
      <c r="B1964" t="s">
        <v>1983</v>
      </c>
      <c r="C1964">
        <v>259</v>
      </c>
      <c r="D1964">
        <v>85</v>
      </c>
      <c r="E1964" t="s">
        <v>21</v>
      </c>
    </row>
    <row r="1965" spans="1:5" x14ac:dyDescent="0.35">
      <c r="A1965" t="s">
        <v>1854</v>
      </c>
      <c r="B1965" t="s">
        <v>1984</v>
      </c>
      <c r="C1965">
        <v>201</v>
      </c>
      <c r="D1965">
        <v>156</v>
      </c>
      <c r="E1965" t="s">
        <v>17</v>
      </c>
    </row>
    <row r="1966" spans="1:5" x14ac:dyDescent="0.35">
      <c r="A1966" t="s">
        <v>1854</v>
      </c>
      <c r="B1966" t="s">
        <v>1985</v>
      </c>
      <c r="C1966">
        <v>164</v>
      </c>
      <c r="D1966">
        <v>155</v>
      </c>
      <c r="E1966" t="s">
        <v>21</v>
      </c>
    </row>
    <row r="1967" spans="1:5" x14ac:dyDescent="0.35">
      <c r="A1967" t="s">
        <v>1854</v>
      </c>
      <c r="B1967" t="s">
        <v>1986</v>
      </c>
      <c r="C1967">
        <v>283</v>
      </c>
      <c r="D1967">
        <v>168</v>
      </c>
      <c r="E1967" t="s">
        <v>15</v>
      </c>
    </row>
    <row r="1968" spans="1:5" x14ac:dyDescent="0.35">
      <c r="A1968" t="s">
        <v>1854</v>
      </c>
      <c r="B1968" t="s">
        <v>1987</v>
      </c>
      <c r="C1968">
        <v>279</v>
      </c>
      <c r="D1968">
        <v>46</v>
      </c>
      <c r="E1968" t="s">
        <v>21</v>
      </c>
    </row>
    <row r="1969" spans="1:5" x14ac:dyDescent="0.35">
      <c r="A1969" t="s">
        <v>1854</v>
      </c>
      <c r="B1969" t="s">
        <v>1988</v>
      </c>
      <c r="C1969">
        <v>129</v>
      </c>
      <c r="D1969">
        <v>118</v>
      </c>
      <c r="E1969" t="s">
        <v>21</v>
      </c>
    </row>
    <row r="1970" spans="1:5" x14ac:dyDescent="0.35">
      <c r="A1970" t="s">
        <v>1854</v>
      </c>
      <c r="B1970" t="s">
        <v>1989</v>
      </c>
      <c r="C1970">
        <v>106</v>
      </c>
      <c r="D1970">
        <v>77</v>
      </c>
      <c r="E1970" t="s">
        <v>33</v>
      </c>
    </row>
    <row r="1971" spans="1:5" x14ac:dyDescent="0.35">
      <c r="A1971" t="s">
        <v>1854</v>
      </c>
      <c r="B1971" t="s">
        <v>1990</v>
      </c>
      <c r="C1971">
        <v>141</v>
      </c>
      <c r="D1971">
        <v>119</v>
      </c>
      <c r="E1971" t="s">
        <v>21</v>
      </c>
    </row>
    <row r="1972" spans="1:5" x14ac:dyDescent="0.35">
      <c r="A1972" t="s">
        <v>1854</v>
      </c>
      <c r="B1972" t="s">
        <v>1991</v>
      </c>
      <c r="C1972">
        <v>70</v>
      </c>
      <c r="D1972">
        <v>40</v>
      </c>
      <c r="E1972" t="s">
        <v>33</v>
      </c>
    </row>
    <row r="1973" spans="1:5" x14ac:dyDescent="0.35">
      <c r="A1973" t="s">
        <v>1854</v>
      </c>
      <c r="B1973" t="s">
        <v>1992</v>
      </c>
      <c r="C1973">
        <v>95</v>
      </c>
      <c r="D1973">
        <v>73</v>
      </c>
      <c r="E1973" t="s">
        <v>11</v>
      </c>
    </row>
    <row r="1974" spans="1:5" x14ac:dyDescent="0.35">
      <c r="A1974" t="s">
        <v>1854</v>
      </c>
      <c r="B1974" t="s">
        <v>1993</v>
      </c>
      <c r="C1974">
        <v>201</v>
      </c>
      <c r="D1974">
        <v>106</v>
      </c>
      <c r="E1974" t="s">
        <v>15</v>
      </c>
    </row>
    <row r="1975" spans="1:5" x14ac:dyDescent="0.35">
      <c r="A1975" t="s">
        <v>1854</v>
      </c>
      <c r="B1975" t="s">
        <v>1994</v>
      </c>
      <c r="C1975">
        <v>129</v>
      </c>
      <c r="D1975">
        <v>68</v>
      </c>
      <c r="E1975" t="s">
        <v>33</v>
      </c>
    </row>
    <row r="1976" spans="1:5" x14ac:dyDescent="0.35">
      <c r="A1976" t="s">
        <v>1854</v>
      </c>
      <c r="B1976" t="s">
        <v>1995</v>
      </c>
      <c r="C1976">
        <v>171</v>
      </c>
      <c r="D1976">
        <v>132</v>
      </c>
      <c r="E1976" t="s">
        <v>21</v>
      </c>
    </row>
    <row r="1977" spans="1:5" x14ac:dyDescent="0.35">
      <c r="A1977" t="s">
        <v>1854</v>
      </c>
      <c r="B1977" t="s">
        <v>1996</v>
      </c>
      <c r="C1977">
        <v>181</v>
      </c>
      <c r="D1977">
        <v>91</v>
      </c>
      <c r="E1977" t="s">
        <v>21</v>
      </c>
    </row>
    <row r="1978" spans="1:5" x14ac:dyDescent="0.35">
      <c r="A1978" t="s">
        <v>1854</v>
      </c>
      <c r="B1978" t="s">
        <v>1997</v>
      </c>
      <c r="C1978">
        <v>276</v>
      </c>
      <c r="D1978">
        <v>147</v>
      </c>
      <c r="E1978" t="s">
        <v>11</v>
      </c>
    </row>
    <row r="1979" spans="1:5" x14ac:dyDescent="0.35">
      <c r="A1979" t="s">
        <v>1854</v>
      </c>
      <c r="B1979" t="s">
        <v>1998</v>
      </c>
      <c r="C1979">
        <v>271</v>
      </c>
      <c r="D1979">
        <v>104</v>
      </c>
      <c r="E1979" t="s">
        <v>9</v>
      </c>
    </row>
    <row r="1980" spans="1:5" x14ac:dyDescent="0.35">
      <c r="A1980" t="s">
        <v>1854</v>
      </c>
      <c r="B1980" t="s">
        <v>1999</v>
      </c>
      <c r="C1980">
        <v>318</v>
      </c>
      <c r="D1980">
        <v>155</v>
      </c>
      <c r="E1980" t="s">
        <v>33</v>
      </c>
    </row>
    <row r="1981" spans="1:5" x14ac:dyDescent="0.35">
      <c r="A1981" t="s">
        <v>1854</v>
      </c>
      <c r="B1981" t="s">
        <v>2000</v>
      </c>
      <c r="C1981">
        <v>152</v>
      </c>
      <c r="D1981">
        <v>120</v>
      </c>
      <c r="E1981" t="s">
        <v>7</v>
      </c>
    </row>
    <row r="1982" spans="1:5" x14ac:dyDescent="0.35">
      <c r="A1982" t="s">
        <v>1854</v>
      </c>
      <c r="B1982" t="s">
        <v>2001</v>
      </c>
      <c r="C1982">
        <v>81</v>
      </c>
      <c r="D1982">
        <v>40</v>
      </c>
      <c r="E1982" t="s">
        <v>9</v>
      </c>
    </row>
    <row r="1983" spans="1:5" x14ac:dyDescent="0.35">
      <c r="A1983" t="s">
        <v>1854</v>
      </c>
      <c r="B1983" t="s">
        <v>2002</v>
      </c>
      <c r="C1983">
        <v>293</v>
      </c>
      <c r="D1983">
        <v>186</v>
      </c>
      <c r="E1983" t="s">
        <v>15</v>
      </c>
    </row>
    <row r="1984" spans="1:5" x14ac:dyDescent="0.35">
      <c r="A1984" t="s">
        <v>1854</v>
      </c>
      <c r="B1984" t="s">
        <v>2003</v>
      </c>
      <c r="C1984">
        <v>319</v>
      </c>
      <c r="D1984">
        <v>186</v>
      </c>
      <c r="E1984" t="s">
        <v>7</v>
      </c>
    </row>
    <row r="1985" spans="1:5" x14ac:dyDescent="0.35">
      <c r="A1985" t="s">
        <v>1854</v>
      </c>
      <c r="B1985" t="s">
        <v>2004</v>
      </c>
      <c r="C1985">
        <v>137</v>
      </c>
      <c r="D1985">
        <v>109</v>
      </c>
      <c r="E1985" t="s">
        <v>17</v>
      </c>
    </row>
    <row r="1986" spans="1:5" x14ac:dyDescent="0.35">
      <c r="A1986" t="s">
        <v>1854</v>
      </c>
      <c r="B1986" t="s">
        <v>2005</v>
      </c>
      <c r="C1986">
        <v>256</v>
      </c>
      <c r="D1986">
        <v>166</v>
      </c>
      <c r="E1986" t="s">
        <v>15</v>
      </c>
    </row>
    <row r="1987" spans="1:5" x14ac:dyDescent="0.35">
      <c r="A1987" t="s">
        <v>1854</v>
      </c>
      <c r="B1987" t="s">
        <v>2006</v>
      </c>
      <c r="C1987">
        <v>208</v>
      </c>
      <c r="D1987">
        <v>145</v>
      </c>
      <c r="E1987" t="s">
        <v>9</v>
      </c>
    </row>
    <row r="1988" spans="1:5" x14ac:dyDescent="0.35">
      <c r="A1988" t="s">
        <v>1854</v>
      </c>
      <c r="B1988" t="s">
        <v>2007</v>
      </c>
      <c r="C1988">
        <v>82</v>
      </c>
      <c r="D1988">
        <v>60</v>
      </c>
      <c r="E1988" t="s">
        <v>7</v>
      </c>
    </row>
    <row r="1989" spans="1:5" x14ac:dyDescent="0.35">
      <c r="A1989" t="s">
        <v>1854</v>
      </c>
      <c r="B1989" t="s">
        <v>2008</v>
      </c>
      <c r="C1989">
        <v>318</v>
      </c>
      <c r="D1989">
        <v>91</v>
      </c>
      <c r="E1989" t="s">
        <v>17</v>
      </c>
    </row>
    <row r="1990" spans="1:5" x14ac:dyDescent="0.35">
      <c r="A1990" t="s">
        <v>1854</v>
      </c>
      <c r="B1990" t="s">
        <v>2009</v>
      </c>
      <c r="C1990">
        <v>231</v>
      </c>
      <c r="D1990">
        <v>84</v>
      </c>
      <c r="E1990" t="s">
        <v>15</v>
      </c>
    </row>
    <row r="1991" spans="1:5" x14ac:dyDescent="0.35">
      <c r="A1991" t="s">
        <v>1854</v>
      </c>
      <c r="B1991" t="s">
        <v>2010</v>
      </c>
      <c r="C1991">
        <v>173</v>
      </c>
      <c r="D1991">
        <v>70</v>
      </c>
      <c r="E1991" t="s">
        <v>9</v>
      </c>
    </row>
    <row r="1992" spans="1:5" x14ac:dyDescent="0.35">
      <c r="A1992" t="s">
        <v>1854</v>
      </c>
      <c r="B1992" t="s">
        <v>2011</v>
      </c>
      <c r="C1992">
        <v>52</v>
      </c>
      <c r="D1992">
        <v>47</v>
      </c>
      <c r="E1992" t="s">
        <v>17</v>
      </c>
    </row>
    <row r="1993" spans="1:5" x14ac:dyDescent="0.35">
      <c r="A1993" t="s">
        <v>1854</v>
      </c>
      <c r="B1993" t="s">
        <v>2012</v>
      </c>
      <c r="C1993">
        <v>278</v>
      </c>
      <c r="D1993">
        <v>160</v>
      </c>
      <c r="E1993" t="s">
        <v>33</v>
      </c>
    </row>
    <row r="1994" spans="1:5" x14ac:dyDescent="0.35">
      <c r="A1994" t="s">
        <v>1854</v>
      </c>
      <c r="B1994" t="s">
        <v>2013</v>
      </c>
      <c r="C1994">
        <v>149</v>
      </c>
      <c r="D1994">
        <v>68</v>
      </c>
      <c r="E1994" t="s">
        <v>9</v>
      </c>
    </row>
    <row r="1995" spans="1:5" x14ac:dyDescent="0.35">
      <c r="A1995" t="s">
        <v>1854</v>
      </c>
      <c r="B1995" t="s">
        <v>2014</v>
      </c>
      <c r="C1995">
        <v>287</v>
      </c>
      <c r="D1995">
        <v>136</v>
      </c>
      <c r="E1995" t="s">
        <v>33</v>
      </c>
    </row>
    <row r="1996" spans="1:5" x14ac:dyDescent="0.35">
      <c r="A1996" t="s">
        <v>1854</v>
      </c>
      <c r="B1996" t="s">
        <v>2015</v>
      </c>
      <c r="C1996">
        <v>159</v>
      </c>
      <c r="D1996">
        <v>73</v>
      </c>
      <c r="E1996" t="s">
        <v>21</v>
      </c>
    </row>
    <row r="1997" spans="1:5" x14ac:dyDescent="0.35">
      <c r="A1997" t="s">
        <v>1854</v>
      </c>
      <c r="B1997" t="s">
        <v>2016</v>
      </c>
      <c r="C1997">
        <v>107</v>
      </c>
      <c r="D1997">
        <v>48</v>
      </c>
      <c r="E1997" t="s">
        <v>15</v>
      </c>
    </row>
    <row r="1998" spans="1:5" x14ac:dyDescent="0.35">
      <c r="A1998" t="s">
        <v>1854</v>
      </c>
      <c r="B1998" t="s">
        <v>2017</v>
      </c>
      <c r="C1998">
        <v>194</v>
      </c>
      <c r="D1998">
        <v>108</v>
      </c>
      <c r="E1998" t="s">
        <v>33</v>
      </c>
    </row>
    <row r="1999" spans="1:5" x14ac:dyDescent="0.35">
      <c r="A1999" t="s">
        <v>1854</v>
      </c>
      <c r="B1999" t="s">
        <v>2018</v>
      </c>
      <c r="C1999">
        <v>202</v>
      </c>
      <c r="D1999">
        <v>92</v>
      </c>
      <c r="E1999" t="s">
        <v>21</v>
      </c>
    </row>
    <row r="2000" spans="1:5" x14ac:dyDescent="0.35">
      <c r="A2000" t="s">
        <v>1854</v>
      </c>
      <c r="B2000" t="s">
        <v>2019</v>
      </c>
      <c r="C2000">
        <v>225</v>
      </c>
      <c r="D2000">
        <v>185</v>
      </c>
      <c r="E2000" t="s">
        <v>15</v>
      </c>
    </row>
    <row r="2001" spans="1:5" x14ac:dyDescent="0.35">
      <c r="A2001" t="s">
        <v>1854</v>
      </c>
      <c r="B2001" t="s">
        <v>2020</v>
      </c>
      <c r="C2001">
        <v>157</v>
      </c>
      <c r="D2001">
        <v>100</v>
      </c>
      <c r="E2001" t="s">
        <v>11</v>
      </c>
    </row>
    <row r="2002" spans="1:5" x14ac:dyDescent="0.35">
      <c r="A2002" t="s">
        <v>1854</v>
      </c>
      <c r="B2002" t="s">
        <v>2021</v>
      </c>
      <c r="C2002">
        <v>261</v>
      </c>
      <c r="D2002">
        <v>186</v>
      </c>
      <c r="E2002" t="s">
        <v>7</v>
      </c>
    </row>
    <row r="2003" spans="1:5" x14ac:dyDescent="0.35">
      <c r="A2003" t="s">
        <v>1854</v>
      </c>
      <c r="B2003" t="s">
        <v>2022</v>
      </c>
      <c r="C2003">
        <v>295</v>
      </c>
      <c r="D2003">
        <v>57</v>
      </c>
      <c r="E2003" t="s">
        <v>11</v>
      </c>
    </row>
    <row r="2004" spans="1:5" x14ac:dyDescent="0.35">
      <c r="A2004" t="s">
        <v>1854</v>
      </c>
      <c r="B2004" t="s">
        <v>2023</v>
      </c>
      <c r="C2004">
        <v>218</v>
      </c>
      <c r="D2004">
        <v>64</v>
      </c>
      <c r="E2004" t="s">
        <v>33</v>
      </c>
    </row>
    <row r="2005" spans="1:5" x14ac:dyDescent="0.35">
      <c r="A2005" t="s">
        <v>1854</v>
      </c>
      <c r="B2005" t="s">
        <v>2024</v>
      </c>
      <c r="C2005">
        <v>239</v>
      </c>
      <c r="D2005">
        <v>177</v>
      </c>
      <c r="E2005" t="s">
        <v>21</v>
      </c>
    </row>
    <row r="2006" spans="1:5" x14ac:dyDescent="0.35">
      <c r="A2006" t="s">
        <v>1854</v>
      </c>
      <c r="B2006" t="s">
        <v>2025</v>
      </c>
      <c r="C2006">
        <v>198</v>
      </c>
      <c r="D2006">
        <v>132</v>
      </c>
      <c r="E2006" t="s">
        <v>15</v>
      </c>
    </row>
    <row r="2007" spans="1:5" x14ac:dyDescent="0.35">
      <c r="A2007" t="s">
        <v>1854</v>
      </c>
      <c r="B2007" t="s">
        <v>2026</v>
      </c>
      <c r="C2007">
        <v>170</v>
      </c>
      <c r="D2007">
        <v>34</v>
      </c>
      <c r="E2007" t="s">
        <v>11</v>
      </c>
    </row>
    <row r="2008" spans="1:5" x14ac:dyDescent="0.35">
      <c r="A2008" t="s">
        <v>1854</v>
      </c>
      <c r="B2008" t="s">
        <v>2027</v>
      </c>
      <c r="C2008">
        <v>257</v>
      </c>
      <c r="D2008">
        <v>160</v>
      </c>
      <c r="E2008" t="s">
        <v>11</v>
      </c>
    </row>
    <row r="2009" spans="1:5" x14ac:dyDescent="0.35">
      <c r="A2009" t="s">
        <v>1854</v>
      </c>
      <c r="B2009" t="s">
        <v>2028</v>
      </c>
      <c r="C2009">
        <v>306</v>
      </c>
      <c r="D2009">
        <v>186</v>
      </c>
      <c r="E2009" t="s">
        <v>17</v>
      </c>
    </row>
    <row r="2010" spans="1:5" x14ac:dyDescent="0.35">
      <c r="A2010" t="s">
        <v>1854</v>
      </c>
      <c r="B2010" t="s">
        <v>2029</v>
      </c>
      <c r="C2010">
        <v>216</v>
      </c>
      <c r="D2010">
        <v>37</v>
      </c>
      <c r="E2010" t="s">
        <v>9</v>
      </c>
    </row>
    <row r="2011" spans="1:5" x14ac:dyDescent="0.35">
      <c r="A2011" t="s">
        <v>1854</v>
      </c>
      <c r="B2011" t="s">
        <v>2030</v>
      </c>
      <c r="C2011">
        <v>296</v>
      </c>
      <c r="D2011">
        <v>188</v>
      </c>
      <c r="E2011" t="s">
        <v>9</v>
      </c>
    </row>
    <row r="2012" spans="1:5" x14ac:dyDescent="0.35">
      <c r="A2012" t="s">
        <v>1854</v>
      </c>
      <c r="B2012" t="s">
        <v>2031</v>
      </c>
      <c r="C2012">
        <v>245</v>
      </c>
      <c r="D2012">
        <v>190</v>
      </c>
      <c r="E2012" t="s">
        <v>17</v>
      </c>
    </row>
    <row r="2013" spans="1:5" x14ac:dyDescent="0.35">
      <c r="A2013" t="s">
        <v>1854</v>
      </c>
      <c r="B2013" t="s">
        <v>2032</v>
      </c>
      <c r="C2013">
        <v>197</v>
      </c>
      <c r="D2013">
        <v>57</v>
      </c>
      <c r="E2013" t="s">
        <v>33</v>
      </c>
    </row>
    <row r="2014" spans="1:5" x14ac:dyDescent="0.35">
      <c r="A2014" t="s">
        <v>1854</v>
      </c>
      <c r="B2014" t="s">
        <v>2033</v>
      </c>
      <c r="C2014">
        <v>127</v>
      </c>
      <c r="D2014">
        <v>58</v>
      </c>
      <c r="E2014" t="s">
        <v>7</v>
      </c>
    </row>
    <row r="2015" spans="1:5" x14ac:dyDescent="0.35">
      <c r="A2015" t="s">
        <v>1854</v>
      </c>
      <c r="B2015" t="s">
        <v>2034</v>
      </c>
      <c r="C2015">
        <v>213</v>
      </c>
      <c r="D2015">
        <v>108</v>
      </c>
      <c r="E2015" t="s">
        <v>9</v>
      </c>
    </row>
    <row r="2016" spans="1:5" x14ac:dyDescent="0.35">
      <c r="A2016" t="s">
        <v>1854</v>
      </c>
      <c r="B2016" t="s">
        <v>2035</v>
      </c>
      <c r="C2016">
        <v>180</v>
      </c>
      <c r="D2016">
        <v>123</v>
      </c>
      <c r="E2016" t="s">
        <v>15</v>
      </c>
    </row>
    <row r="2017" spans="1:5" x14ac:dyDescent="0.35">
      <c r="A2017" t="s">
        <v>1854</v>
      </c>
      <c r="B2017" t="s">
        <v>2036</v>
      </c>
      <c r="C2017">
        <v>263</v>
      </c>
      <c r="D2017">
        <v>61</v>
      </c>
      <c r="E2017" t="s">
        <v>21</v>
      </c>
    </row>
    <row r="2018" spans="1:5" x14ac:dyDescent="0.35">
      <c r="A2018" t="s">
        <v>1854</v>
      </c>
      <c r="B2018" t="s">
        <v>2037</v>
      </c>
      <c r="C2018">
        <v>177</v>
      </c>
      <c r="D2018">
        <v>137</v>
      </c>
      <c r="E2018" t="s">
        <v>21</v>
      </c>
    </row>
    <row r="2019" spans="1:5" x14ac:dyDescent="0.35">
      <c r="A2019" t="s">
        <v>1854</v>
      </c>
      <c r="B2019" t="s">
        <v>2038</v>
      </c>
      <c r="C2019">
        <v>146</v>
      </c>
      <c r="D2019">
        <v>120</v>
      </c>
      <c r="E2019" t="s">
        <v>15</v>
      </c>
    </row>
    <row r="2020" spans="1:5" x14ac:dyDescent="0.35">
      <c r="A2020" t="s">
        <v>1854</v>
      </c>
      <c r="B2020" t="s">
        <v>2039</v>
      </c>
      <c r="C2020">
        <v>262</v>
      </c>
      <c r="D2020">
        <v>109</v>
      </c>
      <c r="E2020" t="s">
        <v>15</v>
      </c>
    </row>
    <row r="2021" spans="1:5" x14ac:dyDescent="0.35">
      <c r="A2021" t="s">
        <v>1854</v>
      </c>
      <c r="B2021" t="s">
        <v>2040</v>
      </c>
      <c r="C2021">
        <v>291</v>
      </c>
      <c r="D2021">
        <v>81</v>
      </c>
      <c r="E2021" t="s">
        <v>21</v>
      </c>
    </row>
    <row r="2022" spans="1:5" x14ac:dyDescent="0.35">
      <c r="A2022" t="s">
        <v>1854</v>
      </c>
      <c r="B2022" t="s">
        <v>2041</v>
      </c>
      <c r="C2022">
        <v>239</v>
      </c>
      <c r="D2022">
        <v>98</v>
      </c>
      <c r="E2022" t="s">
        <v>33</v>
      </c>
    </row>
    <row r="2023" spans="1:5" x14ac:dyDescent="0.35">
      <c r="A2023" t="s">
        <v>1854</v>
      </c>
      <c r="B2023" t="s">
        <v>2042</v>
      </c>
      <c r="C2023">
        <v>234</v>
      </c>
      <c r="D2023">
        <v>97</v>
      </c>
      <c r="E2023" t="s">
        <v>17</v>
      </c>
    </row>
    <row r="2024" spans="1:5" x14ac:dyDescent="0.35">
      <c r="A2024" t="s">
        <v>1854</v>
      </c>
      <c r="B2024" t="s">
        <v>2043</v>
      </c>
      <c r="C2024">
        <v>176</v>
      </c>
      <c r="D2024">
        <v>155</v>
      </c>
      <c r="E2024" t="s">
        <v>17</v>
      </c>
    </row>
    <row r="2025" spans="1:5" x14ac:dyDescent="0.35">
      <c r="A2025" t="s">
        <v>1854</v>
      </c>
      <c r="B2025" t="s">
        <v>2044</v>
      </c>
      <c r="C2025">
        <v>54</v>
      </c>
      <c r="D2025">
        <v>44</v>
      </c>
      <c r="E2025" t="s">
        <v>21</v>
      </c>
    </row>
    <row r="2026" spans="1:5" x14ac:dyDescent="0.35">
      <c r="A2026" t="s">
        <v>1854</v>
      </c>
      <c r="B2026" t="s">
        <v>2045</v>
      </c>
      <c r="C2026">
        <v>278</v>
      </c>
      <c r="D2026">
        <v>167</v>
      </c>
      <c r="E2026" t="s">
        <v>21</v>
      </c>
    </row>
    <row r="2027" spans="1:5" x14ac:dyDescent="0.35">
      <c r="A2027" t="s">
        <v>1854</v>
      </c>
      <c r="B2027" t="s">
        <v>2046</v>
      </c>
      <c r="C2027">
        <v>189</v>
      </c>
      <c r="D2027">
        <v>148</v>
      </c>
      <c r="E2027" t="s">
        <v>21</v>
      </c>
    </row>
    <row r="2028" spans="1:5" x14ac:dyDescent="0.35">
      <c r="A2028" t="s">
        <v>1854</v>
      </c>
      <c r="B2028" t="s">
        <v>2047</v>
      </c>
      <c r="C2028">
        <v>240</v>
      </c>
      <c r="D2028">
        <v>100</v>
      </c>
      <c r="E2028" t="s">
        <v>17</v>
      </c>
    </row>
    <row r="2029" spans="1:5" x14ac:dyDescent="0.35">
      <c r="A2029" t="s">
        <v>1854</v>
      </c>
      <c r="B2029" t="s">
        <v>2048</v>
      </c>
      <c r="C2029">
        <v>198</v>
      </c>
      <c r="D2029">
        <v>150</v>
      </c>
      <c r="E2029" t="s">
        <v>15</v>
      </c>
    </row>
    <row r="2030" spans="1:5" x14ac:dyDescent="0.35">
      <c r="A2030" t="s">
        <v>1854</v>
      </c>
      <c r="B2030" t="s">
        <v>2049</v>
      </c>
      <c r="C2030">
        <v>107</v>
      </c>
      <c r="D2030">
        <v>55</v>
      </c>
      <c r="E2030" t="s">
        <v>21</v>
      </c>
    </row>
    <row r="2031" spans="1:5" x14ac:dyDescent="0.35">
      <c r="A2031" t="s">
        <v>1854</v>
      </c>
      <c r="B2031" t="s">
        <v>2050</v>
      </c>
      <c r="C2031">
        <v>279</v>
      </c>
      <c r="D2031">
        <v>49</v>
      </c>
      <c r="E2031" t="s">
        <v>7</v>
      </c>
    </row>
    <row r="2032" spans="1:5" x14ac:dyDescent="0.35">
      <c r="A2032" t="s">
        <v>1854</v>
      </c>
      <c r="B2032" t="s">
        <v>2051</v>
      </c>
      <c r="C2032">
        <v>213</v>
      </c>
      <c r="D2032">
        <v>89</v>
      </c>
      <c r="E2032" t="s">
        <v>15</v>
      </c>
    </row>
    <row r="2033" spans="1:5" x14ac:dyDescent="0.35">
      <c r="A2033" t="s">
        <v>1854</v>
      </c>
      <c r="B2033" t="s">
        <v>2052</v>
      </c>
      <c r="C2033">
        <v>292</v>
      </c>
      <c r="D2033">
        <v>158</v>
      </c>
      <c r="E2033" t="s">
        <v>15</v>
      </c>
    </row>
    <row r="2034" spans="1:5" x14ac:dyDescent="0.35">
      <c r="A2034" t="s">
        <v>1854</v>
      </c>
      <c r="B2034" t="s">
        <v>2053</v>
      </c>
      <c r="C2034">
        <v>256</v>
      </c>
      <c r="D2034">
        <v>139</v>
      </c>
      <c r="E2034" t="s">
        <v>17</v>
      </c>
    </row>
    <row r="2035" spans="1:5" x14ac:dyDescent="0.35">
      <c r="A2035" t="s">
        <v>1854</v>
      </c>
      <c r="B2035" t="s">
        <v>2054</v>
      </c>
      <c r="C2035">
        <v>161</v>
      </c>
      <c r="D2035">
        <v>155</v>
      </c>
      <c r="E2035" t="s">
        <v>7</v>
      </c>
    </row>
    <row r="2036" spans="1:5" x14ac:dyDescent="0.35">
      <c r="A2036" t="s">
        <v>1854</v>
      </c>
      <c r="B2036" t="s">
        <v>2055</v>
      </c>
      <c r="C2036">
        <v>289</v>
      </c>
      <c r="D2036">
        <v>123</v>
      </c>
      <c r="E2036" t="s">
        <v>11</v>
      </c>
    </row>
    <row r="2037" spans="1:5" x14ac:dyDescent="0.35">
      <c r="A2037" t="s">
        <v>1854</v>
      </c>
      <c r="B2037" t="s">
        <v>2056</v>
      </c>
      <c r="C2037">
        <v>190</v>
      </c>
      <c r="D2037">
        <v>179</v>
      </c>
      <c r="E2037" t="s">
        <v>9</v>
      </c>
    </row>
    <row r="2038" spans="1:5" x14ac:dyDescent="0.35">
      <c r="A2038" t="s">
        <v>1854</v>
      </c>
      <c r="B2038" t="s">
        <v>2057</v>
      </c>
      <c r="C2038">
        <v>178</v>
      </c>
      <c r="D2038">
        <v>32</v>
      </c>
      <c r="E2038" t="s">
        <v>33</v>
      </c>
    </row>
    <row r="2039" spans="1:5" x14ac:dyDescent="0.35">
      <c r="A2039" t="s">
        <v>1854</v>
      </c>
      <c r="B2039" t="s">
        <v>2058</v>
      </c>
      <c r="C2039">
        <v>305</v>
      </c>
      <c r="D2039">
        <v>94</v>
      </c>
      <c r="E2039" t="s">
        <v>7</v>
      </c>
    </row>
    <row r="2040" spans="1:5" x14ac:dyDescent="0.35">
      <c r="A2040" t="s">
        <v>1854</v>
      </c>
      <c r="B2040" t="s">
        <v>2059</v>
      </c>
      <c r="C2040">
        <v>127</v>
      </c>
      <c r="D2040">
        <v>100</v>
      </c>
      <c r="E2040" t="s">
        <v>7</v>
      </c>
    </row>
    <row r="2041" spans="1:5" x14ac:dyDescent="0.35">
      <c r="A2041" t="s">
        <v>1854</v>
      </c>
      <c r="B2041" t="s">
        <v>2060</v>
      </c>
      <c r="C2041">
        <v>319</v>
      </c>
      <c r="D2041">
        <v>130</v>
      </c>
      <c r="E2041" t="s">
        <v>11</v>
      </c>
    </row>
    <row r="2042" spans="1:5" x14ac:dyDescent="0.35">
      <c r="A2042" t="s">
        <v>1854</v>
      </c>
      <c r="B2042" t="s">
        <v>2061</v>
      </c>
      <c r="C2042">
        <v>151</v>
      </c>
      <c r="D2042">
        <v>103</v>
      </c>
      <c r="E2042" t="s">
        <v>15</v>
      </c>
    </row>
    <row r="2043" spans="1:5" x14ac:dyDescent="0.35">
      <c r="A2043" t="s">
        <v>1854</v>
      </c>
      <c r="B2043" t="s">
        <v>2062</v>
      </c>
      <c r="C2043">
        <v>255</v>
      </c>
      <c r="D2043">
        <v>187</v>
      </c>
      <c r="E2043" t="s">
        <v>9</v>
      </c>
    </row>
    <row r="2044" spans="1:5" x14ac:dyDescent="0.35">
      <c r="A2044" t="s">
        <v>1854</v>
      </c>
      <c r="B2044" t="s">
        <v>2063</v>
      </c>
      <c r="C2044">
        <v>258</v>
      </c>
      <c r="D2044">
        <v>36</v>
      </c>
      <c r="E2044" t="s">
        <v>7</v>
      </c>
    </row>
    <row r="2045" spans="1:5" x14ac:dyDescent="0.35">
      <c r="A2045" t="s">
        <v>1854</v>
      </c>
      <c r="B2045" t="s">
        <v>2064</v>
      </c>
      <c r="C2045">
        <v>208</v>
      </c>
      <c r="D2045">
        <v>185</v>
      </c>
      <c r="E2045" t="s">
        <v>17</v>
      </c>
    </row>
    <row r="2046" spans="1:5" x14ac:dyDescent="0.35">
      <c r="A2046" t="s">
        <v>2065</v>
      </c>
      <c r="B2046" t="s">
        <v>2066</v>
      </c>
      <c r="C2046">
        <v>287</v>
      </c>
      <c r="D2046">
        <v>67</v>
      </c>
      <c r="E2046" t="s">
        <v>17</v>
      </c>
    </row>
    <row r="2047" spans="1:5" x14ac:dyDescent="0.35">
      <c r="A2047" t="s">
        <v>2065</v>
      </c>
      <c r="B2047" t="s">
        <v>2067</v>
      </c>
      <c r="C2047">
        <v>108</v>
      </c>
      <c r="D2047">
        <v>62</v>
      </c>
      <c r="E2047" t="s">
        <v>7</v>
      </c>
    </row>
    <row r="2048" spans="1:5" x14ac:dyDescent="0.35">
      <c r="A2048" t="s">
        <v>2065</v>
      </c>
      <c r="B2048" t="s">
        <v>2068</v>
      </c>
      <c r="C2048">
        <v>305</v>
      </c>
      <c r="D2048">
        <v>72</v>
      </c>
      <c r="E2048" t="s">
        <v>17</v>
      </c>
    </row>
    <row r="2049" spans="1:5" x14ac:dyDescent="0.35">
      <c r="A2049" t="s">
        <v>2065</v>
      </c>
      <c r="B2049" t="s">
        <v>2069</v>
      </c>
      <c r="C2049">
        <v>155</v>
      </c>
      <c r="D2049">
        <v>120</v>
      </c>
      <c r="E2049" t="s">
        <v>17</v>
      </c>
    </row>
    <row r="2050" spans="1:5" x14ac:dyDescent="0.35">
      <c r="A2050" t="s">
        <v>2065</v>
      </c>
      <c r="B2050" t="s">
        <v>2070</v>
      </c>
      <c r="C2050">
        <v>177</v>
      </c>
      <c r="D2050">
        <v>146</v>
      </c>
      <c r="E2050" t="s">
        <v>33</v>
      </c>
    </row>
    <row r="2051" spans="1:5" x14ac:dyDescent="0.35">
      <c r="A2051" t="s">
        <v>2065</v>
      </c>
      <c r="B2051" t="s">
        <v>2071</v>
      </c>
      <c r="C2051">
        <v>260</v>
      </c>
      <c r="D2051">
        <v>79</v>
      </c>
      <c r="E2051" t="s">
        <v>7</v>
      </c>
    </row>
    <row r="2052" spans="1:5" x14ac:dyDescent="0.35">
      <c r="A2052" t="s">
        <v>2065</v>
      </c>
      <c r="B2052" t="s">
        <v>2072</v>
      </c>
      <c r="C2052">
        <v>243</v>
      </c>
      <c r="D2052">
        <v>128</v>
      </c>
      <c r="E2052" t="s">
        <v>17</v>
      </c>
    </row>
    <row r="2053" spans="1:5" x14ac:dyDescent="0.35">
      <c r="A2053" t="s">
        <v>2065</v>
      </c>
      <c r="B2053" t="s">
        <v>2073</v>
      </c>
      <c r="C2053">
        <v>314</v>
      </c>
      <c r="D2053">
        <v>186</v>
      </c>
      <c r="E2053" t="s">
        <v>7</v>
      </c>
    </row>
    <row r="2054" spans="1:5" x14ac:dyDescent="0.35">
      <c r="A2054" t="s">
        <v>2065</v>
      </c>
      <c r="B2054" t="s">
        <v>2074</v>
      </c>
      <c r="C2054">
        <v>95</v>
      </c>
      <c r="D2054">
        <v>74</v>
      </c>
      <c r="E2054" t="s">
        <v>15</v>
      </c>
    </row>
    <row r="2055" spans="1:5" x14ac:dyDescent="0.35">
      <c r="A2055" t="s">
        <v>2065</v>
      </c>
      <c r="B2055" t="s">
        <v>2075</v>
      </c>
      <c r="C2055">
        <v>241</v>
      </c>
      <c r="D2055">
        <v>182</v>
      </c>
      <c r="E2055" t="s">
        <v>17</v>
      </c>
    </row>
    <row r="2056" spans="1:5" x14ac:dyDescent="0.35">
      <c r="A2056" t="s">
        <v>2065</v>
      </c>
      <c r="B2056" t="s">
        <v>2076</v>
      </c>
      <c r="C2056">
        <v>187</v>
      </c>
      <c r="D2056">
        <v>80</v>
      </c>
      <c r="E2056" t="s">
        <v>9</v>
      </c>
    </row>
    <row r="2057" spans="1:5" x14ac:dyDescent="0.35">
      <c r="A2057" t="s">
        <v>2065</v>
      </c>
      <c r="B2057" t="s">
        <v>2077</v>
      </c>
      <c r="C2057">
        <v>67</v>
      </c>
      <c r="D2057">
        <v>38</v>
      </c>
      <c r="E2057" t="s">
        <v>17</v>
      </c>
    </row>
    <row r="2058" spans="1:5" x14ac:dyDescent="0.35">
      <c r="A2058" t="s">
        <v>2065</v>
      </c>
      <c r="B2058" t="s">
        <v>2078</v>
      </c>
      <c r="C2058">
        <v>293</v>
      </c>
      <c r="D2058">
        <v>163</v>
      </c>
      <c r="E2058" t="s">
        <v>33</v>
      </c>
    </row>
    <row r="2059" spans="1:5" x14ac:dyDescent="0.35">
      <c r="A2059" t="s">
        <v>2065</v>
      </c>
      <c r="B2059" t="s">
        <v>2079</v>
      </c>
      <c r="C2059">
        <v>319</v>
      </c>
      <c r="D2059">
        <v>109</v>
      </c>
      <c r="E2059" t="s">
        <v>7</v>
      </c>
    </row>
    <row r="2060" spans="1:5" x14ac:dyDescent="0.35">
      <c r="A2060" t="s">
        <v>2065</v>
      </c>
      <c r="B2060" t="s">
        <v>2080</v>
      </c>
      <c r="C2060">
        <v>255</v>
      </c>
      <c r="D2060">
        <v>101</v>
      </c>
      <c r="E2060" t="s">
        <v>15</v>
      </c>
    </row>
    <row r="2061" spans="1:5" x14ac:dyDescent="0.35">
      <c r="A2061" t="s">
        <v>2065</v>
      </c>
      <c r="B2061" t="s">
        <v>2081</v>
      </c>
      <c r="C2061">
        <v>173</v>
      </c>
      <c r="D2061">
        <v>64</v>
      </c>
      <c r="E2061" t="s">
        <v>17</v>
      </c>
    </row>
    <row r="2062" spans="1:5" x14ac:dyDescent="0.35">
      <c r="A2062" t="s">
        <v>2065</v>
      </c>
      <c r="B2062" t="s">
        <v>2082</v>
      </c>
      <c r="C2062">
        <v>171</v>
      </c>
      <c r="D2062">
        <v>151</v>
      </c>
      <c r="E2062" t="s">
        <v>7</v>
      </c>
    </row>
    <row r="2063" spans="1:5" x14ac:dyDescent="0.35">
      <c r="A2063" t="s">
        <v>2065</v>
      </c>
      <c r="B2063" t="s">
        <v>2083</v>
      </c>
      <c r="C2063">
        <v>229</v>
      </c>
      <c r="D2063">
        <v>67</v>
      </c>
      <c r="E2063" t="s">
        <v>21</v>
      </c>
    </row>
    <row r="2064" spans="1:5" x14ac:dyDescent="0.35">
      <c r="A2064" t="s">
        <v>2065</v>
      </c>
      <c r="B2064" t="s">
        <v>2084</v>
      </c>
      <c r="C2064">
        <v>262</v>
      </c>
      <c r="D2064">
        <v>117</v>
      </c>
      <c r="E2064" t="s">
        <v>21</v>
      </c>
    </row>
    <row r="2065" spans="1:5" x14ac:dyDescent="0.35">
      <c r="A2065" t="s">
        <v>2065</v>
      </c>
      <c r="B2065" t="s">
        <v>2085</v>
      </c>
      <c r="C2065">
        <v>272</v>
      </c>
      <c r="D2065">
        <v>163</v>
      </c>
      <c r="E2065" t="s">
        <v>7</v>
      </c>
    </row>
    <row r="2066" spans="1:5" x14ac:dyDescent="0.35">
      <c r="A2066" t="s">
        <v>2065</v>
      </c>
      <c r="B2066" t="s">
        <v>2086</v>
      </c>
      <c r="C2066">
        <v>191</v>
      </c>
      <c r="D2066">
        <v>71</v>
      </c>
      <c r="E2066" t="s">
        <v>33</v>
      </c>
    </row>
    <row r="2067" spans="1:5" x14ac:dyDescent="0.35">
      <c r="A2067" t="s">
        <v>2065</v>
      </c>
      <c r="B2067" t="s">
        <v>2087</v>
      </c>
      <c r="C2067">
        <v>188</v>
      </c>
      <c r="D2067">
        <v>73</v>
      </c>
      <c r="E2067" t="s">
        <v>15</v>
      </c>
    </row>
    <row r="2068" spans="1:5" x14ac:dyDescent="0.35">
      <c r="A2068" t="s">
        <v>2065</v>
      </c>
      <c r="B2068" t="s">
        <v>2088</v>
      </c>
      <c r="C2068">
        <v>247</v>
      </c>
      <c r="D2068">
        <v>185</v>
      </c>
      <c r="E2068" t="s">
        <v>11</v>
      </c>
    </row>
    <row r="2069" spans="1:5" x14ac:dyDescent="0.35">
      <c r="A2069" t="s">
        <v>2065</v>
      </c>
      <c r="B2069" t="s">
        <v>2089</v>
      </c>
      <c r="C2069">
        <v>217</v>
      </c>
      <c r="D2069">
        <v>163</v>
      </c>
      <c r="E2069" t="s">
        <v>33</v>
      </c>
    </row>
    <row r="2070" spans="1:5" x14ac:dyDescent="0.35">
      <c r="A2070" t="s">
        <v>2065</v>
      </c>
      <c r="B2070" t="s">
        <v>2090</v>
      </c>
      <c r="C2070">
        <v>223</v>
      </c>
      <c r="D2070">
        <v>52</v>
      </c>
      <c r="E2070" t="s">
        <v>15</v>
      </c>
    </row>
    <row r="2071" spans="1:5" x14ac:dyDescent="0.35">
      <c r="A2071" t="s">
        <v>2065</v>
      </c>
      <c r="B2071" t="s">
        <v>2091</v>
      </c>
      <c r="C2071">
        <v>153</v>
      </c>
      <c r="D2071">
        <v>128</v>
      </c>
      <c r="E2071" t="s">
        <v>33</v>
      </c>
    </row>
    <row r="2072" spans="1:5" x14ac:dyDescent="0.35">
      <c r="A2072" t="s">
        <v>2065</v>
      </c>
      <c r="B2072" t="s">
        <v>2092</v>
      </c>
      <c r="C2072">
        <v>201</v>
      </c>
      <c r="D2072">
        <v>97</v>
      </c>
      <c r="E2072" t="s">
        <v>11</v>
      </c>
    </row>
    <row r="2073" spans="1:5" x14ac:dyDescent="0.35">
      <c r="A2073" t="s">
        <v>2065</v>
      </c>
      <c r="B2073" t="s">
        <v>2093</v>
      </c>
      <c r="C2073">
        <v>202</v>
      </c>
      <c r="D2073">
        <v>146</v>
      </c>
      <c r="E2073" t="s">
        <v>9</v>
      </c>
    </row>
    <row r="2074" spans="1:5" x14ac:dyDescent="0.35">
      <c r="A2074" t="s">
        <v>2065</v>
      </c>
      <c r="B2074" t="s">
        <v>2094</v>
      </c>
      <c r="C2074">
        <v>129</v>
      </c>
      <c r="D2074">
        <v>104</v>
      </c>
      <c r="E2074" t="s">
        <v>21</v>
      </c>
    </row>
    <row r="2075" spans="1:5" x14ac:dyDescent="0.35">
      <c r="A2075" t="s">
        <v>2065</v>
      </c>
      <c r="B2075" t="s">
        <v>2095</v>
      </c>
      <c r="C2075">
        <v>231</v>
      </c>
      <c r="D2075">
        <v>72</v>
      </c>
      <c r="E2075" t="s">
        <v>21</v>
      </c>
    </row>
    <row r="2076" spans="1:5" x14ac:dyDescent="0.35">
      <c r="A2076" t="s">
        <v>2065</v>
      </c>
      <c r="B2076" t="s">
        <v>2096</v>
      </c>
      <c r="C2076">
        <v>225</v>
      </c>
      <c r="D2076">
        <v>89</v>
      </c>
      <c r="E2076" t="s">
        <v>7</v>
      </c>
    </row>
    <row r="2077" spans="1:5" x14ac:dyDescent="0.35">
      <c r="A2077" t="s">
        <v>2065</v>
      </c>
      <c r="B2077" t="s">
        <v>2097</v>
      </c>
      <c r="C2077">
        <v>99</v>
      </c>
      <c r="D2077">
        <v>80</v>
      </c>
      <c r="E2077" t="s">
        <v>9</v>
      </c>
    </row>
    <row r="2078" spans="1:5" x14ac:dyDescent="0.35">
      <c r="A2078" t="s">
        <v>2065</v>
      </c>
      <c r="B2078" t="s">
        <v>2098</v>
      </c>
      <c r="C2078">
        <v>123</v>
      </c>
      <c r="D2078">
        <v>50</v>
      </c>
      <c r="E2078" t="s">
        <v>15</v>
      </c>
    </row>
    <row r="2079" spans="1:5" x14ac:dyDescent="0.35">
      <c r="A2079" t="s">
        <v>2065</v>
      </c>
      <c r="B2079" t="s">
        <v>2099</v>
      </c>
      <c r="C2079">
        <v>219</v>
      </c>
      <c r="D2079">
        <v>163</v>
      </c>
      <c r="E2079" t="s">
        <v>11</v>
      </c>
    </row>
    <row r="2080" spans="1:5" x14ac:dyDescent="0.35">
      <c r="A2080" t="s">
        <v>2065</v>
      </c>
      <c r="B2080" t="s">
        <v>2100</v>
      </c>
      <c r="C2080">
        <v>108</v>
      </c>
      <c r="D2080">
        <v>104</v>
      </c>
      <c r="E2080" t="s">
        <v>11</v>
      </c>
    </row>
    <row r="2081" spans="1:5" x14ac:dyDescent="0.35">
      <c r="A2081" t="s">
        <v>2065</v>
      </c>
      <c r="B2081" t="s">
        <v>2101</v>
      </c>
      <c r="C2081">
        <v>227</v>
      </c>
      <c r="D2081">
        <v>35</v>
      </c>
      <c r="E2081" t="s">
        <v>7</v>
      </c>
    </row>
    <row r="2082" spans="1:5" x14ac:dyDescent="0.35">
      <c r="A2082" t="s">
        <v>2065</v>
      </c>
      <c r="B2082" t="s">
        <v>2102</v>
      </c>
      <c r="C2082">
        <v>144</v>
      </c>
      <c r="D2082">
        <v>34</v>
      </c>
      <c r="E2082" t="s">
        <v>9</v>
      </c>
    </row>
    <row r="2083" spans="1:5" x14ac:dyDescent="0.35">
      <c r="A2083" t="s">
        <v>2065</v>
      </c>
      <c r="B2083" t="s">
        <v>2103</v>
      </c>
      <c r="C2083">
        <v>107</v>
      </c>
      <c r="D2083">
        <v>93</v>
      </c>
      <c r="E2083" t="s">
        <v>17</v>
      </c>
    </row>
    <row r="2084" spans="1:5" x14ac:dyDescent="0.35">
      <c r="A2084" t="s">
        <v>2065</v>
      </c>
      <c r="B2084" t="s">
        <v>2104</v>
      </c>
      <c r="C2084">
        <v>283</v>
      </c>
      <c r="D2084">
        <v>122</v>
      </c>
      <c r="E2084" t="s">
        <v>11</v>
      </c>
    </row>
    <row r="2085" spans="1:5" x14ac:dyDescent="0.35">
      <c r="A2085" t="s">
        <v>2065</v>
      </c>
      <c r="B2085" t="s">
        <v>2105</v>
      </c>
      <c r="C2085">
        <v>212</v>
      </c>
      <c r="D2085">
        <v>179</v>
      </c>
      <c r="E2085" t="s">
        <v>33</v>
      </c>
    </row>
    <row r="2086" spans="1:5" x14ac:dyDescent="0.35">
      <c r="A2086" t="s">
        <v>2065</v>
      </c>
      <c r="B2086" t="s">
        <v>2106</v>
      </c>
      <c r="C2086">
        <v>298</v>
      </c>
      <c r="D2086">
        <v>57</v>
      </c>
      <c r="E2086" t="s">
        <v>21</v>
      </c>
    </row>
    <row r="2087" spans="1:5" x14ac:dyDescent="0.35">
      <c r="A2087" t="s">
        <v>2065</v>
      </c>
      <c r="B2087" t="s">
        <v>2107</v>
      </c>
      <c r="C2087">
        <v>203</v>
      </c>
      <c r="D2087">
        <v>100</v>
      </c>
      <c r="E2087" t="s">
        <v>11</v>
      </c>
    </row>
    <row r="2088" spans="1:5" x14ac:dyDescent="0.35">
      <c r="A2088" t="s">
        <v>2065</v>
      </c>
      <c r="B2088" t="s">
        <v>2108</v>
      </c>
      <c r="C2088">
        <v>216</v>
      </c>
      <c r="D2088">
        <v>183</v>
      </c>
      <c r="E2088" t="s">
        <v>15</v>
      </c>
    </row>
    <row r="2089" spans="1:5" x14ac:dyDescent="0.35">
      <c r="A2089" t="s">
        <v>2065</v>
      </c>
      <c r="B2089" t="s">
        <v>2109</v>
      </c>
      <c r="C2089">
        <v>251</v>
      </c>
      <c r="D2089">
        <v>108</v>
      </c>
      <c r="E2089" t="s">
        <v>15</v>
      </c>
    </row>
    <row r="2090" spans="1:5" x14ac:dyDescent="0.35">
      <c r="A2090" t="s">
        <v>2065</v>
      </c>
      <c r="B2090" t="s">
        <v>2110</v>
      </c>
      <c r="C2090">
        <v>217</v>
      </c>
      <c r="D2090">
        <v>124</v>
      </c>
      <c r="E2090" t="s">
        <v>11</v>
      </c>
    </row>
    <row r="2091" spans="1:5" x14ac:dyDescent="0.35">
      <c r="A2091" t="s">
        <v>2065</v>
      </c>
      <c r="B2091" t="s">
        <v>2111</v>
      </c>
      <c r="C2091">
        <v>231</v>
      </c>
      <c r="D2091">
        <v>103</v>
      </c>
      <c r="E2091" t="s">
        <v>15</v>
      </c>
    </row>
    <row r="2092" spans="1:5" x14ac:dyDescent="0.35">
      <c r="A2092" t="s">
        <v>2065</v>
      </c>
      <c r="B2092" t="s">
        <v>2112</v>
      </c>
      <c r="C2092">
        <v>67</v>
      </c>
      <c r="D2092">
        <v>53</v>
      </c>
      <c r="E2092" t="s">
        <v>21</v>
      </c>
    </row>
    <row r="2093" spans="1:5" x14ac:dyDescent="0.35">
      <c r="A2093" t="s">
        <v>2065</v>
      </c>
      <c r="B2093" t="s">
        <v>2113</v>
      </c>
      <c r="C2093">
        <v>278</v>
      </c>
      <c r="D2093">
        <v>62</v>
      </c>
      <c r="E2093" t="s">
        <v>17</v>
      </c>
    </row>
    <row r="2094" spans="1:5" x14ac:dyDescent="0.35">
      <c r="A2094" t="s">
        <v>2065</v>
      </c>
      <c r="B2094" t="s">
        <v>2114</v>
      </c>
      <c r="C2094">
        <v>120</v>
      </c>
      <c r="D2094">
        <v>71</v>
      </c>
      <c r="E2094" t="s">
        <v>15</v>
      </c>
    </row>
    <row r="2095" spans="1:5" x14ac:dyDescent="0.35">
      <c r="A2095" t="s">
        <v>2065</v>
      </c>
      <c r="B2095" t="s">
        <v>2115</v>
      </c>
      <c r="C2095">
        <v>80</v>
      </c>
      <c r="D2095">
        <v>55</v>
      </c>
      <c r="E2095" t="s">
        <v>17</v>
      </c>
    </row>
    <row r="2096" spans="1:5" x14ac:dyDescent="0.35">
      <c r="A2096" t="s">
        <v>2065</v>
      </c>
      <c r="B2096" t="s">
        <v>2116</v>
      </c>
      <c r="C2096">
        <v>88</v>
      </c>
      <c r="D2096">
        <v>82</v>
      </c>
      <c r="E2096" t="s">
        <v>9</v>
      </c>
    </row>
    <row r="2097" spans="1:5" x14ac:dyDescent="0.35">
      <c r="A2097" t="s">
        <v>2065</v>
      </c>
      <c r="B2097" t="s">
        <v>2117</v>
      </c>
      <c r="C2097">
        <v>84</v>
      </c>
      <c r="D2097">
        <v>45</v>
      </c>
      <c r="E2097" t="s">
        <v>15</v>
      </c>
    </row>
    <row r="2098" spans="1:5" x14ac:dyDescent="0.35">
      <c r="A2098" t="s">
        <v>2065</v>
      </c>
      <c r="B2098" t="s">
        <v>2118</v>
      </c>
      <c r="C2098">
        <v>62</v>
      </c>
      <c r="D2098">
        <v>42</v>
      </c>
      <c r="E2098" t="s">
        <v>33</v>
      </c>
    </row>
    <row r="2099" spans="1:5" x14ac:dyDescent="0.35">
      <c r="A2099" t="s">
        <v>2065</v>
      </c>
      <c r="B2099" t="s">
        <v>2119</v>
      </c>
      <c r="C2099">
        <v>309</v>
      </c>
      <c r="D2099">
        <v>120</v>
      </c>
      <c r="E2099" t="s">
        <v>7</v>
      </c>
    </row>
    <row r="2100" spans="1:5" x14ac:dyDescent="0.35">
      <c r="A2100" t="s">
        <v>2065</v>
      </c>
      <c r="B2100" t="s">
        <v>2120</v>
      </c>
      <c r="C2100">
        <v>275</v>
      </c>
      <c r="D2100">
        <v>183</v>
      </c>
      <c r="E2100" t="s">
        <v>33</v>
      </c>
    </row>
    <row r="2101" spans="1:5" x14ac:dyDescent="0.35">
      <c r="A2101" t="s">
        <v>2065</v>
      </c>
      <c r="B2101" t="s">
        <v>2121</v>
      </c>
      <c r="C2101">
        <v>292</v>
      </c>
      <c r="D2101">
        <v>86</v>
      </c>
      <c r="E2101" t="s">
        <v>17</v>
      </c>
    </row>
    <row r="2102" spans="1:5" x14ac:dyDescent="0.35">
      <c r="A2102" t="s">
        <v>2065</v>
      </c>
      <c r="B2102" t="s">
        <v>2122</v>
      </c>
      <c r="C2102">
        <v>303</v>
      </c>
      <c r="D2102">
        <v>165</v>
      </c>
      <c r="E2102" t="s">
        <v>7</v>
      </c>
    </row>
    <row r="2103" spans="1:5" x14ac:dyDescent="0.35">
      <c r="A2103" t="s">
        <v>2065</v>
      </c>
      <c r="B2103" t="s">
        <v>2123</v>
      </c>
      <c r="C2103">
        <v>175</v>
      </c>
      <c r="D2103">
        <v>76</v>
      </c>
      <c r="E2103" t="s">
        <v>9</v>
      </c>
    </row>
    <row r="2104" spans="1:5" x14ac:dyDescent="0.35">
      <c r="A2104" t="s">
        <v>2065</v>
      </c>
      <c r="B2104" t="s">
        <v>2124</v>
      </c>
      <c r="C2104">
        <v>245</v>
      </c>
      <c r="D2104">
        <v>47</v>
      </c>
      <c r="E2104" t="s">
        <v>9</v>
      </c>
    </row>
    <row r="2105" spans="1:5" x14ac:dyDescent="0.35">
      <c r="A2105" t="s">
        <v>2065</v>
      </c>
      <c r="B2105" t="s">
        <v>2125</v>
      </c>
      <c r="C2105">
        <v>208</v>
      </c>
      <c r="D2105">
        <v>152</v>
      </c>
      <c r="E2105" t="s">
        <v>15</v>
      </c>
    </row>
    <row r="2106" spans="1:5" x14ac:dyDescent="0.35">
      <c r="A2106" t="s">
        <v>2065</v>
      </c>
      <c r="B2106" t="s">
        <v>2126</v>
      </c>
      <c r="C2106">
        <v>255</v>
      </c>
      <c r="D2106">
        <v>162</v>
      </c>
      <c r="E2106" t="s">
        <v>17</v>
      </c>
    </row>
    <row r="2107" spans="1:5" x14ac:dyDescent="0.35">
      <c r="A2107" t="s">
        <v>2065</v>
      </c>
      <c r="B2107" t="s">
        <v>2127</v>
      </c>
      <c r="C2107">
        <v>112</v>
      </c>
      <c r="D2107">
        <v>40</v>
      </c>
      <c r="E2107" t="s">
        <v>7</v>
      </c>
    </row>
    <row r="2108" spans="1:5" x14ac:dyDescent="0.35">
      <c r="A2108" t="s">
        <v>2065</v>
      </c>
      <c r="B2108" t="s">
        <v>2128</v>
      </c>
      <c r="C2108">
        <v>293</v>
      </c>
      <c r="D2108">
        <v>60</v>
      </c>
      <c r="E2108" t="s">
        <v>17</v>
      </c>
    </row>
    <row r="2109" spans="1:5" x14ac:dyDescent="0.35">
      <c r="A2109" t="s">
        <v>2065</v>
      </c>
      <c r="B2109" t="s">
        <v>2129</v>
      </c>
      <c r="C2109">
        <v>275</v>
      </c>
      <c r="D2109">
        <v>153</v>
      </c>
      <c r="E2109" t="s">
        <v>15</v>
      </c>
    </row>
    <row r="2110" spans="1:5" x14ac:dyDescent="0.35">
      <c r="A2110" t="s">
        <v>2065</v>
      </c>
      <c r="B2110" t="s">
        <v>2130</v>
      </c>
      <c r="C2110">
        <v>128</v>
      </c>
      <c r="D2110">
        <v>88</v>
      </c>
      <c r="E2110" t="s">
        <v>33</v>
      </c>
    </row>
    <row r="2111" spans="1:5" x14ac:dyDescent="0.35">
      <c r="A2111" t="s">
        <v>2065</v>
      </c>
      <c r="B2111" t="s">
        <v>2131</v>
      </c>
      <c r="C2111">
        <v>294</v>
      </c>
      <c r="D2111">
        <v>117</v>
      </c>
      <c r="E2111" t="s">
        <v>33</v>
      </c>
    </row>
    <row r="2112" spans="1:5" x14ac:dyDescent="0.35">
      <c r="A2112" t="s">
        <v>2065</v>
      </c>
      <c r="B2112" t="s">
        <v>2132</v>
      </c>
      <c r="C2112">
        <v>284</v>
      </c>
      <c r="D2112">
        <v>56</v>
      </c>
      <c r="E2112" t="s">
        <v>21</v>
      </c>
    </row>
    <row r="2113" spans="1:5" x14ac:dyDescent="0.35">
      <c r="A2113" t="s">
        <v>2065</v>
      </c>
      <c r="B2113" t="s">
        <v>2133</v>
      </c>
      <c r="C2113">
        <v>198</v>
      </c>
      <c r="D2113">
        <v>91</v>
      </c>
      <c r="E2113" t="s">
        <v>15</v>
      </c>
    </row>
    <row r="2114" spans="1:5" x14ac:dyDescent="0.35">
      <c r="A2114" t="s">
        <v>2065</v>
      </c>
      <c r="B2114" t="s">
        <v>2134</v>
      </c>
      <c r="C2114">
        <v>205</v>
      </c>
      <c r="D2114">
        <v>190</v>
      </c>
      <c r="E2114" t="s">
        <v>33</v>
      </c>
    </row>
    <row r="2115" spans="1:5" x14ac:dyDescent="0.35">
      <c r="A2115" t="s">
        <v>2065</v>
      </c>
      <c r="B2115" t="s">
        <v>2135</v>
      </c>
      <c r="C2115">
        <v>238</v>
      </c>
      <c r="D2115">
        <v>149</v>
      </c>
      <c r="E2115" t="s">
        <v>9</v>
      </c>
    </row>
    <row r="2116" spans="1:5" x14ac:dyDescent="0.35">
      <c r="A2116" t="s">
        <v>2065</v>
      </c>
      <c r="B2116" t="s">
        <v>2136</v>
      </c>
      <c r="C2116">
        <v>170</v>
      </c>
      <c r="D2116">
        <v>121</v>
      </c>
      <c r="E2116" t="s">
        <v>15</v>
      </c>
    </row>
    <row r="2117" spans="1:5" x14ac:dyDescent="0.35">
      <c r="A2117" t="s">
        <v>2065</v>
      </c>
      <c r="B2117" t="s">
        <v>2137</v>
      </c>
      <c r="C2117">
        <v>162</v>
      </c>
      <c r="D2117">
        <v>133</v>
      </c>
      <c r="E2117" t="s">
        <v>9</v>
      </c>
    </row>
    <row r="2118" spans="1:5" x14ac:dyDescent="0.35">
      <c r="A2118" t="s">
        <v>2065</v>
      </c>
      <c r="B2118" t="s">
        <v>2138</v>
      </c>
      <c r="C2118">
        <v>306</v>
      </c>
      <c r="D2118">
        <v>188</v>
      </c>
      <c r="E2118" t="s">
        <v>11</v>
      </c>
    </row>
    <row r="2119" spans="1:5" x14ac:dyDescent="0.35">
      <c r="A2119" t="s">
        <v>2065</v>
      </c>
      <c r="B2119" t="s">
        <v>2139</v>
      </c>
      <c r="C2119">
        <v>209</v>
      </c>
      <c r="D2119">
        <v>181</v>
      </c>
      <c r="E2119" t="s">
        <v>21</v>
      </c>
    </row>
    <row r="2120" spans="1:5" x14ac:dyDescent="0.35">
      <c r="A2120" t="s">
        <v>2065</v>
      </c>
      <c r="B2120" t="s">
        <v>2140</v>
      </c>
      <c r="C2120">
        <v>106</v>
      </c>
      <c r="D2120">
        <v>106</v>
      </c>
      <c r="E2120" t="s">
        <v>9</v>
      </c>
    </row>
    <row r="2121" spans="1:5" x14ac:dyDescent="0.35">
      <c r="A2121" t="s">
        <v>2065</v>
      </c>
      <c r="B2121" t="s">
        <v>2141</v>
      </c>
      <c r="C2121">
        <v>190</v>
      </c>
      <c r="D2121">
        <v>171</v>
      </c>
      <c r="E2121" t="s">
        <v>21</v>
      </c>
    </row>
    <row r="2122" spans="1:5" x14ac:dyDescent="0.35">
      <c r="A2122" t="s">
        <v>2065</v>
      </c>
      <c r="B2122" t="s">
        <v>2142</v>
      </c>
      <c r="C2122">
        <v>189</v>
      </c>
      <c r="D2122">
        <v>122</v>
      </c>
      <c r="E2122" t="s">
        <v>15</v>
      </c>
    </row>
    <row r="2123" spans="1:5" x14ac:dyDescent="0.35">
      <c r="A2123" t="s">
        <v>2065</v>
      </c>
      <c r="B2123" t="s">
        <v>2143</v>
      </c>
      <c r="C2123">
        <v>225</v>
      </c>
      <c r="D2123">
        <v>77</v>
      </c>
      <c r="E2123" t="s">
        <v>15</v>
      </c>
    </row>
    <row r="2124" spans="1:5" x14ac:dyDescent="0.35">
      <c r="A2124" t="s">
        <v>2065</v>
      </c>
      <c r="B2124" t="s">
        <v>2144</v>
      </c>
      <c r="C2124">
        <v>204</v>
      </c>
      <c r="D2124">
        <v>45</v>
      </c>
      <c r="E2124" t="s">
        <v>9</v>
      </c>
    </row>
    <row r="2125" spans="1:5" x14ac:dyDescent="0.35">
      <c r="A2125" t="s">
        <v>2065</v>
      </c>
      <c r="B2125" t="s">
        <v>2145</v>
      </c>
      <c r="C2125">
        <v>313</v>
      </c>
      <c r="D2125">
        <v>160</v>
      </c>
      <c r="E2125" t="s">
        <v>9</v>
      </c>
    </row>
    <row r="2126" spans="1:5" x14ac:dyDescent="0.35">
      <c r="A2126" t="s">
        <v>2065</v>
      </c>
      <c r="B2126" t="s">
        <v>2146</v>
      </c>
      <c r="C2126">
        <v>131</v>
      </c>
      <c r="D2126">
        <v>107</v>
      </c>
      <c r="E2126" t="s">
        <v>21</v>
      </c>
    </row>
    <row r="2127" spans="1:5" x14ac:dyDescent="0.35">
      <c r="A2127" t="s">
        <v>2065</v>
      </c>
      <c r="B2127" t="s">
        <v>2147</v>
      </c>
      <c r="C2127">
        <v>115</v>
      </c>
      <c r="D2127">
        <v>48</v>
      </c>
      <c r="E2127" t="s">
        <v>17</v>
      </c>
    </row>
    <row r="2128" spans="1:5" x14ac:dyDescent="0.35">
      <c r="A2128" t="s">
        <v>2065</v>
      </c>
      <c r="B2128" t="s">
        <v>2148</v>
      </c>
      <c r="C2128">
        <v>283</v>
      </c>
      <c r="D2128">
        <v>34</v>
      </c>
      <c r="E2128" t="s">
        <v>33</v>
      </c>
    </row>
    <row r="2129" spans="1:5" x14ac:dyDescent="0.35">
      <c r="A2129" t="s">
        <v>2065</v>
      </c>
      <c r="B2129" t="s">
        <v>2149</v>
      </c>
      <c r="C2129">
        <v>132</v>
      </c>
      <c r="D2129">
        <v>71</v>
      </c>
      <c r="E2129" t="s">
        <v>33</v>
      </c>
    </row>
    <row r="2130" spans="1:5" x14ac:dyDescent="0.35">
      <c r="A2130" t="s">
        <v>2065</v>
      </c>
      <c r="B2130" t="s">
        <v>2150</v>
      </c>
      <c r="C2130">
        <v>315</v>
      </c>
      <c r="D2130">
        <v>174</v>
      </c>
      <c r="E2130" t="s">
        <v>15</v>
      </c>
    </row>
    <row r="2131" spans="1:5" x14ac:dyDescent="0.35">
      <c r="A2131" t="s">
        <v>2065</v>
      </c>
      <c r="B2131" t="s">
        <v>2151</v>
      </c>
      <c r="C2131">
        <v>175</v>
      </c>
      <c r="D2131">
        <v>76</v>
      </c>
      <c r="E2131" t="s">
        <v>15</v>
      </c>
    </row>
    <row r="2132" spans="1:5" x14ac:dyDescent="0.35">
      <c r="A2132" t="s">
        <v>2065</v>
      </c>
      <c r="B2132" t="s">
        <v>2152</v>
      </c>
      <c r="C2132">
        <v>205</v>
      </c>
      <c r="D2132">
        <v>110</v>
      </c>
      <c r="E2132" t="s">
        <v>17</v>
      </c>
    </row>
    <row r="2133" spans="1:5" x14ac:dyDescent="0.35">
      <c r="A2133" t="s">
        <v>2065</v>
      </c>
      <c r="B2133" t="s">
        <v>2153</v>
      </c>
      <c r="C2133">
        <v>144</v>
      </c>
      <c r="D2133">
        <v>97</v>
      </c>
      <c r="E2133" t="s">
        <v>7</v>
      </c>
    </row>
    <row r="2134" spans="1:5" x14ac:dyDescent="0.35">
      <c r="A2134" t="s">
        <v>2065</v>
      </c>
      <c r="B2134" t="s">
        <v>2154</v>
      </c>
      <c r="C2134">
        <v>284</v>
      </c>
      <c r="D2134">
        <v>171</v>
      </c>
      <c r="E2134" t="s">
        <v>21</v>
      </c>
    </row>
    <row r="2135" spans="1:5" x14ac:dyDescent="0.35">
      <c r="A2135" t="s">
        <v>2065</v>
      </c>
      <c r="B2135" t="s">
        <v>2155</v>
      </c>
      <c r="C2135">
        <v>248</v>
      </c>
      <c r="D2135">
        <v>170</v>
      </c>
      <c r="E2135" t="s">
        <v>11</v>
      </c>
    </row>
    <row r="2136" spans="1:5" x14ac:dyDescent="0.35">
      <c r="A2136" t="s">
        <v>2065</v>
      </c>
      <c r="B2136" t="s">
        <v>2156</v>
      </c>
      <c r="C2136">
        <v>191</v>
      </c>
      <c r="D2136">
        <v>64</v>
      </c>
      <c r="E2136" t="s">
        <v>15</v>
      </c>
    </row>
    <row r="2137" spans="1:5" x14ac:dyDescent="0.35">
      <c r="A2137" t="s">
        <v>2065</v>
      </c>
      <c r="B2137" t="s">
        <v>2157</v>
      </c>
      <c r="C2137">
        <v>198</v>
      </c>
      <c r="D2137">
        <v>189</v>
      </c>
      <c r="E2137" t="s">
        <v>15</v>
      </c>
    </row>
    <row r="2138" spans="1:5" x14ac:dyDescent="0.35">
      <c r="A2138" t="s">
        <v>2065</v>
      </c>
      <c r="B2138" t="s">
        <v>2158</v>
      </c>
      <c r="C2138">
        <v>199</v>
      </c>
      <c r="D2138">
        <v>145</v>
      </c>
      <c r="E2138" t="s">
        <v>17</v>
      </c>
    </row>
    <row r="2139" spans="1:5" x14ac:dyDescent="0.35">
      <c r="A2139" t="s">
        <v>2065</v>
      </c>
      <c r="B2139" t="s">
        <v>2159</v>
      </c>
      <c r="C2139">
        <v>257</v>
      </c>
      <c r="D2139">
        <v>116</v>
      </c>
      <c r="E2139" t="s">
        <v>15</v>
      </c>
    </row>
    <row r="2140" spans="1:5" x14ac:dyDescent="0.35">
      <c r="A2140" t="s">
        <v>2065</v>
      </c>
      <c r="B2140" t="s">
        <v>2160</v>
      </c>
      <c r="C2140">
        <v>287</v>
      </c>
      <c r="D2140">
        <v>95</v>
      </c>
      <c r="E2140" t="s">
        <v>9</v>
      </c>
    </row>
    <row r="2141" spans="1:5" x14ac:dyDescent="0.35">
      <c r="A2141" t="s">
        <v>2065</v>
      </c>
      <c r="B2141" t="s">
        <v>2161</v>
      </c>
      <c r="C2141">
        <v>308</v>
      </c>
      <c r="D2141">
        <v>148</v>
      </c>
      <c r="E2141" t="s">
        <v>33</v>
      </c>
    </row>
    <row r="2142" spans="1:5" x14ac:dyDescent="0.35">
      <c r="A2142" t="s">
        <v>2065</v>
      </c>
      <c r="B2142" t="s">
        <v>2162</v>
      </c>
      <c r="C2142">
        <v>95</v>
      </c>
      <c r="D2142">
        <v>62</v>
      </c>
      <c r="E2142" t="s">
        <v>33</v>
      </c>
    </row>
    <row r="2143" spans="1:5" x14ac:dyDescent="0.35">
      <c r="A2143" t="s">
        <v>2065</v>
      </c>
      <c r="B2143" t="s">
        <v>2163</v>
      </c>
      <c r="C2143">
        <v>236</v>
      </c>
      <c r="D2143">
        <v>161</v>
      </c>
      <c r="E2143" t="s">
        <v>33</v>
      </c>
    </row>
    <row r="2144" spans="1:5" x14ac:dyDescent="0.35">
      <c r="A2144" t="s">
        <v>2164</v>
      </c>
      <c r="B2144" t="s">
        <v>2165</v>
      </c>
      <c r="C2144">
        <v>166</v>
      </c>
      <c r="D2144">
        <v>123</v>
      </c>
      <c r="E2144" t="s">
        <v>21</v>
      </c>
    </row>
    <row r="2145" spans="1:5" x14ac:dyDescent="0.35">
      <c r="A2145" t="s">
        <v>2164</v>
      </c>
      <c r="B2145" t="s">
        <v>2166</v>
      </c>
      <c r="C2145">
        <v>43</v>
      </c>
      <c r="D2145">
        <v>37</v>
      </c>
      <c r="E2145" t="s">
        <v>9</v>
      </c>
    </row>
    <row r="2146" spans="1:5" x14ac:dyDescent="0.35">
      <c r="A2146" t="s">
        <v>2164</v>
      </c>
      <c r="B2146" t="s">
        <v>2167</v>
      </c>
      <c r="C2146">
        <v>221</v>
      </c>
      <c r="D2146">
        <v>116</v>
      </c>
      <c r="E2146" t="s">
        <v>15</v>
      </c>
    </row>
    <row r="2147" spans="1:5" x14ac:dyDescent="0.35">
      <c r="A2147" t="s">
        <v>2164</v>
      </c>
      <c r="B2147" t="s">
        <v>2168</v>
      </c>
      <c r="C2147">
        <v>294</v>
      </c>
      <c r="D2147">
        <v>96</v>
      </c>
      <c r="E2147" t="s">
        <v>33</v>
      </c>
    </row>
    <row r="2148" spans="1:5" x14ac:dyDescent="0.35">
      <c r="A2148" t="s">
        <v>2164</v>
      </c>
      <c r="B2148" t="s">
        <v>2169</v>
      </c>
      <c r="C2148">
        <v>272</v>
      </c>
      <c r="D2148">
        <v>161</v>
      </c>
      <c r="E2148" t="s">
        <v>9</v>
      </c>
    </row>
    <row r="2149" spans="1:5" x14ac:dyDescent="0.35">
      <c r="A2149" t="s">
        <v>2164</v>
      </c>
      <c r="B2149" t="s">
        <v>2170</v>
      </c>
      <c r="C2149">
        <v>270</v>
      </c>
      <c r="D2149">
        <v>177</v>
      </c>
      <c r="E2149" t="s">
        <v>9</v>
      </c>
    </row>
    <row r="2150" spans="1:5" x14ac:dyDescent="0.35">
      <c r="A2150" t="s">
        <v>2164</v>
      </c>
      <c r="B2150" t="s">
        <v>2171</v>
      </c>
      <c r="C2150">
        <v>246</v>
      </c>
      <c r="D2150">
        <v>65</v>
      </c>
      <c r="E2150" t="s">
        <v>11</v>
      </c>
    </row>
    <row r="2151" spans="1:5" x14ac:dyDescent="0.35">
      <c r="A2151" t="s">
        <v>2164</v>
      </c>
      <c r="B2151" t="s">
        <v>2172</v>
      </c>
      <c r="C2151">
        <v>218</v>
      </c>
      <c r="D2151">
        <v>188</v>
      </c>
      <c r="E2151" t="s">
        <v>33</v>
      </c>
    </row>
    <row r="2152" spans="1:5" x14ac:dyDescent="0.35">
      <c r="A2152" t="s">
        <v>2164</v>
      </c>
      <c r="B2152" t="s">
        <v>2173</v>
      </c>
      <c r="C2152">
        <v>146</v>
      </c>
      <c r="D2152">
        <v>106</v>
      </c>
      <c r="E2152" t="s">
        <v>21</v>
      </c>
    </row>
    <row r="2153" spans="1:5" x14ac:dyDescent="0.35">
      <c r="A2153" t="s">
        <v>2164</v>
      </c>
      <c r="B2153" t="s">
        <v>2174</v>
      </c>
      <c r="C2153">
        <v>106</v>
      </c>
      <c r="D2153">
        <v>59</v>
      </c>
      <c r="E2153" t="s">
        <v>11</v>
      </c>
    </row>
    <row r="2154" spans="1:5" x14ac:dyDescent="0.35">
      <c r="A2154" t="s">
        <v>2164</v>
      </c>
      <c r="B2154" t="s">
        <v>2175</v>
      </c>
      <c r="C2154">
        <v>146</v>
      </c>
      <c r="D2154">
        <v>93</v>
      </c>
      <c r="E2154" t="s">
        <v>21</v>
      </c>
    </row>
    <row r="2155" spans="1:5" x14ac:dyDescent="0.35">
      <c r="A2155" t="s">
        <v>2164</v>
      </c>
      <c r="B2155" t="s">
        <v>2176</v>
      </c>
      <c r="C2155">
        <v>292</v>
      </c>
      <c r="D2155">
        <v>99</v>
      </c>
      <c r="E2155" t="s">
        <v>7</v>
      </c>
    </row>
    <row r="2156" spans="1:5" x14ac:dyDescent="0.35">
      <c r="A2156" t="s">
        <v>2164</v>
      </c>
      <c r="B2156" t="s">
        <v>2177</v>
      </c>
      <c r="C2156">
        <v>266</v>
      </c>
      <c r="D2156">
        <v>145</v>
      </c>
      <c r="E2156" t="s">
        <v>21</v>
      </c>
    </row>
    <row r="2157" spans="1:5" x14ac:dyDescent="0.35">
      <c r="A2157" t="s">
        <v>2164</v>
      </c>
      <c r="B2157" t="s">
        <v>2178</v>
      </c>
      <c r="C2157">
        <v>236</v>
      </c>
      <c r="D2157">
        <v>128</v>
      </c>
      <c r="E2157" t="s">
        <v>21</v>
      </c>
    </row>
    <row r="2158" spans="1:5" x14ac:dyDescent="0.35">
      <c r="A2158" t="s">
        <v>2164</v>
      </c>
      <c r="B2158" t="s">
        <v>2179</v>
      </c>
      <c r="C2158">
        <v>147</v>
      </c>
      <c r="D2158">
        <v>63</v>
      </c>
      <c r="E2158" t="s">
        <v>7</v>
      </c>
    </row>
    <row r="2159" spans="1:5" x14ac:dyDescent="0.35">
      <c r="A2159" t="s">
        <v>2164</v>
      </c>
      <c r="B2159" t="s">
        <v>2180</v>
      </c>
      <c r="C2159">
        <v>297</v>
      </c>
      <c r="D2159">
        <v>180</v>
      </c>
      <c r="E2159" t="s">
        <v>21</v>
      </c>
    </row>
    <row r="2160" spans="1:5" x14ac:dyDescent="0.35">
      <c r="A2160" t="s">
        <v>2164</v>
      </c>
      <c r="B2160" t="s">
        <v>2181</v>
      </c>
      <c r="C2160">
        <v>222</v>
      </c>
      <c r="D2160">
        <v>172</v>
      </c>
      <c r="E2160" t="s">
        <v>15</v>
      </c>
    </row>
    <row r="2161" spans="1:5" x14ac:dyDescent="0.35">
      <c r="A2161" t="s">
        <v>2164</v>
      </c>
      <c r="B2161" t="s">
        <v>2182</v>
      </c>
      <c r="C2161">
        <v>261</v>
      </c>
      <c r="D2161">
        <v>133</v>
      </c>
      <c r="E2161" t="s">
        <v>11</v>
      </c>
    </row>
    <row r="2162" spans="1:5" x14ac:dyDescent="0.35">
      <c r="A2162" t="s">
        <v>2164</v>
      </c>
      <c r="B2162" t="s">
        <v>2183</v>
      </c>
      <c r="C2162">
        <v>301</v>
      </c>
      <c r="D2162">
        <v>171</v>
      </c>
      <c r="E2162" t="s">
        <v>21</v>
      </c>
    </row>
    <row r="2163" spans="1:5" x14ac:dyDescent="0.35">
      <c r="A2163" t="s">
        <v>2164</v>
      </c>
      <c r="B2163" t="s">
        <v>2184</v>
      </c>
      <c r="C2163">
        <v>288</v>
      </c>
      <c r="D2163">
        <v>51</v>
      </c>
      <c r="E2163" t="s">
        <v>17</v>
      </c>
    </row>
    <row r="2164" spans="1:5" x14ac:dyDescent="0.35">
      <c r="A2164" t="s">
        <v>2164</v>
      </c>
      <c r="B2164" t="s">
        <v>2185</v>
      </c>
      <c r="C2164">
        <v>182</v>
      </c>
      <c r="D2164">
        <v>99</v>
      </c>
      <c r="E2164" t="s">
        <v>33</v>
      </c>
    </row>
    <row r="2165" spans="1:5" x14ac:dyDescent="0.35">
      <c r="A2165" t="s">
        <v>2164</v>
      </c>
      <c r="B2165" t="s">
        <v>2186</v>
      </c>
      <c r="C2165">
        <v>210</v>
      </c>
      <c r="D2165">
        <v>117</v>
      </c>
      <c r="E2165" t="s">
        <v>11</v>
      </c>
    </row>
    <row r="2166" spans="1:5" x14ac:dyDescent="0.35">
      <c r="A2166" t="s">
        <v>2164</v>
      </c>
      <c r="B2166" t="s">
        <v>2187</v>
      </c>
      <c r="C2166">
        <v>224</v>
      </c>
      <c r="D2166">
        <v>168</v>
      </c>
      <c r="E2166" t="s">
        <v>33</v>
      </c>
    </row>
    <row r="2167" spans="1:5" x14ac:dyDescent="0.35">
      <c r="A2167" t="s">
        <v>2164</v>
      </c>
      <c r="B2167" t="s">
        <v>2188</v>
      </c>
      <c r="C2167">
        <v>182</v>
      </c>
      <c r="D2167">
        <v>170</v>
      </c>
      <c r="E2167" t="s">
        <v>17</v>
      </c>
    </row>
    <row r="2168" spans="1:5" x14ac:dyDescent="0.35">
      <c r="A2168" t="s">
        <v>2164</v>
      </c>
      <c r="B2168" t="s">
        <v>2189</v>
      </c>
      <c r="C2168">
        <v>237</v>
      </c>
      <c r="D2168">
        <v>72</v>
      </c>
      <c r="E2168" t="s">
        <v>9</v>
      </c>
    </row>
    <row r="2169" spans="1:5" x14ac:dyDescent="0.35">
      <c r="A2169" t="s">
        <v>2164</v>
      </c>
      <c r="B2169" t="s">
        <v>2190</v>
      </c>
      <c r="C2169">
        <v>231</v>
      </c>
      <c r="D2169">
        <v>61</v>
      </c>
      <c r="E2169" t="s">
        <v>9</v>
      </c>
    </row>
    <row r="2170" spans="1:5" x14ac:dyDescent="0.35">
      <c r="A2170" t="s">
        <v>2164</v>
      </c>
      <c r="B2170" t="s">
        <v>2191</v>
      </c>
      <c r="C2170">
        <v>228</v>
      </c>
      <c r="D2170">
        <v>94</v>
      </c>
      <c r="E2170" t="s">
        <v>7</v>
      </c>
    </row>
    <row r="2171" spans="1:5" x14ac:dyDescent="0.35">
      <c r="A2171" t="s">
        <v>2164</v>
      </c>
      <c r="B2171" t="s">
        <v>2192</v>
      </c>
      <c r="C2171">
        <v>223</v>
      </c>
      <c r="D2171">
        <v>171</v>
      </c>
      <c r="E2171" t="s">
        <v>15</v>
      </c>
    </row>
    <row r="2172" spans="1:5" x14ac:dyDescent="0.35">
      <c r="A2172" t="s">
        <v>2164</v>
      </c>
      <c r="B2172" t="s">
        <v>2193</v>
      </c>
      <c r="C2172">
        <v>275</v>
      </c>
      <c r="D2172">
        <v>127</v>
      </c>
      <c r="E2172" t="s">
        <v>17</v>
      </c>
    </row>
    <row r="2173" spans="1:5" x14ac:dyDescent="0.35">
      <c r="A2173" t="s">
        <v>2164</v>
      </c>
      <c r="B2173" t="s">
        <v>2194</v>
      </c>
      <c r="C2173">
        <v>162</v>
      </c>
      <c r="D2173">
        <v>30</v>
      </c>
      <c r="E2173" t="s">
        <v>15</v>
      </c>
    </row>
    <row r="2174" spans="1:5" x14ac:dyDescent="0.35">
      <c r="A2174" t="s">
        <v>2164</v>
      </c>
      <c r="B2174" t="s">
        <v>2195</v>
      </c>
      <c r="C2174">
        <v>111</v>
      </c>
      <c r="D2174">
        <v>106</v>
      </c>
      <c r="E2174" t="s">
        <v>21</v>
      </c>
    </row>
    <row r="2175" spans="1:5" x14ac:dyDescent="0.35">
      <c r="A2175" t="s">
        <v>2164</v>
      </c>
      <c r="B2175" t="s">
        <v>2196</v>
      </c>
      <c r="C2175">
        <v>162</v>
      </c>
      <c r="D2175">
        <v>156</v>
      </c>
      <c r="E2175" t="s">
        <v>17</v>
      </c>
    </row>
    <row r="2176" spans="1:5" x14ac:dyDescent="0.35">
      <c r="A2176" t="s">
        <v>2164</v>
      </c>
      <c r="B2176" t="s">
        <v>2197</v>
      </c>
      <c r="C2176">
        <v>307</v>
      </c>
      <c r="D2176">
        <v>114</v>
      </c>
      <c r="E2176" t="s">
        <v>7</v>
      </c>
    </row>
    <row r="2177" spans="1:5" x14ac:dyDescent="0.35">
      <c r="A2177" t="s">
        <v>2164</v>
      </c>
      <c r="B2177" t="s">
        <v>2198</v>
      </c>
      <c r="C2177">
        <v>196</v>
      </c>
      <c r="D2177">
        <v>180</v>
      </c>
      <c r="E2177" t="s">
        <v>17</v>
      </c>
    </row>
    <row r="2178" spans="1:5" x14ac:dyDescent="0.35">
      <c r="A2178" t="s">
        <v>2164</v>
      </c>
      <c r="B2178" t="s">
        <v>2199</v>
      </c>
      <c r="C2178">
        <v>255</v>
      </c>
      <c r="D2178">
        <v>38</v>
      </c>
      <c r="E2178" t="s">
        <v>9</v>
      </c>
    </row>
    <row r="2179" spans="1:5" x14ac:dyDescent="0.35">
      <c r="A2179" t="s">
        <v>2164</v>
      </c>
      <c r="B2179" t="s">
        <v>2200</v>
      </c>
      <c r="C2179">
        <v>254</v>
      </c>
      <c r="D2179">
        <v>54</v>
      </c>
      <c r="E2179" t="s">
        <v>33</v>
      </c>
    </row>
    <row r="2180" spans="1:5" x14ac:dyDescent="0.35">
      <c r="A2180" t="s">
        <v>2164</v>
      </c>
      <c r="B2180" t="s">
        <v>2201</v>
      </c>
      <c r="C2180">
        <v>293</v>
      </c>
      <c r="D2180">
        <v>169</v>
      </c>
      <c r="E2180" t="s">
        <v>11</v>
      </c>
    </row>
    <row r="2181" spans="1:5" x14ac:dyDescent="0.35">
      <c r="A2181" t="s">
        <v>2164</v>
      </c>
      <c r="B2181" t="s">
        <v>2202</v>
      </c>
      <c r="C2181">
        <v>59</v>
      </c>
      <c r="D2181">
        <v>43</v>
      </c>
      <c r="E2181" t="s">
        <v>21</v>
      </c>
    </row>
    <row r="2182" spans="1:5" x14ac:dyDescent="0.35">
      <c r="A2182" t="s">
        <v>2164</v>
      </c>
      <c r="B2182" t="s">
        <v>2203</v>
      </c>
      <c r="C2182">
        <v>40</v>
      </c>
      <c r="D2182">
        <v>37</v>
      </c>
      <c r="E2182" t="s">
        <v>17</v>
      </c>
    </row>
    <row r="2183" spans="1:5" x14ac:dyDescent="0.35">
      <c r="A2183" t="s">
        <v>2164</v>
      </c>
      <c r="B2183" t="s">
        <v>2204</v>
      </c>
      <c r="C2183">
        <v>240</v>
      </c>
      <c r="D2183">
        <v>179</v>
      </c>
      <c r="E2183" t="s">
        <v>11</v>
      </c>
    </row>
    <row r="2184" spans="1:5" x14ac:dyDescent="0.35">
      <c r="A2184" t="s">
        <v>2164</v>
      </c>
      <c r="B2184" t="s">
        <v>2205</v>
      </c>
      <c r="C2184">
        <v>313</v>
      </c>
      <c r="D2184">
        <v>187</v>
      </c>
      <c r="E2184" t="s">
        <v>33</v>
      </c>
    </row>
    <row r="2185" spans="1:5" x14ac:dyDescent="0.35">
      <c r="A2185" t="s">
        <v>2164</v>
      </c>
      <c r="B2185" t="s">
        <v>2206</v>
      </c>
      <c r="C2185">
        <v>241</v>
      </c>
      <c r="D2185">
        <v>143</v>
      </c>
      <c r="E2185" t="s">
        <v>33</v>
      </c>
    </row>
    <row r="2186" spans="1:5" x14ac:dyDescent="0.35">
      <c r="A2186" t="s">
        <v>2164</v>
      </c>
      <c r="B2186" t="s">
        <v>2207</v>
      </c>
      <c r="C2186">
        <v>163</v>
      </c>
      <c r="D2186">
        <v>152</v>
      </c>
      <c r="E2186" t="s">
        <v>17</v>
      </c>
    </row>
    <row r="2187" spans="1:5" x14ac:dyDescent="0.35">
      <c r="A2187" t="s">
        <v>2164</v>
      </c>
      <c r="B2187" t="s">
        <v>2208</v>
      </c>
      <c r="C2187">
        <v>247</v>
      </c>
      <c r="D2187">
        <v>158</v>
      </c>
      <c r="E2187" t="s">
        <v>33</v>
      </c>
    </row>
    <row r="2188" spans="1:5" x14ac:dyDescent="0.35">
      <c r="A2188" t="s">
        <v>2164</v>
      </c>
      <c r="B2188" t="s">
        <v>2209</v>
      </c>
      <c r="C2188">
        <v>230</v>
      </c>
      <c r="D2188">
        <v>62</v>
      </c>
      <c r="E2188" t="s">
        <v>11</v>
      </c>
    </row>
    <row r="2189" spans="1:5" x14ac:dyDescent="0.35">
      <c r="A2189" t="s">
        <v>2164</v>
      </c>
      <c r="B2189" t="s">
        <v>2210</v>
      </c>
      <c r="C2189">
        <v>197</v>
      </c>
      <c r="D2189">
        <v>174</v>
      </c>
      <c r="E2189" t="s">
        <v>21</v>
      </c>
    </row>
    <row r="2190" spans="1:5" x14ac:dyDescent="0.35">
      <c r="A2190" t="s">
        <v>2164</v>
      </c>
      <c r="B2190" t="s">
        <v>2211</v>
      </c>
      <c r="C2190">
        <v>207</v>
      </c>
      <c r="D2190">
        <v>147</v>
      </c>
      <c r="E2190" t="s">
        <v>9</v>
      </c>
    </row>
    <row r="2191" spans="1:5" x14ac:dyDescent="0.35">
      <c r="A2191" t="s">
        <v>2164</v>
      </c>
      <c r="B2191" t="s">
        <v>2212</v>
      </c>
      <c r="C2191">
        <v>224</v>
      </c>
      <c r="D2191">
        <v>88</v>
      </c>
      <c r="E2191" t="s">
        <v>21</v>
      </c>
    </row>
    <row r="2192" spans="1:5" x14ac:dyDescent="0.35">
      <c r="A2192" t="s">
        <v>2164</v>
      </c>
      <c r="B2192" t="s">
        <v>2213</v>
      </c>
      <c r="C2192">
        <v>160</v>
      </c>
      <c r="D2192">
        <v>121</v>
      </c>
      <c r="E2192" t="s">
        <v>15</v>
      </c>
    </row>
    <row r="2193" spans="1:5" x14ac:dyDescent="0.35">
      <c r="A2193" t="s">
        <v>2164</v>
      </c>
      <c r="B2193" t="s">
        <v>2214</v>
      </c>
      <c r="C2193">
        <v>219</v>
      </c>
      <c r="D2193">
        <v>148</v>
      </c>
      <c r="E2193" t="s">
        <v>7</v>
      </c>
    </row>
    <row r="2194" spans="1:5" x14ac:dyDescent="0.35">
      <c r="A2194" t="s">
        <v>2164</v>
      </c>
      <c r="B2194" t="s">
        <v>2215</v>
      </c>
      <c r="C2194">
        <v>266</v>
      </c>
      <c r="D2194">
        <v>100</v>
      </c>
      <c r="E2194" t="s">
        <v>17</v>
      </c>
    </row>
    <row r="2195" spans="1:5" x14ac:dyDescent="0.35">
      <c r="A2195" t="s">
        <v>2164</v>
      </c>
      <c r="B2195" t="s">
        <v>2216</v>
      </c>
      <c r="C2195">
        <v>234</v>
      </c>
      <c r="D2195">
        <v>181</v>
      </c>
      <c r="E2195" t="s">
        <v>33</v>
      </c>
    </row>
    <row r="2196" spans="1:5" x14ac:dyDescent="0.35">
      <c r="A2196" t="s">
        <v>2164</v>
      </c>
      <c r="B2196" t="s">
        <v>2217</v>
      </c>
      <c r="C2196">
        <v>141</v>
      </c>
      <c r="D2196">
        <v>110</v>
      </c>
      <c r="E2196" t="s">
        <v>21</v>
      </c>
    </row>
    <row r="2197" spans="1:5" x14ac:dyDescent="0.35">
      <c r="A2197" t="s">
        <v>2164</v>
      </c>
      <c r="B2197" t="s">
        <v>2218</v>
      </c>
      <c r="C2197">
        <v>277</v>
      </c>
      <c r="D2197">
        <v>106</v>
      </c>
      <c r="E2197" t="s">
        <v>21</v>
      </c>
    </row>
    <row r="2198" spans="1:5" x14ac:dyDescent="0.35">
      <c r="A2198" t="s">
        <v>2164</v>
      </c>
      <c r="B2198" t="s">
        <v>2219</v>
      </c>
      <c r="C2198">
        <v>296</v>
      </c>
      <c r="D2198">
        <v>159</v>
      </c>
      <c r="E2198" t="s">
        <v>9</v>
      </c>
    </row>
    <row r="2199" spans="1:5" x14ac:dyDescent="0.35">
      <c r="A2199" t="s">
        <v>2164</v>
      </c>
      <c r="B2199" t="s">
        <v>2220</v>
      </c>
      <c r="C2199">
        <v>255</v>
      </c>
      <c r="D2199">
        <v>116</v>
      </c>
      <c r="E2199" t="s">
        <v>33</v>
      </c>
    </row>
    <row r="2200" spans="1:5" x14ac:dyDescent="0.35">
      <c r="A2200" t="s">
        <v>2164</v>
      </c>
      <c r="B2200" t="s">
        <v>2221</v>
      </c>
      <c r="C2200">
        <v>226</v>
      </c>
      <c r="D2200">
        <v>175</v>
      </c>
      <c r="E2200" t="s">
        <v>7</v>
      </c>
    </row>
    <row r="2201" spans="1:5" x14ac:dyDescent="0.35">
      <c r="A2201" t="s">
        <v>2164</v>
      </c>
      <c r="B2201" t="s">
        <v>2222</v>
      </c>
      <c r="C2201">
        <v>296</v>
      </c>
      <c r="D2201">
        <v>180</v>
      </c>
      <c r="E2201" t="s">
        <v>9</v>
      </c>
    </row>
    <row r="2202" spans="1:5" x14ac:dyDescent="0.35">
      <c r="A2202" t="s">
        <v>2164</v>
      </c>
      <c r="B2202" t="s">
        <v>2223</v>
      </c>
      <c r="C2202">
        <v>122</v>
      </c>
      <c r="D2202">
        <v>114</v>
      </c>
      <c r="E2202" t="s">
        <v>33</v>
      </c>
    </row>
    <row r="2203" spans="1:5" x14ac:dyDescent="0.35">
      <c r="A2203" t="s">
        <v>2164</v>
      </c>
      <c r="B2203" t="s">
        <v>2224</v>
      </c>
      <c r="C2203">
        <v>267</v>
      </c>
      <c r="D2203">
        <v>87</v>
      </c>
      <c r="E2203" t="s">
        <v>7</v>
      </c>
    </row>
    <row r="2204" spans="1:5" x14ac:dyDescent="0.35">
      <c r="A2204" t="s">
        <v>2164</v>
      </c>
      <c r="B2204" t="s">
        <v>2225</v>
      </c>
      <c r="C2204">
        <v>106</v>
      </c>
      <c r="D2204">
        <v>91</v>
      </c>
      <c r="E2204" t="s">
        <v>15</v>
      </c>
    </row>
    <row r="2205" spans="1:5" x14ac:dyDescent="0.35">
      <c r="A2205" t="s">
        <v>2164</v>
      </c>
      <c r="B2205" t="s">
        <v>2226</v>
      </c>
      <c r="C2205">
        <v>174</v>
      </c>
      <c r="D2205">
        <v>81</v>
      </c>
      <c r="E2205" t="s">
        <v>7</v>
      </c>
    </row>
    <row r="2206" spans="1:5" x14ac:dyDescent="0.35">
      <c r="A2206" t="s">
        <v>2164</v>
      </c>
      <c r="B2206" t="s">
        <v>2227</v>
      </c>
      <c r="C2206">
        <v>236</v>
      </c>
      <c r="D2206">
        <v>167</v>
      </c>
      <c r="E2206" t="s">
        <v>11</v>
      </c>
    </row>
    <row r="2207" spans="1:5" x14ac:dyDescent="0.35">
      <c r="A2207" t="s">
        <v>2164</v>
      </c>
      <c r="B2207" t="s">
        <v>2228</v>
      </c>
      <c r="C2207">
        <v>202</v>
      </c>
      <c r="D2207">
        <v>161</v>
      </c>
      <c r="E2207" t="s">
        <v>11</v>
      </c>
    </row>
    <row r="2208" spans="1:5" x14ac:dyDescent="0.35">
      <c r="A2208" t="s">
        <v>2164</v>
      </c>
      <c r="B2208" t="s">
        <v>2229</v>
      </c>
      <c r="C2208">
        <v>155</v>
      </c>
      <c r="D2208">
        <v>134</v>
      </c>
      <c r="E2208" t="s">
        <v>33</v>
      </c>
    </row>
    <row r="2209" spans="1:5" x14ac:dyDescent="0.35">
      <c r="A2209" t="s">
        <v>2164</v>
      </c>
      <c r="B2209" t="s">
        <v>2230</v>
      </c>
      <c r="C2209">
        <v>272</v>
      </c>
      <c r="D2209">
        <v>149</v>
      </c>
      <c r="E2209" t="s">
        <v>17</v>
      </c>
    </row>
    <row r="2210" spans="1:5" x14ac:dyDescent="0.35">
      <c r="A2210" t="s">
        <v>2164</v>
      </c>
      <c r="B2210" t="s">
        <v>2231</v>
      </c>
      <c r="C2210">
        <v>199</v>
      </c>
      <c r="D2210">
        <v>167</v>
      </c>
      <c r="E2210" t="s">
        <v>15</v>
      </c>
    </row>
    <row r="2211" spans="1:5" x14ac:dyDescent="0.35">
      <c r="A2211" t="s">
        <v>2164</v>
      </c>
      <c r="B2211" t="s">
        <v>2232</v>
      </c>
      <c r="C2211">
        <v>191</v>
      </c>
      <c r="D2211">
        <v>158</v>
      </c>
      <c r="E2211" t="s">
        <v>11</v>
      </c>
    </row>
    <row r="2212" spans="1:5" x14ac:dyDescent="0.35">
      <c r="A2212" t="s">
        <v>2164</v>
      </c>
      <c r="B2212" t="s">
        <v>2233</v>
      </c>
      <c r="C2212">
        <v>199</v>
      </c>
      <c r="D2212">
        <v>121</v>
      </c>
      <c r="E2212" t="s">
        <v>17</v>
      </c>
    </row>
    <row r="2213" spans="1:5" x14ac:dyDescent="0.35">
      <c r="A2213" t="s">
        <v>2164</v>
      </c>
      <c r="B2213" t="s">
        <v>2234</v>
      </c>
      <c r="C2213">
        <v>304</v>
      </c>
      <c r="D2213">
        <v>186</v>
      </c>
      <c r="E2213" t="s">
        <v>9</v>
      </c>
    </row>
    <row r="2214" spans="1:5" x14ac:dyDescent="0.35">
      <c r="A2214" t="s">
        <v>2235</v>
      </c>
      <c r="B2214" t="s">
        <v>2236</v>
      </c>
      <c r="C2214">
        <v>221</v>
      </c>
      <c r="D2214">
        <v>181</v>
      </c>
      <c r="E2214" t="s">
        <v>17</v>
      </c>
    </row>
    <row r="2215" spans="1:5" x14ac:dyDescent="0.35">
      <c r="A2215" t="s">
        <v>2235</v>
      </c>
      <c r="B2215" t="s">
        <v>2237</v>
      </c>
      <c r="C2215">
        <v>219</v>
      </c>
      <c r="D2215">
        <v>130</v>
      </c>
      <c r="E2215" t="s">
        <v>9</v>
      </c>
    </row>
    <row r="2216" spans="1:5" x14ac:dyDescent="0.35">
      <c r="A2216" t="s">
        <v>2235</v>
      </c>
      <c r="B2216" t="s">
        <v>2238</v>
      </c>
      <c r="C2216">
        <v>156</v>
      </c>
      <c r="D2216">
        <v>153</v>
      </c>
      <c r="E2216" t="s">
        <v>11</v>
      </c>
    </row>
    <row r="2217" spans="1:5" x14ac:dyDescent="0.35">
      <c r="A2217" t="s">
        <v>2235</v>
      </c>
      <c r="B2217" t="s">
        <v>2239</v>
      </c>
      <c r="C2217">
        <v>263</v>
      </c>
      <c r="D2217">
        <v>38</v>
      </c>
      <c r="E2217" t="s">
        <v>15</v>
      </c>
    </row>
    <row r="2218" spans="1:5" x14ac:dyDescent="0.35">
      <c r="A2218" t="s">
        <v>2235</v>
      </c>
      <c r="B2218" t="s">
        <v>2240</v>
      </c>
      <c r="C2218">
        <v>108</v>
      </c>
      <c r="D2218">
        <v>40</v>
      </c>
      <c r="E2218" t="s">
        <v>15</v>
      </c>
    </row>
    <row r="2219" spans="1:5" x14ac:dyDescent="0.35">
      <c r="A2219" t="s">
        <v>2235</v>
      </c>
      <c r="B2219" t="s">
        <v>2241</v>
      </c>
      <c r="C2219">
        <v>259</v>
      </c>
      <c r="D2219">
        <v>153</v>
      </c>
      <c r="E2219" t="s">
        <v>17</v>
      </c>
    </row>
    <row r="2220" spans="1:5" x14ac:dyDescent="0.35">
      <c r="A2220" t="s">
        <v>2235</v>
      </c>
      <c r="B2220" t="s">
        <v>2242</v>
      </c>
      <c r="C2220">
        <v>92</v>
      </c>
      <c r="D2220">
        <v>58</v>
      </c>
      <c r="E2220" t="s">
        <v>17</v>
      </c>
    </row>
    <row r="2221" spans="1:5" x14ac:dyDescent="0.35">
      <c r="A2221" t="s">
        <v>2235</v>
      </c>
      <c r="B2221" t="s">
        <v>2243</v>
      </c>
      <c r="C2221">
        <v>279</v>
      </c>
      <c r="D2221">
        <v>106</v>
      </c>
      <c r="E2221" t="s">
        <v>15</v>
      </c>
    </row>
    <row r="2222" spans="1:5" x14ac:dyDescent="0.35">
      <c r="A2222" t="s">
        <v>2235</v>
      </c>
      <c r="B2222" t="s">
        <v>2244</v>
      </c>
      <c r="C2222">
        <v>143</v>
      </c>
      <c r="D2222">
        <v>46</v>
      </c>
      <c r="E2222" t="s">
        <v>7</v>
      </c>
    </row>
    <row r="2223" spans="1:5" x14ac:dyDescent="0.35">
      <c r="A2223" t="s">
        <v>2235</v>
      </c>
      <c r="B2223" t="s">
        <v>2245</v>
      </c>
      <c r="C2223">
        <v>245</v>
      </c>
      <c r="D2223">
        <v>31</v>
      </c>
      <c r="E2223" t="s">
        <v>33</v>
      </c>
    </row>
    <row r="2224" spans="1:5" x14ac:dyDescent="0.35">
      <c r="A2224" t="s">
        <v>2235</v>
      </c>
      <c r="B2224" t="s">
        <v>2246</v>
      </c>
      <c r="C2224">
        <v>202</v>
      </c>
      <c r="D2224">
        <v>84</v>
      </c>
      <c r="E2224" t="s">
        <v>9</v>
      </c>
    </row>
    <row r="2225" spans="1:5" x14ac:dyDescent="0.35">
      <c r="A2225" t="s">
        <v>2235</v>
      </c>
      <c r="B2225" t="s">
        <v>2247</v>
      </c>
      <c r="C2225">
        <v>278</v>
      </c>
      <c r="D2225">
        <v>146</v>
      </c>
      <c r="E2225" t="s">
        <v>33</v>
      </c>
    </row>
    <row r="2226" spans="1:5" x14ac:dyDescent="0.35">
      <c r="A2226" t="s">
        <v>2235</v>
      </c>
      <c r="B2226" t="s">
        <v>2248</v>
      </c>
      <c r="C2226">
        <v>141</v>
      </c>
      <c r="D2226">
        <v>133</v>
      </c>
      <c r="E2226" t="s">
        <v>21</v>
      </c>
    </row>
    <row r="2227" spans="1:5" x14ac:dyDescent="0.35">
      <c r="A2227" t="s">
        <v>2235</v>
      </c>
      <c r="B2227" t="s">
        <v>2249</v>
      </c>
      <c r="C2227">
        <v>275</v>
      </c>
      <c r="D2227">
        <v>173</v>
      </c>
      <c r="E2227" t="s">
        <v>33</v>
      </c>
    </row>
    <row r="2228" spans="1:5" x14ac:dyDescent="0.35">
      <c r="A2228" t="s">
        <v>2235</v>
      </c>
      <c r="B2228" t="s">
        <v>2250</v>
      </c>
      <c r="C2228">
        <v>132</v>
      </c>
      <c r="D2228">
        <v>82</v>
      </c>
      <c r="E2228" t="s">
        <v>17</v>
      </c>
    </row>
    <row r="2229" spans="1:5" x14ac:dyDescent="0.35">
      <c r="A2229" t="s">
        <v>2235</v>
      </c>
      <c r="B2229" t="s">
        <v>2251</v>
      </c>
      <c r="C2229">
        <v>297</v>
      </c>
      <c r="D2229">
        <v>186</v>
      </c>
      <c r="E2229" t="s">
        <v>11</v>
      </c>
    </row>
    <row r="2230" spans="1:5" x14ac:dyDescent="0.35">
      <c r="A2230" t="s">
        <v>2235</v>
      </c>
      <c r="B2230" t="s">
        <v>2252</v>
      </c>
      <c r="C2230">
        <v>274</v>
      </c>
      <c r="D2230">
        <v>106</v>
      </c>
      <c r="E2230" t="s">
        <v>11</v>
      </c>
    </row>
    <row r="2231" spans="1:5" x14ac:dyDescent="0.35">
      <c r="A2231" t="s">
        <v>2235</v>
      </c>
      <c r="B2231" t="s">
        <v>2253</v>
      </c>
      <c r="C2231">
        <v>181</v>
      </c>
      <c r="D2231">
        <v>98</v>
      </c>
      <c r="E2231" t="s">
        <v>17</v>
      </c>
    </row>
    <row r="2232" spans="1:5" x14ac:dyDescent="0.35">
      <c r="A2232" t="s">
        <v>2235</v>
      </c>
      <c r="B2232" t="s">
        <v>2254</v>
      </c>
      <c r="C2232">
        <v>214</v>
      </c>
      <c r="D2232">
        <v>146</v>
      </c>
      <c r="E2232" t="s">
        <v>33</v>
      </c>
    </row>
    <row r="2233" spans="1:5" x14ac:dyDescent="0.35">
      <c r="A2233" t="s">
        <v>2235</v>
      </c>
      <c r="B2233" t="s">
        <v>2255</v>
      </c>
      <c r="C2233">
        <v>205</v>
      </c>
      <c r="D2233">
        <v>155</v>
      </c>
      <c r="E2233" t="s">
        <v>17</v>
      </c>
    </row>
    <row r="2234" spans="1:5" x14ac:dyDescent="0.35">
      <c r="A2234" t="s">
        <v>2235</v>
      </c>
      <c r="B2234" t="s">
        <v>2256</v>
      </c>
      <c r="C2234">
        <v>200</v>
      </c>
      <c r="D2234">
        <v>160</v>
      </c>
      <c r="E2234" t="s">
        <v>11</v>
      </c>
    </row>
    <row r="2235" spans="1:5" x14ac:dyDescent="0.35">
      <c r="A2235" t="s">
        <v>2235</v>
      </c>
      <c r="B2235" t="s">
        <v>2257</v>
      </c>
      <c r="C2235">
        <v>109</v>
      </c>
      <c r="D2235">
        <v>89</v>
      </c>
      <c r="E2235" t="s">
        <v>9</v>
      </c>
    </row>
    <row r="2236" spans="1:5" x14ac:dyDescent="0.35">
      <c r="A2236" t="s">
        <v>2235</v>
      </c>
      <c r="B2236" t="s">
        <v>2258</v>
      </c>
      <c r="C2236">
        <v>228</v>
      </c>
      <c r="D2236">
        <v>144</v>
      </c>
      <c r="E2236" t="s">
        <v>9</v>
      </c>
    </row>
    <row r="2237" spans="1:5" x14ac:dyDescent="0.35">
      <c r="A2237" t="s">
        <v>2235</v>
      </c>
      <c r="B2237" t="s">
        <v>2259</v>
      </c>
      <c r="C2237">
        <v>229</v>
      </c>
      <c r="D2237">
        <v>80</v>
      </c>
      <c r="E2237" t="s">
        <v>17</v>
      </c>
    </row>
    <row r="2238" spans="1:5" x14ac:dyDescent="0.35">
      <c r="A2238" t="s">
        <v>2235</v>
      </c>
      <c r="B2238" t="s">
        <v>2260</v>
      </c>
      <c r="C2238">
        <v>245</v>
      </c>
      <c r="D2238">
        <v>124</v>
      </c>
      <c r="E2238" t="s">
        <v>7</v>
      </c>
    </row>
    <row r="2239" spans="1:5" x14ac:dyDescent="0.35">
      <c r="A2239" t="s">
        <v>2235</v>
      </c>
      <c r="B2239" t="s">
        <v>2261</v>
      </c>
      <c r="C2239">
        <v>174</v>
      </c>
      <c r="D2239">
        <v>80</v>
      </c>
      <c r="E2239" t="s">
        <v>9</v>
      </c>
    </row>
    <row r="2240" spans="1:5" x14ac:dyDescent="0.35">
      <c r="A2240" t="s">
        <v>2235</v>
      </c>
      <c r="B2240" t="s">
        <v>2262</v>
      </c>
      <c r="C2240">
        <v>264</v>
      </c>
      <c r="D2240">
        <v>171</v>
      </c>
      <c r="E2240" t="s">
        <v>33</v>
      </c>
    </row>
    <row r="2241" spans="1:5" x14ac:dyDescent="0.35">
      <c r="A2241" t="s">
        <v>2235</v>
      </c>
      <c r="B2241" t="s">
        <v>2263</v>
      </c>
      <c r="C2241">
        <v>260</v>
      </c>
      <c r="D2241">
        <v>134</v>
      </c>
      <c r="E2241" t="s">
        <v>33</v>
      </c>
    </row>
    <row r="2242" spans="1:5" x14ac:dyDescent="0.35">
      <c r="A2242" t="s">
        <v>2235</v>
      </c>
      <c r="B2242" t="s">
        <v>2264</v>
      </c>
      <c r="C2242">
        <v>221</v>
      </c>
      <c r="D2242">
        <v>86</v>
      </c>
      <c r="E2242" t="s">
        <v>15</v>
      </c>
    </row>
    <row r="2243" spans="1:5" x14ac:dyDescent="0.35">
      <c r="A2243" t="s">
        <v>2235</v>
      </c>
      <c r="B2243" t="s">
        <v>2265</v>
      </c>
      <c r="C2243">
        <v>303</v>
      </c>
      <c r="D2243">
        <v>31</v>
      </c>
      <c r="E2243" t="s">
        <v>7</v>
      </c>
    </row>
    <row r="2244" spans="1:5" x14ac:dyDescent="0.35">
      <c r="A2244" t="s">
        <v>2235</v>
      </c>
      <c r="B2244" t="s">
        <v>2266</v>
      </c>
      <c r="C2244">
        <v>234</v>
      </c>
      <c r="D2244">
        <v>190</v>
      </c>
      <c r="E2244" t="s">
        <v>15</v>
      </c>
    </row>
    <row r="2245" spans="1:5" x14ac:dyDescent="0.35">
      <c r="A2245" t="s">
        <v>2235</v>
      </c>
      <c r="B2245" t="s">
        <v>2267</v>
      </c>
      <c r="C2245">
        <v>237</v>
      </c>
      <c r="D2245">
        <v>184</v>
      </c>
      <c r="E2245" t="s">
        <v>11</v>
      </c>
    </row>
    <row r="2246" spans="1:5" x14ac:dyDescent="0.35">
      <c r="A2246" t="s">
        <v>2235</v>
      </c>
      <c r="B2246" t="s">
        <v>2268</v>
      </c>
      <c r="C2246">
        <v>120</v>
      </c>
      <c r="D2246">
        <v>33</v>
      </c>
      <c r="E2246" t="s">
        <v>7</v>
      </c>
    </row>
    <row r="2247" spans="1:5" x14ac:dyDescent="0.35">
      <c r="A2247" t="s">
        <v>2235</v>
      </c>
      <c r="B2247" t="s">
        <v>2269</v>
      </c>
      <c r="C2247">
        <v>150</v>
      </c>
      <c r="D2247">
        <v>63</v>
      </c>
      <c r="E2247" t="s">
        <v>11</v>
      </c>
    </row>
    <row r="2248" spans="1:5" x14ac:dyDescent="0.35">
      <c r="A2248" t="s">
        <v>2235</v>
      </c>
      <c r="B2248" t="s">
        <v>2270</v>
      </c>
      <c r="C2248">
        <v>232</v>
      </c>
      <c r="D2248">
        <v>100</v>
      </c>
      <c r="E2248" t="s">
        <v>21</v>
      </c>
    </row>
    <row r="2249" spans="1:5" x14ac:dyDescent="0.35">
      <c r="A2249" t="s">
        <v>2235</v>
      </c>
      <c r="B2249" t="s">
        <v>2271</v>
      </c>
      <c r="C2249">
        <v>314</v>
      </c>
      <c r="D2249">
        <v>138</v>
      </c>
      <c r="E2249" t="s">
        <v>17</v>
      </c>
    </row>
    <row r="2250" spans="1:5" x14ac:dyDescent="0.35">
      <c r="A2250" t="s">
        <v>2235</v>
      </c>
      <c r="B2250" t="s">
        <v>2272</v>
      </c>
      <c r="C2250">
        <v>238</v>
      </c>
      <c r="D2250">
        <v>119</v>
      </c>
      <c r="E2250" t="s">
        <v>33</v>
      </c>
    </row>
    <row r="2251" spans="1:5" x14ac:dyDescent="0.35">
      <c r="A2251" t="s">
        <v>2235</v>
      </c>
      <c r="B2251" t="s">
        <v>2273</v>
      </c>
      <c r="C2251">
        <v>255</v>
      </c>
      <c r="D2251">
        <v>171</v>
      </c>
      <c r="E2251" t="s">
        <v>33</v>
      </c>
    </row>
    <row r="2252" spans="1:5" x14ac:dyDescent="0.35">
      <c r="A2252" t="s">
        <v>2235</v>
      </c>
      <c r="B2252" t="s">
        <v>2274</v>
      </c>
      <c r="C2252">
        <v>255</v>
      </c>
      <c r="D2252">
        <v>172</v>
      </c>
      <c r="E2252" t="s">
        <v>11</v>
      </c>
    </row>
    <row r="2253" spans="1:5" x14ac:dyDescent="0.35">
      <c r="A2253" t="s">
        <v>2235</v>
      </c>
      <c r="B2253" t="s">
        <v>2275</v>
      </c>
      <c r="C2253">
        <v>192</v>
      </c>
      <c r="D2253">
        <v>173</v>
      </c>
      <c r="E2253" t="s">
        <v>11</v>
      </c>
    </row>
    <row r="2254" spans="1:5" x14ac:dyDescent="0.35">
      <c r="A2254" t="s">
        <v>2235</v>
      </c>
      <c r="B2254" t="s">
        <v>2276</v>
      </c>
      <c r="C2254">
        <v>219</v>
      </c>
      <c r="D2254">
        <v>99</v>
      </c>
      <c r="E2254" t="s">
        <v>11</v>
      </c>
    </row>
    <row r="2255" spans="1:5" x14ac:dyDescent="0.35">
      <c r="A2255" t="s">
        <v>2235</v>
      </c>
      <c r="B2255" t="s">
        <v>2277</v>
      </c>
      <c r="C2255">
        <v>164</v>
      </c>
      <c r="D2255">
        <v>57</v>
      </c>
      <c r="E2255" t="s">
        <v>33</v>
      </c>
    </row>
    <row r="2256" spans="1:5" x14ac:dyDescent="0.35">
      <c r="A2256" t="s">
        <v>2235</v>
      </c>
      <c r="B2256" t="s">
        <v>2278</v>
      </c>
      <c r="C2256">
        <v>251</v>
      </c>
      <c r="D2256">
        <v>173</v>
      </c>
      <c r="E2256" t="s">
        <v>9</v>
      </c>
    </row>
    <row r="2257" spans="1:5" x14ac:dyDescent="0.35">
      <c r="A2257" t="s">
        <v>2235</v>
      </c>
      <c r="B2257" t="s">
        <v>2279</v>
      </c>
      <c r="C2257">
        <v>201</v>
      </c>
      <c r="D2257">
        <v>110</v>
      </c>
      <c r="E2257" t="s">
        <v>7</v>
      </c>
    </row>
    <row r="2258" spans="1:5" x14ac:dyDescent="0.35">
      <c r="A2258" t="s">
        <v>2235</v>
      </c>
      <c r="B2258" t="s">
        <v>2280</v>
      </c>
      <c r="C2258">
        <v>231</v>
      </c>
      <c r="D2258">
        <v>179</v>
      </c>
      <c r="E2258" t="s">
        <v>15</v>
      </c>
    </row>
    <row r="2259" spans="1:5" x14ac:dyDescent="0.35">
      <c r="A2259" t="s">
        <v>2235</v>
      </c>
      <c r="B2259" t="s">
        <v>2281</v>
      </c>
      <c r="C2259">
        <v>279</v>
      </c>
      <c r="D2259">
        <v>178</v>
      </c>
      <c r="E2259" t="s">
        <v>7</v>
      </c>
    </row>
    <row r="2260" spans="1:5" x14ac:dyDescent="0.35">
      <c r="A2260" t="s">
        <v>2235</v>
      </c>
      <c r="B2260" t="s">
        <v>2282</v>
      </c>
      <c r="C2260">
        <v>253</v>
      </c>
      <c r="D2260">
        <v>128</v>
      </c>
      <c r="E2260" t="s">
        <v>15</v>
      </c>
    </row>
    <row r="2261" spans="1:5" x14ac:dyDescent="0.35">
      <c r="A2261" t="s">
        <v>2235</v>
      </c>
      <c r="B2261" t="s">
        <v>2283</v>
      </c>
      <c r="C2261">
        <v>156</v>
      </c>
      <c r="D2261">
        <v>136</v>
      </c>
      <c r="E2261" t="s">
        <v>21</v>
      </c>
    </row>
    <row r="2262" spans="1:5" x14ac:dyDescent="0.35">
      <c r="A2262" t="s">
        <v>2235</v>
      </c>
      <c r="B2262" t="s">
        <v>2284</v>
      </c>
      <c r="C2262">
        <v>269</v>
      </c>
      <c r="D2262">
        <v>161</v>
      </c>
      <c r="E2262" t="s">
        <v>21</v>
      </c>
    </row>
    <row r="2263" spans="1:5" x14ac:dyDescent="0.35">
      <c r="A2263" t="s">
        <v>2235</v>
      </c>
      <c r="B2263" t="s">
        <v>2285</v>
      </c>
      <c r="C2263">
        <v>245</v>
      </c>
      <c r="D2263">
        <v>113</v>
      </c>
      <c r="E2263" t="s">
        <v>17</v>
      </c>
    </row>
    <row r="2264" spans="1:5" x14ac:dyDescent="0.35">
      <c r="A2264" t="s">
        <v>2235</v>
      </c>
      <c r="B2264" t="s">
        <v>2286</v>
      </c>
      <c r="C2264">
        <v>136</v>
      </c>
      <c r="D2264">
        <v>68</v>
      </c>
      <c r="E2264" t="s">
        <v>7</v>
      </c>
    </row>
    <row r="2265" spans="1:5" x14ac:dyDescent="0.35">
      <c r="A2265" t="s">
        <v>2235</v>
      </c>
      <c r="B2265" t="s">
        <v>2287</v>
      </c>
      <c r="C2265">
        <v>299</v>
      </c>
      <c r="D2265">
        <v>182</v>
      </c>
      <c r="E2265" t="s">
        <v>33</v>
      </c>
    </row>
    <row r="2266" spans="1:5" x14ac:dyDescent="0.35">
      <c r="A2266" t="s">
        <v>2235</v>
      </c>
      <c r="B2266" t="s">
        <v>2288</v>
      </c>
      <c r="C2266">
        <v>188</v>
      </c>
      <c r="D2266">
        <v>111</v>
      </c>
      <c r="E2266" t="s">
        <v>21</v>
      </c>
    </row>
    <row r="2267" spans="1:5" x14ac:dyDescent="0.35">
      <c r="A2267" t="s">
        <v>2235</v>
      </c>
      <c r="B2267" t="s">
        <v>2289</v>
      </c>
      <c r="C2267">
        <v>299</v>
      </c>
      <c r="D2267">
        <v>146</v>
      </c>
      <c r="E2267" t="s">
        <v>11</v>
      </c>
    </row>
    <row r="2268" spans="1:5" x14ac:dyDescent="0.35">
      <c r="A2268" t="s">
        <v>2235</v>
      </c>
      <c r="B2268" t="s">
        <v>2290</v>
      </c>
      <c r="C2268">
        <v>252</v>
      </c>
      <c r="D2268">
        <v>131</v>
      </c>
      <c r="E2268" t="s">
        <v>33</v>
      </c>
    </row>
    <row r="2269" spans="1:5" x14ac:dyDescent="0.35">
      <c r="A2269" t="s">
        <v>2235</v>
      </c>
      <c r="B2269" t="s">
        <v>2291</v>
      </c>
      <c r="C2269">
        <v>211</v>
      </c>
      <c r="D2269">
        <v>138</v>
      </c>
      <c r="E2269" t="s">
        <v>9</v>
      </c>
    </row>
    <row r="2270" spans="1:5" x14ac:dyDescent="0.35">
      <c r="A2270" t="s">
        <v>2235</v>
      </c>
      <c r="B2270" t="s">
        <v>2292</v>
      </c>
      <c r="C2270">
        <v>263</v>
      </c>
      <c r="D2270">
        <v>139</v>
      </c>
      <c r="E2270" t="s">
        <v>9</v>
      </c>
    </row>
    <row r="2271" spans="1:5" x14ac:dyDescent="0.35">
      <c r="A2271" t="s">
        <v>2235</v>
      </c>
      <c r="B2271" t="s">
        <v>2293</v>
      </c>
      <c r="C2271">
        <v>266</v>
      </c>
      <c r="D2271">
        <v>92</v>
      </c>
      <c r="E2271" t="s">
        <v>15</v>
      </c>
    </row>
    <row r="2272" spans="1:5" x14ac:dyDescent="0.35">
      <c r="A2272" t="s">
        <v>2235</v>
      </c>
      <c r="B2272" t="s">
        <v>2294</v>
      </c>
      <c r="C2272">
        <v>313</v>
      </c>
      <c r="D2272">
        <v>133</v>
      </c>
      <c r="E2272" t="s">
        <v>33</v>
      </c>
    </row>
    <row r="2273" spans="1:5" x14ac:dyDescent="0.35">
      <c r="A2273" t="s">
        <v>2235</v>
      </c>
      <c r="B2273" t="s">
        <v>2295</v>
      </c>
      <c r="C2273">
        <v>152</v>
      </c>
      <c r="D2273">
        <v>95</v>
      </c>
      <c r="E2273" t="s">
        <v>21</v>
      </c>
    </row>
    <row r="2274" spans="1:5" x14ac:dyDescent="0.35">
      <c r="A2274" t="s">
        <v>2235</v>
      </c>
      <c r="B2274" t="s">
        <v>2296</v>
      </c>
      <c r="C2274">
        <v>284</v>
      </c>
      <c r="D2274">
        <v>78</v>
      </c>
      <c r="E2274" t="s">
        <v>9</v>
      </c>
    </row>
    <row r="2275" spans="1:5" x14ac:dyDescent="0.35">
      <c r="A2275" t="s">
        <v>2235</v>
      </c>
      <c r="B2275" t="s">
        <v>2297</v>
      </c>
      <c r="C2275">
        <v>207</v>
      </c>
      <c r="D2275">
        <v>128</v>
      </c>
      <c r="E2275" t="s">
        <v>9</v>
      </c>
    </row>
    <row r="2276" spans="1:5" x14ac:dyDescent="0.35">
      <c r="A2276" t="s">
        <v>2235</v>
      </c>
      <c r="B2276" t="s">
        <v>2298</v>
      </c>
      <c r="C2276">
        <v>88</v>
      </c>
      <c r="D2276">
        <v>60</v>
      </c>
      <c r="E2276" t="s">
        <v>17</v>
      </c>
    </row>
    <row r="2277" spans="1:5" x14ac:dyDescent="0.35">
      <c r="A2277" t="s">
        <v>2235</v>
      </c>
      <c r="B2277" t="s">
        <v>2299</v>
      </c>
      <c r="C2277">
        <v>300</v>
      </c>
      <c r="D2277">
        <v>144</v>
      </c>
      <c r="E2277" t="s">
        <v>17</v>
      </c>
    </row>
    <row r="2278" spans="1:5" x14ac:dyDescent="0.35">
      <c r="A2278" t="s">
        <v>2235</v>
      </c>
      <c r="B2278" t="s">
        <v>2300</v>
      </c>
      <c r="C2278">
        <v>268</v>
      </c>
      <c r="D2278">
        <v>168</v>
      </c>
      <c r="E2278" t="s">
        <v>33</v>
      </c>
    </row>
    <row r="2279" spans="1:5" x14ac:dyDescent="0.35">
      <c r="A2279" t="s">
        <v>2235</v>
      </c>
      <c r="B2279" t="s">
        <v>2301</v>
      </c>
      <c r="C2279">
        <v>159</v>
      </c>
      <c r="D2279">
        <v>127</v>
      </c>
      <c r="E2279" t="s">
        <v>7</v>
      </c>
    </row>
    <row r="2280" spans="1:5" x14ac:dyDescent="0.35">
      <c r="A2280" t="s">
        <v>2235</v>
      </c>
      <c r="B2280" t="s">
        <v>2302</v>
      </c>
      <c r="C2280">
        <v>228</v>
      </c>
      <c r="D2280">
        <v>104</v>
      </c>
      <c r="E2280" t="s">
        <v>9</v>
      </c>
    </row>
    <row r="2281" spans="1:5" x14ac:dyDescent="0.35">
      <c r="A2281" t="s">
        <v>2235</v>
      </c>
      <c r="B2281" t="s">
        <v>2303</v>
      </c>
      <c r="C2281">
        <v>298</v>
      </c>
      <c r="D2281">
        <v>71</v>
      </c>
      <c r="E2281" t="s">
        <v>33</v>
      </c>
    </row>
    <row r="2282" spans="1:5" x14ac:dyDescent="0.35">
      <c r="A2282" t="s">
        <v>2235</v>
      </c>
      <c r="B2282" t="s">
        <v>2304</v>
      </c>
      <c r="C2282">
        <v>243</v>
      </c>
      <c r="D2282">
        <v>64</v>
      </c>
      <c r="E2282" t="s">
        <v>9</v>
      </c>
    </row>
    <row r="2283" spans="1:5" x14ac:dyDescent="0.35">
      <c r="A2283" t="s">
        <v>2235</v>
      </c>
      <c r="B2283" t="s">
        <v>2305</v>
      </c>
      <c r="C2283">
        <v>108</v>
      </c>
      <c r="D2283">
        <v>55</v>
      </c>
      <c r="E2283" t="s">
        <v>15</v>
      </c>
    </row>
    <row r="2284" spans="1:5" x14ac:dyDescent="0.35">
      <c r="A2284" t="s">
        <v>2235</v>
      </c>
      <c r="B2284" t="s">
        <v>2306</v>
      </c>
      <c r="C2284">
        <v>209</v>
      </c>
      <c r="D2284">
        <v>116</v>
      </c>
      <c r="E2284" t="s">
        <v>15</v>
      </c>
    </row>
    <row r="2285" spans="1:5" x14ac:dyDescent="0.35">
      <c r="A2285" t="s">
        <v>2235</v>
      </c>
      <c r="B2285" t="s">
        <v>2307</v>
      </c>
      <c r="C2285">
        <v>286</v>
      </c>
      <c r="D2285">
        <v>189</v>
      </c>
      <c r="E2285" t="s">
        <v>11</v>
      </c>
    </row>
    <row r="2286" spans="1:5" x14ac:dyDescent="0.35">
      <c r="A2286" t="s">
        <v>2235</v>
      </c>
      <c r="B2286" t="s">
        <v>2308</v>
      </c>
      <c r="C2286">
        <v>315</v>
      </c>
      <c r="D2286">
        <v>123</v>
      </c>
      <c r="E2286" t="s">
        <v>15</v>
      </c>
    </row>
    <row r="2287" spans="1:5" x14ac:dyDescent="0.35">
      <c r="A2287" t="s">
        <v>2235</v>
      </c>
      <c r="B2287" t="s">
        <v>2309</v>
      </c>
      <c r="C2287">
        <v>98</v>
      </c>
      <c r="D2287">
        <v>74</v>
      </c>
      <c r="E2287" t="s">
        <v>9</v>
      </c>
    </row>
    <row r="2288" spans="1:5" x14ac:dyDescent="0.35">
      <c r="A2288" t="s">
        <v>2235</v>
      </c>
      <c r="B2288" t="s">
        <v>2310</v>
      </c>
      <c r="C2288">
        <v>262</v>
      </c>
      <c r="D2288">
        <v>179</v>
      </c>
      <c r="E2288" t="s">
        <v>33</v>
      </c>
    </row>
    <row r="2289" spans="1:5" x14ac:dyDescent="0.35">
      <c r="A2289" t="s">
        <v>2235</v>
      </c>
      <c r="B2289" t="s">
        <v>2311</v>
      </c>
      <c r="C2289">
        <v>285</v>
      </c>
      <c r="D2289">
        <v>145</v>
      </c>
      <c r="E2289" t="s">
        <v>21</v>
      </c>
    </row>
    <row r="2290" spans="1:5" x14ac:dyDescent="0.35">
      <c r="A2290" t="s">
        <v>2235</v>
      </c>
      <c r="B2290" t="s">
        <v>2312</v>
      </c>
      <c r="C2290">
        <v>227</v>
      </c>
      <c r="D2290">
        <v>131</v>
      </c>
      <c r="E2290" t="s">
        <v>21</v>
      </c>
    </row>
    <row r="2291" spans="1:5" x14ac:dyDescent="0.35">
      <c r="A2291" t="s">
        <v>2235</v>
      </c>
      <c r="B2291" t="s">
        <v>2313</v>
      </c>
      <c r="C2291">
        <v>126</v>
      </c>
      <c r="D2291">
        <v>40</v>
      </c>
      <c r="E2291" t="s">
        <v>15</v>
      </c>
    </row>
    <row r="2292" spans="1:5" x14ac:dyDescent="0.35">
      <c r="A2292" t="s">
        <v>2235</v>
      </c>
      <c r="B2292" t="s">
        <v>2314</v>
      </c>
      <c r="C2292">
        <v>287</v>
      </c>
      <c r="D2292">
        <v>178</v>
      </c>
      <c r="E2292" t="s">
        <v>17</v>
      </c>
    </row>
    <row r="2293" spans="1:5" x14ac:dyDescent="0.35">
      <c r="A2293" t="s">
        <v>2235</v>
      </c>
      <c r="B2293" t="s">
        <v>2315</v>
      </c>
      <c r="C2293">
        <v>212</v>
      </c>
      <c r="D2293">
        <v>46</v>
      </c>
      <c r="E2293" t="s">
        <v>17</v>
      </c>
    </row>
    <row r="2294" spans="1:5" x14ac:dyDescent="0.35">
      <c r="A2294" t="s">
        <v>2235</v>
      </c>
      <c r="B2294" t="s">
        <v>2316</v>
      </c>
      <c r="C2294">
        <v>316</v>
      </c>
      <c r="D2294">
        <v>95</v>
      </c>
      <c r="E2294" t="s">
        <v>15</v>
      </c>
    </row>
    <row r="2295" spans="1:5" x14ac:dyDescent="0.35">
      <c r="A2295" t="s">
        <v>2235</v>
      </c>
      <c r="B2295" t="s">
        <v>2317</v>
      </c>
      <c r="C2295">
        <v>320</v>
      </c>
      <c r="D2295">
        <v>165</v>
      </c>
      <c r="E2295" t="s">
        <v>9</v>
      </c>
    </row>
    <row r="2296" spans="1:5" x14ac:dyDescent="0.35">
      <c r="A2296" t="s">
        <v>2235</v>
      </c>
      <c r="B2296" t="s">
        <v>2318</v>
      </c>
      <c r="C2296">
        <v>275</v>
      </c>
      <c r="D2296">
        <v>32</v>
      </c>
      <c r="E2296" t="s">
        <v>33</v>
      </c>
    </row>
    <row r="2297" spans="1:5" x14ac:dyDescent="0.35">
      <c r="A2297" t="s">
        <v>2235</v>
      </c>
      <c r="B2297" t="s">
        <v>2319</v>
      </c>
      <c r="C2297">
        <v>252</v>
      </c>
      <c r="D2297">
        <v>179</v>
      </c>
      <c r="E2297" t="s">
        <v>33</v>
      </c>
    </row>
    <row r="2298" spans="1:5" x14ac:dyDescent="0.35">
      <c r="A2298" t="s">
        <v>2235</v>
      </c>
      <c r="B2298" t="s">
        <v>2320</v>
      </c>
      <c r="C2298">
        <v>309</v>
      </c>
      <c r="D2298">
        <v>132</v>
      </c>
      <c r="E2298" t="s">
        <v>11</v>
      </c>
    </row>
    <row r="2299" spans="1:5" x14ac:dyDescent="0.35">
      <c r="A2299" t="s">
        <v>2235</v>
      </c>
      <c r="B2299" t="s">
        <v>2321</v>
      </c>
      <c r="C2299">
        <v>254</v>
      </c>
      <c r="D2299">
        <v>171</v>
      </c>
      <c r="E2299" t="s">
        <v>11</v>
      </c>
    </row>
    <row r="2300" spans="1:5" x14ac:dyDescent="0.35">
      <c r="A2300" t="s">
        <v>2235</v>
      </c>
      <c r="B2300" t="s">
        <v>2322</v>
      </c>
      <c r="C2300">
        <v>220</v>
      </c>
      <c r="D2300">
        <v>189</v>
      </c>
      <c r="E2300" t="s">
        <v>9</v>
      </c>
    </row>
    <row r="2301" spans="1:5" x14ac:dyDescent="0.35">
      <c r="A2301" t="s">
        <v>2235</v>
      </c>
      <c r="B2301" t="s">
        <v>2323</v>
      </c>
      <c r="C2301">
        <v>311</v>
      </c>
      <c r="D2301">
        <v>118</v>
      </c>
      <c r="E2301" t="s">
        <v>7</v>
      </c>
    </row>
    <row r="2302" spans="1:5" x14ac:dyDescent="0.35">
      <c r="A2302" t="s">
        <v>2235</v>
      </c>
      <c r="B2302" t="s">
        <v>2324</v>
      </c>
      <c r="C2302">
        <v>167</v>
      </c>
      <c r="D2302">
        <v>97</v>
      </c>
      <c r="E2302" t="s">
        <v>33</v>
      </c>
    </row>
    <row r="2303" spans="1:5" x14ac:dyDescent="0.35">
      <c r="A2303" t="s">
        <v>2235</v>
      </c>
      <c r="B2303" t="s">
        <v>2325</v>
      </c>
      <c r="C2303">
        <v>300</v>
      </c>
      <c r="D2303">
        <v>37</v>
      </c>
      <c r="E2303" t="s">
        <v>9</v>
      </c>
    </row>
    <row r="2304" spans="1:5" x14ac:dyDescent="0.35">
      <c r="A2304" t="s">
        <v>2235</v>
      </c>
      <c r="B2304" t="s">
        <v>2326</v>
      </c>
      <c r="C2304">
        <v>150</v>
      </c>
      <c r="D2304">
        <v>106</v>
      </c>
      <c r="E2304" t="s">
        <v>33</v>
      </c>
    </row>
    <row r="2305" spans="1:5" x14ac:dyDescent="0.35">
      <c r="A2305" t="s">
        <v>2235</v>
      </c>
      <c r="B2305" t="s">
        <v>2327</v>
      </c>
      <c r="C2305">
        <v>315</v>
      </c>
      <c r="D2305">
        <v>163</v>
      </c>
      <c r="E2305" t="s">
        <v>15</v>
      </c>
    </row>
    <row r="2306" spans="1:5" x14ac:dyDescent="0.35">
      <c r="A2306" t="s">
        <v>2235</v>
      </c>
      <c r="B2306" t="s">
        <v>2328</v>
      </c>
      <c r="C2306">
        <v>129</v>
      </c>
      <c r="D2306">
        <v>30</v>
      </c>
      <c r="E2306" t="s">
        <v>9</v>
      </c>
    </row>
    <row r="2307" spans="1:5" x14ac:dyDescent="0.35">
      <c r="A2307" t="s">
        <v>2235</v>
      </c>
      <c r="B2307" t="s">
        <v>2329</v>
      </c>
      <c r="C2307">
        <v>195</v>
      </c>
      <c r="D2307">
        <v>139</v>
      </c>
      <c r="E2307" t="s">
        <v>17</v>
      </c>
    </row>
    <row r="2308" spans="1:5" x14ac:dyDescent="0.35">
      <c r="A2308" t="s">
        <v>2235</v>
      </c>
      <c r="B2308" t="s">
        <v>2330</v>
      </c>
      <c r="C2308">
        <v>92</v>
      </c>
      <c r="D2308">
        <v>77</v>
      </c>
      <c r="E2308" t="s">
        <v>7</v>
      </c>
    </row>
    <row r="2309" spans="1:5" x14ac:dyDescent="0.35">
      <c r="A2309" t="s">
        <v>2235</v>
      </c>
      <c r="B2309" t="s">
        <v>2331</v>
      </c>
      <c r="C2309">
        <v>202</v>
      </c>
      <c r="D2309">
        <v>113</v>
      </c>
      <c r="E2309" t="s">
        <v>21</v>
      </c>
    </row>
    <row r="2310" spans="1:5" x14ac:dyDescent="0.35">
      <c r="A2310" t="s">
        <v>2235</v>
      </c>
      <c r="B2310" t="s">
        <v>2332</v>
      </c>
      <c r="C2310">
        <v>251</v>
      </c>
      <c r="D2310">
        <v>71</v>
      </c>
      <c r="E2310" t="s">
        <v>21</v>
      </c>
    </row>
    <row r="2311" spans="1:5" x14ac:dyDescent="0.35">
      <c r="A2311" t="s">
        <v>2235</v>
      </c>
      <c r="B2311" t="s">
        <v>2333</v>
      </c>
      <c r="C2311">
        <v>177</v>
      </c>
      <c r="D2311">
        <v>33</v>
      </c>
      <c r="E2311" t="s">
        <v>9</v>
      </c>
    </row>
    <row r="2312" spans="1:5" x14ac:dyDescent="0.35">
      <c r="A2312" t="s">
        <v>2235</v>
      </c>
      <c r="B2312" t="s">
        <v>2334</v>
      </c>
      <c r="C2312">
        <v>317</v>
      </c>
      <c r="D2312">
        <v>144</v>
      </c>
      <c r="E2312" t="s">
        <v>17</v>
      </c>
    </row>
    <row r="2313" spans="1:5" x14ac:dyDescent="0.35">
      <c r="A2313" t="s">
        <v>2235</v>
      </c>
      <c r="B2313" t="s">
        <v>2335</v>
      </c>
      <c r="C2313">
        <v>65</v>
      </c>
      <c r="D2313">
        <v>62</v>
      </c>
      <c r="E2313" t="s">
        <v>7</v>
      </c>
    </row>
    <row r="2314" spans="1:5" x14ac:dyDescent="0.35">
      <c r="A2314" t="s">
        <v>2235</v>
      </c>
      <c r="B2314" t="s">
        <v>2336</v>
      </c>
      <c r="C2314">
        <v>225</v>
      </c>
      <c r="D2314">
        <v>166</v>
      </c>
      <c r="E2314" t="s">
        <v>21</v>
      </c>
    </row>
    <row r="2315" spans="1:5" x14ac:dyDescent="0.35">
      <c r="A2315" t="s">
        <v>2235</v>
      </c>
      <c r="B2315" t="s">
        <v>2337</v>
      </c>
      <c r="C2315">
        <v>236</v>
      </c>
      <c r="D2315">
        <v>160</v>
      </c>
      <c r="E2315" t="s">
        <v>21</v>
      </c>
    </row>
    <row r="2316" spans="1:5" x14ac:dyDescent="0.35">
      <c r="A2316" t="s">
        <v>2235</v>
      </c>
      <c r="B2316" t="s">
        <v>2338</v>
      </c>
      <c r="C2316">
        <v>313</v>
      </c>
      <c r="D2316">
        <v>180</v>
      </c>
      <c r="E2316" t="s">
        <v>15</v>
      </c>
    </row>
    <row r="2317" spans="1:5" x14ac:dyDescent="0.35">
      <c r="A2317" t="s">
        <v>2235</v>
      </c>
      <c r="B2317" t="s">
        <v>2339</v>
      </c>
      <c r="C2317">
        <v>200</v>
      </c>
      <c r="D2317">
        <v>126</v>
      </c>
      <c r="E2317" t="s">
        <v>9</v>
      </c>
    </row>
    <row r="2318" spans="1:5" x14ac:dyDescent="0.35">
      <c r="A2318" t="s">
        <v>2235</v>
      </c>
      <c r="B2318" t="s">
        <v>2340</v>
      </c>
      <c r="C2318">
        <v>285</v>
      </c>
      <c r="D2318">
        <v>107</v>
      </c>
      <c r="E2318" t="s">
        <v>21</v>
      </c>
    </row>
    <row r="2319" spans="1:5" x14ac:dyDescent="0.35">
      <c r="A2319" t="s">
        <v>2235</v>
      </c>
      <c r="B2319" t="s">
        <v>2341</v>
      </c>
      <c r="C2319">
        <v>274</v>
      </c>
      <c r="D2319">
        <v>181</v>
      </c>
      <c r="E2319" t="s">
        <v>21</v>
      </c>
    </row>
    <row r="2320" spans="1:5" x14ac:dyDescent="0.35">
      <c r="A2320" t="s">
        <v>2235</v>
      </c>
      <c r="B2320" t="s">
        <v>2342</v>
      </c>
      <c r="C2320">
        <v>234</v>
      </c>
      <c r="D2320">
        <v>182</v>
      </c>
      <c r="E2320" t="s">
        <v>11</v>
      </c>
    </row>
    <row r="2321" spans="1:5" x14ac:dyDescent="0.35">
      <c r="A2321" t="s">
        <v>2235</v>
      </c>
      <c r="B2321" t="s">
        <v>2343</v>
      </c>
      <c r="C2321">
        <v>55</v>
      </c>
      <c r="D2321">
        <v>37</v>
      </c>
      <c r="E2321" t="s">
        <v>9</v>
      </c>
    </row>
    <row r="2322" spans="1:5" x14ac:dyDescent="0.35">
      <c r="A2322" t="s">
        <v>2235</v>
      </c>
      <c r="B2322" t="s">
        <v>2344</v>
      </c>
      <c r="C2322">
        <v>132</v>
      </c>
      <c r="D2322">
        <v>115</v>
      </c>
      <c r="E2322" t="s">
        <v>33</v>
      </c>
    </row>
    <row r="2323" spans="1:5" x14ac:dyDescent="0.35">
      <c r="A2323" t="s">
        <v>2235</v>
      </c>
      <c r="B2323" t="s">
        <v>2345</v>
      </c>
      <c r="C2323">
        <v>241</v>
      </c>
      <c r="D2323">
        <v>30</v>
      </c>
      <c r="E2323" t="s">
        <v>33</v>
      </c>
    </row>
    <row r="2324" spans="1:5" x14ac:dyDescent="0.35">
      <c r="A2324" t="s">
        <v>2235</v>
      </c>
      <c r="B2324" t="s">
        <v>2346</v>
      </c>
      <c r="C2324">
        <v>279</v>
      </c>
      <c r="D2324">
        <v>154</v>
      </c>
      <c r="E2324" t="s">
        <v>11</v>
      </c>
    </row>
    <row r="2325" spans="1:5" x14ac:dyDescent="0.35">
      <c r="A2325" t="s">
        <v>2235</v>
      </c>
      <c r="B2325" t="s">
        <v>2347</v>
      </c>
      <c r="C2325">
        <v>163</v>
      </c>
      <c r="D2325">
        <v>134</v>
      </c>
      <c r="E2325" t="s">
        <v>7</v>
      </c>
    </row>
    <row r="2326" spans="1:5" x14ac:dyDescent="0.35">
      <c r="A2326" t="s">
        <v>2235</v>
      </c>
      <c r="B2326" t="s">
        <v>2348</v>
      </c>
      <c r="C2326">
        <v>294</v>
      </c>
      <c r="D2326">
        <v>177</v>
      </c>
      <c r="E2326" t="s">
        <v>21</v>
      </c>
    </row>
    <row r="2327" spans="1:5" x14ac:dyDescent="0.35">
      <c r="A2327" t="s">
        <v>2235</v>
      </c>
      <c r="B2327" t="s">
        <v>2349</v>
      </c>
      <c r="C2327">
        <v>66</v>
      </c>
      <c r="D2327">
        <v>58</v>
      </c>
      <c r="E2327" t="s">
        <v>11</v>
      </c>
    </row>
    <row r="2328" spans="1:5" x14ac:dyDescent="0.35">
      <c r="A2328" t="s">
        <v>2235</v>
      </c>
      <c r="B2328" t="s">
        <v>2350</v>
      </c>
      <c r="C2328">
        <v>215</v>
      </c>
      <c r="D2328">
        <v>124</v>
      </c>
      <c r="E2328" t="s">
        <v>33</v>
      </c>
    </row>
    <row r="2329" spans="1:5" x14ac:dyDescent="0.35">
      <c r="A2329" t="s">
        <v>2235</v>
      </c>
      <c r="B2329" t="s">
        <v>2351</v>
      </c>
      <c r="C2329">
        <v>101</v>
      </c>
      <c r="D2329">
        <v>63</v>
      </c>
      <c r="E2329" t="s">
        <v>7</v>
      </c>
    </row>
    <row r="2330" spans="1:5" x14ac:dyDescent="0.35">
      <c r="A2330" t="s">
        <v>2235</v>
      </c>
      <c r="B2330" t="s">
        <v>2352</v>
      </c>
      <c r="C2330">
        <v>89</v>
      </c>
      <c r="D2330">
        <v>64</v>
      </c>
      <c r="E2330" t="s">
        <v>9</v>
      </c>
    </row>
    <row r="2331" spans="1:5" x14ac:dyDescent="0.35">
      <c r="A2331" t="s">
        <v>2235</v>
      </c>
      <c r="B2331" t="s">
        <v>2353</v>
      </c>
      <c r="C2331">
        <v>260</v>
      </c>
      <c r="D2331">
        <v>49</v>
      </c>
      <c r="E2331" t="s">
        <v>21</v>
      </c>
    </row>
    <row r="2332" spans="1:5" x14ac:dyDescent="0.35">
      <c r="A2332" t="s">
        <v>2235</v>
      </c>
      <c r="B2332" t="s">
        <v>2354</v>
      </c>
      <c r="C2332">
        <v>271</v>
      </c>
      <c r="D2332">
        <v>147</v>
      </c>
      <c r="E2332" t="s">
        <v>21</v>
      </c>
    </row>
    <row r="2333" spans="1:5" x14ac:dyDescent="0.35">
      <c r="A2333" t="s">
        <v>2235</v>
      </c>
      <c r="B2333" t="s">
        <v>2355</v>
      </c>
      <c r="C2333">
        <v>214</v>
      </c>
      <c r="D2333">
        <v>179</v>
      </c>
      <c r="E2333" t="s">
        <v>7</v>
      </c>
    </row>
    <row r="2334" spans="1:5" x14ac:dyDescent="0.35">
      <c r="A2334" t="s">
        <v>2235</v>
      </c>
      <c r="B2334" t="s">
        <v>2356</v>
      </c>
      <c r="C2334">
        <v>121</v>
      </c>
      <c r="D2334">
        <v>44</v>
      </c>
      <c r="E2334" t="s">
        <v>33</v>
      </c>
    </row>
    <row r="2335" spans="1:5" x14ac:dyDescent="0.35">
      <c r="A2335" t="s">
        <v>2235</v>
      </c>
      <c r="B2335" t="s">
        <v>2357</v>
      </c>
      <c r="C2335">
        <v>172</v>
      </c>
      <c r="D2335">
        <v>57</v>
      </c>
      <c r="E2335" t="s">
        <v>7</v>
      </c>
    </row>
    <row r="2336" spans="1:5" x14ac:dyDescent="0.35">
      <c r="A2336" t="s">
        <v>2235</v>
      </c>
      <c r="B2336" t="s">
        <v>2358</v>
      </c>
      <c r="C2336">
        <v>215</v>
      </c>
      <c r="D2336">
        <v>85</v>
      </c>
      <c r="E2336" t="s">
        <v>9</v>
      </c>
    </row>
    <row r="2337" spans="1:5" x14ac:dyDescent="0.35">
      <c r="A2337" t="s">
        <v>2235</v>
      </c>
      <c r="B2337" t="s">
        <v>2359</v>
      </c>
      <c r="C2337">
        <v>280</v>
      </c>
      <c r="D2337">
        <v>114</v>
      </c>
      <c r="E2337" t="s">
        <v>15</v>
      </c>
    </row>
    <row r="2338" spans="1:5" x14ac:dyDescent="0.35">
      <c r="A2338" t="s">
        <v>2235</v>
      </c>
      <c r="B2338" t="s">
        <v>2360</v>
      </c>
      <c r="C2338">
        <v>229</v>
      </c>
      <c r="D2338">
        <v>140</v>
      </c>
      <c r="E2338" t="s">
        <v>11</v>
      </c>
    </row>
    <row r="2339" spans="1:5" x14ac:dyDescent="0.35">
      <c r="A2339" t="s">
        <v>2235</v>
      </c>
      <c r="B2339" t="s">
        <v>2361</v>
      </c>
      <c r="C2339">
        <v>112</v>
      </c>
      <c r="D2339">
        <v>32</v>
      </c>
      <c r="E2339" t="s">
        <v>17</v>
      </c>
    </row>
    <row r="2340" spans="1:5" x14ac:dyDescent="0.35">
      <c r="A2340" t="s">
        <v>2235</v>
      </c>
      <c r="B2340" t="s">
        <v>2362</v>
      </c>
      <c r="C2340">
        <v>207</v>
      </c>
      <c r="D2340">
        <v>71</v>
      </c>
      <c r="E2340" t="s">
        <v>21</v>
      </c>
    </row>
    <row r="2341" spans="1:5" x14ac:dyDescent="0.35">
      <c r="A2341" t="s">
        <v>2235</v>
      </c>
      <c r="B2341" t="s">
        <v>2363</v>
      </c>
      <c r="C2341">
        <v>316</v>
      </c>
      <c r="D2341">
        <v>122</v>
      </c>
      <c r="E2341" t="s">
        <v>7</v>
      </c>
    </row>
    <row r="2342" spans="1:5" x14ac:dyDescent="0.35">
      <c r="A2342" t="s">
        <v>2235</v>
      </c>
      <c r="B2342" t="s">
        <v>2364</v>
      </c>
      <c r="C2342">
        <v>234</v>
      </c>
      <c r="D2342">
        <v>130</v>
      </c>
      <c r="E2342" t="s">
        <v>9</v>
      </c>
    </row>
    <row r="2343" spans="1:5" x14ac:dyDescent="0.35">
      <c r="A2343" t="s">
        <v>2235</v>
      </c>
      <c r="B2343" t="s">
        <v>2365</v>
      </c>
      <c r="C2343">
        <v>137</v>
      </c>
      <c r="D2343">
        <v>136</v>
      </c>
      <c r="E2343" t="s">
        <v>15</v>
      </c>
    </row>
    <row r="2344" spans="1:5" x14ac:dyDescent="0.35">
      <c r="A2344" t="s">
        <v>2235</v>
      </c>
      <c r="B2344" t="s">
        <v>2366</v>
      </c>
      <c r="C2344">
        <v>260</v>
      </c>
      <c r="D2344">
        <v>94</v>
      </c>
      <c r="E2344" t="s">
        <v>33</v>
      </c>
    </row>
    <row r="2345" spans="1:5" x14ac:dyDescent="0.35">
      <c r="A2345" t="s">
        <v>2235</v>
      </c>
      <c r="B2345" t="s">
        <v>2367</v>
      </c>
      <c r="C2345">
        <v>159</v>
      </c>
      <c r="D2345">
        <v>83</v>
      </c>
      <c r="E2345" t="s">
        <v>7</v>
      </c>
    </row>
    <row r="2346" spans="1:5" x14ac:dyDescent="0.35">
      <c r="A2346" t="s">
        <v>2235</v>
      </c>
      <c r="B2346" t="s">
        <v>2368</v>
      </c>
      <c r="C2346">
        <v>307</v>
      </c>
      <c r="D2346">
        <v>190</v>
      </c>
      <c r="E2346" t="s">
        <v>9</v>
      </c>
    </row>
    <row r="2347" spans="1:5" x14ac:dyDescent="0.35">
      <c r="A2347" t="s">
        <v>2235</v>
      </c>
      <c r="B2347" t="s">
        <v>2369</v>
      </c>
      <c r="C2347">
        <v>167</v>
      </c>
      <c r="D2347">
        <v>87</v>
      </c>
      <c r="E2347" t="s">
        <v>15</v>
      </c>
    </row>
    <row r="2348" spans="1:5" x14ac:dyDescent="0.35">
      <c r="A2348" t="s">
        <v>2235</v>
      </c>
      <c r="B2348" t="s">
        <v>2370</v>
      </c>
      <c r="C2348">
        <v>247</v>
      </c>
      <c r="D2348">
        <v>148</v>
      </c>
      <c r="E2348" t="s">
        <v>17</v>
      </c>
    </row>
    <row r="2349" spans="1:5" x14ac:dyDescent="0.35">
      <c r="A2349" t="s">
        <v>2235</v>
      </c>
      <c r="B2349" t="s">
        <v>2371</v>
      </c>
      <c r="C2349">
        <v>193</v>
      </c>
      <c r="D2349">
        <v>165</v>
      </c>
      <c r="E2349" t="s">
        <v>15</v>
      </c>
    </row>
    <row r="2350" spans="1:5" x14ac:dyDescent="0.35">
      <c r="A2350" t="s">
        <v>2235</v>
      </c>
      <c r="B2350" t="s">
        <v>2372</v>
      </c>
      <c r="C2350">
        <v>279</v>
      </c>
      <c r="D2350">
        <v>82</v>
      </c>
      <c r="E2350" t="s">
        <v>15</v>
      </c>
    </row>
    <row r="2351" spans="1:5" x14ac:dyDescent="0.35">
      <c r="A2351" t="s">
        <v>2235</v>
      </c>
      <c r="B2351" t="s">
        <v>2373</v>
      </c>
      <c r="C2351">
        <v>224</v>
      </c>
      <c r="D2351">
        <v>152</v>
      </c>
      <c r="E2351" t="s">
        <v>15</v>
      </c>
    </row>
    <row r="2352" spans="1:5" x14ac:dyDescent="0.35">
      <c r="A2352" t="s">
        <v>2235</v>
      </c>
      <c r="B2352" t="s">
        <v>2374</v>
      </c>
      <c r="C2352">
        <v>211</v>
      </c>
      <c r="D2352">
        <v>148</v>
      </c>
      <c r="E2352" t="s">
        <v>11</v>
      </c>
    </row>
    <row r="2353" spans="1:5" x14ac:dyDescent="0.35">
      <c r="A2353" t="s">
        <v>2235</v>
      </c>
      <c r="B2353" t="s">
        <v>2375</v>
      </c>
      <c r="C2353">
        <v>298</v>
      </c>
      <c r="D2353">
        <v>160</v>
      </c>
      <c r="E2353" t="s">
        <v>21</v>
      </c>
    </row>
    <row r="2354" spans="1:5" x14ac:dyDescent="0.35">
      <c r="A2354" t="s">
        <v>2235</v>
      </c>
      <c r="B2354" t="s">
        <v>2376</v>
      </c>
      <c r="C2354">
        <v>221</v>
      </c>
      <c r="D2354">
        <v>37</v>
      </c>
      <c r="E2354" t="s">
        <v>17</v>
      </c>
    </row>
    <row r="2355" spans="1:5" x14ac:dyDescent="0.35">
      <c r="A2355" t="s">
        <v>2235</v>
      </c>
      <c r="B2355" t="s">
        <v>2377</v>
      </c>
      <c r="C2355">
        <v>224</v>
      </c>
      <c r="D2355">
        <v>190</v>
      </c>
      <c r="E2355" t="s">
        <v>9</v>
      </c>
    </row>
    <row r="2356" spans="1:5" x14ac:dyDescent="0.35">
      <c r="A2356" t="s">
        <v>2235</v>
      </c>
      <c r="B2356" t="s">
        <v>2378</v>
      </c>
      <c r="C2356">
        <v>210</v>
      </c>
      <c r="D2356">
        <v>159</v>
      </c>
      <c r="E2356" t="s">
        <v>33</v>
      </c>
    </row>
    <row r="2357" spans="1:5" x14ac:dyDescent="0.35">
      <c r="A2357" t="s">
        <v>2235</v>
      </c>
      <c r="B2357" t="s">
        <v>2379</v>
      </c>
      <c r="C2357">
        <v>94</v>
      </c>
      <c r="D2357">
        <v>56</v>
      </c>
      <c r="E2357" t="s">
        <v>7</v>
      </c>
    </row>
    <row r="2358" spans="1:5" x14ac:dyDescent="0.35">
      <c r="A2358" t="s">
        <v>2235</v>
      </c>
      <c r="B2358" t="s">
        <v>2380</v>
      </c>
      <c r="C2358">
        <v>95</v>
      </c>
      <c r="D2358">
        <v>41</v>
      </c>
      <c r="E2358" t="s">
        <v>7</v>
      </c>
    </row>
    <row r="2359" spans="1:5" x14ac:dyDescent="0.35">
      <c r="A2359" t="s">
        <v>2235</v>
      </c>
      <c r="B2359" t="s">
        <v>2381</v>
      </c>
      <c r="C2359">
        <v>273</v>
      </c>
      <c r="D2359">
        <v>72</v>
      </c>
      <c r="E2359" t="s">
        <v>7</v>
      </c>
    </row>
    <row r="2360" spans="1:5" x14ac:dyDescent="0.35">
      <c r="A2360" t="s">
        <v>2235</v>
      </c>
      <c r="B2360" t="s">
        <v>2382</v>
      </c>
      <c r="C2360">
        <v>257</v>
      </c>
      <c r="D2360">
        <v>163</v>
      </c>
      <c r="E2360" t="s">
        <v>15</v>
      </c>
    </row>
    <row r="2361" spans="1:5" x14ac:dyDescent="0.35">
      <c r="A2361" t="s">
        <v>2235</v>
      </c>
      <c r="B2361" t="s">
        <v>2383</v>
      </c>
      <c r="C2361">
        <v>36</v>
      </c>
      <c r="D2361">
        <v>31</v>
      </c>
      <c r="E2361" t="s">
        <v>15</v>
      </c>
    </row>
    <row r="2362" spans="1:5" x14ac:dyDescent="0.35">
      <c r="A2362" t="s">
        <v>2235</v>
      </c>
      <c r="B2362" t="s">
        <v>2384</v>
      </c>
      <c r="C2362">
        <v>266</v>
      </c>
      <c r="D2362">
        <v>66</v>
      </c>
      <c r="E2362" t="s">
        <v>21</v>
      </c>
    </row>
    <row r="2363" spans="1:5" x14ac:dyDescent="0.35">
      <c r="A2363" t="s">
        <v>2235</v>
      </c>
      <c r="B2363" t="s">
        <v>2385</v>
      </c>
      <c r="C2363">
        <v>303</v>
      </c>
      <c r="D2363">
        <v>175</v>
      </c>
      <c r="E2363" t="s">
        <v>15</v>
      </c>
    </row>
    <row r="2364" spans="1:5" x14ac:dyDescent="0.35">
      <c r="A2364" t="s">
        <v>2235</v>
      </c>
      <c r="B2364" t="s">
        <v>2386</v>
      </c>
      <c r="C2364">
        <v>101</v>
      </c>
      <c r="D2364">
        <v>53</v>
      </c>
      <c r="E2364" t="s">
        <v>9</v>
      </c>
    </row>
    <row r="2365" spans="1:5" x14ac:dyDescent="0.35">
      <c r="A2365" t="s">
        <v>2235</v>
      </c>
      <c r="B2365" t="s">
        <v>2387</v>
      </c>
      <c r="C2365">
        <v>227</v>
      </c>
      <c r="D2365">
        <v>105</v>
      </c>
      <c r="E2365" t="s">
        <v>15</v>
      </c>
    </row>
    <row r="2366" spans="1:5" x14ac:dyDescent="0.35">
      <c r="A2366" t="s">
        <v>2235</v>
      </c>
      <c r="B2366" t="s">
        <v>2388</v>
      </c>
      <c r="C2366">
        <v>140</v>
      </c>
      <c r="D2366">
        <v>43</v>
      </c>
      <c r="E2366" t="s">
        <v>33</v>
      </c>
    </row>
    <row r="2367" spans="1:5" x14ac:dyDescent="0.35">
      <c r="A2367" t="s">
        <v>2235</v>
      </c>
      <c r="B2367" t="s">
        <v>2389</v>
      </c>
      <c r="C2367">
        <v>261</v>
      </c>
      <c r="D2367">
        <v>188</v>
      </c>
      <c r="E2367" t="s">
        <v>33</v>
      </c>
    </row>
    <row r="2368" spans="1:5" x14ac:dyDescent="0.35">
      <c r="A2368" t="s">
        <v>2235</v>
      </c>
      <c r="B2368" t="s">
        <v>2390</v>
      </c>
      <c r="C2368">
        <v>226</v>
      </c>
      <c r="D2368">
        <v>150</v>
      </c>
      <c r="E2368" t="s">
        <v>15</v>
      </c>
    </row>
    <row r="2369" spans="1:5" x14ac:dyDescent="0.35">
      <c r="A2369" t="s">
        <v>2235</v>
      </c>
      <c r="B2369" t="s">
        <v>2391</v>
      </c>
      <c r="C2369">
        <v>200</v>
      </c>
      <c r="D2369">
        <v>138</v>
      </c>
      <c r="E2369" t="s">
        <v>11</v>
      </c>
    </row>
    <row r="2370" spans="1:5" x14ac:dyDescent="0.35">
      <c r="A2370" t="s">
        <v>2235</v>
      </c>
      <c r="B2370" t="s">
        <v>2392</v>
      </c>
      <c r="C2370">
        <v>89</v>
      </c>
      <c r="D2370">
        <v>70</v>
      </c>
      <c r="E2370" t="s">
        <v>7</v>
      </c>
    </row>
    <row r="2371" spans="1:5" x14ac:dyDescent="0.35">
      <c r="A2371" t="s">
        <v>2235</v>
      </c>
      <c r="B2371" t="s">
        <v>2393</v>
      </c>
      <c r="C2371">
        <v>91</v>
      </c>
      <c r="D2371">
        <v>90</v>
      </c>
      <c r="E2371" t="s">
        <v>7</v>
      </c>
    </row>
    <row r="2372" spans="1:5" x14ac:dyDescent="0.35">
      <c r="A2372" t="s">
        <v>2235</v>
      </c>
      <c r="B2372" t="s">
        <v>2394</v>
      </c>
      <c r="C2372">
        <v>252</v>
      </c>
      <c r="D2372">
        <v>125</v>
      </c>
      <c r="E2372" t="s">
        <v>15</v>
      </c>
    </row>
    <row r="2373" spans="1:5" x14ac:dyDescent="0.35">
      <c r="A2373" t="s">
        <v>2235</v>
      </c>
      <c r="B2373" t="s">
        <v>2395</v>
      </c>
      <c r="C2373">
        <v>210</v>
      </c>
      <c r="D2373">
        <v>90</v>
      </c>
      <c r="E2373" t="s">
        <v>7</v>
      </c>
    </row>
    <row r="2374" spans="1:5" x14ac:dyDescent="0.35">
      <c r="A2374" t="s">
        <v>2235</v>
      </c>
      <c r="B2374" t="s">
        <v>2396</v>
      </c>
      <c r="C2374">
        <v>202</v>
      </c>
      <c r="D2374">
        <v>89</v>
      </c>
      <c r="E2374" t="s">
        <v>15</v>
      </c>
    </row>
    <row r="2375" spans="1:5" x14ac:dyDescent="0.35">
      <c r="A2375" t="s">
        <v>2235</v>
      </c>
      <c r="B2375" t="s">
        <v>2397</v>
      </c>
      <c r="C2375">
        <v>140</v>
      </c>
      <c r="D2375">
        <v>117</v>
      </c>
      <c r="E2375" t="s">
        <v>17</v>
      </c>
    </row>
    <row r="2376" spans="1:5" x14ac:dyDescent="0.35">
      <c r="A2376" t="s">
        <v>2235</v>
      </c>
      <c r="B2376" t="s">
        <v>2398</v>
      </c>
      <c r="C2376">
        <v>281</v>
      </c>
      <c r="D2376">
        <v>87</v>
      </c>
      <c r="E2376" t="s">
        <v>15</v>
      </c>
    </row>
    <row r="2377" spans="1:5" x14ac:dyDescent="0.35">
      <c r="A2377" t="s">
        <v>2235</v>
      </c>
      <c r="B2377" t="s">
        <v>2399</v>
      </c>
      <c r="C2377">
        <v>311</v>
      </c>
      <c r="D2377">
        <v>132</v>
      </c>
      <c r="E2377" t="s">
        <v>15</v>
      </c>
    </row>
    <row r="2378" spans="1:5" x14ac:dyDescent="0.35">
      <c r="A2378" t="s">
        <v>2235</v>
      </c>
      <c r="B2378" t="s">
        <v>2400</v>
      </c>
      <c r="C2378">
        <v>263</v>
      </c>
      <c r="D2378">
        <v>43</v>
      </c>
      <c r="E2378" t="s">
        <v>21</v>
      </c>
    </row>
    <row r="2379" spans="1:5" x14ac:dyDescent="0.35">
      <c r="A2379" t="s">
        <v>2235</v>
      </c>
      <c r="B2379" t="s">
        <v>2401</v>
      </c>
      <c r="C2379">
        <v>259</v>
      </c>
      <c r="D2379">
        <v>135</v>
      </c>
      <c r="E2379" t="s">
        <v>9</v>
      </c>
    </row>
    <row r="2380" spans="1:5" x14ac:dyDescent="0.35">
      <c r="A2380" t="s">
        <v>2235</v>
      </c>
      <c r="B2380" t="s">
        <v>2402</v>
      </c>
      <c r="C2380">
        <v>220</v>
      </c>
      <c r="D2380">
        <v>120</v>
      </c>
      <c r="E2380" t="s">
        <v>33</v>
      </c>
    </row>
    <row r="2381" spans="1:5" x14ac:dyDescent="0.35">
      <c r="A2381" t="s">
        <v>2235</v>
      </c>
      <c r="B2381" t="s">
        <v>2403</v>
      </c>
      <c r="C2381">
        <v>271</v>
      </c>
      <c r="D2381">
        <v>177</v>
      </c>
      <c r="E2381" t="s">
        <v>33</v>
      </c>
    </row>
    <row r="2382" spans="1:5" x14ac:dyDescent="0.35">
      <c r="A2382" t="s">
        <v>2235</v>
      </c>
      <c r="B2382" t="s">
        <v>2404</v>
      </c>
      <c r="C2382">
        <v>304</v>
      </c>
      <c r="D2382">
        <v>160</v>
      </c>
      <c r="E2382" t="s">
        <v>17</v>
      </c>
    </row>
    <row r="2383" spans="1:5" x14ac:dyDescent="0.35">
      <c r="A2383" t="s">
        <v>2235</v>
      </c>
      <c r="B2383" t="s">
        <v>2405</v>
      </c>
      <c r="C2383">
        <v>309</v>
      </c>
      <c r="D2383">
        <v>174</v>
      </c>
      <c r="E2383" t="s">
        <v>17</v>
      </c>
    </row>
    <row r="2384" spans="1:5" x14ac:dyDescent="0.35">
      <c r="A2384" t="s">
        <v>2235</v>
      </c>
      <c r="B2384" t="s">
        <v>2406</v>
      </c>
      <c r="C2384">
        <v>185</v>
      </c>
      <c r="D2384">
        <v>176</v>
      </c>
      <c r="E2384" t="s">
        <v>17</v>
      </c>
    </row>
    <row r="2385" spans="1:5" x14ac:dyDescent="0.35">
      <c r="A2385" t="s">
        <v>2235</v>
      </c>
      <c r="B2385" t="s">
        <v>2407</v>
      </c>
      <c r="C2385">
        <v>123</v>
      </c>
      <c r="D2385">
        <v>119</v>
      </c>
      <c r="E2385" t="s">
        <v>33</v>
      </c>
    </row>
    <row r="2386" spans="1:5" x14ac:dyDescent="0.35">
      <c r="A2386" t="s">
        <v>2235</v>
      </c>
      <c r="B2386" t="s">
        <v>2408</v>
      </c>
      <c r="C2386">
        <v>208</v>
      </c>
      <c r="D2386">
        <v>185</v>
      </c>
      <c r="E2386" t="s">
        <v>21</v>
      </c>
    </row>
    <row r="2387" spans="1:5" x14ac:dyDescent="0.35">
      <c r="A2387" t="s">
        <v>2235</v>
      </c>
      <c r="B2387" t="s">
        <v>2409</v>
      </c>
      <c r="C2387">
        <v>250</v>
      </c>
      <c r="D2387">
        <v>102</v>
      </c>
      <c r="E2387" t="s">
        <v>15</v>
      </c>
    </row>
    <row r="2388" spans="1:5" x14ac:dyDescent="0.35">
      <c r="A2388" t="s">
        <v>2235</v>
      </c>
      <c r="B2388" t="s">
        <v>2410</v>
      </c>
      <c r="C2388">
        <v>144</v>
      </c>
      <c r="D2388">
        <v>65</v>
      </c>
      <c r="E2388" t="s">
        <v>7</v>
      </c>
    </row>
    <row r="2389" spans="1:5" x14ac:dyDescent="0.35">
      <c r="A2389" t="s">
        <v>2235</v>
      </c>
      <c r="B2389" t="s">
        <v>2411</v>
      </c>
      <c r="C2389">
        <v>318</v>
      </c>
      <c r="D2389">
        <v>53</v>
      </c>
      <c r="E2389" t="s">
        <v>11</v>
      </c>
    </row>
    <row r="2390" spans="1:5" x14ac:dyDescent="0.35">
      <c r="A2390" t="s">
        <v>2235</v>
      </c>
      <c r="B2390" t="s">
        <v>2412</v>
      </c>
      <c r="C2390">
        <v>245</v>
      </c>
      <c r="D2390">
        <v>82</v>
      </c>
      <c r="E2390" t="s">
        <v>9</v>
      </c>
    </row>
    <row r="2391" spans="1:5" x14ac:dyDescent="0.35">
      <c r="A2391" t="s">
        <v>2235</v>
      </c>
      <c r="B2391" t="s">
        <v>2413</v>
      </c>
      <c r="C2391">
        <v>109</v>
      </c>
      <c r="D2391">
        <v>72</v>
      </c>
      <c r="E2391" t="s">
        <v>7</v>
      </c>
    </row>
    <row r="2392" spans="1:5" x14ac:dyDescent="0.35">
      <c r="A2392" t="s">
        <v>2235</v>
      </c>
      <c r="B2392" t="s">
        <v>2414</v>
      </c>
      <c r="C2392">
        <v>117</v>
      </c>
      <c r="D2392">
        <v>61</v>
      </c>
      <c r="E2392" t="s">
        <v>9</v>
      </c>
    </row>
    <row r="2393" spans="1:5" x14ac:dyDescent="0.35">
      <c r="A2393" t="s">
        <v>2235</v>
      </c>
      <c r="B2393" t="s">
        <v>2415</v>
      </c>
      <c r="C2393">
        <v>173</v>
      </c>
      <c r="D2393">
        <v>106</v>
      </c>
      <c r="E2393" t="s">
        <v>9</v>
      </c>
    </row>
    <row r="2394" spans="1:5" x14ac:dyDescent="0.35">
      <c r="A2394" t="s">
        <v>2235</v>
      </c>
      <c r="B2394" t="s">
        <v>2416</v>
      </c>
      <c r="C2394">
        <v>292</v>
      </c>
      <c r="D2394">
        <v>120</v>
      </c>
      <c r="E2394" t="s">
        <v>11</v>
      </c>
    </row>
    <row r="2395" spans="1:5" x14ac:dyDescent="0.35">
      <c r="A2395" t="s">
        <v>2235</v>
      </c>
      <c r="B2395" t="s">
        <v>2417</v>
      </c>
      <c r="C2395">
        <v>143</v>
      </c>
      <c r="D2395">
        <v>46</v>
      </c>
      <c r="E2395" t="s">
        <v>11</v>
      </c>
    </row>
    <row r="2396" spans="1:5" x14ac:dyDescent="0.35">
      <c r="A2396" t="s">
        <v>2235</v>
      </c>
      <c r="B2396" t="s">
        <v>2418</v>
      </c>
      <c r="C2396">
        <v>130</v>
      </c>
      <c r="D2396">
        <v>65</v>
      </c>
      <c r="E2396" t="s">
        <v>33</v>
      </c>
    </row>
    <row r="2397" spans="1:5" x14ac:dyDescent="0.35">
      <c r="A2397" t="s">
        <v>2235</v>
      </c>
      <c r="B2397" t="s">
        <v>2419</v>
      </c>
      <c r="C2397">
        <v>123</v>
      </c>
      <c r="D2397">
        <v>105</v>
      </c>
      <c r="E2397" t="s">
        <v>9</v>
      </c>
    </row>
    <row r="2398" spans="1:5" x14ac:dyDescent="0.35">
      <c r="A2398" t="s">
        <v>2235</v>
      </c>
      <c r="B2398" t="s">
        <v>2420</v>
      </c>
      <c r="C2398">
        <v>229</v>
      </c>
      <c r="D2398">
        <v>170</v>
      </c>
      <c r="E2398" t="s">
        <v>7</v>
      </c>
    </row>
    <row r="2399" spans="1:5" x14ac:dyDescent="0.35">
      <c r="A2399" t="s">
        <v>2235</v>
      </c>
      <c r="B2399" t="s">
        <v>2421</v>
      </c>
      <c r="C2399">
        <v>308</v>
      </c>
      <c r="D2399">
        <v>117</v>
      </c>
      <c r="E2399" t="s">
        <v>7</v>
      </c>
    </row>
    <row r="2400" spans="1:5" x14ac:dyDescent="0.35">
      <c r="A2400" t="s">
        <v>2235</v>
      </c>
      <c r="B2400" t="s">
        <v>2422</v>
      </c>
      <c r="C2400">
        <v>250</v>
      </c>
      <c r="D2400">
        <v>128</v>
      </c>
      <c r="E2400" t="s">
        <v>9</v>
      </c>
    </row>
    <row r="2401" spans="1:5" x14ac:dyDescent="0.35">
      <c r="A2401" t="s">
        <v>2235</v>
      </c>
      <c r="B2401" t="s">
        <v>2423</v>
      </c>
      <c r="C2401">
        <v>207</v>
      </c>
      <c r="D2401">
        <v>165</v>
      </c>
      <c r="E2401" t="s">
        <v>15</v>
      </c>
    </row>
    <row r="2402" spans="1:5" x14ac:dyDescent="0.35">
      <c r="A2402" t="s">
        <v>2235</v>
      </c>
      <c r="B2402" t="s">
        <v>2424</v>
      </c>
      <c r="C2402">
        <v>233</v>
      </c>
      <c r="D2402">
        <v>50</v>
      </c>
      <c r="E2402" t="s">
        <v>7</v>
      </c>
    </row>
    <row r="2403" spans="1:5" x14ac:dyDescent="0.35">
      <c r="A2403" t="s">
        <v>2235</v>
      </c>
      <c r="B2403" t="s">
        <v>2425</v>
      </c>
      <c r="C2403">
        <v>246</v>
      </c>
      <c r="D2403">
        <v>92</v>
      </c>
      <c r="E2403" t="s">
        <v>17</v>
      </c>
    </row>
    <row r="2404" spans="1:5" x14ac:dyDescent="0.35">
      <c r="A2404" t="s">
        <v>2235</v>
      </c>
      <c r="B2404" t="s">
        <v>2426</v>
      </c>
      <c r="C2404">
        <v>312</v>
      </c>
      <c r="D2404">
        <v>142</v>
      </c>
      <c r="E2404" t="s">
        <v>9</v>
      </c>
    </row>
    <row r="2405" spans="1:5" x14ac:dyDescent="0.35">
      <c r="A2405" t="s">
        <v>2235</v>
      </c>
      <c r="B2405" t="s">
        <v>2427</v>
      </c>
      <c r="C2405">
        <v>181</v>
      </c>
      <c r="D2405">
        <v>32</v>
      </c>
      <c r="E2405" t="s">
        <v>33</v>
      </c>
    </row>
    <row r="2406" spans="1:5" x14ac:dyDescent="0.35">
      <c r="A2406" t="s">
        <v>2235</v>
      </c>
      <c r="B2406" t="s">
        <v>2428</v>
      </c>
      <c r="C2406">
        <v>148</v>
      </c>
      <c r="D2406">
        <v>107</v>
      </c>
      <c r="E2406" t="s">
        <v>7</v>
      </c>
    </row>
    <row r="2407" spans="1:5" x14ac:dyDescent="0.35">
      <c r="A2407" t="s">
        <v>2235</v>
      </c>
      <c r="B2407" t="s">
        <v>2429</v>
      </c>
      <c r="C2407">
        <v>226</v>
      </c>
      <c r="D2407">
        <v>147</v>
      </c>
      <c r="E2407" t="s">
        <v>9</v>
      </c>
    </row>
    <row r="2408" spans="1:5" x14ac:dyDescent="0.35">
      <c r="A2408" t="s">
        <v>2235</v>
      </c>
      <c r="B2408" t="s">
        <v>2430</v>
      </c>
      <c r="C2408">
        <v>131</v>
      </c>
      <c r="D2408">
        <v>35</v>
      </c>
      <c r="E2408" t="s">
        <v>11</v>
      </c>
    </row>
    <row r="2409" spans="1:5" x14ac:dyDescent="0.35">
      <c r="A2409" t="s">
        <v>2235</v>
      </c>
      <c r="B2409" t="s">
        <v>2431</v>
      </c>
      <c r="C2409">
        <v>265</v>
      </c>
      <c r="D2409">
        <v>54</v>
      </c>
      <c r="E2409" t="s">
        <v>33</v>
      </c>
    </row>
    <row r="2410" spans="1:5" x14ac:dyDescent="0.35">
      <c r="A2410" t="s">
        <v>2235</v>
      </c>
      <c r="B2410" t="s">
        <v>2432</v>
      </c>
      <c r="C2410">
        <v>207</v>
      </c>
      <c r="D2410">
        <v>104</v>
      </c>
      <c r="E2410" t="s">
        <v>15</v>
      </c>
    </row>
    <row r="2411" spans="1:5" x14ac:dyDescent="0.35">
      <c r="A2411" t="s">
        <v>2235</v>
      </c>
      <c r="B2411" t="s">
        <v>2433</v>
      </c>
      <c r="C2411">
        <v>149</v>
      </c>
      <c r="D2411">
        <v>110</v>
      </c>
      <c r="E2411" t="s">
        <v>33</v>
      </c>
    </row>
    <row r="2412" spans="1:5" x14ac:dyDescent="0.35">
      <c r="A2412" t="s">
        <v>2235</v>
      </c>
      <c r="B2412" t="s">
        <v>2434</v>
      </c>
      <c r="C2412">
        <v>48</v>
      </c>
      <c r="D2412">
        <v>44</v>
      </c>
      <c r="E2412" t="s">
        <v>21</v>
      </c>
    </row>
    <row r="2413" spans="1:5" x14ac:dyDescent="0.35">
      <c r="A2413" t="s">
        <v>2235</v>
      </c>
      <c r="B2413" t="s">
        <v>2435</v>
      </c>
      <c r="C2413">
        <v>139</v>
      </c>
      <c r="D2413">
        <v>70</v>
      </c>
      <c r="E2413" t="s">
        <v>33</v>
      </c>
    </row>
    <row r="2414" spans="1:5" x14ac:dyDescent="0.35">
      <c r="A2414" t="s">
        <v>2235</v>
      </c>
      <c r="B2414" t="s">
        <v>2436</v>
      </c>
      <c r="C2414">
        <v>290</v>
      </c>
      <c r="D2414">
        <v>44</v>
      </c>
      <c r="E2414" t="s">
        <v>9</v>
      </c>
    </row>
    <row r="2415" spans="1:5" x14ac:dyDescent="0.35">
      <c r="A2415" t="s">
        <v>2235</v>
      </c>
      <c r="B2415" t="s">
        <v>2437</v>
      </c>
      <c r="C2415">
        <v>239</v>
      </c>
      <c r="D2415">
        <v>104</v>
      </c>
      <c r="E2415" t="s">
        <v>7</v>
      </c>
    </row>
    <row r="2416" spans="1:5" x14ac:dyDescent="0.35">
      <c r="A2416" t="s">
        <v>2235</v>
      </c>
      <c r="B2416" t="s">
        <v>2438</v>
      </c>
      <c r="C2416">
        <v>146</v>
      </c>
      <c r="D2416">
        <v>103</v>
      </c>
      <c r="E2416" t="s">
        <v>33</v>
      </c>
    </row>
    <row r="2417" spans="1:5" x14ac:dyDescent="0.35">
      <c r="A2417" t="s">
        <v>2235</v>
      </c>
      <c r="B2417" t="s">
        <v>2439</v>
      </c>
      <c r="C2417">
        <v>215</v>
      </c>
      <c r="D2417">
        <v>149</v>
      </c>
      <c r="E2417" t="s">
        <v>33</v>
      </c>
    </row>
    <row r="2418" spans="1:5" x14ac:dyDescent="0.35">
      <c r="A2418" t="s">
        <v>2235</v>
      </c>
      <c r="B2418" t="s">
        <v>2440</v>
      </c>
      <c r="C2418">
        <v>276</v>
      </c>
      <c r="D2418">
        <v>151</v>
      </c>
      <c r="E2418" t="s">
        <v>21</v>
      </c>
    </row>
    <row r="2419" spans="1:5" x14ac:dyDescent="0.35">
      <c r="A2419" t="s">
        <v>2235</v>
      </c>
      <c r="B2419" t="s">
        <v>2441</v>
      </c>
      <c r="C2419">
        <v>315</v>
      </c>
      <c r="D2419">
        <v>40</v>
      </c>
      <c r="E2419" t="s">
        <v>21</v>
      </c>
    </row>
    <row r="2420" spans="1:5" x14ac:dyDescent="0.35">
      <c r="A2420" t="s">
        <v>2235</v>
      </c>
      <c r="B2420" t="s">
        <v>2442</v>
      </c>
      <c r="C2420">
        <v>197</v>
      </c>
      <c r="D2420">
        <v>188</v>
      </c>
      <c r="E2420" t="s">
        <v>7</v>
      </c>
    </row>
    <row r="2421" spans="1:5" x14ac:dyDescent="0.35">
      <c r="A2421" t="s">
        <v>2235</v>
      </c>
      <c r="B2421" t="s">
        <v>2443</v>
      </c>
      <c r="C2421">
        <v>211</v>
      </c>
      <c r="D2421">
        <v>64</v>
      </c>
      <c r="E2421" t="s">
        <v>7</v>
      </c>
    </row>
    <row r="2422" spans="1:5" x14ac:dyDescent="0.35">
      <c r="A2422" t="s">
        <v>2235</v>
      </c>
      <c r="B2422" t="s">
        <v>2444</v>
      </c>
      <c r="C2422">
        <v>254</v>
      </c>
      <c r="D2422">
        <v>186</v>
      </c>
      <c r="E2422" t="s">
        <v>33</v>
      </c>
    </row>
    <row r="2423" spans="1:5" x14ac:dyDescent="0.35">
      <c r="A2423" t="s">
        <v>2235</v>
      </c>
      <c r="B2423" t="s">
        <v>2445</v>
      </c>
      <c r="C2423">
        <v>277</v>
      </c>
      <c r="D2423">
        <v>172</v>
      </c>
      <c r="E2423" t="s">
        <v>11</v>
      </c>
    </row>
    <row r="2424" spans="1:5" x14ac:dyDescent="0.35">
      <c r="A2424" t="s">
        <v>2235</v>
      </c>
      <c r="B2424" t="s">
        <v>2446</v>
      </c>
      <c r="C2424">
        <v>223</v>
      </c>
      <c r="D2424">
        <v>132</v>
      </c>
      <c r="E2424" t="s">
        <v>7</v>
      </c>
    </row>
    <row r="2425" spans="1:5" x14ac:dyDescent="0.35">
      <c r="A2425" t="s">
        <v>2235</v>
      </c>
      <c r="B2425" t="s">
        <v>2447</v>
      </c>
      <c r="C2425">
        <v>187</v>
      </c>
      <c r="D2425">
        <v>105</v>
      </c>
      <c r="E2425" t="s">
        <v>7</v>
      </c>
    </row>
    <row r="2426" spans="1:5" x14ac:dyDescent="0.35">
      <c r="A2426" t="s">
        <v>2235</v>
      </c>
      <c r="B2426" t="s">
        <v>2448</v>
      </c>
      <c r="C2426">
        <v>265</v>
      </c>
      <c r="D2426">
        <v>141</v>
      </c>
      <c r="E2426" t="s">
        <v>17</v>
      </c>
    </row>
    <row r="2427" spans="1:5" x14ac:dyDescent="0.35">
      <c r="A2427" t="s">
        <v>2235</v>
      </c>
      <c r="B2427" t="s">
        <v>2449</v>
      </c>
      <c r="C2427">
        <v>139</v>
      </c>
      <c r="D2427">
        <v>112</v>
      </c>
      <c r="E2427" t="s">
        <v>9</v>
      </c>
    </row>
    <row r="2428" spans="1:5" x14ac:dyDescent="0.35">
      <c r="A2428" t="s">
        <v>2235</v>
      </c>
      <c r="B2428" t="s">
        <v>2450</v>
      </c>
      <c r="C2428">
        <v>270</v>
      </c>
      <c r="D2428">
        <v>128</v>
      </c>
      <c r="E2428" t="s">
        <v>9</v>
      </c>
    </row>
    <row r="2429" spans="1:5" x14ac:dyDescent="0.35">
      <c r="A2429" t="s">
        <v>2235</v>
      </c>
      <c r="B2429" t="s">
        <v>2451</v>
      </c>
      <c r="C2429">
        <v>309</v>
      </c>
      <c r="D2429">
        <v>180</v>
      </c>
      <c r="E2429" t="s">
        <v>7</v>
      </c>
    </row>
    <row r="2430" spans="1:5" x14ac:dyDescent="0.35">
      <c r="A2430" t="s">
        <v>2235</v>
      </c>
      <c r="B2430" t="s">
        <v>2452</v>
      </c>
      <c r="C2430">
        <v>271</v>
      </c>
      <c r="D2430">
        <v>187</v>
      </c>
      <c r="E2430" t="s">
        <v>9</v>
      </c>
    </row>
    <row r="2431" spans="1:5" x14ac:dyDescent="0.35">
      <c r="A2431" t="s">
        <v>2235</v>
      </c>
      <c r="B2431" t="s">
        <v>2453</v>
      </c>
      <c r="C2431">
        <v>185</v>
      </c>
      <c r="D2431">
        <v>95</v>
      </c>
      <c r="E2431" t="s">
        <v>9</v>
      </c>
    </row>
    <row r="2432" spans="1:5" x14ac:dyDescent="0.35">
      <c r="A2432" t="s">
        <v>2235</v>
      </c>
      <c r="B2432" t="s">
        <v>2454</v>
      </c>
      <c r="C2432">
        <v>153</v>
      </c>
      <c r="D2432">
        <v>33</v>
      </c>
      <c r="E2432" t="s">
        <v>21</v>
      </c>
    </row>
    <row r="2433" spans="1:5" x14ac:dyDescent="0.35">
      <c r="A2433" t="s">
        <v>2235</v>
      </c>
      <c r="B2433" t="s">
        <v>2455</v>
      </c>
      <c r="C2433">
        <v>266</v>
      </c>
      <c r="D2433">
        <v>103</v>
      </c>
      <c r="E2433" t="s">
        <v>33</v>
      </c>
    </row>
    <row r="2434" spans="1:5" x14ac:dyDescent="0.35">
      <c r="A2434" t="s">
        <v>2235</v>
      </c>
      <c r="B2434" t="s">
        <v>2456</v>
      </c>
      <c r="C2434">
        <v>210</v>
      </c>
      <c r="D2434">
        <v>179</v>
      </c>
      <c r="E2434" t="s">
        <v>21</v>
      </c>
    </row>
    <row r="2435" spans="1:5" x14ac:dyDescent="0.35">
      <c r="A2435" t="s">
        <v>2235</v>
      </c>
      <c r="B2435" t="s">
        <v>2457</v>
      </c>
      <c r="C2435">
        <v>315</v>
      </c>
      <c r="D2435">
        <v>131</v>
      </c>
      <c r="E2435" t="s">
        <v>17</v>
      </c>
    </row>
    <row r="2436" spans="1:5" x14ac:dyDescent="0.35">
      <c r="A2436" t="s">
        <v>2235</v>
      </c>
      <c r="B2436" t="s">
        <v>2458</v>
      </c>
      <c r="C2436">
        <v>137</v>
      </c>
      <c r="D2436">
        <v>137</v>
      </c>
      <c r="E2436" t="s">
        <v>9</v>
      </c>
    </row>
    <row r="2437" spans="1:5" x14ac:dyDescent="0.35">
      <c r="A2437" t="s">
        <v>2235</v>
      </c>
      <c r="B2437" t="s">
        <v>2459</v>
      </c>
      <c r="C2437">
        <v>276</v>
      </c>
      <c r="D2437">
        <v>55</v>
      </c>
      <c r="E2437" t="s">
        <v>15</v>
      </c>
    </row>
    <row r="2438" spans="1:5" x14ac:dyDescent="0.35">
      <c r="A2438" t="s">
        <v>2235</v>
      </c>
      <c r="B2438" t="s">
        <v>2460</v>
      </c>
      <c r="C2438">
        <v>168</v>
      </c>
      <c r="D2438">
        <v>62</v>
      </c>
      <c r="E2438" t="s">
        <v>9</v>
      </c>
    </row>
    <row r="2439" spans="1:5" x14ac:dyDescent="0.35">
      <c r="A2439" t="s">
        <v>2235</v>
      </c>
      <c r="B2439" t="s">
        <v>2461</v>
      </c>
      <c r="C2439">
        <v>226</v>
      </c>
      <c r="D2439">
        <v>181</v>
      </c>
      <c r="E2439" t="s">
        <v>7</v>
      </c>
    </row>
    <row r="2440" spans="1:5" x14ac:dyDescent="0.35">
      <c r="A2440" t="s">
        <v>2235</v>
      </c>
      <c r="B2440" t="s">
        <v>2462</v>
      </c>
      <c r="C2440">
        <v>194</v>
      </c>
      <c r="D2440">
        <v>180</v>
      </c>
      <c r="E2440" t="s">
        <v>15</v>
      </c>
    </row>
    <row r="2441" spans="1:5" x14ac:dyDescent="0.35">
      <c r="A2441" t="s">
        <v>2235</v>
      </c>
      <c r="B2441" t="s">
        <v>2463</v>
      </c>
      <c r="C2441">
        <v>298</v>
      </c>
      <c r="D2441">
        <v>136</v>
      </c>
      <c r="E2441" t="s">
        <v>15</v>
      </c>
    </row>
    <row r="2442" spans="1:5" x14ac:dyDescent="0.35">
      <c r="A2442" t="s">
        <v>2235</v>
      </c>
      <c r="B2442" t="s">
        <v>2464</v>
      </c>
      <c r="C2442">
        <v>186</v>
      </c>
      <c r="D2442">
        <v>131</v>
      </c>
      <c r="E2442" t="s">
        <v>9</v>
      </c>
    </row>
    <row r="2443" spans="1:5" x14ac:dyDescent="0.35">
      <c r="A2443" t="s">
        <v>2235</v>
      </c>
      <c r="B2443" t="s">
        <v>2465</v>
      </c>
      <c r="C2443">
        <v>313</v>
      </c>
      <c r="D2443">
        <v>151</v>
      </c>
      <c r="E2443" t="s">
        <v>11</v>
      </c>
    </row>
    <row r="2444" spans="1:5" x14ac:dyDescent="0.35">
      <c r="A2444" t="s">
        <v>2235</v>
      </c>
      <c r="B2444" t="s">
        <v>2466</v>
      </c>
      <c r="C2444">
        <v>240</v>
      </c>
      <c r="D2444">
        <v>121</v>
      </c>
      <c r="E2444" t="s">
        <v>17</v>
      </c>
    </row>
    <row r="2445" spans="1:5" x14ac:dyDescent="0.35">
      <c r="A2445" t="s">
        <v>2235</v>
      </c>
      <c r="B2445" t="s">
        <v>2467</v>
      </c>
      <c r="C2445">
        <v>217</v>
      </c>
      <c r="D2445">
        <v>38</v>
      </c>
      <c r="E2445" t="s">
        <v>7</v>
      </c>
    </row>
    <row r="2446" spans="1:5" x14ac:dyDescent="0.35">
      <c r="A2446" t="s">
        <v>2235</v>
      </c>
      <c r="B2446" t="s">
        <v>2468</v>
      </c>
      <c r="C2446">
        <v>236</v>
      </c>
      <c r="D2446">
        <v>187</v>
      </c>
      <c r="E2446" t="s">
        <v>17</v>
      </c>
    </row>
    <row r="2447" spans="1:5" x14ac:dyDescent="0.35">
      <c r="A2447" t="s">
        <v>2235</v>
      </c>
      <c r="B2447" t="s">
        <v>2469</v>
      </c>
      <c r="C2447">
        <v>208</v>
      </c>
      <c r="D2447">
        <v>98</v>
      </c>
      <c r="E2447" t="s">
        <v>7</v>
      </c>
    </row>
    <row r="2448" spans="1:5" x14ac:dyDescent="0.35">
      <c r="A2448" t="s">
        <v>2235</v>
      </c>
      <c r="B2448" t="s">
        <v>2470</v>
      </c>
      <c r="C2448">
        <v>297</v>
      </c>
      <c r="D2448">
        <v>116</v>
      </c>
      <c r="E2448" t="s">
        <v>11</v>
      </c>
    </row>
    <row r="2449" spans="1:5" x14ac:dyDescent="0.35">
      <c r="A2449" t="s">
        <v>2235</v>
      </c>
      <c r="B2449" t="s">
        <v>2471</v>
      </c>
      <c r="C2449">
        <v>195</v>
      </c>
      <c r="D2449">
        <v>60</v>
      </c>
      <c r="E2449" t="s">
        <v>11</v>
      </c>
    </row>
    <row r="2450" spans="1:5" x14ac:dyDescent="0.35">
      <c r="A2450" t="s">
        <v>2235</v>
      </c>
      <c r="B2450" t="s">
        <v>2472</v>
      </c>
      <c r="C2450">
        <v>116</v>
      </c>
      <c r="D2450">
        <v>60</v>
      </c>
      <c r="E2450" t="s">
        <v>21</v>
      </c>
    </row>
    <row r="2451" spans="1:5" x14ac:dyDescent="0.35">
      <c r="A2451" t="s">
        <v>2235</v>
      </c>
      <c r="B2451" t="s">
        <v>2473</v>
      </c>
      <c r="C2451">
        <v>234</v>
      </c>
      <c r="D2451">
        <v>72</v>
      </c>
      <c r="E2451" t="s">
        <v>17</v>
      </c>
    </row>
    <row r="2452" spans="1:5" x14ac:dyDescent="0.35">
      <c r="A2452" t="s">
        <v>2235</v>
      </c>
      <c r="B2452" t="s">
        <v>2474</v>
      </c>
      <c r="C2452">
        <v>236</v>
      </c>
      <c r="D2452">
        <v>122</v>
      </c>
      <c r="E2452" t="s">
        <v>7</v>
      </c>
    </row>
    <row r="2453" spans="1:5" x14ac:dyDescent="0.35">
      <c r="A2453" t="s">
        <v>2235</v>
      </c>
      <c r="B2453" t="s">
        <v>2475</v>
      </c>
      <c r="C2453">
        <v>129</v>
      </c>
      <c r="D2453">
        <v>44</v>
      </c>
      <c r="E2453" t="s">
        <v>17</v>
      </c>
    </row>
    <row r="2454" spans="1:5" x14ac:dyDescent="0.35">
      <c r="A2454" t="s">
        <v>2235</v>
      </c>
      <c r="B2454" t="s">
        <v>2476</v>
      </c>
      <c r="C2454">
        <v>251</v>
      </c>
      <c r="D2454">
        <v>180</v>
      </c>
      <c r="E2454" t="s">
        <v>9</v>
      </c>
    </row>
    <row r="2455" spans="1:5" x14ac:dyDescent="0.35">
      <c r="A2455" t="s">
        <v>2235</v>
      </c>
      <c r="B2455" t="s">
        <v>2477</v>
      </c>
      <c r="C2455">
        <v>220</v>
      </c>
      <c r="D2455">
        <v>169</v>
      </c>
      <c r="E2455" t="s">
        <v>17</v>
      </c>
    </row>
    <row r="2456" spans="1:5" x14ac:dyDescent="0.35">
      <c r="A2456" t="s">
        <v>2235</v>
      </c>
      <c r="B2456" t="s">
        <v>2478</v>
      </c>
      <c r="C2456">
        <v>308</v>
      </c>
      <c r="D2456">
        <v>48</v>
      </c>
      <c r="E2456" t="s">
        <v>15</v>
      </c>
    </row>
    <row r="2457" spans="1:5" x14ac:dyDescent="0.35">
      <c r="A2457" t="s">
        <v>2235</v>
      </c>
      <c r="B2457" t="s">
        <v>2479</v>
      </c>
      <c r="C2457">
        <v>222</v>
      </c>
      <c r="D2457">
        <v>158</v>
      </c>
      <c r="E2457" t="s">
        <v>17</v>
      </c>
    </row>
    <row r="2458" spans="1:5" x14ac:dyDescent="0.35">
      <c r="A2458" t="s">
        <v>2235</v>
      </c>
      <c r="B2458" t="s">
        <v>2480</v>
      </c>
      <c r="C2458">
        <v>256</v>
      </c>
      <c r="D2458">
        <v>190</v>
      </c>
      <c r="E2458" t="s">
        <v>7</v>
      </c>
    </row>
    <row r="2459" spans="1:5" x14ac:dyDescent="0.35">
      <c r="A2459" t="s">
        <v>2235</v>
      </c>
      <c r="B2459" t="s">
        <v>2481</v>
      </c>
      <c r="C2459">
        <v>289</v>
      </c>
      <c r="D2459">
        <v>146</v>
      </c>
      <c r="E2459" t="s">
        <v>17</v>
      </c>
    </row>
    <row r="2460" spans="1:5" x14ac:dyDescent="0.35">
      <c r="A2460" t="s">
        <v>2235</v>
      </c>
      <c r="B2460" t="s">
        <v>2482</v>
      </c>
      <c r="C2460">
        <v>197</v>
      </c>
      <c r="D2460">
        <v>84</v>
      </c>
      <c r="E2460" t="s">
        <v>11</v>
      </c>
    </row>
    <row r="2461" spans="1:5" x14ac:dyDescent="0.35">
      <c r="A2461" t="s">
        <v>2235</v>
      </c>
      <c r="B2461" t="s">
        <v>2483</v>
      </c>
      <c r="C2461">
        <v>315</v>
      </c>
      <c r="D2461">
        <v>142</v>
      </c>
      <c r="E2461" t="s">
        <v>15</v>
      </c>
    </row>
    <row r="2462" spans="1:5" x14ac:dyDescent="0.35">
      <c r="A2462" t="s">
        <v>2235</v>
      </c>
      <c r="B2462" t="s">
        <v>2484</v>
      </c>
      <c r="C2462">
        <v>137</v>
      </c>
      <c r="D2462">
        <v>35</v>
      </c>
      <c r="E2462" t="s">
        <v>11</v>
      </c>
    </row>
    <row r="2463" spans="1:5" x14ac:dyDescent="0.35">
      <c r="A2463" t="s">
        <v>2235</v>
      </c>
      <c r="B2463" t="s">
        <v>2485</v>
      </c>
      <c r="C2463">
        <v>214</v>
      </c>
      <c r="D2463">
        <v>117</v>
      </c>
      <c r="E2463" t="s">
        <v>11</v>
      </c>
    </row>
    <row r="2464" spans="1:5" x14ac:dyDescent="0.35">
      <c r="A2464" t="s">
        <v>2235</v>
      </c>
      <c r="B2464" t="s">
        <v>2486</v>
      </c>
      <c r="C2464">
        <v>120</v>
      </c>
      <c r="D2464">
        <v>75</v>
      </c>
      <c r="E2464" t="s">
        <v>15</v>
      </c>
    </row>
    <row r="2465" spans="1:5" x14ac:dyDescent="0.35">
      <c r="A2465" t="s">
        <v>2235</v>
      </c>
      <c r="B2465" t="s">
        <v>2487</v>
      </c>
      <c r="C2465">
        <v>99</v>
      </c>
      <c r="D2465">
        <v>95</v>
      </c>
      <c r="E2465" t="s">
        <v>11</v>
      </c>
    </row>
    <row r="2466" spans="1:5" x14ac:dyDescent="0.35">
      <c r="A2466" t="s">
        <v>2235</v>
      </c>
      <c r="B2466" t="s">
        <v>2488</v>
      </c>
      <c r="C2466">
        <v>142</v>
      </c>
      <c r="D2466">
        <v>44</v>
      </c>
      <c r="E2466" t="s">
        <v>17</v>
      </c>
    </row>
    <row r="2467" spans="1:5" x14ac:dyDescent="0.35">
      <c r="A2467" t="s">
        <v>2235</v>
      </c>
      <c r="B2467" t="s">
        <v>2489</v>
      </c>
      <c r="C2467">
        <v>193</v>
      </c>
      <c r="D2467">
        <v>98</v>
      </c>
      <c r="E2467" t="s">
        <v>15</v>
      </c>
    </row>
    <row r="2468" spans="1:5" x14ac:dyDescent="0.35">
      <c r="A2468" t="s">
        <v>2235</v>
      </c>
      <c r="B2468" t="s">
        <v>2490</v>
      </c>
      <c r="C2468">
        <v>234</v>
      </c>
      <c r="D2468">
        <v>122</v>
      </c>
      <c r="E2468" t="s">
        <v>9</v>
      </c>
    </row>
    <row r="2469" spans="1:5" x14ac:dyDescent="0.35">
      <c r="A2469" t="s">
        <v>2235</v>
      </c>
      <c r="B2469" t="s">
        <v>2491</v>
      </c>
      <c r="C2469">
        <v>291</v>
      </c>
      <c r="D2469">
        <v>130</v>
      </c>
      <c r="E2469" t="s">
        <v>33</v>
      </c>
    </row>
    <row r="2470" spans="1:5" x14ac:dyDescent="0.35">
      <c r="A2470" t="s">
        <v>2235</v>
      </c>
      <c r="B2470" t="s">
        <v>2492</v>
      </c>
      <c r="C2470">
        <v>167</v>
      </c>
      <c r="D2470">
        <v>57</v>
      </c>
      <c r="E2470" t="s">
        <v>17</v>
      </c>
    </row>
    <row r="2471" spans="1:5" x14ac:dyDescent="0.35">
      <c r="A2471" t="s">
        <v>2235</v>
      </c>
      <c r="B2471" t="s">
        <v>2493</v>
      </c>
      <c r="C2471">
        <v>160</v>
      </c>
      <c r="D2471">
        <v>79</v>
      </c>
      <c r="E2471" t="s">
        <v>33</v>
      </c>
    </row>
    <row r="2472" spans="1:5" x14ac:dyDescent="0.35">
      <c r="A2472" t="s">
        <v>2235</v>
      </c>
      <c r="B2472" t="s">
        <v>2494</v>
      </c>
      <c r="C2472">
        <v>240</v>
      </c>
      <c r="D2472">
        <v>66</v>
      </c>
      <c r="E2472" t="s">
        <v>17</v>
      </c>
    </row>
    <row r="2473" spans="1:5" x14ac:dyDescent="0.35">
      <c r="A2473" t="s">
        <v>2235</v>
      </c>
      <c r="B2473" t="s">
        <v>2495</v>
      </c>
      <c r="C2473">
        <v>237</v>
      </c>
      <c r="D2473">
        <v>179</v>
      </c>
      <c r="E2473" t="s">
        <v>15</v>
      </c>
    </row>
    <row r="2474" spans="1:5" x14ac:dyDescent="0.35">
      <c r="A2474" t="s">
        <v>2235</v>
      </c>
      <c r="B2474" t="s">
        <v>2496</v>
      </c>
      <c r="C2474">
        <v>299</v>
      </c>
      <c r="D2474">
        <v>157</v>
      </c>
      <c r="E2474" t="s">
        <v>7</v>
      </c>
    </row>
    <row r="2475" spans="1:5" x14ac:dyDescent="0.35">
      <c r="A2475" t="s">
        <v>2235</v>
      </c>
      <c r="B2475" t="s">
        <v>2497</v>
      </c>
      <c r="C2475">
        <v>230</v>
      </c>
      <c r="D2475">
        <v>71</v>
      </c>
      <c r="E2475" t="s">
        <v>11</v>
      </c>
    </row>
    <row r="2476" spans="1:5" x14ac:dyDescent="0.35">
      <c r="A2476" t="s">
        <v>2235</v>
      </c>
      <c r="B2476" t="s">
        <v>2498</v>
      </c>
      <c r="C2476">
        <v>194</v>
      </c>
      <c r="D2476">
        <v>154</v>
      </c>
      <c r="E2476" t="s">
        <v>33</v>
      </c>
    </row>
    <row r="2477" spans="1:5" x14ac:dyDescent="0.35">
      <c r="A2477" t="s">
        <v>2235</v>
      </c>
      <c r="B2477" t="s">
        <v>2499</v>
      </c>
      <c r="C2477">
        <v>195</v>
      </c>
      <c r="D2477">
        <v>186</v>
      </c>
      <c r="E2477" t="s">
        <v>11</v>
      </c>
    </row>
    <row r="2478" spans="1:5" x14ac:dyDescent="0.35">
      <c r="A2478" t="s">
        <v>2235</v>
      </c>
      <c r="B2478" t="s">
        <v>2500</v>
      </c>
      <c r="C2478">
        <v>301</v>
      </c>
      <c r="D2478">
        <v>158</v>
      </c>
      <c r="E2478" t="s">
        <v>9</v>
      </c>
    </row>
    <row r="2479" spans="1:5" x14ac:dyDescent="0.35">
      <c r="A2479" t="s">
        <v>2235</v>
      </c>
      <c r="B2479" t="s">
        <v>2501</v>
      </c>
      <c r="C2479">
        <v>253</v>
      </c>
      <c r="D2479">
        <v>63</v>
      </c>
      <c r="E2479" t="s">
        <v>17</v>
      </c>
    </row>
    <row r="2480" spans="1:5" x14ac:dyDescent="0.35">
      <c r="A2480" t="s">
        <v>2235</v>
      </c>
      <c r="B2480" t="s">
        <v>2502</v>
      </c>
      <c r="C2480">
        <v>243</v>
      </c>
      <c r="D2480">
        <v>40</v>
      </c>
      <c r="E2480" t="s">
        <v>17</v>
      </c>
    </row>
    <row r="2481" spans="1:5" x14ac:dyDescent="0.35">
      <c r="A2481" t="s">
        <v>2235</v>
      </c>
      <c r="B2481" t="s">
        <v>2503</v>
      </c>
      <c r="C2481">
        <v>315</v>
      </c>
      <c r="D2481">
        <v>101</v>
      </c>
      <c r="E2481" t="s">
        <v>9</v>
      </c>
    </row>
    <row r="2482" spans="1:5" x14ac:dyDescent="0.35">
      <c r="A2482" t="s">
        <v>2235</v>
      </c>
      <c r="B2482" t="s">
        <v>2504</v>
      </c>
      <c r="C2482">
        <v>313</v>
      </c>
      <c r="D2482">
        <v>190</v>
      </c>
      <c r="E2482" t="s">
        <v>17</v>
      </c>
    </row>
    <row r="2483" spans="1:5" x14ac:dyDescent="0.35">
      <c r="A2483" t="s">
        <v>2235</v>
      </c>
      <c r="B2483" t="s">
        <v>2505</v>
      </c>
      <c r="C2483">
        <v>307</v>
      </c>
      <c r="D2483">
        <v>57</v>
      </c>
      <c r="E2483" t="s">
        <v>21</v>
      </c>
    </row>
    <row r="2484" spans="1:5" x14ac:dyDescent="0.35">
      <c r="A2484" t="s">
        <v>2235</v>
      </c>
      <c r="B2484" t="s">
        <v>2506</v>
      </c>
      <c r="C2484">
        <v>184</v>
      </c>
      <c r="D2484">
        <v>150</v>
      </c>
      <c r="E2484" t="s">
        <v>17</v>
      </c>
    </row>
    <row r="2485" spans="1:5" x14ac:dyDescent="0.35">
      <c r="A2485" t="s">
        <v>2235</v>
      </c>
      <c r="B2485" t="s">
        <v>2507</v>
      </c>
      <c r="C2485">
        <v>118</v>
      </c>
      <c r="D2485">
        <v>57</v>
      </c>
      <c r="E2485" t="s">
        <v>7</v>
      </c>
    </row>
    <row r="2486" spans="1:5" x14ac:dyDescent="0.35">
      <c r="A2486" t="s">
        <v>2235</v>
      </c>
      <c r="B2486" t="s">
        <v>2508</v>
      </c>
      <c r="C2486">
        <v>289</v>
      </c>
      <c r="D2486">
        <v>135</v>
      </c>
      <c r="E2486" t="s">
        <v>15</v>
      </c>
    </row>
    <row r="2487" spans="1:5" x14ac:dyDescent="0.35">
      <c r="A2487" t="s">
        <v>2235</v>
      </c>
      <c r="B2487" t="s">
        <v>2509</v>
      </c>
      <c r="C2487">
        <v>311</v>
      </c>
      <c r="D2487">
        <v>185</v>
      </c>
      <c r="E2487" t="s">
        <v>21</v>
      </c>
    </row>
    <row r="2488" spans="1:5" x14ac:dyDescent="0.35">
      <c r="A2488" t="s">
        <v>2235</v>
      </c>
      <c r="B2488" t="s">
        <v>2510</v>
      </c>
      <c r="C2488">
        <v>261</v>
      </c>
      <c r="D2488">
        <v>55</v>
      </c>
      <c r="E2488" t="s">
        <v>7</v>
      </c>
    </row>
    <row r="2489" spans="1:5" x14ac:dyDescent="0.35">
      <c r="A2489" t="s">
        <v>2235</v>
      </c>
      <c r="B2489" t="s">
        <v>2511</v>
      </c>
      <c r="C2489">
        <v>188</v>
      </c>
      <c r="D2489">
        <v>44</v>
      </c>
      <c r="E2489" t="s">
        <v>7</v>
      </c>
    </row>
    <row r="2490" spans="1:5" x14ac:dyDescent="0.35">
      <c r="A2490" t="s">
        <v>2235</v>
      </c>
      <c r="B2490" t="s">
        <v>2512</v>
      </c>
      <c r="C2490">
        <v>198</v>
      </c>
      <c r="D2490">
        <v>169</v>
      </c>
      <c r="E2490" t="s">
        <v>7</v>
      </c>
    </row>
    <row r="2491" spans="1:5" x14ac:dyDescent="0.35">
      <c r="A2491" t="s">
        <v>2235</v>
      </c>
      <c r="B2491" t="s">
        <v>2513</v>
      </c>
      <c r="C2491">
        <v>273</v>
      </c>
      <c r="D2491">
        <v>136</v>
      </c>
      <c r="E2491" t="s">
        <v>15</v>
      </c>
    </row>
    <row r="2492" spans="1:5" x14ac:dyDescent="0.35">
      <c r="A2492" t="s">
        <v>2235</v>
      </c>
      <c r="B2492" t="s">
        <v>2514</v>
      </c>
      <c r="C2492">
        <v>306</v>
      </c>
      <c r="D2492">
        <v>45</v>
      </c>
      <c r="E2492" t="s">
        <v>11</v>
      </c>
    </row>
    <row r="2493" spans="1:5" x14ac:dyDescent="0.35">
      <c r="A2493" t="s">
        <v>2235</v>
      </c>
      <c r="B2493" t="s">
        <v>2515</v>
      </c>
      <c r="C2493">
        <v>138</v>
      </c>
      <c r="D2493">
        <v>74</v>
      </c>
      <c r="E2493" t="s">
        <v>21</v>
      </c>
    </row>
    <row r="2494" spans="1:5" x14ac:dyDescent="0.35">
      <c r="A2494" t="s">
        <v>2235</v>
      </c>
      <c r="B2494" t="s">
        <v>2516</v>
      </c>
      <c r="C2494">
        <v>89</v>
      </c>
      <c r="D2494">
        <v>84</v>
      </c>
      <c r="E2494" t="s">
        <v>15</v>
      </c>
    </row>
    <row r="2495" spans="1:5" x14ac:dyDescent="0.35">
      <c r="A2495" t="s">
        <v>2235</v>
      </c>
      <c r="B2495" t="s">
        <v>2517</v>
      </c>
      <c r="C2495">
        <v>297</v>
      </c>
      <c r="D2495">
        <v>136</v>
      </c>
      <c r="E2495" t="s">
        <v>33</v>
      </c>
    </row>
    <row r="2496" spans="1:5" x14ac:dyDescent="0.35">
      <c r="A2496" t="s">
        <v>2235</v>
      </c>
      <c r="B2496" t="s">
        <v>2518</v>
      </c>
      <c r="C2496">
        <v>182</v>
      </c>
      <c r="D2496">
        <v>38</v>
      </c>
      <c r="E2496" t="s">
        <v>9</v>
      </c>
    </row>
    <row r="2497" spans="1:5" x14ac:dyDescent="0.35">
      <c r="A2497" t="s">
        <v>2235</v>
      </c>
      <c r="B2497" t="s">
        <v>2519</v>
      </c>
      <c r="C2497">
        <v>147</v>
      </c>
      <c r="D2497">
        <v>52</v>
      </c>
      <c r="E2497" t="s">
        <v>11</v>
      </c>
    </row>
    <row r="2498" spans="1:5" x14ac:dyDescent="0.35">
      <c r="A2498" t="s">
        <v>2235</v>
      </c>
      <c r="B2498" t="s">
        <v>2520</v>
      </c>
      <c r="C2498">
        <v>306</v>
      </c>
      <c r="D2498">
        <v>128</v>
      </c>
      <c r="E2498" t="s">
        <v>21</v>
      </c>
    </row>
    <row r="2499" spans="1:5" x14ac:dyDescent="0.35">
      <c r="A2499" t="s">
        <v>2235</v>
      </c>
      <c r="B2499" t="s">
        <v>2521</v>
      </c>
      <c r="C2499">
        <v>289</v>
      </c>
      <c r="D2499">
        <v>74</v>
      </c>
      <c r="E2499" t="s">
        <v>17</v>
      </c>
    </row>
    <row r="2500" spans="1:5" x14ac:dyDescent="0.35">
      <c r="A2500" t="s">
        <v>2235</v>
      </c>
      <c r="B2500" t="s">
        <v>2522</v>
      </c>
      <c r="C2500">
        <v>232</v>
      </c>
      <c r="D2500">
        <v>133</v>
      </c>
      <c r="E2500" t="s">
        <v>33</v>
      </c>
    </row>
    <row r="2501" spans="1:5" x14ac:dyDescent="0.35">
      <c r="A2501" t="s">
        <v>2235</v>
      </c>
      <c r="B2501" t="s">
        <v>2523</v>
      </c>
      <c r="C2501">
        <v>237</v>
      </c>
      <c r="D2501">
        <v>45</v>
      </c>
      <c r="E2501" t="s">
        <v>33</v>
      </c>
    </row>
    <row r="2502" spans="1:5" x14ac:dyDescent="0.35">
      <c r="A2502" t="s">
        <v>2235</v>
      </c>
      <c r="B2502" t="s">
        <v>2524</v>
      </c>
      <c r="C2502">
        <v>154</v>
      </c>
      <c r="D2502">
        <v>93</v>
      </c>
      <c r="E2502" t="s">
        <v>21</v>
      </c>
    </row>
    <row r="2503" spans="1:5" x14ac:dyDescent="0.35">
      <c r="A2503" t="s">
        <v>2235</v>
      </c>
      <c r="B2503" t="s">
        <v>2525</v>
      </c>
      <c r="C2503">
        <v>164</v>
      </c>
      <c r="D2503">
        <v>110</v>
      </c>
      <c r="E2503" t="s">
        <v>15</v>
      </c>
    </row>
    <row r="2504" spans="1:5" x14ac:dyDescent="0.35">
      <c r="A2504" t="s">
        <v>2235</v>
      </c>
      <c r="B2504" t="s">
        <v>2526</v>
      </c>
      <c r="C2504">
        <v>186</v>
      </c>
      <c r="D2504">
        <v>71</v>
      </c>
      <c r="E2504" t="s">
        <v>21</v>
      </c>
    </row>
    <row r="2505" spans="1:5" x14ac:dyDescent="0.35">
      <c r="A2505" t="s">
        <v>2235</v>
      </c>
      <c r="B2505" t="s">
        <v>2527</v>
      </c>
      <c r="C2505">
        <v>92</v>
      </c>
      <c r="D2505">
        <v>79</v>
      </c>
      <c r="E2505" t="s">
        <v>11</v>
      </c>
    </row>
    <row r="2506" spans="1:5" x14ac:dyDescent="0.35">
      <c r="A2506" t="s">
        <v>2235</v>
      </c>
      <c r="B2506" t="s">
        <v>2528</v>
      </c>
      <c r="C2506">
        <v>220</v>
      </c>
      <c r="D2506">
        <v>172</v>
      </c>
      <c r="E2506" t="s">
        <v>33</v>
      </c>
    </row>
    <row r="2507" spans="1:5" x14ac:dyDescent="0.35">
      <c r="A2507" t="s">
        <v>2235</v>
      </c>
      <c r="B2507" t="s">
        <v>2529</v>
      </c>
      <c r="C2507">
        <v>280</v>
      </c>
      <c r="D2507">
        <v>183</v>
      </c>
      <c r="E2507" t="s">
        <v>17</v>
      </c>
    </row>
    <row r="2508" spans="1:5" x14ac:dyDescent="0.35">
      <c r="A2508" t="s">
        <v>2235</v>
      </c>
      <c r="B2508" t="s">
        <v>2530</v>
      </c>
      <c r="C2508">
        <v>305</v>
      </c>
      <c r="D2508">
        <v>189</v>
      </c>
      <c r="E2508" t="s">
        <v>21</v>
      </c>
    </row>
    <row r="2509" spans="1:5" x14ac:dyDescent="0.35">
      <c r="A2509" t="s">
        <v>2235</v>
      </c>
      <c r="B2509" t="s">
        <v>2531</v>
      </c>
      <c r="C2509">
        <v>220</v>
      </c>
      <c r="D2509">
        <v>54</v>
      </c>
      <c r="E2509" t="s">
        <v>7</v>
      </c>
    </row>
    <row r="2510" spans="1:5" x14ac:dyDescent="0.35">
      <c r="A2510" t="s">
        <v>2235</v>
      </c>
      <c r="B2510" t="s">
        <v>2532</v>
      </c>
      <c r="C2510">
        <v>319</v>
      </c>
      <c r="D2510">
        <v>76</v>
      </c>
      <c r="E2510" t="s">
        <v>11</v>
      </c>
    </row>
    <row r="2511" spans="1:5" x14ac:dyDescent="0.35">
      <c r="A2511" t="s">
        <v>2235</v>
      </c>
      <c r="B2511" t="s">
        <v>2533</v>
      </c>
      <c r="C2511">
        <v>192</v>
      </c>
      <c r="D2511">
        <v>125</v>
      </c>
      <c r="E2511" t="s">
        <v>9</v>
      </c>
    </row>
    <row r="2512" spans="1:5" x14ac:dyDescent="0.35">
      <c r="A2512" t="s">
        <v>2235</v>
      </c>
      <c r="B2512" t="s">
        <v>2534</v>
      </c>
      <c r="C2512">
        <v>247</v>
      </c>
      <c r="D2512">
        <v>52</v>
      </c>
      <c r="E2512" t="s">
        <v>9</v>
      </c>
    </row>
    <row r="2513" spans="1:5" x14ac:dyDescent="0.35">
      <c r="A2513" t="s">
        <v>2235</v>
      </c>
      <c r="B2513" t="s">
        <v>2535</v>
      </c>
      <c r="C2513">
        <v>184</v>
      </c>
      <c r="D2513">
        <v>61</v>
      </c>
      <c r="E2513" t="s">
        <v>21</v>
      </c>
    </row>
    <row r="2514" spans="1:5" x14ac:dyDescent="0.35">
      <c r="A2514" t="s">
        <v>2235</v>
      </c>
      <c r="B2514" t="s">
        <v>2536</v>
      </c>
      <c r="C2514">
        <v>311</v>
      </c>
      <c r="D2514">
        <v>96</v>
      </c>
      <c r="E2514" t="s">
        <v>11</v>
      </c>
    </row>
    <row r="2515" spans="1:5" x14ac:dyDescent="0.35">
      <c r="A2515" t="s">
        <v>2235</v>
      </c>
      <c r="B2515" t="s">
        <v>2537</v>
      </c>
      <c r="C2515">
        <v>229</v>
      </c>
      <c r="D2515">
        <v>61</v>
      </c>
      <c r="E2515" t="s">
        <v>15</v>
      </c>
    </row>
    <row r="2516" spans="1:5" x14ac:dyDescent="0.35">
      <c r="A2516" t="s">
        <v>2235</v>
      </c>
      <c r="B2516" t="s">
        <v>2538</v>
      </c>
      <c r="C2516">
        <v>211</v>
      </c>
      <c r="D2516">
        <v>174</v>
      </c>
      <c r="E2516" t="s">
        <v>9</v>
      </c>
    </row>
    <row r="2517" spans="1:5" x14ac:dyDescent="0.35">
      <c r="A2517" t="s">
        <v>2235</v>
      </c>
      <c r="B2517" t="s">
        <v>2539</v>
      </c>
      <c r="C2517">
        <v>265</v>
      </c>
      <c r="D2517">
        <v>169</v>
      </c>
      <c r="E2517" t="s">
        <v>21</v>
      </c>
    </row>
    <row r="2518" spans="1:5" x14ac:dyDescent="0.35">
      <c r="A2518" t="s">
        <v>2235</v>
      </c>
      <c r="B2518" t="s">
        <v>2540</v>
      </c>
      <c r="C2518">
        <v>100</v>
      </c>
      <c r="D2518">
        <v>35</v>
      </c>
      <c r="E2518" t="s">
        <v>21</v>
      </c>
    </row>
    <row r="2519" spans="1:5" x14ac:dyDescent="0.35">
      <c r="A2519" t="s">
        <v>2235</v>
      </c>
      <c r="B2519" t="s">
        <v>2541</v>
      </c>
      <c r="C2519">
        <v>254</v>
      </c>
      <c r="D2519">
        <v>55</v>
      </c>
      <c r="E2519" t="s">
        <v>15</v>
      </c>
    </row>
    <row r="2520" spans="1:5" x14ac:dyDescent="0.35">
      <c r="A2520" t="s">
        <v>2235</v>
      </c>
      <c r="B2520" t="s">
        <v>2542</v>
      </c>
      <c r="C2520">
        <v>188</v>
      </c>
      <c r="D2520">
        <v>51</v>
      </c>
      <c r="E2520" t="s">
        <v>21</v>
      </c>
    </row>
    <row r="2521" spans="1:5" x14ac:dyDescent="0.35">
      <c r="A2521" t="s">
        <v>2235</v>
      </c>
      <c r="B2521" t="s">
        <v>2543</v>
      </c>
      <c r="C2521">
        <v>313</v>
      </c>
      <c r="D2521">
        <v>77</v>
      </c>
      <c r="E2521" t="s">
        <v>15</v>
      </c>
    </row>
    <row r="2522" spans="1:5" x14ac:dyDescent="0.35">
      <c r="A2522" t="s">
        <v>2235</v>
      </c>
      <c r="B2522" t="s">
        <v>2544</v>
      </c>
      <c r="C2522">
        <v>95</v>
      </c>
      <c r="D2522">
        <v>81</v>
      </c>
      <c r="E2522" t="s">
        <v>7</v>
      </c>
    </row>
    <row r="2523" spans="1:5" x14ac:dyDescent="0.35">
      <c r="A2523" t="s">
        <v>2235</v>
      </c>
      <c r="B2523" t="s">
        <v>2545</v>
      </c>
      <c r="C2523">
        <v>262</v>
      </c>
      <c r="D2523">
        <v>97</v>
      </c>
      <c r="E2523" t="s">
        <v>9</v>
      </c>
    </row>
    <row r="2524" spans="1:5" x14ac:dyDescent="0.35">
      <c r="A2524" t="s">
        <v>2235</v>
      </c>
      <c r="B2524" t="s">
        <v>2546</v>
      </c>
      <c r="C2524">
        <v>249</v>
      </c>
      <c r="D2524">
        <v>106</v>
      </c>
      <c r="E2524" t="s">
        <v>7</v>
      </c>
    </row>
    <row r="2525" spans="1:5" x14ac:dyDescent="0.35">
      <c r="A2525" t="s">
        <v>2235</v>
      </c>
      <c r="B2525" t="s">
        <v>2547</v>
      </c>
      <c r="C2525">
        <v>148</v>
      </c>
      <c r="D2525">
        <v>133</v>
      </c>
      <c r="E2525" t="s">
        <v>33</v>
      </c>
    </row>
    <row r="2526" spans="1:5" x14ac:dyDescent="0.35">
      <c r="A2526" t="s">
        <v>2235</v>
      </c>
      <c r="B2526" t="s">
        <v>2548</v>
      </c>
      <c r="C2526">
        <v>226</v>
      </c>
      <c r="D2526">
        <v>131</v>
      </c>
      <c r="E2526" t="s">
        <v>9</v>
      </c>
    </row>
    <row r="2527" spans="1:5" x14ac:dyDescent="0.35">
      <c r="A2527" t="s">
        <v>2235</v>
      </c>
      <c r="B2527" t="s">
        <v>2549</v>
      </c>
      <c r="C2527">
        <v>308</v>
      </c>
      <c r="D2527">
        <v>128</v>
      </c>
      <c r="E2527" t="s">
        <v>11</v>
      </c>
    </row>
    <row r="2528" spans="1:5" x14ac:dyDescent="0.35">
      <c r="A2528" t="s">
        <v>2235</v>
      </c>
      <c r="B2528" t="s">
        <v>2550</v>
      </c>
      <c r="C2528">
        <v>308</v>
      </c>
      <c r="D2528">
        <v>153</v>
      </c>
      <c r="E2528" t="s">
        <v>21</v>
      </c>
    </row>
    <row r="2529" spans="1:5" x14ac:dyDescent="0.35">
      <c r="A2529" t="s">
        <v>2235</v>
      </c>
      <c r="B2529" t="s">
        <v>2551</v>
      </c>
      <c r="C2529">
        <v>239</v>
      </c>
      <c r="D2529">
        <v>179</v>
      </c>
      <c r="E2529" t="s">
        <v>15</v>
      </c>
    </row>
    <row r="2530" spans="1:5" x14ac:dyDescent="0.35">
      <c r="A2530" t="s">
        <v>2235</v>
      </c>
      <c r="B2530" t="s">
        <v>2552</v>
      </c>
      <c r="C2530">
        <v>302</v>
      </c>
      <c r="D2530">
        <v>138</v>
      </c>
      <c r="E2530" t="s">
        <v>17</v>
      </c>
    </row>
    <row r="2531" spans="1:5" x14ac:dyDescent="0.35">
      <c r="A2531" t="s">
        <v>2235</v>
      </c>
      <c r="B2531" t="s">
        <v>2553</v>
      </c>
      <c r="C2531">
        <v>131</v>
      </c>
      <c r="D2531">
        <v>105</v>
      </c>
      <c r="E2531" t="s">
        <v>21</v>
      </c>
    </row>
    <row r="2532" spans="1:5" x14ac:dyDescent="0.35">
      <c r="A2532" t="s">
        <v>2235</v>
      </c>
      <c r="B2532" t="s">
        <v>2554</v>
      </c>
      <c r="C2532">
        <v>196</v>
      </c>
      <c r="D2532">
        <v>122</v>
      </c>
      <c r="E2532" t="s">
        <v>17</v>
      </c>
    </row>
    <row r="2533" spans="1:5" x14ac:dyDescent="0.35">
      <c r="A2533" t="s">
        <v>2235</v>
      </c>
      <c r="B2533" t="s">
        <v>2555</v>
      </c>
      <c r="C2533">
        <v>261</v>
      </c>
      <c r="D2533">
        <v>45</v>
      </c>
      <c r="E2533" t="s">
        <v>7</v>
      </c>
    </row>
    <row r="2534" spans="1:5" x14ac:dyDescent="0.35">
      <c r="A2534" t="s">
        <v>2235</v>
      </c>
      <c r="B2534" t="s">
        <v>2556</v>
      </c>
      <c r="C2534">
        <v>282</v>
      </c>
      <c r="D2534">
        <v>158</v>
      </c>
      <c r="E2534" t="s">
        <v>21</v>
      </c>
    </row>
    <row r="2535" spans="1:5" x14ac:dyDescent="0.35">
      <c r="A2535" t="s">
        <v>2235</v>
      </c>
      <c r="B2535" t="s">
        <v>2557</v>
      </c>
      <c r="C2535">
        <v>140</v>
      </c>
      <c r="D2535">
        <v>112</v>
      </c>
      <c r="E2535" t="s">
        <v>11</v>
      </c>
    </row>
    <row r="2536" spans="1:5" x14ac:dyDescent="0.35">
      <c r="A2536" t="s">
        <v>2235</v>
      </c>
      <c r="B2536" t="s">
        <v>2558</v>
      </c>
      <c r="C2536">
        <v>181</v>
      </c>
      <c r="D2536">
        <v>170</v>
      </c>
      <c r="E2536" t="s">
        <v>7</v>
      </c>
    </row>
    <row r="2537" spans="1:5" x14ac:dyDescent="0.35">
      <c r="A2537" t="s">
        <v>2235</v>
      </c>
      <c r="B2537" t="s">
        <v>2559</v>
      </c>
      <c r="C2537">
        <v>223</v>
      </c>
      <c r="D2537">
        <v>96</v>
      </c>
      <c r="E2537" t="s">
        <v>17</v>
      </c>
    </row>
    <row r="2538" spans="1:5" x14ac:dyDescent="0.35">
      <c r="A2538" t="s">
        <v>2235</v>
      </c>
      <c r="B2538" t="s">
        <v>2560</v>
      </c>
      <c r="C2538">
        <v>262</v>
      </c>
      <c r="D2538">
        <v>143</v>
      </c>
      <c r="E2538" t="s">
        <v>17</v>
      </c>
    </row>
    <row r="2539" spans="1:5" x14ac:dyDescent="0.35">
      <c r="A2539" t="s">
        <v>2235</v>
      </c>
      <c r="B2539" t="s">
        <v>2561</v>
      </c>
      <c r="C2539">
        <v>305</v>
      </c>
      <c r="D2539">
        <v>85</v>
      </c>
      <c r="E2539" t="s">
        <v>15</v>
      </c>
    </row>
    <row r="2540" spans="1:5" x14ac:dyDescent="0.35">
      <c r="A2540" t="s">
        <v>2235</v>
      </c>
      <c r="B2540" t="s">
        <v>2562</v>
      </c>
      <c r="C2540">
        <v>258</v>
      </c>
      <c r="D2540">
        <v>168</v>
      </c>
      <c r="E2540" t="s">
        <v>21</v>
      </c>
    </row>
    <row r="2541" spans="1:5" x14ac:dyDescent="0.35">
      <c r="A2541" t="s">
        <v>2235</v>
      </c>
      <c r="B2541" t="s">
        <v>2563</v>
      </c>
      <c r="C2541">
        <v>181</v>
      </c>
      <c r="D2541">
        <v>36</v>
      </c>
      <c r="E2541" t="s">
        <v>9</v>
      </c>
    </row>
    <row r="2542" spans="1:5" x14ac:dyDescent="0.35">
      <c r="A2542" t="s">
        <v>2235</v>
      </c>
      <c r="B2542" t="s">
        <v>2564</v>
      </c>
      <c r="C2542">
        <v>177</v>
      </c>
      <c r="D2542">
        <v>63</v>
      </c>
      <c r="E2542" t="s">
        <v>15</v>
      </c>
    </row>
    <row r="2543" spans="1:5" x14ac:dyDescent="0.35">
      <c r="A2543" t="s">
        <v>2235</v>
      </c>
      <c r="B2543" t="s">
        <v>2565</v>
      </c>
      <c r="C2543">
        <v>172</v>
      </c>
      <c r="D2543">
        <v>136</v>
      </c>
      <c r="E2543" t="s">
        <v>15</v>
      </c>
    </row>
    <row r="2544" spans="1:5" x14ac:dyDescent="0.35">
      <c r="A2544" t="s">
        <v>2235</v>
      </c>
      <c r="B2544" t="s">
        <v>2566</v>
      </c>
      <c r="C2544">
        <v>114</v>
      </c>
      <c r="D2544">
        <v>87</v>
      </c>
      <c r="E2544" t="s">
        <v>17</v>
      </c>
    </row>
    <row r="2545" spans="1:5" x14ac:dyDescent="0.35">
      <c r="A2545" t="s">
        <v>2235</v>
      </c>
      <c r="B2545" t="s">
        <v>2567</v>
      </c>
      <c r="C2545">
        <v>177</v>
      </c>
      <c r="D2545">
        <v>170</v>
      </c>
      <c r="E2545" t="s">
        <v>9</v>
      </c>
    </row>
    <row r="2546" spans="1:5" x14ac:dyDescent="0.35">
      <c r="A2546" t="s">
        <v>2235</v>
      </c>
      <c r="B2546" t="s">
        <v>2568</v>
      </c>
      <c r="C2546">
        <v>119</v>
      </c>
      <c r="D2546">
        <v>43</v>
      </c>
      <c r="E2546" t="s">
        <v>17</v>
      </c>
    </row>
    <row r="2547" spans="1:5" x14ac:dyDescent="0.35">
      <c r="A2547" t="s">
        <v>2235</v>
      </c>
      <c r="B2547" t="s">
        <v>2569</v>
      </c>
      <c r="C2547">
        <v>191</v>
      </c>
      <c r="D2547">
        <v>164</v>
      </c>
      <c r="E2547" t="s">
        <v>17</v>
      </c>
    </row>
    <row r="2548" spans="1:5" x14ac:dyDescent="0.35">
      <c r="A2548" t="s">
        <v>2235</v>
      </c>
      <c r="B2548" t="s">
        <v>2570</v>
      </c>
      <c r="C2548">
        <v>251</v>
      </c>
      <c r="D2548">
        <v>72</v>
      </c>
      <c r="E2548" t="s">
        <v>33</v>
      </c>
    </row>
    <row r="2549" spans="1:5" x14ac:dyDescent="0.35">
      <c r="A2549" t="s">
        <v>2235</v>
      </c>
      <c r="B2549" t="s">
        <v>2571</v>
      </c>
      <c r="C2549">
        <v>290</v>
      </c>
      <c r="D2549">
        <v>65</v>
      </c>
      <c r="E2549" t="s">
        <v>33</v>
      </c>
    </row>
    <row r="2550" spans="1:5" x14ac:dyDescent="0.35">
      <c r="A2550" t="s">
        <v>2235</v>
      </c>
      <c r="B2550" t="s">
        <v>2572</v>
      </c>
      <c r="C2550">
        <v>195</v>
      </c>
      <c r="D2550">
        <v>181</v>
      </c>
      <c r="E2550" t="s">
        <v>11</v>
      </c>
    </row>
    <row r="2551" spans="1:5" x14ac:dyDescent="0.35">
      <c r="A2551" t="s">
        <v>2235</v>
      </c>
      <c r="B2551" t="s">
        <v>2573</v>
      </c>
      <c r="C2551">
        <v>312</v>
      </c>
      <c r="D2551">
        <v>148</v>
      </c>
      <c r="E2551" t="s">
        <v>17</v>
      </c>
    </row>
    <row r="2552" spans="1:5" x14ac:dyDescent="0.35">
      <c r="A2552" t="s">
        <v>2235</v>
      </c>
      <c r="B2552" t="s">
        <v>2574</v>
      </c>
      <c r="C2552">
        <v>274</v>
      </c>
      <c r="D2552">
        <v>182</v>
      </c>
      <c r="E2552" t="s">
        <v>7</v>
      </c>
    </row>
    <row r="2553" spans="1:5" x14ac:dyDescent="0.35">
      <c r="A2553" t="s">
        <v>2235</v>
      </c>
      <c r="B2553" t="s">
        <v>2575</v>
      </c>
      <c r="C2553">
        <v>93</v>
      </c>
      <c r="D2553">
        <v>33</v>
      </c>
      <c r="E2553" t="s">
        <v>7</v>
      </c>
    </row>
    <row r="2554" spans="1:5" x14ac:dyDescent="0.35">
      <c r="A2554" t="s">
        <v>2235</v>
      </c>
      <c r="B2554" t="s">
        <v>2576</v>
      </c>
      <c r="C2554">
        <v>319</v>
      </c>
      <c r="D2554">
        <v>178</v>
      </c>
      <c r="E2554" t="s">
        <v>11</v>
      </c>
    </row>
    <row r="2555" spans="1:5" x14ac:dyDescent="0.35">
      <c r="A2555" t="s">
        <v>2235</v>
      </c>
      <c r="B2555" t="s">
        <v>2577</v>
      </c>
      <c r="C2555">
        <v>111</v>
      </c>
      <c r="D2555">
        <v>88</v>
      </c>
      <c r="E2555" t="s">
        <v>21</v>
      </c>
    </row>
    <row r="2556" spans="1:5" x14ac:dyDescent="0.35">
      <c r="A2556" t="s">
        <v>2235</v>
      </c>
      <c r="B2556" t="s">
        <v>2578</v>
      </c>
      <c r="C2556">
        <v>168</v>
      </c>
      <c r="D2556">
        <v>123</v>
      </c>
      <c r="E2556" t="s">
        <v>9</v>
      </c>
    </row>
    <row r="2557" spans="1:5" x14ac:dyDescent="0.35">
      <c r="A2557" t="s">
        <v>2235</v>
      </c>
      <c r="B2557" t="s">
        <v>2579</v>
      </c>
      <c r="C2557">
        <v>291</v>
      </c>
      <c r="D2557">
        <v>179</v>
      </c>
      <c r="E2557" t="s">
        <v>9</v>
      </c>
    </row>
    <row r="2558" spans="1:5" x14ac:dyDescent="0.35">
      <c r="A2558" t="s">
        <v>2235</v>
      </c>
      <c r="B2558" t="s">
        <v>2580</v>
      </c>
      <c r="C2558">
        <v>268</v>
      </c>
      <c r="D2558">
        <v>45</v>
      </c>
      <c r="E2558" t="s">
        <v>17</v>
      </c>
    </row>
    <row r="2559" spans="1:5" x14ac:dyDescent="0.35">
      <c r="A2559" t="s">
        <v>2235</v>
      </c>
      <c r="B2559" t="s">
        <v>2581</v>
      </c>
      <c r="C2559">
        <v>179</v>
      </c>
      <c r="D2559">
        <v>96</v>
      </c>
      <c r="E2559" t="s">
        <v>15</v>
      </c>
    </row>
    <row r="2560" spans="1:5" x14ac:dyDescent="0.35">
      <c r="A2560" t="s">
        <v>2235</v>
      </c>
      <c r="B2560" t="s">
        <v>2582</v>
      </c>
      <c r="C2560">
        <v>225</v>
      </c>
      <c r="D2560">
        <v>154</v>
      </c>
      <c r="E2560" t="s">
        <v>7</v>
      </c>
    </row>
    <row r="2561" spans="1:5" x14ac:dyDescent="0.35">
      <c r="A2561" t="s">
        <v>2235</v>
      </c>
      <c r="B2561" t="s">
        <v>2583</v>
      </c>
      <c r="C2561">
        <v>277</v>
      </c>
      <c r="D2561">
        <v>115</v>
      </c>
      <c r="E2561" t="s">
        <v>9</v>
      </c>
    </row>
    <row r="2562" spans="1:5" x14ac:dyDescent="0.35">
      <c r="A2562" t="s">
        <v>2235</v>
      </c>
      <c r="B2562" t="s">
        <v>2584</v>
      </c>
      <c r="C2562">
        <v>193</v>
      </c>
      <c r="D2562">
        <v>99</v>
      </c>
      <c r="E2562" t="s">
        <v>9</v>
      </c>
    </row>
    <row r="2563" spans="1:5" x14ac:dyDescent="0.35">
      <c r="A2563" t="s">
        <v>2235</v>
      </c>
      <c r="B2563" t="s">
        <v>2585</v>
      </c>
      <c r="C2563">
        <v>320</v>
      </c>
      <c r="D2563">
        <v>174</v>
      </c>
      <c r="E2563" t="s">
        <v>11</v>
      </c>
    </row>
    <row r="2564" spans="1:5" x14ac:dyDescent="0.35">
      <c r="A2564" t="s">
        <v>2235</v>
      </c>
      <c r="B2564" t="s">
        <v>2586</v>
      </c>
      <c r="C2564">
        <v>283</v>
      </c>
      <c r="D2564">
        <v>132</v>
      </c>
      <c r="E2564" t="s">
        <v>33</v>
      </c>
    </row>
    <row r="2565" spans="1:5" x14ac:dyDescent="0.35">
      <c r="A2565" t="s">
        <v>2235</v>
      </c>
      <c r="B2565" t="s">
        <v>2587</v>
      </c>
      <c r="C2565">
        <v>108</v>
      </c>
      <c r="D2565">
        <v>50</v>
      </c>
      <c r="E2565" t="s">
        <v>21</v>
      </c>
    </row>
    <row r="2566" spans="1:5" x14ac:dyDescent="0.35">
      <c r="A2566" t="s">
        <v>2235</v>
      </c>
      <c r="B2566" t="s">
        <v>2588</v>
      </c>
      <c r="C2566">
        <v>209</v>
      </c>
      <c r="D2566">
        <v>122</v>
      </c>
      <c r="E2566" t="s">
        <v>33</v>
      </c>
    </row>
    <row r="2567" spans="1:5" x14ac:dyDescent="0.35">
      <c r="A2567" t="s">
        <v>2235</v>
      </c>
      <c r="B2567" t="s">
        <v>2589</v>
      </c>
      <c r="C2567">
        <v>160</v>
      </c>
      <c r="D2567">
        <v>67</v>
      </c>
      <c r="E2567" t="s">
        <v>21</v>
      </c>
    </row>
    <row r="2568" spans="1:5" x14ac:dyDescent="0.35">
      <c r="A2568" t="s">
        <v>2235</v>
      </c>
      <c r="B2568" t="s">
        <v>2590</v>
      </c>
      <c r="C2568">
        <v>265</v>
      </c>
      <c r="D2568">
        <v>72</v>
      </c>
      <c r="E2568" t="s">
        <v>11</v>
      </c>
    </row>
    <row r="2569" spans="1:5" x14ac:dyDescent="0.35">
      <c r="A2569" t="s">
        <v>2235</v>
      </c>
      <c r="B2569" t="s">
        <v>2591</v>
      </c>
      <c r="C2569">
        <v>223</v>
      </c>
      <c r="D2569">
        <v>119</v>
      </c>
      <c r="E2569" t="s">
        <v>11</v>
      </c>
    </row>
    <row r="2570" spans="1:5" x14ac:dyDescent="0.35">
      <c r="A2570" t="s">
        <v>2235</v>
      </c>
      <c r="B2570" t="s">
        <v>2592</v>
      </c>
      <c r="C2570">
        <v>228</v>
      </c>
      <c r="D2570">
        <v>121</v>
      </c>
      <c r="E2570" t="s">
        <v>33</v>
      </c>
    </row>
    <row r="2571" spans="1:5" x14ac:dyDescent="0.35">
      <c r="A2571" t="s">
        <v>2593</v>
      </c>
      <c r="B2571" t="s">
        <v>2594</v>
      </c>
      <c r="C2571">
        <v>103</v>
      </c>
      <c r="D2571">
        <v>58</v>
      </c>
      <c r="E2571" t="s">
        <v>7</v>
      </c>
    </row>
    <row r="2572" spans="1:5" x14ac:dyDescent="0.35">
      <c r="A2572" t="s">
        <v>2593</v>
      </c>
      <c r="B2572" t="s">
        <v>2595</v>
      </c>
      <c r="C2572">
        <v>215</v>
      </c>
      <c r="D2572">
        <v>183</v>
      </c>
      <c r="E2572" t="s">
        <v>9</v>
      </c>
    </row>
    <row r="2573" spans="1:5" x14ac:dyDescent="0.35">
      <c r="A2573" t="s">
        <v>2593</v>
      </c>
      <c r="B2573" t="s">
        <v>2596</v>
      </c>
      <c r="C2573">
        <v>38</v>
      </c>
      <c r="D2573">
        <v>31</v>
      </c>
      <c r="E2573" t="s">
        <v>33</v>
      </c>
    </row>
    <row r="2574" spans="1:5" x14ac:dyDescent="0.35">
      <c r="A2574" t="s">
        <v>2593</v>
      </c>
      <c r="B2574" t="s">
        <v>2597</v>
      </c>
      <c r="C2574">
        <v>115</v>
      </c>
      <c r="D2574">
        <v>61</v>
      </c>
      <c r="E2574" t="s">
        <v>11</v>
      </c>
    </row>
    <row r="2575" spans="1:5" x14ac:dyDescent="0.35">
      <c r="A2575" t="s">
        <v>2593</v>
      </c>
      <c r="B2575" t="s">
        <v>2598</v>
      </c>
      <c r="C2575">
        <v>278</v>
      </c>
      <c r="D2575">
        <v>54</v>
      </c>
      <c r="E2575" t="s">
        <v>15</v>
      </c>
    </row>
    <row r="2576" spans="1:5" x14ac:dyDescent="0.35">
      <c r="A2576" t="s">
        <v>2593</v>
      </c>
      <c r="B2576" t="s">
        <v>2599</v>
      </c>
      <c r="C2576">
        <v>129</v>
      </c>
      <c r="D2576">
        <v>77</v>
      </c>
      <c r="E2576" t="s">
        <v>33</v>
      </c>
    </row>
    <row r="2577" spans="1:5" x14ac:dyDescent="0.35">
      <c r="A2577" t="s">
        <v>2593</v>
      </c>
      <c r="B2577" t="s">
        <v>2600</v>
      </c>
      <c r="C2577">
        <v>109</v>
      </c>
      <c r="D2577">
        <v>52</v>
      </c>
      <c r="E2577" t="s">
        <v>9</v>
      </c>
    </row>
    <row r="2578" spans="1:5" x14ac:dyDescent="0.35">
      <c r="A2578" t="s">
        <v>2593</v>
      </c>
      <c r="B2578" t="s">
        <v>2601</v>
      </c>
      <c r="C2578">
        <v>262</v>
      </c>
      <c r="D2578">
        <v>177</v>
      </c>
      <c r="E2578" t="s">
        <v>21</v>
      </c>
    </row>
    <row r="2579" spans="1:5" x14ac:dyDescent="0.35">
      <c r="A2579" t="s">
        <v>2593</v>
      </c>
      <c r="B2579" t="s">
        <v>2602</v>
      </c>
      <c r="C2579">
        <v>201</v>
      </c>
      <c r="D2579">
        <v>159</v>
      </c>
      <c r="E2579" t="s">
        <v>17</v>
      </c>
    </row>
    <row r="2580" spans="1:5" x14ac:dyDescent="0.35">
      <c r="A2580" t="s">
        <v>2593</v>
      </c>
      <c r="B2580" t="s">
        <v>2603</v>
      </c>
      <c r="C2580">
        <v>119</v>
      </c>
      <c r="D2580">
        <v>69</v>
      </c>
      <c r="E2580" t="s">
        <v>9</v>
      </c>
    </row>
    <row r="2581" spans="1:5" x14ac:dyDescent="0.35">
      <c r="A2581" t="s">
        <v>2593</v>
      </c>
      <c r="B2581" t="s">
        <v>2604</v>
      </c>
      <c r="C2581">
        <v>128</v>
      </c>
      <c r="D2581">
        <v>115</v>
      </c>
      <c r="E2581" t="s">
        <v>15</v>
      </c>
    </row>
    <row r="2582" spans="1:5" x14ac:dyDescent="0.35">
      <c r="A2582" t="s">
        <v>2593</v>
      </c>
      <c r="B2582" t="s">
        <v>2605</v>
      </c>
      <c r="C2582">
        <v>272</v>
      </c>
      <c r="D2582">
        <v>68</v>
      </c>
      <c r="E2582" t="s">
        <v>9</v>
      </c>
    </row>
    <row r="2583" spans="1:5" x14ac:dyDescent="0.35">
      <c r="A2583" t="s">
        <v>2593</v>
      </c>
      <c r="B2583" t="s">
        <v>2606</v>
      </c>
      <c r="C2583">
        <v>247</v>
      </c>
      <c r="D2583">
        <v>177</v>
      </c>
      <c r="E2583" t="s">
        <v>7</v>
      </c>
    </row>
    <row r="2584" spans="1:5" x14ac:dyDescent="0.35">
      <c r="A2584" t="s">
        <v>2593</v>
      </c>
      <c r="B2584" t="s">
        <v>2607</v>
      </c>
      <c r="C2584">
        <v>75</v>
      </c>
      <c r="D2584">
        <v>32</v>
      </c>
      <c r="E2584" t="s">
        <v>17</v>
      </c>
    </row>
    <row r="2585" spans="1:5" x14ac:dyDescent="0.35">
      <c r="A2585" t="s">
        <v>2593</v>
      </c>
      <c r="B2585" t="s">
        <v>2608</v>
      </c>
      <c r="C2585">
        <v>228</v>
      </c>
      <c r="D2585">
        <v>82</v>
      </c>
      <c r="E2585" t="s">
        <v>17</v>
      </c>
    </row>
    <row r="2586" spans="1:5" x14ac:dyDescent="0.35">
      <c r="A2586" t="s">
        <v>2593</v>
      </c>
      <c r="B2586" t="s">
        <v>2609</v>
      </c>
      <c r="C2586">
        <v>43</v>
      </c>
      <c r="D2586">
        <v>41</v>
      </c>
      <c r="E2586" t="s">
        <v>17</v>
      </c>
    </row>
    <row r="2587" spans="1:5" x14ac:dyDescent="0.35">
      <c r="A2587" t="s">
        <v>2593</v>
      </c>
      <c r="B2587" t="s">
        <v>2610</v>
      </c>
      <c r="C2587">
        <v>87</v>
      </c>
      <c r="D2587">
        <v>36</v>
      </c>
      <c r="E2587" t="s">
        <v>33</v>
      </c>
    </row>
    <row r="2588" spans="1:5" x14ac:dyDescent="0.35">
      <c r="A2588" t="s">
        <v>2593</v>
      </c>
      <c r="B2588" t="s">
        <v>2611</v>
      </c>
      <c r="C2588">
        <v>180</v>
      </c>
      <c r="D2588">
        <v>84</v>
      </c>
      <c r="E2588" t="s">
        <v>11</v>
      </c>
    </row>
    <row r="2589" spans="1:5" x14ac:dyDescent="0.35">
      <c r="A2589" t="s">
        <v>2593</v>
      </c>
      <c r="B2589" t="s">
        <v>2612</v>
      </c>
      <c r="C2589">
        <v>260</v>
      </c>
      <c r="D2589">
        <v>174</v>
      </c>
      <c r="E2589" t="s">
        <v>9</v>
      </c>
    </row>
    <row r="2590" spans="1:5" x14ac:dyDescent="0.35">
      <c r="A2590" t="s">
        <v>2593</v>
      </c>
      <c r="B2590" t="s">
        <v>2613</v>
      </c>
      <c r="C2590">
        <v>282</v>
      </c>
      <c r="D2590">
        <v>111</v>
      </c>
      <c r="E2590" t="s">
        <v>33</v>
      </c>
    </row>
    <row r="2591" spans="1:5" x14ac:dyDescent="0.35">
      <c r="A2591" t="s">
        <v>2593</v>
      </c>
      <c r="B2591" t="s">
        <v>2614</v>
      </c>
      <c r="C2591">
        <v>258</v>
      </c>
      <c r="D2591">
        <v>126</v>
      </c>
      <c r="E2591" t="s">
        <v>33</v>
      </c>
    </row>
    <row r="2592" spans="1:5" x14ac:dyDescent="0.35">
      <c r="A2592" t="s">
        <v>2593</v>
      </c>
      <c r="B2592" t="s">
        <v>499</v>
      </c>
      <c r="C2592">
        <v>233</v>
      </c>
      <c r="D2592">
        <v>118</v>
      </c>
      <c r="E2592" t="s">
        <v>17</v>
      </c>
    </row>
    <row r="2593" spans="1:5" x14ac:dyDescent="0.35">
      <c r="A2593" t="s">
        <v>2593</v>
      </c>
      <c r="B2593" t="s">
        <v>500</v>
      </c>
      <c r="C2593">
        <v>315</v>
      </c>
      <c r="D2593">
        <v>102</v>
      </c>
      <c r="E2593" t="s">
        <v>17</v>
      </c>
    </row>
    <row r="2594" spans="1:5" x14ac:dyDescent="0.35">
      <c r="A2594" t="s">
        <v>2593</v>
      </c>
      <c r="B2594" t="s">
        <v>501</v>
      </c>
      <c r="C2594">
        <v>183</v>
      </c>
      <c r="D2594">
        <v>151</v>
      </c>
      <c r="E2594" t="s">
        <v>9</v>
      </c>
    </row>
    <row r="2595" spans="1:5" x14ac:dyDescent="0.35">
      <c r="A2595" t="s">
        <v>2593</v>
      </c>
      <c r="B2595" t="s">
        <v>502</v>
      </c>
      <c r="C2595">
        <v>185</v>
      </c>
      <c r="D2595">
        <v>158</v>
      </c>
      <c r="E2595" t="s">
        <v>21</v>
      </c>
    </row>
    <row r="2596" spans="1:5" x14ac:dyDescent="0.35">
      <c r="A2596" t="s">
        <v>2593</v>
      </c>
      <c r="B2596" t="s">
        <v>503</v>
      </c>
      <c r="C2596">
        <v>305</v>
      </c>
      <c r="D2596">
        <v>180</v>
      </c>
      <c r="E2596" t="s">
        <v>7</v>
      </c>
    </row>
    <row r="2597" spans="1:5" x14ac:dyDescent="0.35">
      <c r="A2597" t="s">
        <v>2593</v>
      </c>
      <c r="B2597" t="s">
        <v>504</v>
      </c>
      <c r="C2597">
        <v>85</v>
      </c>
      <c r="D2597">
        <v>72</v>
      </c>
      <c r="E2597" t="s">
        <v>21</v>
      </c>
    </row>
    <row r="2598" spans="1:5" x14ac:dyDescent="0.35">
      <c r="A2598" t="s">
        <v>2593</v>
      </c>
      <c r="B2598" t="s">
        <v>505</v>
      </c>
      <c r="C2598">
        <v>195</v>
      </c>
      <c r="D2598">
        <v>47</v>
      </c>
      <c r="E2598" t="s">
        <v>11</v>
      </c>
    </row>
    <row r="2599" spans="1:5" x14ac:dyDescent="0.35">
      <c r="A2599" t="s">
        <v>2593</v>
      </c>
      <c r="B2599" t="s">
        <v>2615</v>
      </c>
      <c r="C2599">
        <v>191</v>
      </c>
      <c r="D2599">
        <v>134</v>
      </c>
      <c r="E2599" t="s">
        <v>17</v>
      </c>
    </row>
    <row r="2600" spans="1:5" x14ac:dyDescent="0.35">
      <c r="A2600" t="s">
        <v>2593</v>
      </c>
      <c r="B2600" t="s">
        <v>2616</v>
      </c>
      <c r="C2600">
        <v>237</v>
      </c>
      <c r="D2600">
        <v>111</v>
      </c>
      <c r="E2600" t="s">
        <v>17</v>
      </c>
    </row>
    <row r="2601" spans="1:5" x14ac:dyDescent="0.35">
      <c r="A2601" t="s">
        <v>2593</v>
      </c>
      <c r="B2601" t="s">
        <v>2617</v>
      </c>
      <c r="C2601">
        <v>202</v>
      </c>
      <c r="D2601">
        <v>96</v>
      </c>
      <c r="E2601" t="s">
        <v>17</v>
      </c>
    </row>
    <row r="2602" spans="1:5" x14ac:dyDescent="0.35">
      <c r="A2602" t="s">
        <v>2593</v>
      </c>
      <c r="B2602" t="s">
        <v>2618</v>
      </c>
      <c r="C2602">
        <v>297</v>
      </c>
      <c r="D2602">
        <v>152</v>
      </c>
      <c r="E2602" t="s">
        <v>9</v>
      </c>
    </row>
    <row r="2603" spans="1:5" x14ac:dyDescent="0.35">
      <c r="A2603" t="s">
        <v>2593</v>
      </c>
      <c r="B2603" t="s">
        <v>2619</v>
      </c>
      <c r="C2603">
        <v>159</v>
      </c>
      <c r="D2603">
        <v>89</v>
      </c>
      <c r="E2603" t="s">
        <v>11</v>
      </c>
    </row>
    <row r="2604" spans="1:5" x14ac:dyDescent="0.35">
      <c r="A2604" t="s">
        <v>2593</v>
      </c>
      <c r="B2604" t="s">
        <v>2620</v>
      </c>
      <c r="C2604">
        <v>203</v>
      </c>
      <c r="D2604">
        <v>63</v>
      </c>
      <c r="E2604" t="s">
        <v>7</v>
      </c>
    </row>
    <row r="2605" spans="1:5" x14ac:dyDescent="0.35">
      <c r="A2605" t="s">
        <v>2593</v>
      </c>
      <c r="B2605" t="s">
        <v>2621</v>
      </c>
      <c r="C2605">
        <v>237</v>
      </c>
      <c r="D2605">
        <v>32</v>
      </c>
      <c r="E2605" t="s">
        <v>15</v>
      </c>
    </row>
    <row r="2606" spans="1:5" x14ac:dyDescent="0.35">
      <c r="A2606" t="s">
        <v>2593</v>
      </c>
      <c r="B2606" t="s">
        <v>2622</v>
      </c>
      <c r="C2606">
        <v>217</v>
      </c>
      <c r="D2606">
        <v>64</v>
      </c>
      <c r="E2606" t="s">
        <v>9</v>
      </c>
    </row>
    <row r="2607" spans="1:5" x14ac:dyDescent="0.35">
      <c r="A2607" t="s">
        <v>2593</v>
      </c>
      <c r="B2607" t="s">
        <v>2623</v>
      </c>
      <c r="C2607">
        <v>61</v>
      </c>
      <c r="D2607">
        <v>57</v>
      </c>
      <c r="E2607" t="s">
        <v>21</v>
      </c>
    </row>
    <row r="2608" spans="1:5" x14ac:dyDescent="0.35">
      <c r="A2608" t="s">
        <v>2593</v>
      </c>
      <c r="B2608" t="s">
        <v>2624</v>
      </c>
      <c r="C2608">
        <v>181</v>
      </c>
      <c r="D2608">
        <v>52</v>
      </c>
      <c r="E2608" t="s">
        <v>9</v>
      </c>
    </row>
    <row r="2609" spans="1:5" x14ac:dyDescent="0.35">
      <c r="A2609" t="s">
        <v>2593</v>
      </c>
      <c r="B2609" t="s">
        <v>2625</v>
      </c>
      <c r="C2609">
        <v>93</v>
      </c>
      <c r="D2609">
        <v>54</v>
      </c>
      <c r="E2609" t="s">
        <v>9</v>
      </c>
    </row>
    <row r="2610" spans="1:5" x14ac:dyDescent="0.35">
      <c r="A2610" t="s">
        <v>2593</v>
      </c>
      <c r="B2610" t="s">
        <v>2626</v>
      </c>
      <c r="C2610">
        <v>305</v>
      </c>
      <c r="D2610">
        <v>103</v>
      </c>
      <c r="E2610" t="s">
        <v>15</v>
      </c>
    </row>
    <row r="2611" spans="1:5" x14ac:dyDescent="0.35">
      <c r="A2611" t="s">
        <v>2593</v>
      </c>
      <c r="B2611" t="s">
        <v>2627</v>
      </c>
      <c r="C2611">
        <v>270</v>
      </c>
      <c r="D2611">
        <v>44</v>
      </c>
      <c r="E2611" t="s">
        <v>33</v>
      </c>
    </row>
    <row r="2612" spans="1:5" x14ac:dyDescent="0.35">
      <c r="A2612" t="s">
        <v>2593</v>
      </c>
      <c r="B2612" t="s">
        <v>2628</v>
      </c>
      <c r="C2612">
        <v>319</v>
      </c>
      <c r="D2612">
        <v>174</v>
      </c>
      <c r="E2612" t="s">
        <v>7</v>
      </c>
    </row>
    <row r="2613" spans="1:5" x14ac:dyDescent="0.35">
      <c r="A2613" t="s">
        <v>2593</v>
      </c>
      <c r="B2613" t="s">
        <v>2629</v>
      </c>
      <c r="C2613">
        <v>284</v>
      </c>
      <c r="D2613">
        <v>67</v>
      </c>
      <c r="E2613" t="s">
        <v>15</v>
      </c>
    </row>
    <row r="2614" spans="1:5" x14ac:dyDescent="0.35">
      <c r="A2614" t="s">
        <v>2593</v>
      </c>
      <c r="B2614" t="s">
        <v>2630</v>
      </c>
      <c r="C2614">
        <v>184</v>
      </c>
      <c r="D2614">
        <v>184</v>
      </c>
      <c r="E2614" t="s">
        <v>9</v>
      </c>
    </row>
    <row r="2615" spans="1:5" x14ac:dyDescent="0.35">
      <c r="A2615" t="s">
        <v>2593</v>
      </c>
      <c r="B2615" t="s">
        <v>2631</v>
      </c>
      <c r="C2615">
        <v>289</v>
      </c>
      <c r="D2615">
        <v>65</v>
      </c>
      <c r="E2615" t="s">
        <v>21</v>
      </c>
    </row>
    <row r="2616" spans="1:5" x14ac:dyDescent="0.35">
      <c r="A2616" t="s">
        <v>2593</v>
      </c>
      <c r="B2616" t="s">
        <v>2632</v>
      </c>
      <c r="C2616">
        <v>187</v>
      </c>
      <c r="D2616">
        <v>137</v>
      </c>
      <c r="E2616" t="s">
        <v>17</v>
      </c>
    </row>
    <row r="2617" spans="1:5" x14ac:dyDescent="0.35">
      <c r="A2617" t="s">
        <v>2593</v>
      </c>
      <c r="B2617" t="s">
        <v>2633</v>
      </c>
      <c r="C2617">
        <v>272</v>
      </c>
      <c r="D2617">
        <v>121</v>
      </c>
      <c r="E2617" t="s">
        <v>15</v>
      </c>
    </row>
    <row r="2618" spans="1:5" x14ac:dyDescent="0.35">
      <c r="A2618" t="s">
        <v>2593</v>
      </c>
      <c r="B2618" t="s">
        <v>2634</v>
      </c>
      <c r="C2618">
        <v>312</v>
      </c>
      <c r="D2618">
        <v>134</v>
      </c>
      <c r="E2618" t="s">
        <v>15</v>
      </c>
    </row>
    <row r="2619" spans="1:5" x14ac:dyDescent="0.35">
      <c r="A2619" t="s">
        <v>2593</v>
      </c>
      <c r="B2619" t="s">
        <v>2635</v>
      </c>
      <c r="C2619">
        <v>290</v>
      </c>
      <c r="D2619">
        <v>34</v>
      </c>
      <c r="E2619" t="s">
        <v>33</v>
      </c>
    </row>
    <row r="2620" spans="1:5" x14ac:dyDescent="0.35">
      <c r="A2620" t="s">
        <v>2593</v>
      </c>
      <c r="B2620" t="s">
        <v>2636</v>
      </c>
      <c r="C2620">
        <v>223</v>
      </c>
      <c r="D2620">
        <v>114</v>
      </c>
      <c r="E2620" t="s">
        <v>33</v>
      </c>
    </row>
    <row r="2621" spans="1:5" x14ac:dyDescent="0.35">
      <c r="A2621" t="s">
        <v>2593</v>
      </c>
      <c r="B2621" t="s">
        <v>2637</v>
      </c>
      <c r="C2621">
        <v>99</v>
      </c>
      <c r="D2621">
        <v>56</v>
      </c>
      <c r="E2621" t="s">
        <v>11</v>
      </c>
    </row>
    <row r="2622" spans="1:5" x14ac:dyDescent="0.35">
      <c r="A2622" t="s">
        <v>2593</v>
      </c>
      <c r="B2622" t="s">
        <v>2638</v>
      </c>
      <c r="C2622">
        <v>268</v>
      </c>
      <c r="D2622">
        <v>98</v>
      </c>
      <c r="E2622" t="s">
        <v>9</v>
      </c>
    </row>
    <row r="2623" spans="1:5" x14ac:dyDescent="0.35">
      <c r="A2623" t="s">
        <v>2593</v>
      </c>
      <c r="B2623" t="s">
        <v>2639</v>
      </c>
      <c r="C2623">
        <v>69</v>
      </c>
      <c r="D2623">
        <v>64</v>
      </c>
      <c r="E2623" t="s">
        <v>11</v>
      </c>
    </row>
    <row r="2624" spans="1:5" x14ac:dyDescent="0.35">
      <c r="A2624" t="s">
        <v>2593</v>
      </c>
      <c r="B2624" t="s">
        <v>2640</v>
      </c>
      <c r="C2624">
        <v>305</v>
      </c>
      <c r="D2624">
        <v>85</v>
      </c>
      <c r="E2624" t="s">
        <v>15</v>
      </c>
    </row>
    <row r="2625" spans="1:5" x14ac:dyDescent="0.35">
      <c r="A2625" t="s">
        <v>2593</v>
      </c>
      <c r="B2625" t="s">
        <v>2641</v>
      </c>
      <c r="C2625">
        <v>294</v>
      </c>
      <c r="D2625">
        <v>131</v>
      </c>
      <c r="E2625" t="s">
        <v>9</v>
      </c>
    </row>
    <row r="2626" spans="1:5" x14ac:dyDescent="0.35">
      <c r="A2626" t="s">
        <v>2593</v>
      </c>
      <c r="B2626" t="s">
        <v>2642</v>
      </c>
      <c r="C2626">
        <v>282</v>
      </c>
      <c r="D2626">
        <v>181</v>
      </c>
      <c r="E2626" t="s">
        <v>7</v>
      </c>
    </row>
    <row r="2627" spans="1:5" x14ac:dyDescent="0.35">
      <c r="A2627" t="s">
        <v>2593</v>
      </c>
      <c r="B2627" t="s">
        <v>2643</v>
      </c>
      <c r="C2627">
        <v>311</v>
      </c>
      <c r="D2627">
        <v>176</v>
      </c>
      <c r="E2627" t="s">
        <v>15</v>
      </c>
    </row>
    <row r="2628" spans="1:5" x14ac:dyDescent="0.35">
      <c r="A2628" t="s">
        <v>2593</v>
      </c>
      <c r="B2628" t="s">
        <v>2644</v>
      </c>
      <c r="C2628">
        <v>302</v>
      </c>
      <c r="D2628">
        <v>110</v>
      </c>
      <c r="E2628" t="s">
        <v>21</v>
      </c>
    </row>
    <row r="2629" spans="1:5" x14ac:dyDescent="0.35">
      <c r="A2629" t="s">
        <v>2593</v>
      </c>
      <c r="B2629" t="s">
        <v>2645</v>
      </c>
      <c r="C2629">
        <v>177</v>
      </c>
      <c r="D2629">
        <v>176</v>
      </c>
      <c r="E2629" t="s">
        <v>9</v>
      </c>
    </row>
    <row r="2630" spans="1:5" x14ac:dyDescent="0.35">
      <c r="A2630" t="s">
        <v>2593</v>
      </c>
      <c r="B2630" t="s">
        <v>2646</v>
      </c>
      <c r="C2630">
        <v>207</v>
      </c>
      <c r="D2630">
        <v>36</v>
      </c>
      <c r="E2630" t="s">
        <v>7</v>
      </c>
    </row>
    <row r="2631" spans="1:5" x14ac:dyDescent="0.35">
      <c r="A2631" t="s">
        <v>2593</v>
      </c>
      <c r="B2631" t="s">
        <v>2647</v>
      </c>
      <c r="C2631">
        <v>303</v>
      </c>
      <c r="D2631">
        <v>74</v>
      </c>
      <c r="E2631" t="s">
        <v>7</v>
      </c>
    </row>
    <row r="2632" spans="1:5" x14ac:dyDescent="0.35">
      <c r="A2632" t="s">
        <v>2593</v>
      </c>
      <c r="B2632" t="s">
        <v>2648</v>
      </c>
      <c r="C2632">
        <v>271</v>
      </c>
      <c r="D2632">
        <v>134</v>
      </c>
      <c r="E2632" t="s">
        <v>15</v>
      </c>
    </row>
    <row r="2633" spans="1:5" x14ac:dyDescent="0.35">
      <c r="A2633" t="s">
        <v>2593</v>
      </c>
      <c r="B2633" t="s">
        <v>2649</v>
      </c>
      <c r="C2633">
        <v>224</v>
      </c>
      <c r="D2633">
        <v>155</v>
      </c>
      <c r="E2633" t="s">
        <v>7</v>
      </c>
    </row>
    <row r="2634" spans="1:5" x14ac:dyDescent="0.35">
      <c r="A2634" t="s">
        <v>2593</v>
      </c>
      <c r="B2634" t="s">
        <v>2650</v>
      </c>
      <c r="C2634">
        <v>305</v>
      </c>
      <c r="D2634">
        <v>188</v>
      </c>
      <c r="E2634" t="s">
        <v>11</v>
      </c>
    </row>
    <row r="2635" spans="1:5" x14ac:dyDescent="0.35">
      <c r="A2635" t="s">
        <v>2593</v>
      </c>
      <c r="B2635" t="s">
        <v>2651</v>
      </c>
      <c r="C2635">
        <v>161</v>
      </c>
      <c r="D2635">
        <v>121</v>
      </c>
      <c r="E2635" t="s">
        <v>21</v>
      </c>
    </row>
    <row r="2636" spans="1:5" x14ac:dyDescent="0.35">
      <c r="A2636" t="s">
        <v>2593</v>
      </c>
      <c r="B2636" t="s">
        <v>2652</v>
      </c>
      <c r="C2636">
        <v>139</v>
      </c>
      <c r="D2636">
        <v>75</v>
      </c>
      <c r="E2636" t="s">
        <v>15</v>
      </c>
    </row>
    <row r="2637" spans="1:5" x14ac:dyDescent="0.35">
      <c r="A2637" t="s">
        <v>2593</v>
      </c>
      <c r="B2637" t="s">
        <v>2653</v>
      </c>
      <c r="C2637">
        <v>240</v>
      </c>
      <c r="D2637">
        <v>180</v>
      </c>
      <c r="E2637" t="s">
        <v>17</v>
      </c>
    </row>
    <row r="2638" spans="1:5" x14ac:dyDescent="0.35">
      <c r="A2638" t="s">
        <v>2593</v>
      </c>
      <c r="B2638" t="s">
        <v>2654</v>
      </c>
      <c r="C2638">
        <v>266</v>
      </c>
      <c r="D2638">
        <v>190</v>
      </c>
      <c r="E2638" t="s">
        <v>7</v>
      </c>
    </row>
    <row r="2639" spans="1:5" x14ac:dyDescent="0.35">
      <c r="A2639" t="s">
        <v>2593</v>
      </c>
      <c r="B2639" t="s">
        <v>2655</v>
      </c>
      <c r="C2639">
        <v>269</v>
      </c>
      <c r="D2639">
        <v>133</v>
      </c>
      <c r="E2639" t="s">
        <v>33</v>
      </c>
    </row>
    <row r="2640" spans="1:5" x14ac:dyDescent="0.35">
      <c r="A2640" t="s">
        <v>2593</v>
      </c>
      <c r="B2640" t="s">
        <v>2656</v>
      </c>
      <c r="C2640">
        <v>275</v>
      </c>
      <c r="D2640">
        <v>109</v>
      </c>
      <c r="E2640" t="s">
        <v>7</v>
      </c>
    </row>
    <row r="2641" spans="1:5" x14ac:dyDescent="0.35">
      <c r="A2641" t="s">
        <v>2593</v>
      </c>
      <c r="B2641" t="s">
        <v>2657</v>
      </c>
      <c r="C2641">
        <v>215</v>
      </c>
      <c r="D2641">
        <v>59</v>
      </c>
      <c r="E2641" t="s">
        <v>7</v>
      </c>
    </row>
    <row r="2642" spans="1:5" x14ac:dyDescent="0.35">
      <c r="A2642" t="s">
        <v>2593</v>
      </c>
      <c r="B2642" t="s">
        <v>2658</v>
      </c>
      <c r="C2642">
        <v>80</v>
      </c>
      <c r="D2642">
        <v>58</v>
      </c>
      <c r="E2642" t="s">
        <v>17</v>
      </c>
    </row>
    <row r="2643" spans="1:5" x14ac:dyDescent="0.35">
      <c r="A2643" t="s">
        <v>2593</v>
      </c>
      <c r="B2643" t="s">
        <v>2659</v>
      </c>
      <c r="C2643">
        <v>255</v>
      </c>
      <c r="D2643">
        <v>152</v>
      </c>
      <c r="E2643" t="s">
        <v>7</v>
      </c>
    </row>
    <row r="2644" spans="1:5" x14ac:dyDescent="0.35">
      <c r="A2644" t="s">
        <v>2593</v>
      </c>
      <c r="B2644" t="s">
        <v>2660</v>
      </c>
      <c r="C2644">
        <v>142</v>
      </c>
      <c r="D2644">
        <v>132</v>
      </c>
      <c r="E2644" t="s">
        <v>9</v>
      </c>
    </row>
    <row r="2645" spans="1:5" x14ac:dyDescent="0.35">
      <c r="A2645" t="s">
        <v>2593</v>
      </c>
      <c r="B2645" t="s">
        <v>2661</v>
      </c>
      <c r="C2645">
        <v>214</v>
      </c>
      <c r="D2645">
        <v>171</v>
      </c>
      <c r="E2645" t="s">
        <v>9</v>
      </c>
    </row>
    <row r="2646" spans="1:5" x14ac:dyDescent="0.35">
      <c r="A2646" t="s">
        <v>2593</v>
      </c>
      <c r="B2646" t="s">
        <v>2662</v>
      </c>
      <c r="C2646">
        <v>198</v>
      </c>
      <c r="D2646">
        <v>159</v>
      </c>
      <c r="E2646" t="s">
        <v>21</v>
      </c>
    </row>
    <row r="2647" spans="1:5" x14ac:dyDescent="0.35">
      <c r="A2647" t="s">
        <v>2593</v>
      </c>
      <c r="B2647" t="s">
        <v>2663</v>
      </c>
      <c r="C2647">
        <v>295</v>
      </c>
      <c r="D2647">
        <v>78</v>
      </c>
      <c r="E2647" t="s">
        <v>9</v>
      </c>
    </row>
    <row r="2648" spans="1:5" x14ac:dyDescent="0.35">
      <c r="A2648" t="s">
        <v>2593</v>
      </c>
      <c r="B2648" t="s">
        <v>2664</v>
      </c>
      <c r="C2648">
        <v>243</v>
      </c>
      <c r="D2648">
        <v>33</v>
      </c>
      <c r="E2648" t="s">
        <v>33</v>
      </c>
    </row>
    <row r="2649" spans="1:5" x14ac:dyDescent="0.35">
      <c r="A2649" t="s">
        <v>2593</v>
      </c>
      <c r="B2649" t="s">
        <v>2665</v>
      </c>
      <c r="C2649">
        <v>247</v>
      </c>
      <c r="D2649">
        <v>91</v>
      </c>
      <c r="E2649" t="s">
        <v>7</v>
      </c>
    </row>
    <row r="2650" spans="1:5" x14ac:dyDescent="0.35">
      <c r="A2650" t="s">
        <v>2593</v>
      </c>
      <c r="B2650" t="s">
        <v>2666</v>
      </c>
      <c r="C2650">
        <v>238</v>
      </c>
      <c r="D2650">
        <v>53</v>
      </c>
      <c r="E2650" t="s">
        <v>9</v>
      </c>
    </row>
    <row r="2651" spans="1:5" x14ac:dyDescent="0.35">
      <c r="A2651" t="s">
        <v>2593</v>
      </c>
      <c r="B2651" t="s">
        <v>2667</v>
      </c>
      <c r="C2651">
        <v>187</v>
      </c>
      <c r="D2651">
        <v>141</v>
      </c>
      <c r="E2651" t="s">
        <v>11</v>
      </c>
    </row>
    <row r="2652" spans="1:5" x14ac:dyDescent="0.35">
      <c r="A2652" t="s">
        <v>2593</v>
      </c>
      <c r="B2652" t="s">
        <v>2668</v>
      </c>
      <c r="C2652">
        <v>234</v>
      </c>
      <c r="D2652">
        <v>134</v>
      </c>
      <c r="E2652" t="s">
        <v>9</v>
      </c>
    </row>
    <row r="2653" spans="1:5" x14ac:dyDescent="0.35">
      <c r="A2653" t="s">
        <v>2593</v>
      </c>
      <c r="B2653" t="s">
        <v>2669</v>
      </c>
      <c r="C2653">
        <v>219</v>
      </c>
      <c r="D2653">
        <v>113</v>
      </c>
      <c r="E2653" t="s">
        <v>11</v>
      </c>
    </row>
    <row r="2654" spans="1:5" x14ac:dyDescent="0.35">
      <c r="A2654" t="s">
        <v>2593</v>
      </c>
      <c r="B2654" t="s">
        <v>2670</v>
      </c>
      <c r="C2654">
        <v>253</v>
      </c>
      <c r="D2654">
        <v>127</v>
      </c>
      <c r="E2654" t="s">
        <v>7</v>
      </c>
    </row>
    <row r="2655" spans="1:5" x14ac:dyDescent="0.35">
      <c r="A2655" t="s">
        <v>2593</v>
      </c>
      <c r="B2655" t="s">
        <v>2671</v>
      </c>
      <c r="C2655">
        <v>268</v>
      </c>
      <c r="D2655">
        <v>125</v>
      </c>
      <c r="E2655" t="s">
        <v>21</v>
      </c>
    </row>
    <row r="2656" spans="1:5" x14ac:dyDescent="0.35">
      <c r="A2656" t="s">
        <v>2593</v>
      </c>
      <c r="B2656" t="s">
        <v>2672</v>
      </c>
      <c r="C2656">
        <v>264</v>
      </c>
      <c r="D2656">
        <v>107</v>
      </c>
      <c r="E2656" t="s">
        <v>15</v>
      </c>
    </row>
    <row r="2657" spans="1:5" x14ac:dyDescent="0.35">
      <c r="A2657" t="s">
        <v>2593</v>
      </c>
      <c r="B2657" t="s">
        <v>2673</v>
      </c>
      <c r="C2657">
        <v>269</v>
      </c>
      <c r="D2657">
        <v>188</v>
      </c>
      <c r="E2657" t="s">
        <v>7</v>
      </c>
    </row>
    <row r="2658" spans="1:5" x14ac:dyDescent="0.35">
      <c r="A2658" t="s">
        <v>2593</v>
      </c>
      <c r="B2658" t="s">
        <v>2674</v>
      </c>
      <c r="C2658">
        <v>186</v>
      </c>
      <c r="D2658">
        <v>67</v>
      </c>
      <c r="E2658" t="s">
        <v>9</v>
      </c>
    </row>
    <row r="2659" spans="1:5" x14ac:dyDescent="0.35">
      <c r="A2659" t="s">
        <v>2593</v>
      </c>
      <c r="B2659" t="s">
        <v>2675</v>
      </c>
      <c r="C2659">
        <v>277</v>
      </c>
      <c r="D2659">
        <v>119</v>
      </c>
      <c r="E2659" t="s">
        <v>7</v>
      </c>
    </row>
    <row r="2660" spans="1:5" x14ac:dyDescent="0.35">
      <c r="A2660" t="s">
        <v>2593</v>
      </c>
      <c r="B2660" t="s">
        <v>2676</v>
      </c>
      <c r="C2660">
        <v>190</v>
      </c>
      <c r="D2660">
        <v>125</v>
      </c>
      <c r="E2660" t="s">
        <v>21</v>
      </c>
    </row>
    <row r="2661" spans="1:5" x14ac:dyDescent="0.35">
      <c r="A2661" t="s">
        <v>2593</v>
      </c>
      <c r="B2661" t="s">
        <v>2677</v>
      </c>
      <c r="C2661">
        <v>172</v>
      </c>
      <c r="D2661">
        <v>72</v>
      </c>
      <c r="E2661" t="s">
        <v>11</v>
      </c>
    </row>
    <row r="2662" spans="1:5" x14ac:dyDescent="0.35">
      <c r="A2662" t="s">
        <v>2593</v>
      </c>
      <c r="B2662" t="s">
        <v>2678</v>
      </c>
      <c r="C2662">
        <v>260</v>
      </c>
      <c r="D2662">
        <v>115</v>
      </c>
      <c r="E2662" t="s">
        <v>21</v>
      </c>
    </row>
    <row r="2663" spans="1:5" x14ac:dyDescent="0.35">
      <c r="A2663" t="s">
        <v>2593</v>
      </c>
      <c r="B2663" t="s">
        <v>2679</v>
      </c>
      <c r="C2663">
        <v>312</v>
      </c>
      <c r="D2663">
        <v>61</v>
      </c>
      <c r="E2663" t="s">
        <v>21</v>
      </c>
    </row>
    <row r="2664" spans="1:5" x14ac:dyDescent="0.35">
      <c r="A2664" t="s">
        <v>2593</v>
      </c>
      <c r="B2664" t="s">
        <v>2680</v>
      </c>
      <c r="C2664">
        <v>291</v>
      </c>
      <c r="D2664">
        <v>37</v>
      </c>
      <c r="E2664" t="s">
        <v>9</v>
      </c>
    </row>
    <row r="2665" spans="1:5" x14ac:dyDescent="0.35">
      <c r="A2665" t="s">
        <v>2593</v>
      </c>
      <c r="B2665" t="s">
        <v>2681</v>
      </c>
      <c r="C2665">
        <v>89</v>
      </c>
      <c r="D2665">
        <v>46</v>
      </c>
      <c r="E2665" t="s">
        <v>33</v>
      </c>
    </row>
    <row r="2666" spans="1:5" x14ac:dyDescent="0.35">
      <c r="A2666" t="s">
        <v>2593</v>
      </c>
      <c r="B2666" t="s">
        <v>2682</v>
      </c>
      <c r="C2666">
        <v>167</v>
      </c>
      <c r="D2666">
        <v>51</v>
      </c>
      <c r="E2666" t="s">
        <v>9</v>
      </c>
    </row>
    <row r="2667" spans="1:5" x14ac:dyDescent="0.35">
      <c r="A2667" t="s">
        <v>2593</v>
      </c>
      <c r="B2667" t="s">
        <v>2683</v>
      </c>
      <c r="C2667">
        <v>282</v>
      </c>
      <c r="D2667">
        <v>94</v>
      </c>
      <c r="E2667" t="s">
        <v>11</v>
      </c>
    </row>
    <row r="2668" spans="1:5" x14ac:dyDescent="0.35">
      <c r="A2668" t="s">
        <v>2593</v>
      </c>
      <c r="B2668" t="s">
        <v>2684</v>
      </c>
      <c r="C2668">
        <v>298</v>
      </c>
      <c r="D2668">
        <v>90</v>
      </c>
      <c r="E2668" t="s">
        <v>7</v>
      </c>
    </row>
    <row r="2669" spans="1:5" x14ac:dyDescent="0.35">
      <c r="A2669" t="s">
        <v>2593</v>
      </c>
      <c r="B2669" t="s">
        <v>2685</v>
      </c>
      <c r="C2669">
        <v>235</v>
      </c>
      <c r="D2669">
        <v>157</v>
      </c>
      <c r="E2669" t="s">
        <v>17</v>
      </c>
    </row>
    <row r="2670" spans="1:5" x14ac:dyDescent="0.35">
      <c r="A2670" t="s">
        <v>2593</v>
      </c>
      <c r="B2670" t="s">
        <v>2686</v>
      </c>
      <c r="C2670">
        <v>277</v>
      </c>
      <c r="D2670">
        <v>97</v>
      </c>
      <c r="E2670" t="s">
        <v>11</v>
      </c>
    </row>
    <row r="2671" spans="1:5" x14ac:dyDescent="0.35">
      <c r="A2671" t="s">
        <v>2593</v>
      </c>
      <c r="B2671" t="s">
        <v>2687</v>
      </c>
      <c r="C2671">
        <v>168</v>
      </c>
      <c r="D2671">
        <v>145</v>
      </c>
      <c r="E2671" t="s">
        <v>9</v>
      </c>
    </row>
    <row r="2672" spans="1:5" x14ac:dyDescent="0.35">
      <c r="A2672" t="s">
        <v>2593</v>
      </c>
      <c r="B2672" t="s">
        <v>2688</v>
      </c>
      <c r="C2672">
        <v>174</v>
      </c>
      <c r="D2672">
        <v>159</v>
      </c>
      <c r="E2672" t="s">
        <v>15</v>
      </c>
    </row>
    <row r="2673" spans="1:5" x14ac:dyDescent="0.35">
      <c r="A2673" t="s">
        <v>2593</v>
      </c>
      <c r="B2673" t="s">
        <v>2689</v>
      </c>
      <c r="C2673">
        <v>157</v>
      </c>
      <c r="D2673">
        <v>121</v>
      </c>
      <c r="E2673" t="s">
        <v>33</v>
      </c>
    </row>
    <row r="2674" spans="1:5" x14ac:dyDescent="0.35">
      <c r="A2674" t="s">
        <v>2593</v>
      </c>
      <c r="B2674" t="s">
        <v>2690</v>
      </c>
      <c r="C2674">
        <v>84</v>
      </c>
      <c r="D2674">
        <v>71</v>
      </c>
      <c r="E2674" t="s">
        <v>11</v>
      </c>
    </row>
    <row r="2675" spans="1:5" x14ac:dyDescent="0.35">
      <c r="A2675" t="s">
        <v>2593</v>
      </c>
      <c r="B2675" t="s">
        <v>2691</v>
      </c>
      <c r="C2675">
        <v>303</v>
      </c>
      <c r="D2675">
        <v>145</v>
      </c>
      <c r="E2675" t="s">
        <v>15</v>
      </c>
    </row>
    <row r="2676" spans="1:5" x14ac:dyDescent="0.35">
      <c r="A2676" t="s">
        <v>2593</v>
      </c>
      <c r="B2676" t="s">
        <v>2692</v>
      </c>
      <c r="C2676">
        <v>271</v>
      </c>
      <c r="D2676">
        <v>176</v>
      </c>
      <c r="E2676" t="s">
        <v>17</v>
      </c>
    </row>
    <row r="2677" spans="1:5" x14ac:dyDescent="0.35">
      <c r="A2677" t="s">
        <v>2593</v>
      </c>
      <c r="B2677" t="s">
        <v>2693</v>
      </c>
      <c r="C2677">
        <v>128</v>
      </c>
      <c r="D2677">
        <v>32</v>
      </c>
      <c r="E2677" t="s">
        <v>15</v>
      </c>
    </row>
    <row r="2678" spans="1:5" x14ac:dyDescent="0.35">
      <c r="A2678" t="s">
        <v>2593</v>
      </c>
      <c r="B2678" t="s">
        <v>2694</v>
      </c>
      <c r="C2678">
        <v>310</v>
      </c>
      <c r="D2678">
        <v>116</v>
      </c>
      <c r="E2678" t="s">
        <v>17</v>
      </c>
    </row>
    <row r="2679" spans="1:5" x14ac:dyDescent="0.35">
      <c r="A2679" t="s">
        <v>2593</v>
      </c>
      <c r="B2679" t="s">
        <v>2695</v>
      </c>
      <c r="C2679">
        <v>181</v>
      </c>
      <c r="D2679">
        <v>82</v>
      </c>
      <c r="E2679" t="s">
        <v>15</v>
      </c>
    </row>
    <row r="2680" spans="1:5" x14ac:dyDescent="0.35">
      <c r="A2680" t="s">
        <v>2593</v>
      </c>
      <c r="B2680" t="s">
        <v>2696</v>
      </c>
      <c r="C2680">
        <v>201</v>
      </c>
      <c r="D2680">
        <v>45</v>
      </c>
      <c r="E2680" t="s">
        <v>7</v>
      </c>
    </row>
    <row r="2681" spans="1:5" x14ac:dyDescent="0.35">
      <c r="A2681" t="s">
        <v>2593</v>
      </c>
      <c r="B2681" t="s">
        <v>2697</v>
      </c>
      <c r="C2681">
        <v>189</v>
      </c>
      <c r="D2681">
        <v>84</v>
      </c>
      <c r="E2681" t="s">
        <v>15</v>
      </c>
    </row>
    <row r="2682" spans="1:5" x14ac:dyDescent="0.35">
      <c r="A2682" t="s">
        <v>2593</v>
      </c>
      <c r="B2682" t="s">
        <v>2698</v>
      </c>
      <c r="C2682">
        <v>67</v>
      </c>
      <c r="D2682">
        <v>47</v>
      </c>
      <c r="E2682" t="s">
        <v>21</v>
      </c>
    </row>
    <row r="2683" spans="1:5" x14ac:dyDescent="0.35">
      <c r="A2683" t="s">
        <v>2593</v>
      </c>
      <c r="B2683" t="s">
        <v>2699</v>
      </c>
      <c r="C2683">
        <v>244</v>
      </c>
      <c r="D2683">
        <v>113</v>
      </c>
      <c r="E2683" t="s">
        <v>21</v>
      </c>
    </row>
    <row r="2684" spans="1:5" x14ac:dyDescent="0.35">
      <c r="A2684" t="s">
        <v>2593</v>
      </c>
      <c r="B2684" t="s">
        <v>2700</v>
      </c>
      <c r="C2684">
        <v>123</v>
      </c>
      <c r="D2684">
        <v>48</v>
      </c>
      <c r="E2684" t="s">
        <v>7</v>
      </c>
    </row>
    <row r="2685" spans="1:5" x14ac:dyDescent="0.35">
      <c r="A2685" t="s">
        <v>2593</v>
      </c>
      <c r="B2685" t="s">
        <v>2701</v>
      </c>
      <c r="C2685">
        <v>243</v>
      </c>
      <c r="D2685">
        <v>118</v>
      </c>
      <c r="E2685" t="s">
        <v>11</v>
      </c>
    </row>
    <row r="2686" spans="1:5" x14ac:dyDescent="0.35">
      <c r="A2686" t="s">
        <v>2593</v>
      </c>
      <c r="B2686" t="s">
        <v>2702</v>
      </c>
      <c r="C2686">
        <v>118</v>
      </c>
      <c r="D2686">
        <v>67</v>
      </c>
      <c r="E2686" t="s">
        <v>33</v>
      </c>
    </row>
    <row r="2687" spans="1:5" x14ac:dyDescent="0.35">
      <c r="A2687" t="s">
        <v>2593</v>
      </c>
      <c r="B2687" t="s">
        <v>2703</v>
      </c>
      <c r="C2687">
        <v>257</v>
      </c>
      <c r="D2687">
        <v>67</v>
      </c>
      <c r="E2687" t="s">
        <v>7</v>
      </c>
    </row>
    <row r="2688" spans="1:5" x14ac:dyDescent="0.35">
      <c r="A2688" t="s">
        <v>2593</v>
      </c>
      <c r="B2688" t="s">
        <v>2704</v>
      </c>
      <c r="C2688">
        <v>107</v>
      </c>
      <c r="D2688">
        <v>95</v>
      </c>
      <c r="E2688" t="s">
        <v>9</v>
      </c>
    </row>
    <row r="2689" spans="1:5" x14ac:dyDescent="0.35">
      <c r="A2689" t="s">
        <v>2593</v>
      </c>
      <c r="B2689" t="s">
        <v>2705</v>
      </c>
      <c r="C2689">
        <v>197</v>
      </c>
      <c r="D2689">
        <v>142</v>
      </c>
      <c r="E2689" t="s">
        <v>7</v>
      </c>
    </row>
    <row r="2690" spans="1:5" x14ac:dyDescent="0.35">
      <c r="A2690" t="s">
        <v>2593</v>
      </c>
      <c r="B2690" t="s">
        <v>2706</v>
      </c>
      <c r="C2690">
        <v>121</v>
      </c>
      <c r="D2690">
        <v>71</v>
      </c>
      <c r="E2690" t="s">
        <v>17</v>
      </c>
    </row>
    <row r="2691" spans="1:5" x14ac:dyDescent="0.35">
      <c r="A2691" t="s">
        <v>2593</v>
      </c>
      <c r="B2691" t="s">
        <v>2707</v>
      </c>
      <c r="C2691">
        <v>245</v>
      </c>
      <c r="D2691">
        <v>110</v>
      </c>
      <c r="E2691" t="s">
        <v>9</v>
      </c>
    </row>
    <row r="2692" spans="1:5" x14ac:dyDescent="0.35">
      <c r="A2692" t="s">
        <v>2593</v>
      </c>
      <c r="B2692" t="s">
        <v>2708</v>
      </c>
      <c r="C2692">
        <v>215</v>
      </c>
      <c r="D2692">
        <v>80</v>
      </c>
      <c r="E2692" t="s">
        <v>9</v>
      </c>
    </row>
    <row r="2693" spans="1:5" x14ac:dyDescent="0.35">
      <c r="A2693" t="s">
        <v>2593</v>
      </c>
      <c r="B2693" t="s">
        <v>2709</v>
      </c>
      <c r="C2693">
        <v>211</v>
      </c>
      <c r="D2693">
        <v>154</v>
      </c>
      <c r="E2693" t="s">
        <v>15</v>
      </c>
    </row>
    <row r="2694" spans="1:5" x14ac:dyDescent="0.35">
      <c r="A2694" t="s">
        <v>2593</v>
      </c>
      <c r="B2694" t="s">
        <v>2710</v>
      </c>
      <c r="C2694">
        <v>225</v>
      </c>
      <c r="D2694">
        <v>54</v>
      </c>
      <c r="E2694" t="s">
        <v>15</v>
      </c>
    </row>
    <row r="2695" spans="1:5" x14ac:dyDescent="0.35">
      <c r="A2695" t="s">
        <v>2593</v>
      </c>
      <c r="B2695" t="s">
        <v>2711</v>
      </c>
      <c r="C2695">
        <v>311</v>
      </c>
      <c r="D2695">
        <v>142</v>
      </c>
      <c r="E2695" t="s">
        <v>15</v>
      </c>
    </row>
    <row r="2696" spans="1:5" x14ac:dyDescent="0.35">
      <c r="A2696" t="s">
        <v>2593</v>
      </c>
      <c r="B2696" t="s">
        <v>2712</v>
      </c>
      <c r="C2696">
        <v>238</v>
      </c>
      <c r="D2696">
        <v>176</v>
      </c>
      <c r="E2696" t="s">
        <v>7</v>
      </c>
    </row>
    <row r="2697" spans="1:5" x14ac:dyDescent="0.35">
      <c r="A2697" t="s">
        <v>2593</v>
      </c>
      <c r="B2697" t="s">
        <v>2713</v>
      </c>
      <c r="C2697">
        <v>315</v>
      </c>
      <c r="D2697">
        <v>107</v>
      </c>
      <c r="E2697" t="s">
        <v>11</v>
      </c>
    </row>
    <row r="2698" spans="1:5" x14ac:dyDescent="0.35">
      <c r="A2698" t="s">
        <v>2593</v>
      </c>
      <c r="B2698" t="s">
        <v>2714</v>
      </c>
      <c r="C2698">
        <v>229</v>
      </c>
      <c r="D2698">
        <v>119</v>
      </c>
      <c r="E2698" t="s">
        <v>17</v>
      </c>
    </row>
    <row r="2699" spans="1:5" x14ac:dyDescent="0.35">
      <c r="A2699" t="s">
        <v>2593</v>
      </c>
      <c r="B2699" t="s">
        <v>2715</v>
      </c>
      <c r="C2699">
        <v>286</v>
      </c>
      <c r="D2699">
        <v>68</v>
      </c>
      <c r="E2699" t="s">
        <v>33</v>
      </c>
    </row>
    <row r="2700" spans="1:5" x14ac:dyDescent="0.35">
      <c r="A2700" t="s">
        <v>2593</v>
      </c>
      <c r="B2700" t="s">
        <v>2716</v>
      </c>
      <c r="C2700">
        <v>302</v>
      </c>
      <c r="D2700">
        <v>135</v>
      </c>
      <c r="E2700" t="s">
        <v>33</v>
      </c>
    </row>
    <row r="2701" spans="1:5" x14ac:dyDescent="0.35">
      <c r="A2701" t="s">
        <v>2593</v>
      </c>
      <c r="B2701" t="s">
        <v>2717</v>
      </c>
      <c r="C2701">
        <v>133</v>
      </c>
      <c r="D2701">
        <v>128</v>
      </c>
      <c r="E2701" t="s">
        <v>33</v>
      </c>
    </row>
    <row r="2702" spans="1:5" x14ac:dyDescent="0.35">
      <c r="A2702" t="s">
        <v>2593</v>
      </c>
      <c r="B2702" t="s">
        <v>2718</v>
      </c>
      <c r="C2702">
        <v>137</v>
      </c>
      <c r="D2702">
        <v>116</v>
      </c>
      <c r="E2702" t="s">
        <v>33</v>
      </c>
    </row>
    <row r="2703" spans="1:5" x14ac:dyDescent="0.35">
      <c r="A2703" t="s">
        <v>2593</v>
      </c>
      <c r="B2703" t="s">
        <v>2719</v>
      </c>
      <c r="C2703">
        <v>276</v>
      </c>
      <c r="D2703">
        <v>142</v>
      </c>
      <c r="E2703" t="s">
        <v>21</v>
      </c>
    </row>
    <row r="2704" spans="1:5" x14ac:dyDescent="0.35">
      <c r="A2704" t="s">
        <v>2593</v>
      </c>
      <c r="B2704" t="s">
        <v>2720</v>
      </c>
      <c r="C2704">
        <v>273</v>
      </c>
      <c r="D2704">
        <v>129</v>
      </c>
      <c r="E2704" t="s">
        <v>11</v>
      </c>
    </row>
    <row r="2705" spans="1:5" x14ac:dyDescent="0.35">
      <c r="A2705" t="s">
        <v>2593</v>
      </c>
      <c r="B2705" t="s">
        <v>2721</v>
      </c>
      <c r="C2705">
        <v>320</v>
      </c>
      <c r="D2705">
        <v>108</v>
      </c>
      <c r="E2705" t="s">
        <v>7</v>
      </c>
    </row>
    <row r="2706" spans="1:5" x14ac:dyDescent="0.35">
      <c r="A2706" t="s">
        <v>2593</v>
      </c>
      <c r="B2706" t="s">
        <v>2722</v>
      </c>
      <c r="C2706">
        <v>112</v>
      </c>
      <c r="D2706">
        <v>54</v>
      </c>
      <c r="E2706" t="s">
        <v>7</v>
      </c>
    </row>
    <row r="2707" spans="1:5" x14ac:dyDescent="0.35">
      <c r="A2707" t="s">
        <v>2593</v>
      </c>
      <c r="B2707" t="s">
        <v>2723</v>
      </c>
      <c r="C2707">
        <v>182</v>
      </c>
      <c r="D2707">
        <v>117</v>
      </c>
      <c r="E2707" t="s">
        <v>21</v>
      </c>
    </row>
    <row r="2708" spans="1:5" x14ac:dyDescent="0.35">
      <c r="A2708" t="s">
        <v>2593</v>
      </c>
      <c r="B2708" t="s">
        <v>2724</v>
      </c>
      <c r="C2708">
        <v>167</v>
      </c>
      <c r="D2708">
        <v>128</v>
      </c>
      <c r="E2708" t="s">
        <v>21</v>
      </c>
    </row>
    <row r="2709" spans="1:5" x14ac:dyDescent="0.35">
      <c r="A2709" t="s">
        <v>2593</v>
      </c>
      <c r="B2709" t="s">
        <v>2725</v>
      </c>
      <c r="C2709">
        <v>143</v>
      </c>
      <c r="D2709">
        <v>49</v>
      </c>
      <c r="E2709" t="s">
        <v>11</v>
      </c>
    </row>
    <row r="2710" spans="1:5" x14ac:dyDescent="0.35">
      <c r="A2710" t="s">
        <v>2593</v>
      </c>
      <c r="B2710" t="s">
        <v>2726</v>
      </c>
      <c r="C2710">
        <v>246</v>
      </c>
      <c r="D2710">
        <v>141</v>
      </c>
      <c r="E2710" t="s">
        <v>11</v>
      </c>
    </row>
    <row r="2711" spans="1:5" x14ac:dyDescent="0.35">
      <c r="A2711" t="s">
        <v>2593</v>
      </c>
      <c r="B2711" t="s">
        <v>2727</v>
      </c>
      <c r="C2711">
        <v>258</v>
      </c>
      <c r="D2711">
        <v>178</v>
      </c>
      <c r="E2711" t="s">
        <v>7</v>
      </c>
    </row>
    <row r="2712" spans="1:5" x14ac:dyDescent="0.35">
      <c r="A2712" t="s">
        <v>2593</v>
      </c>
      <c r="B2712" t="s">
        <v>2728</v>
      </c>
      <c r="C2712">
        <v>307</v>
      </c>
      <c r="D2712">
        <v>185</v>
      </c>
      <c r="E2712" t="s">
        <v>21</v>
      </c>
    </row>
    <row r="2713" spans="1:5" x14ac:dyDescent="0.35">
      <c r="A2713" t="s">
        <v>2593</v>
      </c>
      <c r="B2713" t="s">
        <v>2729</v>
      </c>
      <c r="C2713">
        <v>253</v>
      </c>
      <c r="D2713">
        <v>171</v>
      </c>
      <c r="E2713" t="s">
        <v>17</v>
      </c>
    </row>
    <row r="2714" spans="1:5" x14ac:dyDescent="0.35">
      <c r="A2714" t="s">
        <v>2593</v>
      </c>
      <c r="B2714" t="s">
        <v>2730</v>
      </c>
      <c r="C2714">
        <v>264</v>
      </c>
      <c r="D2714">
        <v>61</v>
      </c>
      <c r="E2714" t="s">
        <v>11</v>
      </c>
    </row>
    <row r="2715" spans="1:5" x14ac:dyDescent="0.35">
      <c r="A2715" t="s">
        <v>2593</v>
      </c>
      <c r="B2715" t="s">
        <v>2731</v>
      </c>
      <c r="C2715">
        <v>115</v>
      </c>
      <c r="D2715">
        <v>99</v>
      </c>
      <c r="E2715" t="s">
        <v>21</v>
      </c>
    </row>
    <row r="2716" spans="1:5" x14ac:dyDescent="0.35">
      <c r="A2716" t="s">
        <v>2593</v>
      </c>
      <c r="B2716" t="s">
        <v>2732</v>
      </c>
      <c r="C2716">
        <v>188</v>
      </c>
      <c r="D2716">
        <v>160</v>
      </c>
      <c r="E2716" t="s">
        <v>15</v>
      </c>
    </row>
    <row r="2717" spans="1:5" x14ac:dyDescent="0.35">
      <c r="A2717" t="s">
        <v>2593</v>
      </c>
      <c r="B2717" t="s">
        <v>2733</v>
      </c>
      <c r="C2717">
        <v>199</v>
      </c>
      <c r="D2717">
        <v>118</v>
      </c>
      <c r="E2717" t="s">
        <v>17</v>
      </c>
    </row>
    <row r="2718" spans="1:5" x14ac:dyDescent="0.35">
      <c r="A2718" t="s">
        <v>2593</v>
      </c>
      <c r="B2718" t="s">
        <v>2734</v>
      </c>
      <c r="C2718">
        <v>228</v>
      </c>
      <c r="D2718">
        <v>43</v>
      </c>
      <c r="E2718" t="s">
        <v>21</v>
      </c>
    </row>
    <row r="2719" spans="1:5" x14ac:dyDescent="0.35">
      <c r="A2719" t="s">
        <v>2593</v>
      </c>
      <c r="B2719" t="s">
        <v>2735</v>
      </c>
      <c r="C2719">
        <v>265</v>
      </c>
      <c r="D2719">
        <v>99</v>
      </c>
      <c r="E2719" t="s">
        <v>15</v>
      </c>
    </row>
    <row r="2720" spans="1:5" x14ac:dyDescent="0.35">
      <c r="A2720" t="s">
        <v>2593</v>
      </c>
      <c r="B2720" t="s">
        <v>2736</v>
      </c>
      <c r="C2720">
        <v>235</v>
      </c>
      <c r="D2720">
        <v>58</v>
      </c>
      <c r="E2720" t="s">
        <v>7</v>
      </c>
    </row>
    <row r="2721" spans="1:5" x14ac:dyDescent="0.35">
      <c r="A2721" t="s">
        <v>2593</v>
      </c>
      <c r="B2721" t="s">
        <v>2737</v>
      </c>
      <c r="C2721">
        <v>155</v>
      </c>
      <c r="D2721">
        <v>69</v>
      </c>
      <c r="E2721" t="s">
        <v>9</v>
      </c>
    </row>
    <row r="2722" spans="1:5" x14ac:dyDescent="0.35">
      <c r="A2722" t="s">
        <v>2593</v>
      </c>
      <c r="B2722" t="s">
        <v>2738</v>
      </c>
      <c r="C2722">
        <v>283</v>
      </c>
      <c r="D2722">
        <v>160</v>
      </c>
      <c r="E2722" t="s">
        <v>17</v>
      </c>
    </row>
    <row r="2723" spans="1:5" x14ac:dyDescent="0.35">
      <c r="A2723" t="s">
        <v>2593</v>
      </c>
      <c r="B2723" t="s">
        <v>2739</v>
      </c>
      <c r="C2723">
        <v>164</v>
      </c>
      <c r="D2723">
        <v>159</v>
      </c>
      <c r="E2723" t="s">
        <v>9</v>
      </c>
    </row>
    <row r="2724" spans="1:5" x14ac:dyDescent="0.35">
      <c r="A2724" t="s">
        <v>2593</v>
      </c>
      <c r="B2724" t="s">
        <v>2740</v>
      </c>
      <c r="C2724">
        <v>204</v>
      </c>
      <c r="D2724">
        <v>113</v>
      </c>
      <c r="E2724" t="s">
        <v>17</v>
      </c>
    </row>
    <row r="2725" spans="1:5" x14ac:dyDescent="0.35">
      <c r="A2725" t="s">
        <v>2593</v>
      </c>
      <c r="B2725" t="s">
        <v>2741</v>
      </c>
      <c r="C2725">
        <v>309</v>
      </c>
      <c r="D2725">
        <v>167</v>
      </c>
      <c r="E2725" t="s">
        <v>11</v>
      </c>
    </row>
    <row r="2726" spans="1:5" x14ac:dyDescent="0.35">
      <c r="A2726" t="s">
        <v>2593</v>
      </c>
      <c r="B2726" t="s">
        <v>2742</v>
      </c>
      <c r="C2726">
        <v>149</v>
      </c>
      <c r="D2726">
        <v>128</v>
      </c>
      <c r="E2726" t="s">
        <v>21</v>
      </c>
    </row>
    <row r="2727" spans="1:5" x14ac:dyDescent="0.35">
      <c r="A2727" t="s">
        <v>2593</v>
      </c>
      <c r="B2727" t="s">
        <v>2743</v>
      </c>
      <c r="C2727">
        <v>236</v>
      </c>
      <c r="D2727">
        <v>109</v>
      </c>
      <c r="E2727" t="s">
        <v>9</v>
      </c>
    </row>
    <row r="2728" spans="1:5" x14ac:dyDescent="0.35">
      <c r="A2728" t="s">
        <v>2593</v>
      </c>
      <c r="B2728" t="s">
        <v>2744</v>
      </c>
      <c r="C2728">
        <v>154</v>
      </c>
      <c r="D2728">
        <v>98</v>
      </c>
      <c r="E2728" t="s">
        <v>17</v>
      </c>
    </row>
    <row r="2729" spans="1:5" x14ac:dyDescent="0.35">
      <c r="A2729" t="s">
        <v>2593</v>
      </c>
      <c r="B2729" t="s">
        <v>2745</v>
      </c>
      <c r="C2729">
        <v>295</v>
      </c>
      <c r="D2729">
        <v>92</v>
      </c>
      <c r="E2729" t="s">
        <v>33</v>
      </c>
    </row>
    <row r="2730" spans="1:5" x14ac:dyDescent="0.35">
      <c r="A2730" t="s">
        <v>2593</v>
      </c>
      <c r="B2730" t="s">
        <v>2746</v>
      </c>
      <c r="C2730">
        <v>156</v>
      </c>
      <c r="D2730">
        <v>156</v>
      </c>
      <c r="E2730" t="s">
        <v>11</v>
      </c>
    </row>
    <row r="2731" spans="1:5" x14ac:dyDescent="0.35">
      <c r="A2731" t="s">
        <v>2593</v>
      </c>
      <c r="B2731" t="s">
        <v>2747</v>
      </c>
      <c r="C2731">
        <v>282</v>
      </c>
      <c r="D2731">
        <v>66</v>
      </c>
      <c r="E2731" t="s">
        <v>7</v>
      </c>
    </row>
    <row r="2732" spans="1:5" x14ac:dyDescent="0.35">
      <c r="A2732" t="s">
        <v>2593</v>
      </c>
      <c r="B2732" t="s">
        <v>2748</v>
      </c>
      <c r="C2732">
        <v>305</v>
      </c>
      <c r="D2732">
        <v>60</v>
      </c>
      <c r="E2732" t="s">
        <v>9</v>
      </c>
    </row>
    <row r="2733" spans="1:5" x14ac:dyDescent="0.35">
      <c r="A2733" t="s">
        <v>2593</v>
      </c>
      <c r="B2733" t="s">
        <v>2749</v>
      </c>
      <c r="C2733">
        <v>191</v>
      </c>
      <c r="D2733">
        <v>164</v>
      </c>
      <c r="E2733" t="s">
        <v>17</v>
      </c>
    </row>
    <row r="2734" spans="1:5" x14ac:dyDescent="0.35">
      <c r="A2734" t="s">
        <v>2593</v>
      </c>
      <c r="B2734" t="s">
        <v>2750</v>
      </c>
      <c r="C2734">
        <v>171</v>
      </c>
      <c r="D2734">
        <v>157</v>
      </c>
      <c r="E2734" t="s">
        <v>15</v>
      </c>
    </row>
    <row r="2735" spans="1:5" x14ac:dyDescent="0.35">
      <c r="A2735" t="s">
        <v>2593</v>
      </c>
      <c r="B2735" t="s">
        <v>2751</v>
      </c>
      <c r="C2735">
        <v>119</v>
      </c>
      <c r="D2735">
        <v>62</v>
      </c>
      <c r="E2735" t="s">
        <v>15</v>
      </c>
    </row>
    <row r="2736" spans="1:5" x14ac:dyDescent="0.35">
      <c r="A2736" t="s">
        <v>2593</v>
      </c>
      <c r="B2736" t="s">
        <v>2752</v>
      </c>
      <c r="C2736">
        <v>195</v>
      </c>
      <c r="D2736">
        <v>108</v>
      </c>
      <c r="E2736" t="s">
        <v>15</v>
      </c>
    </row>
    <row r="2737" spans="1:5" x14ac:dyDescent="0.35">
      <c r="A2737" t="s">
        <v>2593</v>
      </c>
      <c r="B2737" t="s">
        <v>2753</v>
      </c>
      <c r="C2737">
        <v>221</v>
      </c>
      <c r="D2737">
        <v>83</v>
      </c>
      <c r="E2737" t="s">
        <v>33</v>
      </c>
    </row>
    <row r="2738" spans="1:5" x14ac:dyDescent="0.35">
      <c r="A2738" t="s">
        <v>2593</v>
      </c>
      <c r="B2738" t="s">
        <v>2754</v>
      </c>
      <c r="C2738">
        <v>116</v>
      </c>
      <c r="D2738">
        <v>63</v>
      </c>
      <c r="E2738" t="s">
        <v>33</v>
      </c>
    </row>
    <row r="2739" spans="1:5" x14ac:dyDescent="0.35">
      <c r="A2739" t="s">
        <v>2593</v>
      </c>
      <c r="B2739" t="s">
        <v>2755</v>
      </c>
      <c r="C2739">
        <v>135</v>
      </c>
      <c r="D2739">
        <v>112</v>
      </c>
      <c r="E2739" t="s">
        <v>11</v>
      </c>
    </row>
    <row r="2740" spans="1:5" x14ac:dyDescent="0.35">
      <c r="A2740" t="s">
        <v>2593</v>
      </c>
      <c r="B2740" t="s">
        <v>2756</v>
      </c>
      <c r="C2740">
        <v>203</v>
      </c>
      <c r="D2740">
        <v>167</v>
      </c>
      <c r="E2740" t="s">
        <v>9</v>
      </c>
    </row>
    <row r="2741" spans="1:5" x14ac:dyDescent="0.35">
      <c r="A2741" t="s">
        <v>2593</v>
      </c>
      <c r="B2741" t="s">
        <v>2757</v>
      </c>
      <c r="C2741">
        <v>148</v>
      </c>
      <c r="D2741">
        <v>95</v>
      </c>
      <c r="E2741" t="s">
        <v>15</v>
      </c>
    </row>
    <row r="2742" spans="1:5" x14ac:dyDescent="0.35">
      <c r="A2742" t="s">
        <v>2593</v>
      </c>
      <c r="B2742" t="s">
        <v>2758</v>
      </c>
      <c r="C2742">
        <v>257</v>
      </c>
      <c r="D2742">
        <v>158</v>
      </c>
      <c r="E2742" t="s">
        <v>33</v>
      </c>
    </row>
    <row r="2743" spans="1:5" x14ac:dyDescent="0.35">
      <c r="A2743" t="s">
        <v>2593</v>
      </c>
      <c r="B2743" t="s">
        <v>2759</v>
      </c>
      <c r="C2743">
        <v>137</v>
      </c>
      <c r="D2743">
        <v>93</v>
      </c>
      <c r="E2743" t="s">
        <v>15</v>
      </c>
    </row>
    <row r="2744" spans="1:5" x14ac:dyDescent="0.35">
      <c r="A2744" t="s">
        <v>2593</v>
      </c>
      <c r="B2744" t="s">
        <v>2760</v>
      </c>
      <c r="C2744">
        <v>166</v>
      </c>
      <c r="D2744">
        <v>149</v>
      </c>
      <c r="E2744" t="s">
        <v>33</v>
      </c>
    </row>
    <row r="2745" spans="1:5" x14ac:dyDescent="0.35">
      <c r="A2745" t="s">
        <v>2593</v>
      </c>
      <c r="B2745" t="s">
        <v>2761</v>
      </c>
      <c r="C2745">
        <v>156</v>
      </c>
      <c r="D2745">
        <v>138</v>
      </c>
      <c r="E2745" t="s">
        <v>33</v>
      </c>
    </row>
    <row r="2746" spans="1:5" x14ac:dyDescent="0.35">
      <c r="A2746" t="s">
        <v>2593</v>
      </c>
      <c r="B2746" t="s">
        <v>2762</v>
      </c>
      <c r="C2746">
        <v>105</v>
      </c>
      <c r="D2746">
        <v>92</v>
      </c>
      <c r="E2746" t="s">
        <v>21</v>
      </c>
    </row>
    <row r="2747" spans="1:5" x14ac:dyDescent="0.35">
      <c r="A2747" t="s">
        <v>2593</v>
      </c>
      <c r="B2747" t="s">
        <v>2763</v>
      </c>
      <c r="C2747">
        <v>239</v>
      </c>
      <c r="D2747">
        <v>77</v>
      </c>
      <c r="E2747" t="s">
        <v>15</v>
      </c>
    </row>
    <row r="2748" spans="1:5" x14ac:dyDescent="0.35">
      <c r="A2748" t="s">
        <v>2593</v>
      </c>
      <c r="B2748" t="s">
        <v>2764</v>
      </c>
      <c r="C2748">
        <v>242</v>
      </c>
      <c r="D2748">
        <v>75</v>
      </c>
      <c r="E2748" t="s">
        <v>21</v>
      </c>
    </row>
    <row r="2749" spans="1:5" x14ac:dyDescent="0.35">
      <c r="A2749" t="s">
        <v>2593</v>
      </c>
      <c r="B2749" t="s">
        <v>2765</v>
      </c>
      <c r="C2749">
        <v>158</v>
      </c>
      <c r="D2749">
        <v>75</v>
      </c>
      <c r="E2749" t="s">
        <v>21</v>
      </c>
    </row>
    <row r="2750" spans="1:5" x14ac:dyDescent="0.35">
      <c r="A2750" t="s">
        <v>2593</v>
      </c>
      <c r="B2750" t="s">
        <v>2766</v>
      </c>
      <c r="C2750">
        <v>90</v>
      </c>
      <c r="D2750">
        <v>77</v>
      </c>
      <c r="E2750" t="s">
        <v>9</v>
      </c>
    </row>
    <row r="2751" spans="1:5" x14ac:dyDescent="0.35">
      <c r="A2751" t="s">
        <v>2593</v>
      </c>
      <c r="B2751" t="s">
        <v>2767</v>
      </c>
      <c r="C2751">
        <v>186</v>
      </c>
      <c r="D2751">
        <v>97</v>
      </c>
      <c r="E2751" t="s">
        <v>17</v>
      </c>
    </row>
    <row r="2752" spans="1:5" x14ac:dyDescent="0.35">
      <c r="A2752" t="s">
        <v>2593</v>
      </c>
      <c r="B2752" t="s">
        <v>2768</v>
      </c>
      <c r="C2752">
        <v>275</v>
      </c>
      <c r="D2752">
        <v>136</v>
      </c>
      <c r="E2752" t="s">
        <v>11</v>
      </c>
    </row>
    <row r="2753" spans="1:5" x14ac:dyDescent="0.35">
      <c r="A2753" t="s">
        <v>2593</v>
      </c>
      <c r="B2753" t="s">
        <v>2769</v>
      </c>
      <c r="C2753">
        <v>244</v>
      </c>
      <c r="D2753">
        <v>156</v>
      </c>
      <c r="E2753" t="s">
        <v>7</v>
      </c>
    </row>
    <row r="2754" spans="1:5" x14ac:dyDescent="0.35">
      <c r="A2754" t="s">
        <v>2593</v>
      </c>
      <c r="B2754" t="s">
        <v>2770</v>
      </c>
      <c r="C2754">
        <v>168</v>
      </c>
      <c r="D2754">
        <v>60</v>
      </c>
      <c r="E2754" t="s">
        <v>7</v>
      </c>
    </row>
    <row r="2755" spans="1:5" x14ac:dyDescent="0.35">
      <c r="A2755" t="s">
        <v>2593</v>
      </c>
      <c r="B2755" t="s">
        <v>2771</v>
      </c>
      <c r="C2755">
        <v>205</v>
      </c>
      <c r="D2755">
        <v>178</v>
      </c>
      <c r="E2755" t="s">
        <v>9</v>
      </c>
    </row>
    <row r="2756" spans="1:5" x14ac:dyDescent="0.35">
      <c r="A2756" t="s">
        <v>2593</v>
      </c>
      <c r="B2756" t="s">
        <v>2772</v>
      </c>
      <c r="C2756">
        <v>258</v>
      </c>
      <c r="D2756">
        <v>140</v>
      </c>
      <c r="E2756" t="s">
        <v>21</v>
      </c>
    </row>
    <row r="2757" spans="1:5" x14ac:dyDescent="0.35">
      <c r="A2757" t="s">
        <v>2593</v>
      </c>
      <c r="B2757" t="s">
        <v>2773</v>
      </c>
      <c r="C2757">
        <v>108</v>
      </c>
      <c r="D2757">
        <v>38</v>
      </c>
      <c r="E2757" t="s">
        <v>33</v>
      </c>
    </row>
    <row r="2758" spans="1:5" x14ac:dyDescent="0.35">
      <c r="A2758" t="s">
        <v>2593</v>
      </c>
      <c r="B2758" t="s">
        <v>2774</v>
      </c>
      <c r="C2758">
        <v>138</v>
      </c>
      <c r="D2758">
        <v>76</v>
      </c>
      <c r="E2758" t="s">
        <v>11</v>
      </c>
    </row>
    <row r="2759" spans="1:5" x14ac:dyDescent="0.35">
      <c r="A2759" t="s">
        <v>2593</v>
      </c>
      <c r="B2759" t="s">
        <v>2775</v>
      </c>
      <c r="C2759">
        <v>231</v>
      </c>
      <c r="D2759">
        <v>129</v>
      </c>
      <c r="E2759" t="s">
        <v>7</v>
      </c>
    </row>
    <row r="2760" spans="1:5" x14ac:dyDescent="0.35">
      <c r="A2760" t="s">
        <v>2593</v>
      </c>
      <c r="B2760" t="s">
        <v>2776</v>
      </c>
      <c r="C2760">
        <v>295</v>
      </c>
      <c r="D2760">
        <v>144</v>
      </c>
      <c r="E2760" t="s">
        <v>17</v>
      </c>
    </row>
    <row r="2761" spans="1:5" x14ac:dyDescent="0.35">
      <c r="A2761" t="s">
        <v>2593</v>
      </c>
      <c r="B2761" t="s">
        <v>2777</v>
      </c>
      <c r="C2761">
        <v>278</v>
      </c>
      <c r="D2761">
        <v>95</v>
      </c>
      <c r="E2761" t="s">
        <v>15</v>
      </c>
    </row>
    <row r="2762" spans="1:5" x14ac:dyDescent="0.35">
      <c r="A2762" t="s">
        <v>2593</v>
      </c>
      <c r="B2762" t="s">
        <v>2778</v>
      </c>
      <c r="C2762">
        <v>200</v>
      </c>
      <c r="D2762">
        <v>178</v>
      </c>
      <c r="E2762" t="s">
        <v>15</v>
      </c>
    </row>
    <row r="2763" spans="1:5" x14ac:dyDescent="0.35">
      <c r="A2763" t="s">
        <v>2593</v>
      </c>
      <c r="B2763" t="s">
        <v>2779</v>
      </c>
      <c r="C2763">
        <v>140</v>
      </c>
      <c r="D2763">
        <v>52</v>
      </c>
      <c r="E2763" t="s">
        <v>33</v>
      </c>
    </row>
    <row r="2764" spans="1:5" x14ac:dyDescent="0.35">
      <c r="A2764" t="s">
        <v>2593</v>
      </c>
      <c r="B2764" t="s">
        <v>2780</v>
      </c>
      <c r="C2764">
        <v>93</v>
      </c>
      <c r="D2764">
        <v>44</v>
      </c>
      <c r="E2764" t="s">
        <v>17</v>
      </c>
    </row>
    <row r="2765" spans="1:5" x14ac:dyDescent="0.35">
      <c r="A2765" t="s">
        <v>2593</v>
      </c>
      <c r="B2765" t="s">
        <v>2781</v>
      </c>
      <c r="C2765">
        <v>231</v>
      </c>
      <c r="D2765">
        <v>149</v>
      </c>
      <c r="E2765" t="s">
        <v>9</v>
      </c>
    </row>
    <row r="2766" spans="1:5" x14ac:dyDescent="0.35">
      <c r="A2766" t="s">
        <v>2593</v>
      </c>
      <c r="B2766" t="s">
        <v>2782</v>
      </c>
      <c r="C2766">
        <v>234</v>
      </c>
      <c r="D2766">
        <v>108</v>
      </c>
      <c r="E2766" t="s">
        <v>11</v>
      </c>
    </row>
    <row r="2767" spans="1:5" x14ac:dyDescent="0.35">
      <c r="A2767" t="s">
        <v>2593</v>
      </c>
      <c r="B2767" t="s">
        <v>2783</v>
      </c>
      <c r="C2767">
        <v>244</v>
      </c>
      <c r="D2767">
        <v>60</v>
      </c>
      <c r="E2767" t="s">
        <v>11</v>
      </c>
    </row>
    <row r="2768" spans="1:5" x14ac:dyDescent="0.35">
      <c r="A2768" t="s">
        <v>2593</v>
      </c>
      <c r="B2768" t="s">
        <v>2784</v>
      </c>
      <c r="C2768">
        <v>320</v>
      </c>
      <c r="D2768">
        <v>175</v>
      </c>
      <c r="E2768" t="s">
        <v>15</v>
      </c>
    </row>
    <row r="2769" spans="1:5" x14ac:dyDescent="0.35">
      <c r="A2769" t="s">
        <v>2593</v>
      </c>
      <c r="B2769" t="s">
        <v>2785</v>
      </c>
      <c r="C2769">
        <v>80</v>
      </c>
      <c r="D2769">
        <v>47</v>
      </c>
      <c r="E2769" t="s">
        <v>15</v>
      </c>
    </row>
    <row r="2770" spans="1:5" x14ac:dyDescent="0.35">
      <c r="A2770" t="s">
        <v>2593</v>
      </c>
      <c r="B2770" t="s">
        <v>2786</v>
      </c>
      <c r="C2770">
        <v>268</v>
      </c>
      <c r="D2770">
        <v>68</v>
      </c>
      <c r="E2770" t="s">
        <v>17</v>
      </c>
    </row>
    <row r="2771" spans="1:5" x14ac:dyDescent="0.35">
      <c r="A2771" t="s">
        <v>2593</v>
      </c>
      <c r="B2771" t="s">
        <v>2787</v>
      </c>
      <c r="C2771">
        <v>299</v>
      </c>
      <c r="D2771">
        <v>116</v>
      </c>
      <c r="E2771" t="s">
        <v>9</v>
      </c>
    </row>
    <row r="2772" spans="1:5" x14ac:dyDescent="0.35">
      <c r="A2772" t="s">
        <v>2593</v>
      </c>
      <c r="B2772" t="s">
        <v>2788</v>
      </c>
      <c r="C2772">
        <v>135</v>
      </c>
      <c r="D2772">
        <v>68</v>
      </c>
      <c r="E2772" t="s">
        <v>21</v>
      </c>
    </row>
    <row r="2773" spans="1:5" x14ac:dyDescent="0.35">
      <c r="A2773" t="s">
        <v>2593</v>
      </c>
      <c r="B2773" t="s">
        <v>2789</v>
      </c>
      <c r="C2773">
        <v>280</v>
      </c>
      <c r="D2773">
        <v>129</v>
      </c>
      <c r="E2773" t="s">
        <v>17</v>
      </c>
    </row>
    <row r="2774" spans="1:5" x14ac:dyDescent="0.35">
      <c r="A2774" t="s">
        <v>2593</v>
      </c>
      <c r="B2774" t="s">
        <v>2790</v>
      </c>
      <c r="C2774">
        <v>147</v>
      </c>
      <c r="D2774">
        <v>123</v>
      </c>
      <c r="E2774" t="s">
        <v>11</v>
      </c>
    </row>
    <row r="2775" spans="1:5" x14ac:dyDescent="0.35">
      <c r="A2775" t="s">
        <v>2593</v>
      </c>
      <c r="B2775" t="s">
        <v>2791</v>
      </c>
      <c r="C2775">
        <v>285</v>
      </c>
      <c r="D2775">
        <v>155</v>
      </c>
      <c r="E2775" t="s">
        <v>33</v>
      </c>
    </row>
    <row r="2776" spans="1:5" x14ac:dyDescent="0.35">
      <c r="A2776" t="s">
        <v>2593</v>
      </c>
      <c r="B2776" t="s">
        <v>2792</v>
      </c>
      <c r="C2776">
        <v>180</v>
      </c>
      <c r="D2776">
        <v>88</v>
      </c>
      <c r="E2776" t="s">
        <v>7</v>
      </c>
    </row>
    <row r="2777" spans="1:5" x14ac:dyDescent="0.35">
      <c r="A2777" t="s">
        <v>2593</v>
      </c>
      <c r="B2777" t="s">
        <v>2793</v>
      </c>
      <c r="C2777">
        <v>161</v>
      </c>
      <c r="D2777">
        <v>126</v>
      </c>
      <c r="E2777" t="s">
        <v>33</v>
      </c>
    </row>
    <row r="2778" spans="1:5" x14ac:dyDescent="0.35">
      <c r="A2778" t="s">
        <v>2593</v>
      </c>
      <c r="B2778" t="s">
        <v>2794</v>
      </c>
      <c r="C2778">
        <v>172</v>
      </c>
      <c r="D2778">
        <v>137</v>
      </c>
      <c r="E2778" t="s">
        <v>33</v>
      </c>
    </row>
    <row r="2779" spans="1:5" x14ac:dyDescent="0.35">
      <c r="A2779" t="s">
        <v>2593</v>
      </c>
      <c r="B2779" t="s">
        <v>2795</v>
      </c>
      <c r="C2779">
        <v>238</v>
      </c>
      <c r="D2779">
        <v>148</v>
      </c>
      <c r="E2779" t="s">
        <v>7</v>
      </c>
    </row>
    <row r="2780" spans="1:5" x14ac:dyDescent="0.35">
      <c r="A2780" t="s">
        <v>2593</v>
      </c>
      <c r="B2780" t="s">
        <v>2796</v>
      </c>
      <c r="C2780">
        <v>182</v>
      </c>
      <c r="D2780">
        <v>100</v>
      </c>
      <c r="E2780" t="s">
        <v>15</v>
      </c>
    </row>
    <row r="2781" spans="1:5" x14ac:dyDescent="0.35">
      <c r="A2781" t="s">
        <v>2593</v>
      </c>
      <c r="B2781" t="s">
        <v>2797</v>
      </c>
      <c r="C2781">
        <v>305</v>
      </c>
      <c r="D2781">
        <v>88</v>
      </c>
      <c r="E2781" t="s">
        <v>11</v>
      </c>
    </row>
    <row r="2782" spans="1:5" x14ac:dyDescent="0.35">
      <c r="A2782" t="s">
        <v>2593</v>
      </c>
      <c r="B2782" t="s">
        <v>2798</v>
      </c>
      <c r="C2782">
        <v>236</v>
      </c>
      <c r="D2782">
        <v>149</v>
      </c>
      <c r="E2782" t="s">
        <v>21</v>
      </c>
    </row>
    <row r="2783" spans="1:5" x14ac:dyDescent="0.35">
      <c r="A2783" t="s">
        <v>2593</v>
      </c>
      <c r="B2783" t="s">
        <v>2799</v>
      </c>
      <c r="C2783">
        <v>198</v>
      </c>
      <c r="D2783">
        <v>70</v>
      </c>
      <c r="E2783" t="s">
        <v>21</v>
      </c>
    </row>
    <row r="2784" spans="1:5" x14ac:dyDescent="0.35">
      <c r="A2784" t="s">
        <v>2593</v>
      </c>
      <c r="B2784" t="s">
        <v>2800</v>
      </c>
      <c r="C2784">
        <v>149</v>
      </c>
      <c r="D2784">
        <v>119</v>
      </c>
      <c r="E2784" t="s">
        <v>17</v>
      </c>
    </row>
    <row r="2785" spans="1:5" x14ac:dyDescent="0.35">
      <c r="A2785" t="s">
        <v>2593</v>
      </c>
      <c r="B2785" t="s">
        <v>2801</v>
      </c>
      <c r="C2785">
        <v>178</v>
      </c>
      <c r="D2785">
        <v>104</v>
      </c>
      <c r="E2785" t="s">
        <v>7</v>
      </c>
    </row>
    <row r="2786" spans="1:5" x14ac:dyDescent="0.35">
      <c r="A2786" t="s">
        <v>2593</v>
      </c>
      <c r="B2786" t="s">
        <v>2802</v>
      </c>
      <c r="C2786">
        <v>131</v>
      </c>
      <c r="D2786">
        <v>32</v>
      </c>
      <c r="E2786" t="s">
        <v>17</v>
      </c>
    </row>
    <row r="2787" spans="1:5" x14ac:dyDescent="0.35">
      <c r="A2787" t="s">
        <v>2593</v>
      </c>
      <c r="B2787" t="s">
        <v>2803</v>
      </c>
      <c r="C2787">
        <v>99</v>
      </c>
      <c r="D2787">
        <v>87</v>
      </c>
      <c r="E2787" t="s">
        <v>21</v>
      </c>
    </row>
    <row r="2788" spans="1:5" x14ac:dyDescent="0.35">
      <c r="A2788" t="s">
        <v>2593</v>
      </c>
      <c r="B2788" t="s">
        <v>2804</v>
      </c>
      <c r="C2788">
        <v>279</v>
      </c>
      <c r="D2788">
        <v>179</v>
      </c>
      <c r="E2788" t="s">
        <v>33</v>
      </c>
    </row>
    <row r="2789" spans="1:5" x14ac:dyDescent="0.35">
      <c r="A2789" t="s">
        <v>2593</v>
      </c>
      <c r="B2789" t="s">
        <v>2805</v>
      </c>
      <c r="C2789">
        <v>220</v>
      </c>
      <c r="D2789">
        <v>79</v>
      </c>
      <c r="E2789" t="s">
        <v>7</v>
      </c>
    </row>
    <row r="2790" spans="1:5" x14ac:dyDescent="0.35">
      <c r="A2790" t="s">
        <v>2593</v>
      </c>
      <c r="B2790" t="s">
        <v>2806</v>
      </c>
      <c r="C2790">
        <v>298</v>
      </c>
      <c r="D2790">
        <v>78</v>
      </c>
      <c r="E2790" t="s">
        <v>33</v>
      </c>
    </row>
    <row r="2791" spans="1:5" x14ac:dyDescent="0.35">
      <c r="A2791" t="s">
        <v>2593</v>
      </c>
      <c r="B2791" t="s">
        <v>2807</v>
      </c>
      <c r="C2791">
        <v>141</v>
      </c>
      <c r="D2791">
        <v>70</v>
      </c>
      <c r="E2791" t="s">
        <v>33</v>
      </c>
    </row>
    <row r="2792" spans="1:5" x14ac:dyDescent="0.35">
      <c r="A2792" t="s">
        <v>2593</v>
      </c>
      <c r="B2792" t="s">
        <v>2808</v>
      </c>
      <c r="C2792">
        <v>183</v>
      </c>
      <c r="D2792">
        <v>53</v>
      </c>
      <c r="E2792" t="s">
        <v>15</v>
      </c>
    </row>
    <row r="2793" spans="1:5" x14ac:dyDescent="0.35">
      <c r="A2793" t="s">
        <v>2593</v>
      </c>
      <c r="B2793" t="s">
        <v>2809</v>
      </c>
      <c r="C2793">
        <v>310</v>
      </c>
      <c r="D2793">
        <v>126</v>
      </c>
      <c r="E2793" t="s">
        <v>9</v>
      </c>
    </row>
    <row r="2794" spans="1:5" x14ac:dyDescent="0.35">
      <c r="A2794" t="s">
        <v>2593</v>
      </c>
      <c r="B2794" t="s">
        <v>2810</v>
      </c>
      <c r="C2794">
        <v>189</v>
      </c>
      <c r="D2794">
        <v>146</v>
      </c>
      <c r="E2794" t="s">
        <v>9</v>
      </c>
    </row>
    <row r="2795" spans="1:5" x14ac:dyDescent="0.35">
      <c r="A2795" t="s">
        <v>2593</v>
      </c>
      <c r="B2795" t="s">
        <v>2811</v>
      </c>
      <c r="C2795">
        <v>193</v>
      </c>
      <c r="D2795">
        <v>130</v>
      </c>
      <c r="E2795" t="s">
        <v>7</v>
      </c>
    </row>
    <row r="2796" spans="1:5" x14ac:dyDescent="0.35">
      <c r="A2796" t="s">
        <v>2593</v>
      </c>
      <c r="B2796" t="s">
        <v>2812</v>
      </c>
      <c r="C2796">
        <v>313</v>
      </c>
      <c r="D2796">
        <v>158</v>
      </c>
      <c r="E2796" t="s">
        <v>33</v>
      </c>
    </row>
    <row r="2797" spans="1:5" x14ac:dyDescent="0.35">
      <c r="A2797" t="s">
        <v>2593</v>
      </c>
      <c r="B2797" t="s">
        <v>2813</v>
      </c>
      <c r="C2797">
        <v>195</v>
      </c>
      <c r="D2797">
        <v>181</v>
      </c>
      <c r="E2797" t="s">
        <v>9</v>
      </c>
    </row>
    <row r="2798" spans="1:5" x14ac:dyDescent="0.35">
      <c r="A2798" t="s">
        <v>2593</v>
      </c>
      <c r="B2798" t="s">
        <v>2814</v>
      </c>
      <c r="C2798">
        <v>257</v>
      </c>
      <c r="D2798">
        <v>81</v>
      </c>
      <c r="E2798" t="s">
        <v>15</v>
      </c>
    </row>
    <row r="2799" spans="1:5" x14ac:dyDescent="0.35">
      <c r="A2799" t="s">
        <v>2593</v>
      </c>
      <c r="B2799" t="s">
        <v>2815</v>
      </c>
      <c r="C2799">
        <v>210</v>
      </c>
      <c r="D2799">
        <v>30</v>
      </c>
      <c r="E2799" t="s">
        <v>7</v>
      </c>
    </row>
    <row r="2800" spans="1:5" x14ac:dyDescent="0.35">
      <c r="A2800" t="s">
        <v>2593</v>
      </c>
      <c r="B2800" t="s">
        <v>2816</v>
      </c>
      <c r="C2800">
        <v>212</v>
      </c>
      <c r="D2800">
        <v>162</v>
      </c>
      <c r="E2800" t="s">
        <v>15</v>
      </c>
    </row>
    <row r="2801" spans="1:5" x14ac:dyDescent="0.35">
      <c r="A2801" t="s">
        <v>2593</v>
      </c>
      <c r="B2801" t="s">
        <v>2817</v>
      </c>
      <c r="C2801">
        <v>195</v>
      </c>
      <c r="D2801">
        <v>126</v>
      </c>
      <c r="E2801" t="s">
        <v>9</v>
      </c>
    </row>
    <row r="2802" spans="1:5" x14ac:dyDescent="0.35">
      <c r="A2802" t="s">
        <v>2593</v>
      </c>
      <c r="B2802" t="s">
        <v>2818</v>
      </c>
      <c r="C2802">
        <v>201</v>
      </c>
      <c r="D2802">
        <v>175</v>
      </c>
      <c r="E2802" t="s">
        <v>17</v>
      </c>
    </row>
    <row r="2803" spans="1:5" x14ac:dyDescent="0.35">
      <c r="A2803" t="s">
        <v>2593</v>
      </c>
      <c r="B2803" t="s">
        <v>2819</v>
      </c>
      <c r="C2803">
        <v>259</v>
      </c>
      <c r="D2803">
        <v>86</v>
      </c>
      <c r="E2803" t="s">
        <v>17</v>
      </c>
    </row>
    <row r="2804" spans="1:5" x14ac:dyDescent="0.35">
      <c r="A2804" t="s">
        <v>2593</v>
      </c>
      <c r="B2804" t="s">
        <v>2820</v>
      </c>
      <c r="C2804">
        <v>119</v>
      </c>
      <c r="D2804">
        <v>32</v>
      </c>
      <c r="E2804" t="s">
        <v>7</v>
      </c>
    </row>
    <row r="2805" spans="1:5" x14ac:dyDescent="0.35">
      <c r="A2805" t="s">
        <v>2593</v>
      </c>
      <c r="B2805" t="s">
        <v>2821</v>
      </c>
      <c r="C2805">
        <v>243</v>
      </c>
      <c r="D2805">
        <v>121</v>
      </c>
      <c r="E2805" t="s">
        <v>15</v>
      </c>
    </row>
    <row r="2806" spans="1:5" x14ac:dyDescent="0.35">
      <c r="A2806" t="s">
        <v>2593</v>
      </c>
      <c r="B2806" t="s">
        <v>2822</v>
      </c>
      <c r="C2806">
        <v>247</v>
      </c>
      <c r="D2806">
        <v>127</v>
      </c>
      <c r="E2806" t="s">
        <v>33</v>
      </c>
    </row>
    <row r="2807" spans="1:5" x14ac:dyDescent="0.35">
      <c r="A2807" t="s">
        <v>2593</v>
      </c>
      <c r="B2807" t="s">
        <v>2823</v>
      </c>
      <c r="C2807">
        <v>188</v>
      </c>
      <c r="D2807">
        <v>37</v>
      </c>
      <c r="E2807" t="s">
        <v>15</v>
      </c>
    </row>
    <row r="2808" spans="1:5" x14ac:dyDescent="0.35">
      <c r="A2808" t="s">
        <v>2593</v>
      </c>
      <c r="B2808" t="s">
        <v>2824</v>
      </c>
      <c r="C2808">
        <v>171</v>
      </c>
      <c r="D2808">
        <v>170</v>
      </c>
      <c r="E2808" t="s">
        <v>15</v>
      </c>
    </row>
    <row r="2809" spans="1:5" x14ac:dyDescent="0.35">
      <c r="A2809" t="s">
        <v>2593</v>
      </c>
      <c r="B2809" t="s">
        <v>2825</v>
      </c>
      <c r="C2809">
        <v>180</v>
      </c>
      <c r="D2809">
        <v>129</v>
      </c>
      <c r="E2809" t="s">
        <v>15</v>
      </c>
    </row>
    <row r="2810" spans="1:5" x14ac:dyDescent="0.35">
      <c r="A2810" t="s">
        <v>2593</v>
      </c>
      <c r="B2810" t="s">
        <v>2826</v>
      </c>
      <c r="C2810">
        <v>216</v>
      </c>
      <c r="D2810">
        <v>125</v>
      </c>
      <c r="E2810" t="s">
        <v>17</v>
      </c>
    </row>
    <row r="2811" spans="1:5" x14ac:dyDescent="0.35">
      <c r="A2811" t="s">
        <v>2593</v>
      </c>
      <c r="B2811" t="s">
        <v>2827</v>
      </c>
      <c r="C2811">
        <v>304</v>
      </c>
      <c r="D2811">
        <v>186</v>
      </c>
      <c r="E2811" t="s">
        <v>9</v>
      </c>
    </row>
    <row r="2812" spans="1:5" x14ac:dyDescent="0.35">
      <c r="A2812" t="s">
        <v>2593</v>
      </c>
      <c r="B2812" t="s">
        <v>2828</v>
      </c>
      <c r="C2812">
        <v>209</v>
      </c>
      <c r="D2812">
        <v>91</v>
      </c>
      <c r="E2812" t="s">
        <v>33</v>
      </c>
    </row>
    <row r="2813" spans="1:5" x14ac:dyDescent="0.35">
      <c r="A2813" t="s">
        <v>2593</v>
      </c>
      <c r="B2813" t="s">
        <v>2829</v>
      </c>
      <c r="C2813">
        <v>298</v>
      </c>
      <c r="D2813">
        <v>178</v>
      </c>
      <c r="E2813" t="s">
        <v>17</v>
      </c>
    </row>
    <row r="2814" spans="1:5" x14ac:dyDescent="0.35">
      <c r="A2814" t="s">
        <v>2593</v>
      </c>
      <c r="B2814" t="s">
        <v>2830</v>
      </c>
      <c r="C2814">
        <v>217</v>
      </c>
      <c r="D2814">
        <v>184</v>
      </c>
      <c r="E2814" t="s">
        <v>15</v>
      </c>
    </row>
    <row r="2815" spans="1:5" x14ac:dyDescent="0.35">
      <c r="A2815" t="s">
        <v>2593</v>
      </c>
      <c r="B2815" t="s">
        <v>2831</v>
      </c>
      <c r="C2815">
        <v>159</v>
      </c>
      <c r="D2815">
        <v>84</v>
      </c>
      <c r="E2815" t="s">
        <v>21</v>
      </c>
    </row>
    <row r="2816" spans="1:5" x14ac:dyDescent="0.35">
      <c r="A2816" t="s">
        <v>2593</v>
      </c>
      <c r="B2816" t="s">
        <v>2832</v>
      </c>
      <c r="C2816">
        <v>132</v>
      </c>
      <c r="D2816">
        <v>53</v>
      </c>
      <c r="E2816" t="s">
        <v>7</v>
      </c>
    </row>
    <row r="2817" spans="1:5" x14ac:dyDescent="0.35">
      <c r="A2817" t="s">
        <v>2593</v>
      </c>
      <c r="B2817" t="s">
        <v>2833</v>
      </c>
      <c r="C2817">
        <v>261</v>
      </c>
      <c r="D2817">
        <v>186</v>
      </c>
      <c r="E2817" t="s">
        <v>15</v>
      </c>
    </row>
    <row r="2818" spans="1:5" x14ac:dyDescent="0.35">
      <c r="A2818" t="s">
        <v>2593</v>
      </c>
      <c r="B2818" t="s">
        <v>2834</v>
      </c>
      <c r="C2818">
        <v>241</v>
      </c>
      <c r="D2818">
        <v>167</v>
      </c>
      <c r="E2818" t="s">
        <v>9</v>
      </c>
    </row>
    <row r="2819" spans="1:5" x14ac:dyDescent="0.35">
      <c r="A2819" t="s">
        <v>2593</v>
      </c>
      <c r="B2819" t="s">
        <v>2835</v>
      </c>
      <c r="C2819">
        <v>169</v>
      </c>
      <c r="D2819">
        <v>167</v>
      </c>
      <c r="E2819" t="s">
        <v>11</v>
      </c>
    </row>
    <row r="2820" spans="1:5" x14ac:dyDescent="0.35">
      <c r="A2820" t="s">
        <v>2593</v>
      </c>
      <c r="B2820" t="s">
        <v>2836</v>
      </c>
      <c r="C2820">
        <v>62</v>
      </c>
      <c r="D2820">
        <v>54</v>
      </c>
      <c r="E2820" t="s">
        <v>15</v>
      </c>
    </row>
    <row r="2821" spans="1:5" x14ac:dyDescent="0.35">
      <c r="A2821" t="s">
        <v>2593</v>
      </c>
      <c r="B2821" t="s">
        <v>2837</v>
      </c>
      <c r="C2821">
        <v>77</v>
      </c>
      <c r="D2821">
        <v>31</v>
      </c>
      <c r="E2821" t="s">
        <v>7</v>
      </c>
    </row>
    <row r="2822" spans="1:5" x14ac:dyDescent="0.35">
      <c r="A2822" t="s">
        <v>2593</v>
      </c>
      <c r="B2822" t="s">
        <v>2838</v>
      </c>
      <c r="C2822">
        <v>291</v>
      </c>
      <c r="D2822">
        <v>171</v>
      </c>
      <c r="E2822" t="s">
        <v>11</v>
      </c>
    </row>
    <row r="2823" spans="1:5" x14ac:dyDescent="0.35">
      <c r="A2823" t="s">
        <v>2839</v>
      </c>
      <c r="B2823" t="s">
        <v>2840</v>
      </c>
      <c r="C2823">
        <v>124</v>
      </c>
      <c r="D2823">
        <v>57</v>
      </c>
      <c r="E2823" t="s">
        <v>15</v>
      </c>
    </row>
    <row r="2824" spans="1:5" x14ac:dyDescent="0.35">
      <c r="A2824" t="s">
        <v>2839</v>
      </c>
      <c r="B2824" t="s">
        <v>2841</v>
      </c>
      <c r="C2824">
        <v>298</v>
      </c>
      <c r="D2824">
        <v>57</v>
      </c>
      <c r="E2824" t="s">
        <v>7</v>
      </c>
    </row>
    <row r="2825" spans="1:5" x14ac:dyDescent="0.35">
      <c r="A2825" t="s">
        <v>2839</v>
      </c>
      <c r="B2825" t="s">
        <v>2842</v>
      </c>
      <c r="C2825">
        <v>202</v>
      </c>
      <c r="D2825">
        <v>122</v>
      </c>
      <c r="E2825" t="s">
        <v>7</v>
      </c>
    </row>
    <row r="2826" spans="1:5" x14ac:dyDescent="0.35">
      <c r="A2826" t="s">
        <v>2839</v>
      </c>
      <c r="B2826" t="s">
        <v>2843</v>
      </c>
      <c r="C2826">
        <v>210</v>
      </c>
      <c r="D2826">
        <v>91</v>
      </c>
      <c r="E2826" t="s">
        <v>9</v>
      </c>
    </row>
    <row r="2827" spans="1:5" x14ac:dyDescent="0.35">
      <c r="A2827" t="s">
        <v>2839</v>
      </c>
      <c r="B2827" t="s">
        <v>2844</v>
      </c>
      <c r="C2827">
        <v>176</v>
      </c>
      <c r="D2827">
        <v>124</v>
      </c>
      <c r="E2827" t="s">
        <v>17</v>
      </c>
    </row>
    <row r="2828" spans="1:5" x14ac:dyDescent="0.35">
      <c r="A2828" t="s">
        <v>2839</v>
      </c>
      <c r="B2828" t="s">
        <v>2845</v>
      </c>
      <c r="C2828">
        <v>188</v>
      </c>
      <c r="D2828">
        <v>91</v>
      </c>
      <c r="E2828" t="s">
        <v>21</v>
      </c>
    </row>
    <row r="2829" spans="1:5" x14ac:dyDescent="0.35">
      <c r="A2829" t="s">
        <v>2839</v>
      </c>
      <c r="B2829" t="s">
        <v>2846</v>
      </c>
      <c r="C2829">
        <v>214</v>
      </c>
      <c r="D2829">
        <v>184</v>
      </c>
      <c r="E2829" t="s">
        <v>33</v>
      </c>
    </row>
    <row r="2830" spans="1:5" x14ac:dyDescent="0.35">
      <c r="A2830" t="s">
        <v>2839</v>
      </c>
      <c r="B2830" t="s">
        <v>2847</v>
      </c>
      <c r="C2830">
        <v>179</v>
      </c>
      <c r="D2830">
        <v>113</v>
      </c>
      <c r="E2830" t="s">
        <v>15</v>
      </c>
    </row>
    <row r="2831" spans="1:5" x14ac:dyDescent="0.35">
      <c r="A2831" t="s">
        <v>2839</v>
      </c>
      <c r="B2831" t="s">
        <v>2848</v>
      </c>
      <c r="C2831">
        <v>214</v>
      </c>
      <c r="D2831">
        <v>185</v>
      </c>
      <c r="E2831" t="s">
        <v>21</v>
      </c>
    </row>
    <row r="2832" spans="1:5" x14ac:dyDescent="0.35">
      <c r="A2832" t="s">
        <v>2839</v>
      </c>
      <c r="B2832" t="s">
        <v>2849</v>
      </c>
      <c r="C2832">
        <v>258</v>
      </c>
      <c r="D2832">
        <v>108</v>
      </c>
      <c r="E2832" t="s">
        <v>21</v>
      </c>
    </row>
    <row r="2833" spans="1:5" x14ac:dyDescent="0.35">
      <c r="A2833" t="s">
        <v>2839</v>
      </c>
      <c r="B2833" t="s">
        <v>2850</v>
      </c>
      <c r="C2833">
        <v>207</v>
      </c>
      <c r="D2833">
        <v>133</v>
      </c>
      <c r="E2833" t="s">
        <v>15</v>
      </c>
    </row>
    <row r="2834" spans="1:5" x14ac:dyDescent="0.35">
      <c r="A2834" t="s">
        <v>2839</v>
      </c>
      <c r="B2834" t="s">
        <v>2851</v>
      </c>
      <c r="C2834">
        <v>170</v>
      </c>
      <c r="D2834">
        <v>68</v>
      </c>
      <c r="E2834" t="s">
        <v>7</v>
      </c>
    </row>
    <row r="2835" spans="1:5" x14ac:dyDescent="0.35">
      <c r="A2835" t="s">
        <v>2839</v>
      </c>
      <c r="B2835" t="s">
        <v>2852</v>
      </c>
      <c r="C2835">
        <v>285</v>
      </c>
      <c r="D2835">
        <v>69</v>
      </c>
      <c r="E2835" t="s">
        <v>9</v>
      </c>
    </row>
    <row r="2836" spans="1:5" x14ac:dyDescent="0.35">
      <c r="A2836" t="s">
        <v>2839</v>
      </c>
      <c r="B2836" t="s">
        <v>2853</v>
      </c>
      <c r="C2836">
        <v>240</v>
      </c>
      <c r="D2836">
        <v>43</v>
      </c>
      <c r="E2836" t="s">
        <v>33</v>
      </c>
    </row>
    <row r="2837" spans="1:5" x14ac:dyDescent="0.35">
      <c r="A2837" t="s">
        <v>2839</v>
      </c>
      <c r="B2837" t="s">
        <v>2854</v>
      </c>
      <c r="C2837">
        <v>296</v>
      </c>
      <c r="D2837">
        <v>175</v>
      </c>
      <c r="E2837" t="s">
        <v>7</v>
      </c>
    </row>
    <row r="2838" spans="1:5" x14ac:dyDescent="0.35">
      <c r="A2838" t="s">
        <v>2839</v>
      </c>
      <c r="B2838" t="s">
        <v>2855</v>
      </c>
      <c r="C2838">
        <v>286</v>
      </c>
      <c r="D2838">
        <v>150</v>
      </c>
      <c r="E2838" t="s">
        <v>33</v>
      </c>
    </row>
    <row r="2839" spans="1:5" x14ac:dyDescent="0.35">
      <c r="A2839" t="s">
        <v>2839</v>
      </c>
      <c r="B2839" t="s">
        <v>2856</v>
      </c>
      <c r="C2839">
        <v>298</v>
      </c>
      <c r="D2839">
        <v>138</v>
      </c>
      <c r="E2839" t="s">
        <v>11</v>
      </c>
    </row>
    <row r="2840" spans="1:5" x14ac:dyDescent="0.35">
      <c r="A2840" t="s">
        <v>2839</v>
      </c>
      <c r="B2840" t="s">
        <v>2857</v>
      </c>
      <c r="C2840">
        <v>295</v>
      </c>
      <c r="D2840">
        <v>70</v>
      </c>
      <c r="E2840" t="s">
        <v>9</v>
      </c>
    </row>
    <row r="2841" spans="1:5" x14ac:dyDescent="0.35">
      <c r="A2841" t="s">
        <v>2839</v>
      </c>
      <c r="B2841" t="s">
        <v>2858</v>
      </c>
      <c r="C2841">
        <v>276</v>
      </c>
      <c r="D2841">
        <v>46</v>
      </c>
      <c r="E2841" t="s">
        <v>21</v>
      </c>
    </row>
    <row r="2842" spans="1:5" x14ac:dyDescent="0.35">
      <c r="A2842" t="s">
        <v>2839</v>
      </c>
      <c r="B2842" t="s">
        <v>2859</v>
      </c>
      <c r="C2842">
        <v>214</v>
      </c>
      <c r="D2842">
        <v>46</v>
      </c>
      <c r="E2842" t="s">
        <v>11</v>
      </c>
    </row>
    <row r="2843" spans="1:5" x14ac:dyDescent="0.35">
      <c r="A2843" t="s">
        <v>2839</v>
      </c>
      <c r="B2843" t="s">
        <v>2860</v>
      </c>
      <c r="C2843">
        <v>246</v>
      </c>
      <c r="D2843">
        <v>81</v>
      </c>
      <c r="E2843" t="s">
        <v>7</v>
      </c>
    </row>
    <row r="2844" spans="1:5" x14ac:dyDescent="0.35">
      <c r="A2844" t="s">
        <v>2839</v>
      </c>
      <c r="B2844" t="s">
        <v>2861</v>
      </c>
      <c r="C2844">
        <v>257</v>
      </c>
      <c r="D2844">
        <v>31</v>
      </c>
      <c r="E2844" t="s">
        <v>11</v>
      </c>
    </row>
    <row r="2845" spans="1:5" x14ac:dyDescent="0.35">
      <c r="A2845" t="s">
        <v>2839</v>
      </c>
      <c r="B2845" t="s">
        <v>2862</v>
      </c>
      <c r="C2845">
        <v>105</v>
      </c>
      <c r="D2845">
        <v>90</v>
      </c>
      <c r="E2845" t="s">
        <v>33</v>
      </c>
    </row>
    <row r="2846" spans="1:5" x14ac:dyDescent="0.35">
      <c r="A2846" t="s">
        <v>2839</v>
      </c>
      <c r="B2846" t="s">
        <v>2863</v>
      </c>
      <c r="C2846">
        <v>183</v>
      </c>
      <c r="D2846">
        <v>126</v>
      </c>
      <c r="E2846" t="s">
        <v>9</v>
      </c>
    </row>
    <row r="2847" spans="1:5" x14ac:dyDescent="0.35">
      <c r="A2847" t="s">
        <v>2839</v>
      </c>
      <c r="B2847" t="s">
        <v>2864</v>
      </c>
      <c r="C2847">
        <v>221</v>
      </c>
      <c r="D2847">
        <v>64</v>
      </c>
      <c r="E2847" t="s">
        <v>33</v>
      </c>
    </row>
    <row r="2848" spans="1:5" x14ac:dyDescent="0.35">
      <c r="A2848" t="s">
        <v>2839</v>
      </c>
      <c r="B2848" t="s">
        <v>2865</v>
      </c>
      <c r="C2848">
        <v>169</v>
      </c>
      <c r="D2848">
        <v>69</v>
      </c>
      <c r="E2848" t="s">
        <v>11</v>
      </c>
    </row>
    <row r="2849" spans="1:5" x14ac:dyDescent="0.35">
      <c r="A2849" t="s">
        <v>2839</v>
      </c>
      <c r="B2849" t="s">
        <v>2866</v>
      </c>
      <c r="C2849">
        <v>256</v>
      </c>
      <c r="D2849">
        <v>44</v>
      </c>
      <c r="E2849" t="s">
        <v>15</v>
      </c>
    </row>
    <row r="2850" spans="1:5" x14ac:dyDescent="0.35">
      <c r="A2850" t="s">
        <v>2839</v>
      </c>
      <c r="B2850" t="s">
        <v>2867</v>
      </c>
      <c r="C2850">
        <v>314</v>
      </c>
      <c r="D2850">
        <v>145</v>
      </c>
      <c r="E2850" t="s">
        <v>17</v>
      </c>
    </row>
    <row r="2851" spans="1:5" x14ac:dyDescent="0.35">
      <c r="A2851" t="s">
        <v>2839</v>
      </c>
      <c r="B2851" t="s">
        <v>2868</v>
      </c>
      <c r="C2851">
        <v>173</v>
      </c>
      <c r="D2851">
        <v>142</v>
      </c>
      <c r="E2851" t="s">
        <v>15</v>
      </c>
    </row>
    <row r="2852" spans="1:5" x14ac:dyDescent="0.35">
      <c r="A2852" t="s">
        <v>2839</v>
      </c>
      <c r="B2852" t="s">
        <v>2869</v>
      </c>
      <c r="C2852">
        <v>290</v>
      </c>
      <c r="D2852">
        <v>166</v>
      </c>
      <c r="E2852" t="s">
        <v>7</v>
      </c>
    </row>
    <row r="2853" spans="1:5" x14ac:dyDescent="0.35">
      <c r="A2853" t="s">
        <v>2839</v>
      </c>
      <c r="B2853" t="s">
        <v>2870</v>
      </c>
      <c r="C2853">
        <v>150</v>
      </c>
      <c r="D2853">
        <v>68</v>
      </c>
      <c r="E2853" t="s">
        <v>9</v>
      </c>
    </row>
    <row r="2854" spans="1:5" x14ac:dyDescent="0.35">
      <c r="A2854" t="s">
        <v>2839</v>
      </c>
      <c r="B2854" t="s">
        <v>2871</v>
      </c>
      <c r="C2854">
        <v>220</v>
      </c>
      <c r="D2854">
        <v>102</v>
      </c>
      <c r="E2854" t="s">
        <v>11</v>
      </c>
    </row>
    <row r="2855" spans="1:5" x14ac:dyDescent="0.35">
      <c r="A2855" t="s">
        <v>2839</v>
      </c>
      <c r="B2855" t="s">
        <v>2872</v>
      </c>
      <c r="C2855">
        <v>230</v>
      </c>
      <c r="D2855">
        <v>173</v>
      </c>
      <c r="E2855" t="s">
        <v>17</v>
      </c>
    </row>
    <row r="2856" spans="1:5" x14ac:dyDescent="0.35">
      <c r="A2856" t="s">
        <v>2839</v>
      </c>
      <c r="B2856" t="s">
        <v>2873</v>
      </c>
      <c r="C2856">
        <v>306</v>
      </c>
      <c r="D2856">
        <v>87</v>
      </c>
      <c r="E2856" t="s">
        <v>15</v>
      </c>
    </row>
    <row r="2857" spans="1:5" x14ac:dyDescent="0.35">
      <c r="A2857" t="s">
        <v>2839</v>
      </c>
      <c r="B2857" t="s">
        <v>2874</v>
      </c>
      <c r="C2857">
        <v>157</v>
      </c>
      <c r="D2857">
        <v>129</v>
      </c>
      <c r="E2857" t="s">
        <v>7</v>
      </c>
    </row>
    <row r="2858" spans="1:5" x14ac:dyDescent="0.35">
      <c r="A2858" t="s">
        <v>2839</v>
      </c>
      <c r="B2858" t="s">
        <v>2875</v>
      </c>
      <c r="C2858">
        <v>232</v>
      </c>
      <c r="D2858">
        <v>140</v>
      </c>
      <c r="E2858" t="s">
        <v>15</v>
      </c>
    </row>
    <row r="2859" spans="1:5" x14ac:dyDescent="0.35">
      <c r="A2859" t="s">
        <v>2839</v>
      </c>
      <c r="B2859" t="s">
        <v>2876</v>
      </c>
      <c r="C2859">
        <v>229</v>
      </c>
      <c r="D2859">
        <v>187</v>
      </c>
      <c r="E2859" t="s">
        <v>17</v>
      </c>
    </row>
    <row r="2860" spans="1:5" x14ac:dyDescent="0.35">
      <c r="A2860" t="s">
        <v>2839</v>
      </c>
      <c r="B2860" t="s">
        <v>2877</v>
      </c>
      <c r="C2860">
        <v>311</v>
      </c>
      <c r="D2860">
        <v>140</v>
      </c>
      <c r="E2860" t="s">
        <v>17</v>
      </c>
    </row>
    <row r="2861" spans="1:5" x14ac:dyDescent="0.35">
      <c r="A2861" t="s">
        <v>2839</v>
      </c>
      <c r="B2861" t="s">
        <v>2878</v>
      </c>
      <c r="C2861">
        <v>213</v>
      </c>
      <c r="D2861">
        <v>51</v>
      </c>
      <c r="E2861" t="s">
        <v>15</v>
      </c>
    </row>
    <row r="2862" spans="1:5" x14ac:dyDescent="0.35">
      <c r="A2862" t="s">
        <v>2839</v>
      </c>
      <c r="B2862" t="s">
        <v>2879</v>
      </c>
      <c r="C2862">
        <v>156</v>
      </c>
      <c r="D2862">
        <v>135</v>
      </c>
      <c r="E2862" t="s">
        <v>21</v>
      </c>
    </row>
    <row r="2863" spans="1:5" x14ac:dyDescent="0.35">
      <c r="A2863" t="s">
        <v>2839</v>
      </c>
      <c r="B2863" t="s">
        <v>2880</v>
      </c>
      <c r="C2863">
        <v>260</v>
      </c>
      <c r="D2863">
        <v>189</v>
      </c>
      <c r="E2863" t="s">
        <v>9</v>
      </c>
    </row>
    <row r="2864" spans="1:5" x14ac:dyDescent="0.35">
      <c r="A2864" t="s">
        <v>2839</v>
      </c>
      <c r="B2864" t="s">
        <v>2881</v>
      </c>
      <c r="C2864">
        <v>235</v>
      </c>
      <c r="D2864">
        <v>134</v>
      </c>
      <c r="E2864" t="s">
        <v>33</v>
      </c>
    </row>
    <row r="2865" spans="1:5" x14ac:dyDescent="0.35">
      <c r="A2865" t="s">
        <v>2839</v>
      </c>
      <c r="B2865" t="s">
        <v>2882</v>
      </c>
      <c r="C2865">
        <v>122</v>
      </c>
      <c r="D2865">
        <v>117</v>
      </c>
      <c r="E2865" t="s">
        <v>21</v>
      </c>
    </row>
    <row r="2866" spans="1:5" x14ac:dyDescent="0.35">
      <c r="A2866" t="s">
        <v>2839</v>
      </c>
      <c r="B2866" t="s">
        <v>2883</v>
      </c>
      <c r="C2866">
        <v>308</v>
      </c>
      <c r="D2866">
        <v>35</v>
      </c>
      <c r="E2866" t="s">
        <v>15</v>
      </c>
    </row>
    <row r="2867" spans="1:5" x14ac:dyDescent="0.35">
      <c r="A2867" t="s">
        <v>2839</v>
      </c>
      <c r="B2867" t="s">
        <v>2884</v>
      </c>
      <c r="C2867">
        <v>234</v>
      </c>
      <c r="D2867">
        <v>115</v>
      </c>
      <c r="E2867" t="s">
        <v>15</v>
      </c>
    </row>
    <row r="2868" spans="1:5" x14ac:dyDescent="0.35">
      <c r="A2868" t="s">
        <v>2839</v>
      </c>
      <c r="B2868" t="s">
        <v>2885</v>
      </c>
      <c r="C2868">
        <v>215</v>
      </c>
      <c r="D2868">
        <v>37</v>
      </c>
      <c r="E2868" t="s">
        <v>11</v>
      </c>
    </row>
    <row r="2869" spans="1:5" x14ac:dyDescent="0.35">
      <c r="A2869" t="s">
        <v>2839</v>
      </c>
      <c r="B2869" t="s">
        <v>2886</v>
      </c>
      <c r="C2869">
        <v>232</v>
      </c>
      <c r="D2869">
        <v>108</v>
      </c>
      <c r="E2869" t="s">
        <v>11</v>
      </c>
    </row>
    <row r="2870" spans="1:5" x14ac:dyDescent="0.35">
      <c r="A2870" t="s">
        <v>2839</v>
      </c>
      <c r="B2870" t="s">
        <v>2887</v>
      </c>
      <c r="C2870">
        <v>263</v>
      </c>
      <c r="D2870">
        <v>135</v>
      </c>
      <c r="E2870" t="s">
        <v>17</v>
      </c>
    </row>
    <row r="2871" spans="1:5" x14ac:dyDescent="0.35">
      <c r="A2871" t="s">
        <v>2839</v>
      </c>
      <c r="B2871" t="s">
        <v>2888</v>
      </c>
      <c r="C2871">
        <v>192</v>
      </c>
      <c r="D2871">
        <v>57</v>
      </c>
      <c r="E2871" t="s">
        <v>7</v>
      </c>
    </row>
    <row r="2872" spans="1:5" x14ac:dyDescent="0.35">
      <c r="A2872" t="s">
        <v>2839</v>
      </c>
      <c r="B2872" t="s">
        <v>2889</v>
      </c>
      <c r="C2872">
        <v>262</v>
      </c>
      <c r="D2872">
        <v>189</v>
      </c>
      <c r="E2872" t="s">
        <v>15</v>
      </c>
    </row>
    <row r="2873" spans="1:5" x14ac:dyDescent="0.35">
      <c r="A2873" t="s">
        <v>2839</v>
      </c>
      <c r="B2873" t="s">
        <v>2890</v>
      </c>
      <c r="C2873">
        <v>316</v>
      </c>
      <c r="D2873">
        <v>131</v>
      </c>
      <c r="E2873" t="s">
        <v>15</v>
      </c>
    </row>
    <row r="2874" spans="1:5" x14ac:dyDescent="0.35">
      <c r="A2874" t="s">
        <v>2839</v>
      </c>
      <c r="B2874" t="s">
        <v>2891</v>
      </c>
      <c r="C2874">
        <v>131</v>
      </c>
      <c r="D2874">
        <v>96</v>
      </c>
      <c r="E2874" t="s">
        <v>33</v>
      </c>
    </row>
    <row r="2875" spans="1:5" x14ac:dyDescent="0.35">
      <c r="A2875" t="s">
        <v>2839</v>
      </c>
      <c r="B2875" t="s">
        <v>2892</v>
      </c>
      <c r="C2875">
        <v>237</v>
      </c>
      <c r="D2875">
        <v>156</v>
      </c>
      <c r="E2875" t="s">
        <v>17</v>
      </c>
    </row>
    <row r="2876" spans="1:5" x14ac:dyDescent="0.35">
      <c r="A2876" t="s">
        <v>2839</v>
      </c>
      <c r="B2876" t="s">
        <v>2893</v>
      </c>
      <c r="C2876">
        <v>168</v>
      </c>
      <c r="D2876">
        <v>96</v>
      </c>
      <c r="E2876" t="s">
        <v>9</v>
      </c>
    </row>
    <row r="2877" spans="1:5" x14ac:dyDescent="0.35">
      <c r="A2877" t="s">
        <v>2839</v>
      </c>
      <c r="B2877" t="s">
        <v>2894</v>
      </c>
      <c r="C2877">
        <v>199</v>
      </c>
      <c r="D2877">
        <v>114</v>
      </c>
      <c r="E2877" t="s">
        <v>9</v>
      </c>
    </row>
    <row r="2878" spans="1:5" x14ac:dyDescent="0.35">
      <c r="A2878" t="s">
        <v>2839</v>
      </c>
      <c r="B2878" t="s">
        <v>2895</v>
      </c>
      <c r="C2878">
        <v>307</v>
      </c>
      <c r="D2878">
        <v>92</v>
      </c>
      <c r="E2878" t="s">
        <v>21</v>
      </c>
    </row>
    <row r="2879" spans="1:5" x14ac:dyDescent="0.35">
      <c r="A2879" t="s">
        <v>2839</v>
      </c>
      <c r="B2879" t="s">
        <v>2896</v>
      </c>
      <c r="C2879">
        <v>242</v>
      </c>
      <c r="D2879">
        <v>132</v>
      </c>
      <c r="E2879" t="s">
        <v>15</v>
      </c>
    </row>
    <row r="2880" spans="1:5" x14ac:dyDescent="0.35">
      <c r="A2880" t="s">
        <v>2839</v>
      </c>
      <c r="B2880" t="s">
        <v>2897</v>
      </c>
      <c r="C2880">
        <v>257</v>
      </c>
      <c r="D2880">
        <v>122</v>
      </c>
      <c r="E2880" t="s">
        <v>7</v>
      </c>
    </row>
    <row r="2881" spans="1:5" x14ac:dyDescent="0.35">
      <c r="A2881" t="s">
        <v>2839</v>
      </c>
      <c r="B2881" t="s">
        <v>2898</v>
      </c>
      <c r="C2881">
        <v>192</v>
      </c>
      <c r="D2881">
        <v>131</v>
      </c>
      <c r="E2881" t="s">
        <v>17</v>
      </c>
    </row>
    <row r="2882" spans="1:5" x14ac:dyDescent="0.35">
      <c r="A2882" t="s">
        <v>2839</v>
      </c>
      <c r="B2882" t="s">
        <v>2899</v>
      </c>
      <c r="C2882">
        <v>294</v>
      </c>
      <c r="D2882">
        <v>188</v>
      </c>
      <c r="E2882" t="s">
        <v>21</v>
      </c>
    </row>
    <row r="2883" spans="1:5" x14ac:dyDescent="0.35">
      <c r="A2883" t="s">
        <v>2839</v>
      </c>
      <c r="B2883" t="s">
        <v>2900</v>
      </c>
      <c r="C2883">
        <v>273</v>
      </c>
      <c r="D2883">
        <v>70</v>
      </c>
      <c r="E2883" t="s">
        <v>9</v>
      </c>
    </row>
    <row r="2884" spans="1:5" x14ac:dyDescent="0.35">
      <c r="A2884" t="s">
        <v>2839</v>
      </c>
      <c r="B2884" t="s">
        <v>2901</v>
      </c>
      <c r="C2884">
        <v>242</v>
      </c>
      <c r="D2884">
        <v>117</v>
      </c>
      <c r="E2884" t="s">
        <v>7</v>
      </c>
    </row>
    <row r="2885" spans="1:5" x14ac:dyDescent="0.35">
      <c r="A2885" t="s">
        <v>2839</v>
      </c>
      <c r="B2885" t="s">
        <v>2902</v>
      </c>
      <c r="C2885">
        <v>246</v>
      </c>
      <c r="D2885">
        <v>176</v>
      </c>
      <c r="E2885" t="s">
        <v>33</v>
      </c>
    </row>
    <row r="2886" spans="1:5" x14ac:dyDescent="0.35">
      <c r="A2886" t="s">
        <v>2839</v>
      </c>
      <c r="B2886" t="s">
        <v>2903</v>
      </c>
      <c r="C2886">
        <v>211</v>
      </c>
      <c r="D2886">
        <v>150</v>
      </c>
      <c r="E2886" t="s">
        <v>33</v>
      </c>
    </row>
    <row r="2887" spans="1:5" x14ac:dyDescent="0.35">
      <c r="A2887" t="s">
        <v>2839</v>
      </c>
      <c r="B2887" t="s">
        <v>2904</v>
      </c>
      <c r="C2887">
        <v>178</v>
      </c>
      <c r="D2887">
        <v>151</v>
      </c>
      <c r="E2887" t="s">
        <v>7</v>
      </c>
    </row>
    <row r="2888" spans="1:5" x14ac:dyDescent="0.35">
      <c r="A2888" t="s">
        <v>2839</v>
      </c>
      <c r="B2888" t="s">
        <v>2905</v>
      </c>
      <c r="C2888">
        <v>182</v>
      </c>
      <c r="D2888">
        <v>174</v>
      </c>
      <c r="E2888" t="s">
        <v>9</v>
      </c>
    </row>
    <row r="2889" spans="1:5" x14ac:dyDescent="0.35">
      <c r="A2889" t="s">
        <v>2839</v>
      </c>
      <c r="B2889" t="s">
        <v>2906</v>
      </c>
      <c r="C2889">
        <v>315</v>
      </c>
      <c r="D2889">
        <v>144</v>
      </c>
      <c r="E2889" t="s">
        <v>7</v>
      </c>
    </row>
    <row r="2890" spans="1:5" x14ac:dyDescent="0.35">
      <c r="A2890" t="s">
        <v>2839</v>
      </c>
      <c r="B2890" t="s">
        <v>2907</v>
      </c>
      <c r="C2890">
        <v>219</v>
      </c>
      <c r="D2890">
        <v>123</v>
      </c>
      <c r="E2890" t="s">
        <v>11</v>
      </c>
    </row>
    <row r="2891" spans="1:5" x14ac:dyDescent="0.35">
      <c r="A2891" t="s">
        <v>2839</v>
      </c>
      <c r="B2891" t="s">
        <v>2908</v>
      </c>
      <c r="C2891">
        <v>234</v>
      </c>
      <c r="D2891">
        <v>130</v>
      </c>
      <c r="E2891" t="s">
        <v>17</v>
      </c>
    </row>
    <row r="2892" spans="1:5" x14ac:dyDescent="0.35">
      <c r="A2892" t="s">
        <v>2839</v>
      </c>
      <c r="B2892" t="s">
        <v>2909</v>
      </c>
      <c r="C2892">
        <v>253</v>
      </c>
      <c r="D2892">
        <v>180</v>
      </c>
      <c r="E2892" t="s">
        <v>9</v>
      </c>
    </row>
    <row r="2893" spans="1:5" x14ac:dyDescent="0.35">
      <c r="A2893" t="s">
        <v>2839</v>
      </c>
      <c r="B2893" t="s">
        <v>2910</v>
      </c>
      <c r="C2893">
        <v>299</v>
      </c>
      <c r="D2893">
        <v>91</v>
      </c>
      <c r="E2893" t="s">
        <v>21</v>
      </c>
    </row>
    <row r="2894" spans="1:5" x14ac:dyDescent="0.35">
      <c r="A2894" t="s">
        <v>2839</v>
      </c>
      <c r="B2894" t="s">
        <v>2911</v>
      </c>
      <c r="C2894">
        <v>155</v>
      </c>
      <c r="D2894">
        <v>94</v>
      </c>
      <c r="E2894" t="s">
        <v>21</v>
      </c>
    </row>
    <row r="2895" spans="1:5" x14ac:dyDescent="0.35">
      <c r="A2895" t="s">
        <v>2839</v>
      </c>
      <c r="B2895" t="s">
        <v>2912</v>
      </c>
      <c r="C2895">
        <v>40</v>
      </c>
      <c r="D2895">
        <v>40</v>
      </c>
      <c r="E2895" t="s">
        <v>15</v>
      </c>
    </row>
    <row r="2896" spans="1:5" x14ac:dyDescent="0.35">
      <c r="A2896" t="s">
        <v>2839</v>
      </c>
      <c r="B2896" t="s">
        <v>2913</v>
      </c>
      <c r="C2896">
        <v>317</v>
      </c>
      <c r="D2896">
        <v>37</v>
      </c>
      <c r="E2896" t="s">
        <v>11</v>
      </c>
    </row>
    <row r="2897" spans="1:5" x14ac:dyDescent="0.35">
      <c r="A2897" t="s">
        <v>2839</v>
      </c>
      <c r="B2897" t="s">
        <v>2914</v>
      </c>
      <c r="C2897">
        <v>244</v>
      </c>
      <c r="D2897">
        <v>63</v>
      </c>
      <c r="E2897" t="s">
        <v>15</v>
      </c>
    </row>
    <row r="2898" spans="1:5" x14ac:dyDescent="0.35">
      <c r="A2898" t="s">
        <v>2839</v>
      </c>
      <c r="B2898" t="s">
        <v>2915</v>
      </c>
      <c r="C2898">
        <v>319</v>
      </c>
      <c r="D2898">
        <v>151</v>
      </c>
      <c r="E2898" t="s">
        <v>9</v>
      </c>
    </row>
    <row r="2899" spans="1:5" x14ac:dyDescent="0.35">
      <c r="A2899" t="s">
        <v>2839</v>
      </c>
      <c r="B2899" t="s">
        <v>2916</v>
      </c>
      <c r="C2899">
        <v>236</v>
      </c>
      <c r="D2899">
        <v>142</v>
      </c>
      <c r="E2899" t="s">
        <v>9</v>
      </c>
    </row>
    <row r="2900" spans="1:5" x14ac:dyDescent="0.35">
      <c r="A2900" t="s">
        <v>2839</v>
      </c>
      <c r="B2900" t="s">
        <v>2917</v>
      </c>
      <c r="C2900">
        <v>118</v>
      </c>
      <c r="D2900">
        <v>116</v>
      </c>
      <c r="E2900" t="s">
        <v>33</v>
      </c>
    </row>
    <row r="2901" spans="1:5" x14ac:dyDescent="0.35">
      <c r="A2901" t="s">
        <v>2839</v>
      </c>
      <c r="B2901" t="s">
        <v>2918</v>
      </c>
      <c r="C2901">
        <v>54</v>
      </c>
      <c r="D2901">
        <v>43</v>
      </c>
      <c r="E2901" t="s">
        <v>9</v>
      </c>
    </row>
    <row r="2902" spans="1:5" x14ac:dyDescent="0.35">
      <c r="A2902" t="s">
        <v>2839</v>
      </c>
      <c r="B2902" t="s">
        <v>2919</v>
      </c>
      <c r="C2902">
        <v>195</v>
      </c>
      <c r="D2902">
        <v>177</v>
      </c>
      <c r="E2902" t="s">
        <v>11</v>
      </c>
    </row>
    <row r="2903" spans="1:5" x14ac:dyDescent="0.35">
      <c r="A2903" t="s">
        <v>2839</v>
      </c>
      <c r="B2903" t="s">
        <v>2920</v>
      </c>
      <c r="C2903">
        <v>199</v>
      </c>
      <c r="D2903">
        <v>70</v>
      </c>
      <c r="E2903" t="s">
        <v>9</v>
      </c>
    </row>
    <row r="2904" spans="1:5" x14ac:dyDescent="0.35">
      <c r="A2904" t="s">
        <v>2839</v>
      </c>
      <c r="B2904" t="s">
        <v>2921</v>
      </c>
      <c r="C2904">
        <v>194</v>
      </c>
      <c r="D2904">
        <v>102</v>
      </c>
      <c r="E2904" t="s">
        <v>7</v>
      </c>
    </row>
    <row r="2905" spans="1:5" x14ac:dyDescent="0.35">
      <c r="A2905" t="s">
        <v>2839</v>
      </c>
      <c r="B2905" t="s">
        <v>2922</v>
      </c>
      <c r="C2905">
        <v>313</v>
      </c>
      <c r="D2905">
        <v>168</v>
      </c>
      <c r="E2905" t="s">
        <v>17</v>
      </c>
    </row>
    <row r="2906" spans="1:5" x14ac:dyDescent="0.35">
      <c r="A2906" t="s">
        <v>2839</v>
      </c>
      <c r="B2906" t="s">
        <v>2923</v>
      </c>
      <c r="C2906">
        <v>239</v>
      </c>
      <c r="D2906">
        <v>148</v>
      </c>
      <c r="E2906" t="s">
        <v>21</v>
      </c>
    </row>
    <row r="2907" spans="1:5" x14ac:dyDescent="0.35">
      <c r="A2907" t="s">
        <v>2839</v>
      </c>
      <c r="B2907" t="s">
        <v>2924</v>
      </c>
      <c r="C2907">
        <v>190</v>
      </c>
      <c r="D2907">
        <v>146</v>
      </c>
      <c r="E2907" t="s">
        <v>9</v>
      </c>
    </row>
    <row r="2908" spans="1:5" x14ac:dyDescent="0.35">
      <c r="A2908" t="s">
        <v>2839</v>
      </c>
      <c r="B2908" t="s">
        <v>2925</v>
      </c>
      <c r="C2908">
        <v>290</v>
      </c>
      <c r="D2908">
        <v>148</v>
      </c>
      <c r="E2908" t="s">
        <v>9</v>
      </c>
    </row>
    <row r="2909" spans="1:5" x14ac:dyDescent="0.35">
      <c r="A2909" t="s">
        <v>2839</v>
      </c>
      <c r="B2909" t="s">
        <v>2926</v>
      </c>
      <c r="C2909">
        <v>217</v>
      </c>
      <c r="D2909">
        <v>32</v>
      </c>
      <c r="E2909" t="s">
        <v>17</v>
      </c>
    </row>
    <row r="2910" spans="1:5" x14ac:dyDescent="0.35">
      <c r="A2910" t="s">
        <v>2839</v>
      </c>
      <c r="B2910" t="s">
        <v>2927</v>
      </c>
      <c r="C2910">
        <v>292</v>
      </c>
      <c r="D2910">
        <v>158</v>
      </c>
      <c r="E2910" t="s">
        <v>17</v>
      </c>
    </row>
    <row r="2911" spans="1:5" x14ac:dyDescent="0.35">
      <c r="A2911" t="s">
        <v>2839</v>
      </c>
      <c r="B2911" t="s">
        <v>2928</v>
      </c>
      <c r="C2911">
        <v>170</v>
      </c>
      <c r="D2911">
        <v>82</v>
      </c>
      <c r="E2911" t="s">
        <v>7</v>
      </c>
    </row>
    <row r="2912" spans="1:5" x14ac:dyDescent="0.35">
      <c r="A2912" t="s">
        <v>2839</v>
      </c>
      <c r="B2912" t="s">
        <v>2929</v>
      </c>
      <c r="C2912">
        <v>290</v>
      </c>
      <c r="D2912">
        <v>171</v>
      </c>
      <c r="E2912" t="s">
        <v>21</v>
      </c>
    </row>
    <row r="2913" spans="1:5" x14ac:dyDescent="0.35">
      <c r="A2913" t="s">
        <v>2839</v>
      </c>
      <c r="B2913" t="s">
        <v>2930</v>
      </c>
      <c r="C2913">
        <v>94</v>
      </c>
      <c r="D2913">
        <v>90</v>
      </c>
      <c r="E2913" t="s">
        <v>21</v>
      </c>
    </row>
    <row r="2914" spans="1:5" x14ac:dyDescent="0.35">
      <c r="A2914" t="s">
        <v>2839</v>
      </c>
      <c r="B2914" t="s">
        <v>2931</v>
      </c>
      <c r="C2914">
        <v>203</v>
      </c>
      <c r="D2914">
        <v>186</v>
      </c>
      <c r="E2914" t="s">
        <v>11</v>
      </c>
    </row>
    <row r="2915" spans="1:5" x14ac:dyDescent="0.35">
      <c r="A2915" t="s">
        <v>2839</v>
      </c>
      <c r="B2915" t="s">
        <v>2932</v>
      </c>
      <c r="C2915">
        <v>183</v>
      </c>
      <c r="D2915">
        <v>87</v>
      </c>
      <c r="E2915" t="s">
        <v>17</v>
      </c>
    </row>
    <row r="2916" spans="1:5" x14ac:dyDescent="0.35">
      <c r="A2916" t="s">
        <v>2839</v>
      </c>
      <c r="B2916" t="s">
        <v>2933</v>
      </c>
      <c r="C2916">
        <v>200</v>
      </c>
      <c r="D2916">
        <v>91</v>
      </c>
      <c r="E2916" t="s">
        <v>9</v>
      </c>
    </row>
    <row r="2917" spans="1:5" x14ac:dyDescent="0.35">
      <c r="A2917" t="s">
        <v>2839</v>
      </c>
      <c r="B2917" t="s">
        <v>2934</v>
      </c>
      <c r="C2917">
        <v>241</v>
      </c>
      <c r="D2917">
        <v>137</v>
      </c>
      <c r="E2917" t="s">
        <v>17</v>
      </c>
    </row>
    <row r="2918" spans="1:5" x14ac:dyDescent="0.35">
      <c r="A2918" t="s">
        <v>2839</v>
      </c>
      <c r="B2918" t="s">
        <v>2935</v>
      </c>
      <c r="C2918">
        <v>168</v>
      </c>
      <c r="D2918">
        <v>92</v>
      </c>
      <c r="E2918" t="s">
        <v>33</v>
      </c>
    </row>
    <row r="2919" spans="1:5" x14ac:dyDescent="0.35">
      <c r="A2919" t="s">
        <v>2839</v>
      </c>
      <c r="B2919" t="s">
        <v>2936</v>
      </c>
      <c r="C2919">
        <v>308</v>
      </c>
      <c r="D2919">
        <v>173</v>
      </c>
      <c r="E2919" t="s">
        <v>9</v>
      </c>
    </row>
    <row r="2920" spans="1:5" x14ac:dyDescent="0.35">
      <c r="A2920" t="s">
        <v>2839</v>
      </c>
      <c r="B2920" t="s">
        <v>2937</v>
      </c>
      <c r="C2920">
        <v>74</v>
      </c>
      <c r="D2920">
        <v>48</v>
      </c>
      <c r="E2920" t="s">
        <v>33</v>
      </c>
    </row>
    <row r="2921" spans="1:5" x14ac:dyDescent="0.35">
      <c r="A2921" t="s">
        <v>2839</v>
      </c>
      <c r="B2921" t="s">
        <v>2938</v>
      </c>
      <c r="C2921">
        <v>188</v>
      </c>
      <c r="D2921">
        <v>109</v>
      </c>
      <c r="E2921" t="s">
        <v>15</v>
      </c>
    </row>
    <row r="2922" spans="1:5" x14ac:dyDescent="0.35">
      <c r="A2922" t="s">
        <v>2839</v>
      </c>
      <c r="B2922" t="s">
        <v>2939</v>
      </c>
      <c r="C2922">
        <v>179</v>
      </c>
      <c r="D2922">
        <v>113</v>
      </c>
      <c r="E2922" t="s">
        <v>7</v>
      </c>
    </row>
    <row r="2923" spans="1:5" x14ac:dyDescent="0.35">
      <c r="A2923" t="s">
        <v>2839</v>
      </c>
      <c r="B2923" t="s">
        <v>2940</v>
      </c>
      <c r="C2923">
        <v>319</v>
      </c>
      <c r="D2923">
        <v>129</v>
      </c>
      <c r="E2923" t="s">
        <v>7</v>
      </c>
    </row>
    <row r="2924" spans="1:5" x14ac:dyDescent="0.35">
      <c r="A2924" t="s">
        <v>2839</v>
      </c>
      <c r="B2924" t="s">
        <v>2941</v>
      </c>
      <c r="C2924">
        <v>287</v>
      </c>
      <c r="D2924">
        <v>140</v>
      </c>
      <c r="E2924" t="s">
        <v>21</v>
      </c>
    </row>
    <row r="2925" spans="1:5" x14ac:dyDescent="0.35">
      <c r="A2925" t="s">
        <v>2839</v>
      </c>
      <c r="B2925" t="s">
        <v>2942</v>
      </c>
      <c r="C2925">
        <v>276</v>
      </c>
      <c r="D2925">
        <v>173</v>
      </c>
      <c r="E2925" t="s">
        <v>7</v>
      </c>
    </row>
    <row r="2926" spans="1:5" x14ac:dyDescent="0.35">
      <c r="A2926" t="s">
        <v>2839</v>
      </c>
      <c r="B2926" t="s">
        <v>2943</v>
      </c>
      <c r="C2926">
        <v>245</v>
      </c>
      <c r="D2926">
        <v>177</v>
      </c>
      <c r="E2926" t="s">
        <v>21</v>
      </c>
    </row>
    <row r="2927" spans="1:5" x14ac:dyDescent="0.35">
      <c r="A2927" t="s">
        <v>2839</v>
      </c>
      <c r="B2927" t="s">
        <v>2944</v>
      </c>
      <c r="C2927">
        <v>128</v>
      </c>
      <c r="D2927">
        <v>68</v>
      </c>
      <c r="E2927" t="s">
        <v>15</v>
      </c>
    </row>
    <row r="2928" spans="1:5" x14ac:dyDescent="0.35">
      <c r="A2928" t="s">
        <v>2839</v>
      </c>
      <c r="B2928" t="s">
        <v>2945</v>
      </c>
      <c r="C2928">
        <v>292</v>
      </c>
      <c r="D2928">
        <v>39</v>
      </c>
      <c r="E2928" t="s">
        <v>7</v>
      </c>
    </row>
    <row r="2929" spans="1:5" x14ac:dyDescent="0.35">
      <c r="A2929" t="s">
        <v>2839</v>
      </c>
      <c r="B2929" t="s">
        <v>2946</v>
      </c>
      <c r="C2929">
        <v>144</v>
      </c>
      <c r="D2929">
        <v>75</v>
      </c>
      <c r="E2929" t="s">
        <v>17</v>
      </c>
    </row>
    <row r="2930" spans="1:5" x14ac:dyDescent="0.35">
      <c r="A2930" t="s">
        <v>2839</v>
      </c>
      <c r="B2930" t="s">
        <v>2947</v>
      </c>
      <c r="C2930">
        <v>199</v>
      </c>
      <c r="D2930">
        <v>131</v>
      </c>
      <c r="E2930" t="s">
        <v>17</v>
      </c>
    </row>
    <row r="2931" spans="1:5" x14ac:dyDescent="0.35">
      <c r="A2931" t="s">
        <v>2839</v>
      </c>
      <c r="B2931" t="s">
        <v>2948</v>
      </c>
      <c r="C2931">
        <v>274</v>
      </c>
      <c r="D2931">
        <v>95</v>
      </c>
      <c r="E2931" t="s">
        <v>15</v>
      </c>
    </row>
    <row r="2932" spans="1:5" x14ac:dyDescent="0.35">
      <c r="A2932" t="s">
        <v>2839</v>
      </c>
      <c r="B2932" t="s">
        <v>2949</v>
      </c>
      <c r="C2932">
        <v>193</v>
      </c>
      <c r="D2932">
        <v>31</v>
      </c>
      <c r="E2932" t="s">
        <v>7</v>
      </c>
    </row>
    <row r="2933" spans="1:5" x14ac:dyDescent="0.35">
      <c r="A2933" t="s">
        <v>2839</v>
      </c>
      <c r="B2933" t="s">
        <v>2950</v>
      </c>
      <c r="C2933">
        <v>231</v>
      </c>
      <c r="D2933">
        <v>190</v>
      </c>
      <c r="E2933" t="s">
        <v>15</v>
      </c>
    </row>
    <row r="2934" spans="1:5" x14ac:dyDescent="0.35">
      <c r="A2934" t="s">
        <v>2839</v>
      </c>
      <c r="B2934" t="s">
        <v>2951</v>
      </c>
      <c r="C2934">
        <v>315</v>
      </c>
      <c r="D2934">
        <v>122</v>
      </c>
      <c r="E2934" t="s">
        <v>21</v>
      </c>
    </row>
    <row r="2935" spans="1:5" x14ac:dyDescent="0.35">
      <c r="A2935" t="s">
        <v>2952</v>
      </c>
      <c r="B2935" t="s">
        <v>2953</v>
      </c>
      <c r="C2935">
        <v>206</v>
      </c>
      <c r="D2935">
        <v>57</v>
      </c>
      <c r="E2935" t="s">
        <v>7</v>
      </c>
    </row>
    <row r="2936" spans="1:5" x14ac:dyDescent="0.35">
      <c r="A2936" t="s">
        <v>2952</v>
      </c>
      <c r="B2936" t="s">
        <v>2954</v>
      </c>
      <c r="C2936">
        <v>303</v>
      </c>
      <c r="D2936">
        <v>59</v>
      </c>
      <c r="E2936" t="s">
        <v>7</v>
      </c>
    </row>
    <row r="2937" spans="1:5" x14ac:dyDescent="0.35">
      <c r="A2937" t="s">
        <v>2952</v>
      </c>
      <c r="B2937" t="s">
        <v>2955</v>
      </c>
      <c r="C2937">
        <v>195</v>
      </c>
      <c r="D2937">
        <v>90</v>
      </c>
      <c r="E2937" t="s">
        <v>21</v>
      </c>
    </row>
    <row r="2938" spans="1:5" x14ac:dyDescent="0.35">
      <c r="A2938" t="s">
        <v>2952</v>
      </c>
      <c r="B2938" t="s">
        <v>2956</v>
      </c>
      <c r="C2938">
        <v>260</v>
      </c>
      <c r="D2938">
        <v>185</v>
      </c>
      <c r="E2938" t="s">
        <v>33</v>
      </c>
    </row>
    <row r="2939" spans="1:5" x14ac:dyDescent="0.35">
      <c r="A2939" t="s">
        <v>2952</v>
      </c>
      <c r="B2939" t="s">
        <v>2957</v>
      </c>
      <c r="C2939">
        <v>237</v>
      </c>
      <c r="D2939">
        <v>170</v>
      </c>
      <c r="E2939" t="s">
        <v>7</v>
      </c>
    </row>
    <row r="2940" spans="1:5" x14ac:dyDescent="0.35">
      <c r="A2940" t="s">
        <v>2952</v>
      </c>
      <c r="B2940" t="s">
        <v>2958</v>
      </c>
      <c r="C2940">
        <v>288</v>
      </c>
      <c r="D2940">
        <v>181</v>
      </c>
      <c r="E2940" t="s">
        <v>33</v>
      </c>
    </row>
    <row r="2941" spans="1:5" x14ac:dyDescent="0.35">
      <c r="A2941" t="s">
        <v>2952</v>
      </c>
      <c r="B2941" t="s">
        <v>2959</v>
      </c>
      <c r="C2941">
        <v>123</v>
      </c>
      <c r="D2941">
        <v>82</v>
      </c>
      <c r="E2941" t="s">
        <v>11</v>
      </c>
    </row>
    <row r="2942" spans="1:5" x14ac:dyDescent="0.35">
      <c r="A2942" t="s">
        <v>2952</v>
      </c>
      <c r="B2942" t="s">
        <v>2960</v>
      </c>
      <c r="C2942">
        <v>135</v>
      </c>
      <c r="D2942">
        <v>65</v>
      </c>
      <c r="E2942" t="s">
        <v>17</v>
      </c>
    </row>
    <row r="2943" spans="1:5" x14ac:dyDescent="0.35">
      <c r="A2943" t="s">
        <v>2952</v>
      </c>
      <c r="B2943" t="s">
        <v>2961</v>
      </c>
      <c r="C2943">
        <v>235</v>
      </c>
      <c r="D2943">
        <v>110</v>
      </c>
      <c r="E2943" t="s">
        <v>9</v>
      </c>
    </row>
    <row r="2944" spans="1:5" x14ac:dyDescent="0.35">
      <c r="A2944" t="s">
        <v>2952</v>
      </c>
      <c r="B2944" t="s">
        <v>2962</v>
      </c>
      <c r="C2944">
        <v>141</v>
      </c>
      <c r="D2944">
        <v>103</v>
      </c>
      <c r="E2944" t="s">
        <v>21</v>
      </c>
    </row>
    <row r="2945" spans="1:5" x14ac:dyDescent="0.35">
      <c r="A2945" t="s">
        <v>2952</v>
      </c>
      <c r="B2945" t="s">
        <v>2963</v>
      </c>
      <c r="C2945">
        <v>101</v>
      </c>
      <c r="D2945">
        <v>86</v>
      </c>
      <c r="E2945" t="s">
        <v>17</v>
      </c>
    </row>
    <row r="2946" spans="1:5" x14ac:dyDescent="0.35">
      <c r="A2946" t="s">
        <v>2952</v>
      </c>
      <c r="B2946" t="s">
        <v>2964</v>
      </c>
      <c r="C2946">
        <v>266</v>
      </c>
      <c r="D2946">
        <v>162</v>
      </c>
      <c r="E2946" t="s">
        <v>17</v>
      </c>
    </row>
    <row r="2947" spans="1:5" x14ac:dyDescent="0.35">
      <c r="A2947" t="s">
        <v>2952</v>
      </c>
      <c r="B2947" t="s">
        <v>2965</v>
      </c>
      <c r="C2947">
        <v>177</v>
      </c>
      <c r="D2947">
        <v>173</v>
      </c>
      <c r="E2947" t="s">
        <v>11</v>
      </c>
    </row>
    <row r="2948" spans="1:5" x14ac:dyDescent="0.35">
      <c r="A2948" t="s">
        <v>2952</v>
      </c>
      <c r="B2948" t="s">
        <v>2966</v>
      </c>
      <c r="C2948">
        <v>182</v>
      </c>
      <c r="D2948">
        <v>40</v>
      </c>
      <c r="E2948" t="s">
        <v>17</v>
      </c>
    </row>
    <row r="2949" spans="1:5" x14ac:dyDescent="0.35">
      <c r="A2949" t="s">
        <v>2952</v>
      </c>
      <c r="B2949" t="s">
        <v>2967</v>
      </c>
      <c r="C2949">
        <v>228</v>
      </c>
      <c r="D2949">
        <v>33</v>
      </c>
      <c r="E2949" t="s">
        <v>17</v>
      </c>
    </row>
    <row r="2950" spans="1:5" x14ac:dyDescent="0.35">
      <c r="A2950" t="s">
        <v>2952</v>
      </c>
      <c r="B2950" t="s">
        <v>2968</v>
      </c>
      <c r="C2950">
        <v>161</v>
      </c>
      <c r="D2950">
        <v>133</v>
      </c>
      <c r="E2950" t="s">
        <v>21</v>
      </c>
    </row>
    <row r="2951" spans="1:5" x14ac:dyDescent="0.35">
      <c r="A2951" t="s">
        <v>2952</v>
      </c>
      <c r="B2951" t="s">
        <v>2969</v>
      </c>
      <c r="C2951">
        <v>172</v>
      </c>
      <c r="D2951">
        <v>118</v>
      </c>
      <c r="E2951" t="s">
        <v>21</v>
      </c>
    </row>
    <row r="2952" spans="1:5" x14ac:dyDescent="0.35">
      <c r="A2952" t="s">
        <v>2952</v>
      </c>
      <c r="B2952" t="s">
        <v>2970</v>
      </c>
      <c r="C2952">
        <v>147</v>
      </c>
      <c r="D2952">
        <v>108</v>
      </c>
      <c r="E2952" t="s">
        <v>9</v>
      </c>
    </row>
    <row r="2953" spans="1:5" x14ac:dyDescent="0.35">
      <c r="A2953" t="s">
        <v>2952</v>
      </c>
      <c r="B2953" t="s">
        <v>2971</v>
      </c>
      <c r="C2953">
        <v>226</v>
      </c>
      <c r="D2953">
        <v>77</v>
      </c>
      <c r="E2953" t="s">
        <v>21</v>
      </c>
    </row>
    <row r="2954" spans="1:5" x14ac:dyDescent="0.35">
      <c r="A2954" t="s">
        <v>2952</v>
      </c>
      <c r="B2954" t="s">
        <v>2972</v>
      </c>
      <c r="C2954">
        <v>224</v>
      </c>
      <c r="D2954">
        <v>110</v>
      </c>
      <c r="E2954" t="s">
        <v>21</v>
      </c>
    </row>
    <row r="2955" spans="1:5" x14ac:dyDescent="0.35">
      <c r="A2955" t="s">
        <v>2952</v>
      </c>
      <c r="B2955" t="s">
        <v>2973</v>
      </c>
      <c r="C2955">
        <v>192</v>
      </c>
      <c r="D2955">
        <v>153</v>
      </c>
      <c r="E2955" t="s">
        <v>17</v>
      </c>
    </row>
    <row r="2956" spans="1:5" x14ac:dyDescent="0.35">
      <c r="A2956" t="s">
        <v>2952</v>
      </c>
      <c r="B2956" t="s">
        <v>2974</v>
      </c>
      <c r="C2956">
        <v>233</v>
      </c>
      <c r="D2956">
        <v>102</v>
      </c>
      <c r="E2956" t="s">
        <v>17</v>
      </c>
    </row>
    <row r="2957" spans="1:5" x14ac:dyDescent="0.35">
      <c r="A2957" t="s">
        <v>2952</v>
      </c>
      <c r="B2957" t="s">
        <v>2975</v>
      </c>
      <c r="C2957">
        <v>142</v>
      </c>
      <c r="D2957">
        <v>138</v>
      </c>
      <c r="E2957" t="s">
        <v>21</v>
      </c>
    </row>
    <row r="2958" spans="1:5" x14ac:dyDescent="0.35">
      <c r="A2958" t="s">
        <v>2952</v>
      </c>
      <c r="B2958" t="s">
        <v>2976</v>
      </c>
      <c r="C2958">
        <v>97</v>
      </c>
      <c r="D2958">
        <v>86</v>
      </c>
      <c r="E2958" t="s">
        <v>17</v>
      </c>
    </row>
    <row r="2959" spans="1:5" x14ac:dyDescent="0.35">
      <c r="A2959" t="s">
        <v>2952</v>
      </c>
      <c r="B2959" t="s">
        <v>2977</v>
      </c>
      <c r="C2959">
        <v>312</v>
      </c>
      <c r="D2959">
        <v>51</v>
      </c>
      <c r="E2959" t="s">
        <v>7</v>
      </c>
    </row>
    <row r="2960" spans="1:5" x14ac:dyDescent="0.35">
      <c r="A2960" t="s">
        <v>2952</v>
      </c>
      <c r="B2960" t="s">
        <v>2978</v>
      </c>
      <c r="C2960">
        <v>202</v>
      </c>
      <c r="D2960">
        <v>119</v>
      </c>
      <c r="E2960" t="s">
        <v>15</v>
      </c>
    </row>
    <row r="2961" spans="1:5" x14ac:dyDescent="0.35">
      <c r="A2961" t="s">
        <v>2952</v>
      </c>
      <c r="B2961" t="s">
        <v>2979</v>
      </c>
      <c r="C2961">
        <v>229</v>
      </c>
      <c r="D2961">
        <v>46</v>
      </c>
      <c r="E2961" t="s">
        <v>33</v>
      </c>
    </row>
    <row r="2962" spans="1:5" x14ac:dyDescent="0.35">
      <c r="A2962" t="s">
        <v>2952</v>
      </c>
      <c r="B2962" t="s">
        <v>2980</v>
      </c>
      <c r="C2962">
        <v>238</v>
      </c>
      <c r="D2962">
        <v>180</v>
      </c>
      <c r="E2962" t="s">
        <v>7</v>
      </c>
    </row>
    <row r="2963" spans="1:5" x14ac:dyDescent="0.35">
      <c r="A2963" t="s">
        <v>2952</v>
      </c>
      <c r="B2963" t="s">
        <v>2981</v>
      </c>
      <c r="C2963">
        <v>246</v>
      </c>
      <c r="D2963">
        <v>169</v>
      </c>
      <c r="E2963" t="s">
        <v>9</v>
      </c>
    </row>
    <row r="2964" spans="1:5" x14ac:dyDescent="0.35">
      <c r="A2964" t="s">
        <v>2952</v>
      </c>
      <c r="B2964" t="s">
        <v>2982</v>
      </c>
      <c r="C2964">
        <v>231</v>
      </c>
      <c r="D2964">
        <v>74</v>
      </c>
      <c r="E2964" t="s">
        <v>15</v>
      </c>
    </row>
    <row r="2965" spans="1:5" x14ac:dyDescent="0.35">
      <c r="A2965" t="s">
        <v>2952</v>
      </c>
      <c r="B2965" t="s">
        <v>2983</v>
      </c>
      <c r="C2965">
        <v>187</v>
      </c>
      <c r="D2965">
        <v>151</v>
      </c>
      <c r="E2965" t="s">
        <v>33</v>
      </c>
    </row>
    <row r="2966" spans="1:5" x14ac:dyDescent="0.35">
      <c r="A2966" t="s">
        <v>2952</v>
      </c>
      <c r="B2966" t="s">
        <v>2984</v>
      </c>
      <c r="C2966">
        <v>227</v>
      </c>
      <c r="D2966">
        <v>173</v>
      </c>
      <c r="E2966" t="s">
        <v>15</v>
      </c>
    </row>
    <row r="2967" spans="1:5" x14ac:dyDescent="0.35">
      <c r="A2967" t="s">
        <v>2952</v>
      </c>
      <c r="B2967" t="s">
        <v>2985</v>
      </c>
      <c r="C2967">
        <v>319</v>
      </c>
      <c r="D2967">
        <v>41</v>
      </c>
      <c r="E2967" t="s">
        <v>15</v>
      </c>
    </row>
    <row r="2968" spans="1:5" x14ac:dyDescent="0.35">
      <c r="A2968" t="s">
        <v>2952</v>
      </c>
      <c r="B2968" t="s">
        <v>2986</v>
      </c>
      <c r="C2968">
        <v>319</v>
      </c>
      <c r="D2968">
        <v>50</v>
      </c>
      <c r="E2968" t="s">
        <v>15</v>
      </c>
    </row>
    <row r="2969" spans="1:5" x14ac:dyDescent="0.35">
      <c r="A2969" t="s">
        <v>2952</v>
      </c>
      <c r="B2969" t="s">
        <v>2987</v>
      </c>
      <c r="C2969">
        <v>271</v>
      </c>
      <c r="D2969">
        <v>79</v>
      </c>
      <c r="E2969" t="s">
        <v>15</v>
      </c>
    </row>
    <row r="2970" spans="1:5" x14ac:dyDescent="0.35">
      <c r="A2970" t="s">
        <v>2952</v>
      </c>
      <c r="B2970" t="s">
        <v>2988</v>
      </c>
      <c r="C2970">
        <v>129</v>
      </c>
      <c r="D2970">
        <v>52</v>
      </c>
      <c r="E2970" t="s">
        <v>33</v>
      </c>
    </row>
    <row r="2971" spans="1:5" x14ac:dyDescent="0.35">
      <c r="A2971" t="s">
        <v>2952</v>
      </c>
      <c r="B2971" t="s">
        <v>2989</v>
      </c>
      <c r="C2971">
        <v>257</v>
      </c>
      <c r="D2971">
        <v>143</v>
      </c>
      <c r="E2971" t="s">
        <v>17</v>
      </c>
    </row>
    <row r="2972" spans="1:5" x14ac:dyDescent="0.35">
      <c r="A2972" t="s">
        <v>2952</v>
      </c>
      <c r="B2972" t="s">
        <v>2990</v>
      </c>
      <c r="C2972">
        <v>131</v>
      </c>
      <c r="D2972">
        <v>61</v>
      </c>
      <c r="E2972" t="s">
        <v>15</v>
      </c>
    </row>
    <row r="2973" spans="1:5" x14ac:dyDescent="0.35">
      <c r="A2973" t="s">
        <v>2952</v>
      </c>
      <c r="B2973" t="s">
        <v>2991</v>
      </c>
      <c r="C2973">
        <v>258</v>
      </c>
      <c r="D2973">
        <v>178</v>
      </c>
      <c r="E2973" t="s">
        <v>11</v>
      </c>
    </row>
    <row r="2974" spans="1:5" x14ac:dyDescent="0.35">
      <c r="A2974" t="s">
        <v>2952</v>
      </c>
      <c r="B2974" t="s">
        <v>2992</v>
      </c>
      <c r="C2974">
        <v>240</v>
      </c>
      <c r="D2974">
        <v>72</v>
      </c>
      <c r="E2974" t="s">
        <v>33</v>
      </c>
    </row>
    <row r="2975" spans="1:5" x14ac:dyDescent="0.35">
      <c r="A2975" t="s">
        <v>2952</v>
      </c>
      <c r="B2975" t="s">
        <v>2993</v>
      </c>
      <c r="C2975">
        <v>99</v>
      </c>
      <c r="D2975">
        <v>34</v>
      </c>
      <c r="E2975" t="s">
        <v>21</v>
      </c>
    </row>
    <row r="2976" spans="1:5" x14ac:dyDescent="0.35">
      <c r="A2976" t="s">
        <v>2952</v>
      </c>
      <c r="B2976" t="s">
        <v>2994</v>
      </c>
      <c r="C2976">
        <v>274</v>
      </c>
      <c r="D2976">
        <v>35</v>
      </c>
      <c r="E2976" t="s">
        <v>33</v>
      </c>
    </row>
    <row r="2977" spans="1:5" x14ac:dyDescent="0.35">
      <c r="A2977" t="s">
        <v>2952</v>
      </c>
      <c r="B2977" t="s">
        <v>2995</v>
      </c>
      <c r="C2977">
        <v>319</v>
      </c>
      <c r="D2977">
        <v>50</v>
      </c>
      <c r="E2977" t="s">
        <v>33</v>
      </c>
    </row>
    <row r="2978" spans="1:5" x14ac:dyDescent="0.35">
      <c r="A2978" t="s">
        <v>2952</v>
      </c>
      <c r="B2978" t="s">
        <v>2996</v>
      </c>
      <c r="C2978">
        <v>311</v>
      </c>
      <c r="D2978">
        <v>64</v>
      </c>
      <c r="E2978" t="s">
        <v>21</v>
      </c>
    </row>
    <row r="2979" spans="1:5" x14ac:dyDescent="0.35">
      <c r="A2979" t="s">
        <v>2952</v>
      </c>
      <c r="B2979" t="s">
        <v>2997</v>
      </c>
      <c r="C2979">
        <v>166</v>
      </c>
      <c r="D2979">
        <v>40</v>
      </c>
      <c r="E2979" t="s">
        <v>7</v>
      </c>
    </row>
    <row r="2980" spans="1:5" x14ac:dyDescent="0.35">
      <c r="A2980" t="s">
        <v>2952</v>
      </c>
      <c r="B2980" t="s">
        <v>2998</v>
      </c>
      <c r="C2980">
        <v>187</v>
      </c>
      <c r="D2980">
        <v>51</v>
      </c>
      <c r="E2980" t="s">
        <v>21</v>
      </c>
    </row>
    <row r="2981" spans="1:5" x14ac:dyDescent="0.35">
      <c r="A2981" t="s">
        <v>2952</v>
      </c>
      <c r="B2981" t="s">
        <v>2999</v>
      </c>
      <c r="C2981">
        <v>312</v>
      </c>
      <c r="D2981">
        <v>173</v>
      </c>
      <c r="E2981" t="s">
        <v>21</v>
      </c>
    </row>
    <row r="2982" spans="1:5" x14ac:dyDescent="0.35">
      <c r="A2982" t="s">
        <v>2952</v>
      </c>
      <c r="B2982" t="s">
        <v>3000</v>
      </c>
      <c r="C2982">
        <v>248</v>
      </c>
      <c r="D2982">
        <v>118</v>
      </c>
      <c r="E2982" t="s">
        <v>9</v>
      </c>
    </row>
    <row r="2983" spans="1:5" x14ac:dyDescent="0.35">
      <c r="A2983" t="s">
        <v>2952</v>
      </c>
      <c r="B2983" t="s">
        <v>3001</v>
      </c>
      <c r="C2983">
        <v>71</v>
      </c>
      <c r="D2983">
        <v>33</v>
      </c>
      <c r="E2983" t="s">
        <v>7</v>
      </c>
    </row>
    <row r="2984" spans="1:5" x14ac:dyDescent="0.35">
      <c r="A2984" t="s">
        <v>2952</v>
      </c>
      <c r="B2984" t="s">
        <v>3002</v>
      </c>
      <c r="C2984">
        <v>141</v>
      </c>
      <c r="D2984">
        <v>51</v>
      </c>
      <c r="E2984" t="s">
        <v>21</v>
      </c>
    </row>
    <row r="2985" spans="1:5" x14ac:dyDescent="0.35">
      <c r="A2985" t="s">
        <v>2952</v>
      </c>
      <c r="B2985" t="s">
        <v>3003</v>
      </c>
      <c r="C2985">
        <v>214</v>
      </c>
      <c r="D2985">
        <v>105</v>
      </c>
      <c r="E2985" t="s">
        <v>17</v>
      </c>
    </row>
    <row r="2986" spans="1:5" x14ac:dyDescent="0.35">
      <c r="A2986" t="s">
        <v>2952</v>
      </c>
      <c r="B2986" t="s">
        <v>3004</v>
      </c>
      <c r="C2986">
        <v>95</v>
      </c>
      <c r="D2986">
        <v>55</v>
      </c>
      <c r="E2986" t="s">
        <v>33</v>
      </c>
    </row>
    <row r="2987" spans="1:5" x14ac:dyDescent="0.35">
      <c r="A2987" t="s">
        <v>2952</v>
      </c>
      <c r="B2987" t="s">
        <v>3005</v>
      </c>
      <c r="C2987">
        <v>188</v>
      </c>
      <c r="D2987">
        <v>110</v>
      </c>
      <c r="E2987" t="s">
        <v>15</v>
      </c>
    </row>
    <row r="2988" spans="1:5" x14ac:dyDescent="0.35">
      <c r="A2988" t="s">
        <v>2952</v>
      </c>
      <c r="B2988" t="s">
        <v>3006</v>
      </c>
      <c r="C2988">
        <v>229</v>
      </c>
      <c r="D2988">
        <v>60</v>
      </c>
      <c r="E2988" t="s">
        <v>33</v>
      </c>
    </row>
    <row r="2989" spans="1:5" x14ac:dyDescent="0.35">
      <c r="A2989" t="s">
        <v>2952</v>
      </c>
      <c r="B2989" t="s">
        <v>3007</v>
      </c>
      <c r="C2989">
        <v>66</v>
      </c>
      <c r="D2989">
        <v>36</v>
      </c>
      <c r="E2989" t="s">
        <v>11</v>
      </c>
    </row>
    <row r="2990" spans="1:5" x14ac:dyDescent="0.35">
      <c r="A2990" t="s">
        <v>2952</v>
      </c>
      <c r="B2990" t="s">
        <v>3008</v>
      </c>
      <c r="C2990">
        <v>156</v>
      </c>
      <c r="D2990">
        <v>55</v>
      </c>
      <c r="E2990" t="s">
        <v>11</v>
      </c>
    </row>
    <row r="2991" spans="1:5" x14ac:dyDescent="0.35">
      <c r="A2991" t="s">
        <v>2952</v>
      </c>
      <c r="B2991" t="s">
        <v>3009</v>
      </c>
      <c r="C2991">
        <v>185</v>
      </c>
      <c r="D2991">
        <v>148</v>
      </c>
      <c r="E2991" t="s">
        <v>33</v>
      </c>
    </row>
    <row r="2992" spans="1:5" x14ac:dyDescent="0.35">
      <c r="A2992" t="s">
        <v>2952</v>
      </c>
      <c r="B2992" t="s">
        <v>3010</v>
      </c>
      <c r="C2992">
        <v>205</v>
      </c>
      <c r="D2992">
        <v>43</v>
      </c>
      <c r="E2992" t="s">
        <v>11</v>
      </c>
    </row>
    <row r="2993" spans="1:5" x14ac:dyDescent="0.35">
      <c r="A2993" t="s">
        <v>2952</v>
      </c>
      <c r="B2993" t="s">
        <v>3011</v>
      </c>
      <c r="C2993">
        <v>88</v>
      </c>
      <c r="D2993">
        <v>85</v>
      </c>
      <c r="E2993" t="s">
        <v>17</v>
      </c>
    </row>
    <row r="2994" spans="1:5" x14ac:dyDescent="0.35">
      <c r="A2994" t="s">
        <v>2952</v>
      </c>
      <c r="B2994" t="s">
        <v>3012</v>
      </c>
      <c r="C2994">
        <v>114</v>
      </c>
      <c r="D2994">
        <v>73</v>
      </c>
      <c r="E2994" t="s">
        <v>15</v>
      </c>
    </row>
    <row r="2995" spans="1:5" x14ac:dyDescent="0.35">
      <c r="A2995" t="s">
        <v>2952</v>
      </c>
      <c r="B2995" t="s">
        <v>3013</v>
      </c>
      <c r="C2995">
        <v>117</v>
      </c>
      <c r="D2995">
        <v>71</v>
      </c>
      <c r="E2995" t="s">
        <v>33</v>
      </c>
    </row>
    <row r="2996" spans="1:5" x14ac:dyDescent="0.35">
      <c r="A2996" t="s">
        <v>2952</v>
      </c>
      <c r="B2996" t="s">
        <v>3014</v>
      </c>
      <c r="C2996">
        <v>230</v>
      </c>
      <c r="D2996">
        <v>46</v>
      </c>
      <c r="E2996" t="s">
        <v>21</v>
      </c>
    </row>
    <row r="2997" spans="1:5" x14ac:dyDescent="0.35">
      <c r="A2997" t="s">
        <v>2952</v>
      </c>
      <c r="B2997" t="s">
        <v>3015</v>
      </c>
      <c r="C2997">
        <v>157</v>
      </c>
      <c r="D2997">
        <v>105</v>
      </c>
      <c r="E2997" t="s">
        <v>17</v>
      </c>
    </row>
    <row r="2998" spans="1:5" x14ac:dyDescent="0.35">
      <c r="A2998" t="s">
        <v>2952</v>
      </c>
      <c r="B2998" t="s">
        <v>3016</v>
      </c>
      <c r="C2998">
        <v>266</v>
      </c>
      <c r="D2998">
        <v>94</v>
      </c>
      <c r="E2998" t="s">
        <v>21</v>
      </c>
    </row>
    <row r="2999" spans="1:5" x14ac:dyDescent="0.35">
      <c r="A2999" t="s">
        <v>2952</v>
      </c>
      <c r="B2999" t="s">
        <v>3017</v>
      </c>
      <c r="C2999">
        <v>233</v>
      </c>
      <c r="D2999">
        <v>101</v>
      </c>
      <c r="E2999" t="s">
        <v>33</v>
      </c>
    </row>
    <row r="3000" spans="1:5" x14ac:dyDescent="0.35">
      <c r="A3000" t="s">
        <v>2952</v>
      </c>
      <c r="B3000" t="s">
        <v>3018</v>
      </c>
      <c r="C3000">
        <v>216</v>
      </c>
      <c r="D3000">
        <v>32</v>
      </c>
      <c r="E3000" t="s">
        <v>33</v>
      </c>
    </row>
    <row r="3001" spans="1:5" x14ac:dyDescent="0.35">
      <c r="A3001" t="s">
        <v>2952</v>
      </c>
      <c r="B3001" t="s">
        <v>3019</v>
      </c>
      <c r="C3001">
        <v>217</v>
      </c>
      <c r="D3001">
        <v>159</v>
      </c>
      <c r="E3001" t="s">
        <v>9</v>
      </c>
    </row>
    <row r="3002" spans="1:5" x14ac:dyDescent="0.35">
      <c r="A3002" t="s">
        <v>2952</v>
      </c>
      <c r="B3002" t="s">
        <v>3020</v>
      </c>
      <c r="C3002">
        <v>97</v>
      </c>
      <c r="D3002">
        <v>82</v>
      </c>
      <c r="E3002" t="s">
        <v>7</v>
      </c>
    </row>
    <row r="3003" spans="1:5" x14ac:dyDescent="0.35">
      <c r="A3003" t="s">
        <v>2952</v>
      </c>
      <c r="B3003" t="s">
        <v>3021</v>
      </c>
      <c r="C3003">
        <v>221</v>
      </c>
      <c r="D3003">
        <v>138</v>
      </c>
      <c r="E3003" t="s">
        <v>17</v>
      </c>
    </row>
    <row r="3004" spans="1:5" x14ac:dyDescent="0.35">
      <c r="A3004" t="s">
        <v>2952</v>
      </c>
      <c r="B3004" t="s">
        <v>3022</v>
      </c>
      <c r="C3004">
        <v>314</v>
      </c>
      <c r="D3004">
        <v>51</v>
      </c>
      <c r="E3004" t="s">
        <v>21</v>
      </c>
    </row>
    <row r="3005" spans="1:5" x14ac:dyDescent="0.35">
      <c r="A3005" t="s">
        <v>2952</v>
      </c>
      <c r="B3005" t="s">
        <v>3023</v>
      </c>
      <c r="C3005">
        <v>173</v>
      </c>
      <c r="D3005">
        <v>92</v>
      </c>
      <c r="E3005" t="s">
        <v>33</v>
      </c>
    </row>
    <row r="3006" spans="1:5" x14ac:dyDescent="0.35">
      <c r="A3006" t="s">
        <v>2952</v>
      </c>
      <c r="B3006" t="s">
        <v>3024</v>
      </c>
      <c r="C3006">
        <v>242</v>
      </c>
      <c r="D3006">
        <v>183</v>
      </c>
      <c r="E3006" t="s">
        <v>7</v>
      </c>
    </row>
    <row r="3007" spans="1:5" x14ac:dyDescent="0.35">
      <c r="A3007" t="s">
        <v>2952</v>
      </c>
      <c r="B3007" t="s">
        <v>3025</v>
      </c>
      <c r="C3007">
        <v>189</v>
      </c>
      <c r="D3007">
        <v>165</v>
      </c>
      <c r="E3007" t="s">
        <v>11</v>
      </c>
    </row>
    <row r="3008" spans="1:5" x14ac:dyDescent="0.35">
      <c r="A3008" t="s">
        <v>2952</v>
      </c>
      <c r="B3008" t="s">
        <v>3026</v>
      </c>
      <c r="C3008">
        <v>148</v>
      </c>
      <c r="D3008">
        <v>126</v>
      </c>
      <c r="E3008" t="s">
        <v>11</v>
      </c>
    </row>
    <row r="3009" spans="1:5" x14ac:dyDescent="0.35">
      <c r="A3009" t="s">
        <v>2952</v>
      </c>
      <c r="B3009" t="s">
        <v>3027</v>
      </c>
      <c r="C3009">
        <v>160</v>
      </c>
      <c r="D3009">
        <v>148</v>
      </c>
      <c r="E3009" t="s">
        <v>11</v>
      </c>
    </row>
    <row r="3010" spans="1:5" x14ac:dyDescent="0.35">
      <c r="A3010" t="s">
        <v>2952</v>
      </c>
      <c r="B3010" t="s">
        <v>3028</v>
      </c>
      <c r="C3010">
        <v>220</v>
      </c>
      <c r="D3010">
        <v>170</v>
      </c>
      <c r="E3010" t="s">
        <v>21</v>
      </c>
    </row>
    <row r="3011" spans="1:5" x14ac:dyDescent="0.35">
      <c r="A3011" t="s">
        <v>2952</v>
      </c>
      <c r="B3011" t="s">
        <v>3029</v>
      </c>
      <c r="C3011">
        <v>310</v>
      </c>
      <c r="D3011">
        <v>112</v>
      </c>
      <c r="E3011" t="s">
        <v>9</v>
      </c>
    </row>
    <row r="3012" spans="1:5" x14ac:dyDescent="0.35">
      <c r="A3012" t="s">
        <v>3030</v>
      </c>
      <c r="B3012" t="s">
        <v>3031</v>
      </c>
      <c r="C3012">
        <v>132</v>
      </c>
      <c r="D3012">
        <v>35</v>
      </c>
      <c r="E3012" t="s">
        <v>17</v>
      </c>
    </row>
    <row r="3013" spans="1:5" x14ac:dyDescent="0.35">
      <c r="A3013" t="s">
        <v>3030</v>
      </c>
      <c r="B3013" t="s">
        <v>3032</v>
      </c>
      <c r="C3013">
        <v>155</v>
      </c>
      <c r="D3013">
        <v>142</v>
      </c>
      <c r="E3013" t="s">
        <v>33</v>
      </c>
    </row>
    <row r="3014" spans="1:5" x14ac:dyDescent="0.35">
      <c r="A3014" t="s">
        <v>3030</v>
      </c>
      <c r="B3014" t="s">
        <v>3033</v>
      </c>
      <c r="C3014">
        <v>220</v>
      </c>
      <c r="D3014">
        <v>127</v>
      </c>
      <c r="E3014" t="s">
        <v>21</v>
      </c>
    </row>
    <row r="3015" spans="1:5" x14ac:dyDescent="0.35">
      <c r="A3015" t="s">
        <v>3030</v>
      </c>
      <c r="B3015" t="s">
        <v>3034</v>
      </c>
      <c r="C3015">
        <v>76</v>
      </c>
      <c r="D3015">
        <v>68</v>
      </c>
      <c r="E3015" t="s">
        <v>21</v>
      </c>
    </row>
    <row r="3016" spans="1:5" x14ac:dyDescent="0.35">
      <c r="A3016" t="s">
        <v>3030</v>
      </c>
      <c r="B3016" t="s">
        <v>3035</v>
      </c>
      <c r="C3016">
        <v>180</v>
      </c>
      <c r="D3016">
        <v>140</v>
      </c>
      <c r="E3016" t="s">
        <v>33</v>
      </c>
    </row>
    <row r="3017" spans="1:5" x14ac:dyDescent="0.35">
      <c r="A3017" t="s">
        <v>3030</v>
      </c>
      <c r="B3017" t="s">
        <v>3036</v>
      </c>
      <c r="C3017">
        <v>222</v>
      </c>
      <c r="D3017">
        <v>161</v>
      </c>
      <c r="E3017" t="s">
        <v>9</v>
      </c>
    </row>
    <row r="3018" spans="1:5" x14ac:dyDescent="0.35">
      <c r="A3018" t="s">
        <v>3030</v>
      </c>
      <c r="B3018" t="s">
        <v>3037</v>
      </c>
      <c r="C3018">
        <v>274</v>
      </c>
      <c r="D3018">
        <v>39</v>
      </c>
      <c r="E3018" t="s">
        <v>33</v>
      </c>
    </row>
    <row r="3019" spans="1:5" x14ac:dyDescent="0.35">
      <c r="A3019" t="s">
        <v>3030</v>
      </c>
      <c r="B3019" t="s">
        <v>3038</v>
      </c>
      <c r="C3019">
        <v>291</v>
      </c>
      <c r="D3019">
        <v>107</v>
      </c>
      <c r="E3019" t="s">
        <v>7</v>
      </c>
    </row>
    <row r="3020" spans="1:5" x14ac:dyDescent="0.35">
      <c r="A3020" t="s">
        <v>3030</v>
      </c>
      <c r="B3020" t="s">
        <v>3039</v>
      </c>
      <c r="C3020">
        <v>215</v>
      </c>
      <c r="D3020">
        <v>156</v>
      </c>
      <c r="E3020" t="s">
        <v>9</v>
      </c>
    </row>
    <row r="3021" spans="1:5" x14ac:dyDescent="0.35">
      <c r="A3021" t="s">
        <v>3030</v>
      </c>
      <c r="B3021" t="s">
        <v>3040</v>
      </c>
      <c r="C3021">
        <v>158</v>
      </c>
      <c r="D3021">
        <v>128</v>
      </c>
      <c r="E3021" t="s">
        <v>11</v>
      </c>
    </row>
    <row r="3022" spans="1:5" x14ac:dyDescent="0.35">
      <c r="A3022" t="s">
        <v>3030</v>
      </c>
      <c r="B3022" t="s">
        <v>3041</v>
      </c>
      <c r="C3022">
        <v>208</v>
      </c>
      <c r="D3022">
        <v>152</v>
      </c>
      <c r="E3022" t="s">
        <v>15</v>
      </c>
    </row>
    <row r="3023" spans="1:5" x14ac:dyDescent="0.35">
      <c r="A3023" t="s">
        <v>3030</v>
      </c>
      <c r="B3023" t="s">
        <v>3042</v>
      </c>
      <c r="C3023">
        <v>217</v>
      </c>
      <c r="D3023">
        <v>187</v>
      </c>
      <c r="E3023" t="s">
        <v>15</v>
      </c>
    </row>
    <row r="3024" spans="1:5" x14ac:dyDescent="0.35">
      <c r="A3024" t="s">
        <v>3030</v>
      </c>
      <c r="B3024" t="s">
        <v>3043</v>
      </c>
      <c r="C3024">
        <v>134</v>
      </c>
      <c r="D3024">
        <v>112</v>
      </c>
      <c r="E3024" t="s">
        <v>9</v>
      </c>
    </row>
    <row r="3025" spans="1:5" x14ac:dyDescent="0.35">
      <c r="A3025" t="s">
        <v>3030</v>
      </c>
      <c r="B3025" t="s">
        <v>3044</v>
      </c>
      <c r="C3025">
        <v>147</v>
      </c>
      <c r="D3025">
        <v>147</v>
      </c>
      <c r="E3025" t="s">
        <v>15</v>
      </c>
    </row>
    <row r="3026" spans="1:5" x14ac:dyDescent="0.35">
      <c r="A3026" t="s">
        <v>3030</v>
      </c>
      <c r="B3026" t="s">
        <v>3045</v>
      </c>
      <c r="C3026">
        <v>243</v>
      </c>
      <c r="D3026">
        <v>139</v>
      </c>
      <c r="E3026" t="s">
        <v>9</v>
      </c>
    </row>
    <row r="3027" spans="1:5" x14ac:dyDescent="0.35">
      <c r="A3027" t="s">
        <v>3030</v>
      </c>
      <c r="B3027" t="s">
        <v>3046</v>
      </c>
      <c r="C3027">
        <v>235</v>
      </c>
      <c r="D3027">
        <v>149</v>
      </c>
      <c r="E3027" t="s">
        <v>21</v>
      </c>
    </row>
    <row r="3028" spans="1:5" x14ac:dyDescent="0.35">
      <c r="A3028" t="s">
        <v>3030</v>
      </c>
      <c r="B3028" t="s">
        <v>3047</v>
      </c>
      <c r="C3028">
        <v>179</v>
      </c>
      <c r="D3028">
        <v>111</v>
      </c>
      <c r="E3028" t="s">
        <v>17</v>
      </c>
    </row>
    <row r="3029" spans="1:5" x14ac:dyDescent="0.35">
      <c r="A3029" t="s">
        <v>3030</v>
      </c>
      <c r="B3029" t="s">
        <v>3048</v>
      </c>
      <c r="C3029">
        <v>236</v>
      </c>
      <c r="D3029">
        <v>39</v>
      </c>
      <c r="E3029" t="s">
        <v>15</v>
      </c>
    </row>
    <row r="3030" spans="1:5" x14ac:dyDescent="0.35">
      <c r="A3030" t="s">
        <v>3030</v>
      </c>
      <c r="B3030" t="s">
        <v>3049</v>
      </c>
      <c r="C3030">
        <v>211</v>
      </c>
      <c r="D3030">
        <v>163</v>
      </c>
      <c r="E3030" t="s">
        <v>17</v>
      </c>
    </row>
    <row r="3031" spans="1:5" x14ac:dyDescent="0.35">
      <c r="A3031" t="s">
        <v>3030</v>
      </c>
      <c r="B3031" t="s">
        <v>3050</v>
      </c>
      <c r="C3031">
        <v>242</v>
      </c>
      <c r="D3031">
        <v>161</v>
      </c>
      <c r="E3031" t="s">
        <v>21</v>
      </c>
    </row>
    <row r="3032" spans="1:5" x14ac:dyDescent="0.35">
      <c r="A3032" t="s">
        <v>3030</v>
      </c>
      <c r="B3032" t="s">
        <v>3051</v>
      </c>
      <c r="C3032">
        <v>238</v>
      </c>
      <c r="D3032">
        <v>146</v>
      </c>
      <c r="E3032" t="s">
        <v>11</v>
      </c>
    </row>
    <row r="3033" spans="1:5" x14ac:dyDescent="0.35">
      <c r="A3033" t="s">
        <v>3030</v>
      </c>
      <c r="B3033" t="s">
        <v>3052</v>
      </c>
      <c r="C3033">
        <v>181</v>
      </c>
      <c r="D3033">
        <v>100</v>
      </c>
      <c r="E3033" t="s">
        <v>21</v>
      </c>
    </row>
    <row r="3034" spans="1:5" x14ac:dyDescent="0.35">
      <c r="A3034" t="s">
        <v>3030</v>
      </c>
      <c r="B3034" t="s">
        <v>3053</v>
      </c>
      <c r="C3034">
        <v>309</v>
      </c>
      <c r="D3034">
        <v>139</v>
      </c>
      <c r="E3034" t="s">
        <v>17</v>
      </c>
    </row>
    <row r="3035" spans="1:5" x14ac:dyDescent="0.35">
      <c r="A3035" t="s">
        <v>3030</v>
      </c>
      <c r="B3035" t="s">
        <v>3054</v>
      </c>
      <c r="C3035">
        <v>286</v>
      </c>
      <c r="D3035">
        <v>36</v>
      </c>
      <c r="E3035" t="s">
        <v>15</v>
      </c>
    </row>
    <row r="3036" spans="1:5" x14ac:dyDescent="0.35">
      <c r="A3036" t="s">
        <v>3030</v>
      </c>
      <c r="B3036" t="s">
        <v>3055</v>
      </c>
      <c r="C3036">
        <v>227</v>
      </c>
      <c r="D3036">
        <v>189</v>
      </c>
      <c r="E3036" t="s">
        <v>17</v>
      </c>
    </row>
    <row r="3037" spans="1:5" x14ac:dyDescent="0.35">
      <c r="A3037" t="s">
        <v>3030</v>
      </c>
      <c r="B3037" t="s">
        <v>3056</v>
      </c>
      <c r="C3037">
        <v>188</v>
      </c>
      <c r="D3037">
        <v>175</v>
      </c>
      <c r="E3037" t="s">
        <v>17</v>
      </c>
    </row>
    <row r="3038" spans="1:5" x14ac:dyDescent="0.35">
      <c r="A3038" t="s">
        <v>3030</v>
      </c>
      <c r="B3038" t="s">
        <v>3057</v>
      </c>
      <c r="C3038">
        <v>109</v>
      </c>
      <c r="D3038">
        <v>63</v>
      </c>
      <c r="E3038" t="s">
        <v>9</v>
      </c>
    </row>
    <row r="3039" spans="1:5" x14ac:dyDescent="0.35">
      <c r="A3039" t="s">
        <v>3030</v>
      </c>
      <c r="B3039" t="s">
        <v>3058</v>
      </c>
      <c r="C3039">
        <v>256</v>
      </c>
      <c r="D3039">
        <v>161</v>
      </c>
      <c r="E3039" t="s">
        <v>7</v>
      </c>
    </row>
    <row r="3040" spans="1:5" x14ac:dyDescent="0.35">
      <c r="A3040" t="s">
        <v>3030</v>
      </c>
      <c r="B3040" t="s">
        <v>3059</v>
      </c>
      <c r="C3040">
        <v>194</v>
      </c>
      <c r="D3040">
        <v>49</v>
      </c>
      <c r="E3040" t="s">
        <v>7</v>
      </c>
    </row>
    <row r="3041" spans="1:5" x14ac:dyDescent="0.35">
      <c r="A3041" t="s">
        <v>3030</v>
      </c>
      <c r="B3041" t="s">
        <v>3060</v>
      </c>
      <c r="C3041">
        <v>179</v>
      </c>
      <c r="D3041">
        <v>168</v>
      </c>
      <c r="E3041" t="s">
        <v>33</v>
      </c>
    </row>
    <row r="3042" spans="1:5" x14ac:dyDescent="0.35">
      <c r="A3042" t="s">
        <v>3030</v>
      </c>
      <c r="B3042" t="s">
        <v>3061</v>
      </c>
      <c r="C3042">
        <v>220</v>
      </c>
      <c r="D3042">
        <v>175</v>
      </c>
      <c r="E3042" t="s">
        <v>15</v>
      </c>
    </row>
    <row r="3043" spans="1:5" x14ac:dyDescent="0.35">
      <c r="A3043" t="s">
        <v>3030</v>
      </c>
      <c r="B3043" t="s">
        <v>3062</v>
      </c>
      <c r="C3043">
        <v>225</v>
      </c>
      <c r="D3043">
        <v>168</v>
      </c>
      <c r="E3043" t="s">
        <v>11</v>
      </c>
    </row>
    <row r="3044" spans="1:5" x14ac:dyDescent="0.35">
      <c r="A3044" t="s">
        <v>3030</v>
      </c>
      <c r="B3044" t="s">
        <v>3063</v>
      </c>
      <c r="C3044">
        <v>155</v>
      </c>
      <c r="D3044">
        <v>120</v>
      </c>
      <c r="E3044" t="s">
        <v>15</v>
      </c>
    </row>
    <row r="3045" spans="1:5" x14ac:dyDescent="0.35">
      <c r="A3045" t="s">
        <v>3030</v>
      </c>
      <c r="B3045" t="s">
        <v>3064</v>
      </c>
      <c r="C3045">
        <v>285</v>
      </c>
      <c r="D3045">
        <v>142</v>
      </c>
      <c r="E3045" t="s">
        <v>7</v>
      </c>
    </row>
    <row r="3046" spans="1:5" x14ac:dyDescent="0.35">
      <c r="A3046" t="s">
        <v>3030</v>
      </c>
      <c r="B3046" t="s">
        <v>3065</v>
      </c>
      <c r="C3046">
        <v>152</v>
      </c>
      <c r="D3046">
        <v>146</v>
      </c>
      <c r="E3046" t="s">
        <v>17</v>
      </c>
    </row>
    <row r="3047" spans="1:5" x14ac:dyDescent="0.35">
      <c r="A3047" t="s">
        <v>3030</v>
      </c>
      <c r="B3047" t="s">
        <v>3066</v>
      </c>
      <c r="C3047">
        <v>233</v>
      </c>
      <c r="D3047">
        <v>187</v>
      </c>
      <c r="E3047" t="s">
        <v>21</v>
      </c>
    </row>
    <row r="3048" spans="1:5" x14ac:dyDescent="0.35">
      <c r="A3048" t="s">
        <v>3030</v>
      </c>
      <c r="B3048" t="s">
        <v>3067</v>
      </c>
      <c r="C3048">
        <v>219</v>
      </c>
      <c r="D3048">
        <v>145</v>
      </c>
      <c r="E3048" t="s">
        <v>9</v>
      </c>
    </row>
    <row r="3049" spans="1:5" x14ac:dyDescent="0.35">
      <c r="A3049" t="s">
        <v>3030</v>
      </c>
      <c r="B3049" t="s">
        <v>3068</v>
      </c>
      <c r="C3049">
        <v>238</v>
      </c>
      <c r="D3049">
        <v>190</v>
      </c>
      <c r="E3049" t="s">
        <v>21</v>
      </c>
    </row>
    <row r="3050" spans="1:5" x14ac:dyDescent="0.35">
      <c r="A3050" t="s">
        <v>3030</v>
      </c>
      <c r="B3050" t="s">
        <v>3069</v>
      </c>
      <c r="C3050">
        <v>221</v>
      </c>
      <c r="D3050">
        <v>55</v>
      </c>
      <c r="E3050" t="s">
        <v>33</v>
      </c>
    </row>
    <row r="3051" spans="1:5" x14ac:dyDescent="0.35">
      <c r="A3051" t="s">
        <v>3030</v>
      </c>
      <c r="B3051" t="s">
        <v>3070</v>
      </c>
      <c r="C3051">
        <v>287</v>
      </c>
      <c r="D3051">
        <v>42</v>
      </c>
      <c r="E3051" t="s">
        <v>21</v>
      </c>
    </row>
    <row r="3052" spans="1:5" x14ac:dyDescent="0.35">
      <c r="A3052" t="s">
        <v>3030</v>
      </c>
      <c r="B3052" t="s">
        <v>3071</v>
      </c>
      <c r="C3052">
        <v>141</v>
      </c>
      <c r="D3052">
        <v>81</v>
      </c>
      <c r="E3052" t="s">
        <v>11</v>
      </c>
    </row>
    <row r="3053" spans="1:5" x14ac:dyDescent="0.35">
      <c r="A3053" t="s">
        <v>3030</v>
      </c>
      <c r="B3053" t="s">
        <v>3072</v>
      </c>
      <c r="C3053">
        <v>247</v>
      </c>
      <c r="D3053">
        <v>152</v>
      </c>
      <c r="E3053" t="s">
        <v>17</v>
      </c>
    </row>
    <row r="3054" spans="1:5" x14ac:dyDescent="0.35">
      <c r="A3054" t="s">
        <v>3030</v>
      </c>
      <c r="B3054" t="s">
        <v>3073</v>
      </c>
      <c r="C3054">
        <v>105</v>
      </c>
      <c r="D3054">
        <v>86</v>
      </c>
      <c r="E3054" t="s">
        <v>33</v>
      </c>
    </row>
    <row r="3055" spans="1:5" x14ac:dyDescent="0.35">
      <c r="A3055" t="s">
        <v>3030</v>
      </c>
      <c r="B3055" t="s">
        <v>3074</v>
      </c>
      <c r="C3055">
        <v>298</v>
      </c>
      <c r="D3055">
        <v>177</v>
      </c>
      <c r="E3055" t="s">
        <v>7</v>
      </c>
    </row>
    <row r="3056" spans="1:5" x14ac:dyDescent="0.35">
      <c r="A3056" t="s">
        <v>3030</v>
      </c>
      <c r="B3056" t="s">
        <v>3075</v>
      </c>
      <c r="C3056">
        <v>301</v>
      </c>
      <c r="D3056">
        <v>189</v>
      </c>
      <c r="E3056" t="s">
        <v>15</v>
      </c>
    </row>
    <row r="3057" spans="1:5" x14ac:dyDescent="0.35">
      <c r="A3057" t="s">
        <v>3030</v>
      </c>
      <c r="B3057" t="s">
        <v>3076</v>
      </c>
      <c r="C3057">
        <v>267</v>
      </c>
      <c r="D3057">
        <v>117</v>
      </c>
      <c r="E3057" t="s">
        <v>11</v>
      </c>
    </row>
    <row r="3058" spans="1:5" x14ac:dyDescent="0.35">
      <c r="A3058" t="s">
        <v>3030</v>
      </c>
      <c r="B3058" t="s">
        <v>3077</v>
      </c>
      <c r="C3058">
        <v>214</v>
      </c>
      <c r="D3058">
        <v>122</v>
      </c>
      <c r="E3058" t="s">
        <v>21</v>
      </c>
    </row>
    <row r="3059" spans="1:5" x14ac:dyDescent="0.35">
      <c r="A3059" t="s">
        <v>3030</v>
      </c>
      <c r="B3059" t="s">
        <v>3078</v>
      </c>
      <c r="C3059">
        <v>284</v>
      </c>
      <c r="D3059">
        <v>45</v>
      </c>
      <c r="E3059" t="s">
        <v>21</v>
      </c>
    </row>
    <row r="3060" spans="1:5" x14ac:dyDescent="0.35">
      <c r="A3060" t="s">
        <v>3030</v>
      </c>
      <c r="B3060" t="s">
        <v>3079</v>
      </c>
      <c r="C3060">
        <v>260</v>
      </c>
      <c r="D3060">
        <v>112</v>
      </c>
      <c r="E3060" t="s">
        <v>15</v>
      </c>
    </row>
    <row r="3061" spans="1:5" x14ac:dyDescent="0.35">
      <c r="A3061" t="s">
        <v>3030</v>
      </c>
      <c r="B3061" t="s">
        <v>3080</v>
      </c>
      <c r="C3061">
        <v>208</v>
      </c>
      <c r="D3061">
        <v>133</v>
      </c>
      <c r="E3061" t="s">
        <v>7</v>
      </c>
    </row>
    <row r="3062" spans="1:5" x14ac:dyDescent="0.35">
      <c r="A3062" t="s">
        <v>3030</v>
      </c>
      <c r="B3062" t="s">
        <v>3081</v>
      </c>
      <c r="C3062">
        <v>218</v>
      </c>
      <c r="D3062">
        <v>178</v>
      </c>
      <c r="E3062" t="s">
        <v>9</v>
      </c>
    </row>
    <row r="3063" spans="1:5" x14ac:dyDescent="0.35">
      <c r="A3063" t="s">
        <v>3030</v>
      </c>
      <c r="B3063" t="s">
        <v>3082</v>
      </c>
      <c r="C3063">
        <v>237</v>
      </c>
      <c r="D3063">
        <v>162</v>
      </c>
      <c r="E3063" t="s">
        <v>17</v>
      </c>
    </row>
    <row r="3064" spans="1:5" x14ac:dyDescent="0.35">
      <c r="A3064" t="s">
        <v>3030</v>
      </c>
      <c r="B3064" t="s">
        <v>3083</v>
      </c>
      <c r="C3064">
        <v>150</v>
      </c>
      <c r="D3064">
        <v>89</v>
      </c>
      <c r="E3064" t="s">
        <v>21</v>
      </c>
    </row>
    <row r="3065" spans="1:5" x14ac:dyDescent="0.35">
      <c r="A3065" t="s">
        <v>3030</v>
      </c>
      <c r="B3065" t="s">
        <v>3084</v>
      </c>
      <c r="C3065">
        <v>151</v>
      </c>
      <c r="D3065">
        <v>145</v>
      </c>
      <c r="E3065" t="s">
        <v>17</v>
      </c>
    </row>
    <row r="3066" spans="1:5" x14ac:dyDescent="0.35">
      <c r="A3066" t="s">
        <v>3030</v>
      </c>
      <c r="B3066" t="s">
        <v>3085</v>
      </c>
      <c r="C3066">
        <v>222</v>
      </c>
      <c r="D3066">
        <v>159</v>
      </c>
      <c r="E3066" t="s">
        <v>15</v>
      </c>
    </row>
    <row r="3067" spans="1:5" x14ac:dyDescent="0.35">
      <c r="A3067" t="s">
        <v>3030</v>
      </c>
      <c r="B3067" t="s">
        <v>3086</v>
      </c>
      <c r="C3067">
        <v>129</v>
      </c>
      <c r="D3067">
        <v>94</v>
      </c>
      <c r="E3067" t="s">
        <v>7</v>
      </c>
    </row>
    <row r="3068" spans="1:5" x14ac:dyDescent="0.35">
      <c r="A3068" t="s">
        <v>3087</v>
      </c>
      <c r="B3068" t="s">
        <v>3088</v>
      </c>
      <c r="C3068">
        <v>287</v>
      </c>
      <c r="D3068">
        <v>173</v>
      </c>
      <c r="E3068" t="s">
        <v>9</v>
      </c>
    </row>
    <row r="3069" spans="1:5" x14ac:dyDescent="0.35">
      <c r="A3069" t="s">
        <v>3087</v>
      </c>
      <c r="B3069" t="s">
        <v>3089</v>
      </c>
      <c r="C3069">
        <v>221</v>
      </c>
      <c r="D3069">
        <v>83</v>
      </c>
      <c r="E3069" t="s">
        <v>17</v>
      </c>
    </row>
    <row r="3070" spans="1:5" x14ac:dyDescent="0.35">
      <c r="A3070" t="s">
        <v>3087</v>
      </c>
      <c r="B3070" t="s">
        <v>3090</v>
      </c>
      <c r="C3070">
        <v>146</v>
      </c>
      <c r="D3070">
        <v>128</v>
      </c>
      <c r="E3070" t="s">
        <v>11</v>
      </c>
    </row>
    <row r="3071" spans="1:5" x14ac:dyDescent="0.35">
      <c r="A3071" t="s">
        <v>3087</v>
      </c>
      <c r="B3071" t="s">
        <v>3091</v>
      </c>
      <c r="C3071">
        <v>207</v>
      </c>
      <c r="D3071">
        <v>167</v>
      </c>
      <c r="E3071" t="s">
        <v>7</v>
      </c>
    </row>
    <row r="3072" spans="1:5" x14ac:dyDescent="0.35">
      <c r="A3072" t="s">
        <v>3087</v>
      </c>
      <c r="B3072" t="s">
        <v>3092</v>
      </c>
      <c r="C3072">
        <v>195</v>
      </c>
      <c r="D3072">
        <v>162</v>
      </c>
      <c r="E3072" t="s">
        <v>11</v>
      </c>
    </row>
    <row r="3073" spans="1:5" x14ac:dyDescent="0.35">
      <c r="A3073" t="s">
        <v>3087</v>
      </c>
      <c r="B3073" t="s">
        <v>3093</v>
      </c>
      <c r="C3073">
        <v>146</v>
      </c>
      <c r="D3073">
        <v>37</v>
      </c>
      <c r="E3073" t="s">
        <v>9</v>
      </c>
    </row>
    <row r="3074" spans="1:5" x14ac:dyDescent="0.35">
      <c r="A3074" t="s">
        <v>3087</v>
      </c>
      <c r="B3074" t="s">
        <v>3094</v>
      </c>
      <c r="C3074">
        <v>192</v>
      </c>
      <c r="D3074">
        <v>75</v>
      </c>
      <c r="E3074" t="s">
        <v>7</v>
      </c>
    </row>
    <row r="3075" spans="1:5" x14ac:dyDescent="0.35">
      <c r="A3075" t="s">
        <v>3087</v>
      </c>
      <c r="B3075" t="s">
        <v>3095</v>
      </c>
      <c r="C3075">
        <v>123</v>
      </c>
      <c r="D3075">
        <v>37</v>
      </c>
      <c r="E3075" t="s">
        <v>33</v>
      </c>
    </row>
    <row r="3076" spans="1:5" x14ac:dyDescent="0.35">
      <c r="A3076" t="s">
        <v>3087</v>
      </c>
      <c r="B3076" t="s">
        <v>3096</v>
      </c>
      <c r="C3076">
        <v>313</v>
      </c>
      <c r="D3076">
        <v>68</v>
      </c>
      <c r="E3076" t="s">
        <v>21</v>
      </c>
    </row>
    <row r="3077" spans="1:5" x14ac:dyDescent="0.35">
      <c r="A3077" t="s">
        <v>3087</v>
      </c>
      <c r="B3077" t="s">
        <v>3097</v>
      </c>
      <c r="C3077">
        <v>81</v>
      </c>
      <c r="D3077">
        <v>75</v>
      </c>
      <c r="E3077" t="s">
        <v>17</v>
      </c>
    </row>
    <row r="3078" spans="1:5" x14ac:dyDescent="0.35">
      <c r="A3078" t="s">
        <v>3087</v>
      </c>
      <c r="B3078" t="s">
        <v>3098</v>
      </c>
      <c r="C3078">
        <v>297</v>
      </c>
      <c r="D3078">
        <v>110</v>
      </c>
      <c r="E3078" t="s">
        <v>15</v>
      </c>
    </row>
    <row r="3079" spans="1:5" x14ac:dyDescent="0.35">
      <c r="A3079" t="s">
        <v>3087</v>
      </c>
      <c r="B3079" t="s">
        <v>3099</v>
      </c>
      <c r="C3079">
        <v>303</v>
      </c>
      <c r="D3079">
        <v>167</v>
      </c>
      <c r="E3079" t="s">
        <v>21</v>
      </c>
    </row>
    <row r="3080" spans="1:5" x14ac:dyDescent="0.35">
      <c r="A3080" t="s">
        <v>3087</v>
      </c>
      <c r="B3080" t="s">
        <v>3100</v>
      </c>
      <c r="C3080">
        <v>165</v>
      </c>
      <c r="D3080">
        <v>129</v>
      </c>
      <c r="E3080" t="s">
        <v>15</v>
      </c>
    </row>
    <row r="3081" spans="1:5" x14ac:dyDescent="0.35">
      <c r="A3081" t="s">
        <v>3087</v>
      </c>
      <c r="B3081" t="s">
        <v>3101</v>
      </c>
      <c r="C3081">
        <v>249</v>
      </c>
      <c r="D3081">
        <v>41</v>
      </c>
      <c r="E3081" t="s">
        <v>9</v>
      </c>
    </row>
    <row r="3082" spans="1:5" x14ac:dyDescent="0.35">
      <c r="A3082" t="s">
        <v>3087</v>
      </c>
      <c r="B3082" t="s">
        <v>3102</v>
      </c>
      <c r="C3082">
        <v>210</v>
      </c>
      <c r="D3082">
        <v>146</v>
      </c>
      <c r="E3082" t="s">
        <v>17</v>
      </c>
    </row>
    <row r="3083" spans="1:5" x14ac:dyDescent="0.35">
      <c r="A3083" t="s">
        <v>3087</v>
      </c>
      <c r="B3083" t="s">
        <v>3103</v>
      </c>
      <c r="C3083">
        <v>190</v>
      </c>
      <c r="D3083">
        <v>41</v>
      </c>
      <c r="E3083" t="s">
        <v>11</v>
      </c>
    </row>
    <row r="3084" spans="1:5" x14ac:dyDescent="0.35">
      <c r="A3084" t="s">
        <v>3087</v>
      </c>
      <c r="B3084" t="s">
        <v>3104</v>
      </c>
      <c r="C3084">
        <v>266</v>
      </c>
      <c r="D3084">
        <v>109</v>
      </c>
      <c r="E3084" t="s">
        <v>15</v>
      </c>
    </row>
    <row r="3085" spans="1:5" x14ac:dyDescent="0.35">
      <c r="A3085" t="s">
        <v>3087</v>
      </c>
      <c r="B3085" t="s">
        <v>3105</v>
      </c>
      <c r="C3085">
        <v>259</v>
      </c>
      <c r="D3085">
        <v>175</v>
      </c>
      <c r="E3085" t="s">
        <v>11</v>
      </c>
    </row>
    <row r="3086" spans="1:5" x14ac:dyDescent="0.35">
      <c r="A3086" t="s">
        <v>3087</v>
      </c>
      <c r="B3086" t="s">
        <v>3106</v>
      </c>
      <c r="C3086">
        <v>215</v>
      </c>
      <c r="D3086">
        <v>31</v>
      </c>
      <c r="E3086" t="s">
        <v>21</v>
      </c>
    </row>
    <row r="3087" spans="1:5" x14ac:dyDescent="0.35">
      <c r="A3087" t="s">
        <v>3087</v>
      </c>
      <c r="B3087" t="s">
        <v>3107</v>
      </c>
      <c r="C3087">
        <v>316</v>
      </c>
      <c r="D3087">
        <v>96</v>
      </c>
      <c r="E3087" t="s">
        <v>7</v>
      </c>
    </row>
    <row r="3088" spans="1:5" x14ac:dyDescent="0.35">
      <c r="A3088" t="s">
        <v>3087</v>
      </c>
      <c r="B3088" t="s">
        <v>3108</v>
      </c>
      <c r="C3088">
        <v>216</v>
      </c>
      <c r="D3088">
        <v>35</v>
      </c>
      <c r="E3088" t="s">
        <v>17</v>
      </c>
    </row>
    <row r="3089" spans="1:5" x14ac:dyDescent="0.35">
      <c r="A3089" t="s">
        <v>3087</v>
      </c>
      <c r="B3089" t="s">
        <v>3109</v>
      </c>
      <c r="C3089">
        <v>314</v>
      </c>
      <c r="D3089">
        <v>146</v>
      </c>
      <c r="E3089" t="s">
        <v>7</v>
      </c>
    </row>
    <row r="3090" spans="1:5" x14ac:dyDescent="0.35">
      <c r="A3090" t="s">
        <v>3087</v>
      </c>
      <c r="B3090" t="s">
        <v>3110</v>
      </c>
      <c r="C3090">
        <v>189</v>
      </c>
      <c r="D3090">
        <v>136</v>
      </c>
      <c r="E3090" t="s">
        <v>21</v>
      </c>
    </row>
    <row r="3091" spans="1:5" x14ac:dyDescent="0.35">
      <c r="A3091" t="s">
        <v>3087</v>
      </c>
      <c r="B3091" t="s">
        <v>3111</v>
      </c>
      <c r="C3091">
        <v>278</v>
      </c>
      <c r="D3091">
        <v>135</v>
      </c>
      <c r="E3091" t="s">
        <v>11</v>
      </c>
    </row>
    <row r="3092" spans="1:5" x14ac:dyDescent="0.35">
      <c r="A3092" t="s">
        <v>3087</v>
      </c>
      <c r="B3092" t="s">
        <v>3112</v>
      </c>
      <c r="C3092">
        <v>89</v>
      </c>
      <c r="D3092">
        <v>67</v>
      </c>
      <c r="E3092" t="s">
        <v>15</v>
      </c>
    </row>
    <row r="3093" spans="1:5" x14ac:dyDescent="0.35">
      <c r="A3093" t="s">
        <v>3087</v>
      </c>
      <c r="B3093" t="s">
        <v>3113</v>
      </c>
      <c r="C3093">
        <v>184</v>
      </c>
      <c r="D3093">
        <v>174</v>
      </c>
      <c r="E3093" t="s">
        <v>9</v>
      </c>
    </row>
    <row r="3094" spans="1:5" x14ac:dyDescent="0.35">
      <c r="A3094" t="s">
        <v>3087</v>
      </c>
      <c r="B3094" t="s">
        <v>3114</v>
      </c>
      <c r="C3094">
        <v>250</v>
      </c>
      <c r="D3094">
        <v>45</v>
      </c>
      <c r="E3094" t="s">
        <v>17</v>
      </c>
    </row>
    <row r="3095" spans="1:5" x14ac:dyDescent="0.35">
      <c r="A3095" t="s">
        <v>3087</v>
      </c>
      <c r="B3095" t="s">
        <v>3115</v>
      </c>
      <c r="C3095">
        <v>244</v>
      </c>
      <c r="D3095">
        <v>147</v>
      </c>
      <c r="E3095" t="s">
        <v>15</v>
      </c>
    </row>
    <row r="3096" spans="1:5" x14ac:dyDescent="0.35">
      <c r="A3096" t="s">
        <v>3087</v>
      </c>
      <c r="B3096" t="s">
        <v>3116</v>
      </c>
      <c r="C3096">
        <v>312</v>
      </c>
      <c r="D3096">
        <v>160</v>
      </c>
      <c r="E3096" t="s">
        <v>11</v>
      </c>
    </row>
    <row r="3097" spans="1:5" x14ac:dyDescent="0.35">
      <c r="A3097" t="s">
        <v>3087</v>
      </c>
      <c r="B3097" t="s">
        <v>3117</v>
      </c>
      <c r="C3097">
        <v>211</v>
      </c>
      <c r="D3097">
        <v>162</v>
      </c>
      <c r="E3097" t="s">
        <v>7</v>
      </c>
    </row>
    <row r="3098" spans="1:5" x14ac:dyDescent="0.35">
      <c r="A3098" t="s">
        <v>3087</v>
      </c>
      <c r="B3098" t="s">
        <v>3118</v>
      </c>
      <c r="C3098">
        <v>61</v>
      </c>
      <c r="D3098">
        <v>49</v>
      </c>
      <c r="E3098" t="s">
        <v>15</v>
      </c>
    </row>
    <row r="3099" spans="1:5" x14ac:dyDescent="0.35">
      <c r="A3099" t="s">
        <v>3087</v>
      </c>
      <c r="B3099" t="s">
        <v>3119</v>
      </c>
      <c r="C3099">
        <v>308</v>
      </c>
      <c r="D3099">
        <v>186</v>
      </c>
      <c r="E3099" t="s">
        <v>11</v>
      </c>
    </row>
    <row r="3100" spans="1:5" x14ac:dyDescent="0.35">
      <c r="A3100" t="s">
        <v>3087</v>
      </c>
      <c r="B3100" t="s">
        <v>3120</v>
      </c>
      <c r="C3100">
        <v>174</v>
      </c>
      <c r="D3100">
        <v>153</v>
      </c>
      <c r="E3100" t="s">
        <v>11</v>
      </c>
    </row>
    <row r="3101" spans="1:5" x14ac:dyDescent="0.35">
      <c r="A3101" t="s">
        <v>3087</v>
      </c>
      <c r="B3101" t="s">
        <v>3121</v>
      </c>
      <c r="C3101">
        <v>98</v>
      </c>
      <c r="D3101">
        <v>88</v>
      </c>
      <c r="E3101" t="s">
        <v>17</v>
      </c>
    </row>
    <row r="3102" spans="1:5" x14ac:dyDescent="0.35">
      <c r="A3102" t="s">
        <v>3087</v>
      </c>
      <c r="B3102" t="s">
        <v>3122</v>
      </c>
      <c r="C3102">
        <v>284</v>
      </c>
      <c r="D3102">
        <v>116</v>
      </c>
      <c r="E3102" t="s">
        <v>21</v>
      </c>
    </row>
    <row r="3103" spans="1:5" x14ac:dyDescent="0.35">
      <c r="A3103" t="s">
        <v>3087</v>
      </c>
      <c r="B3103" t="s">
        <v>3123</v>
      </c>
      <c r="C3103">
        <v>180</v>
      </c>
      <c r="D3103">
        <v>155</v>
      </c>
      <c r="E3103" t="s">
        <v>15</v>
      </c>
    </row>
    <row r="3104" spans="1:5" x14ac:dyDescent="0.35">
      <c r="A3104" t="s">
        <v>3087</v>
      </c>
      <c r="B3104" t="s">
        <v>3124</v>
      </c>
      <c r="C3104">
        <v>310</v>
      </c>
      <c r="D3104">
        <v>126</v>
      </c>
      <c r="E3104" t="s">
        <v>33</v>
      </c>
    </row>
    <row r="3105" spans="1:5" x14ac:dyDescent="0.35">
      <c r="A3105" t="s">
        <v>3087</v>
      </c>
      <c r="B3105" t="s">
        <v>3125</v>
      </c>
      <c r="C3105">
        <v>188</v>
      </c>
      <c r="D3105">
        <v>164</v>
      </c>
      <c r="E3105" t="s">
        <v>33</v>
      </c>
    </row>
    <row r="3106" spans="1:5" x14ac:dyDescent="0.35">
      <c r="A3106" t="s">
        <v>3087</v>
      </c>
      <c r="B3106" t="s">
        <v>3126</v>
      </c>
      <c r="C3106">
        <v>189</v>
      </c>
      <c r="D3106">
        <v>33</v>
      </c>
      <c r="E3106" t="s">
        <v>11</v>
      </c>
    </row>
    <row r="3107" spans="1:5" x14ac:dyDescent="0.35">
      <c r="A3107" t="s">
        <v>3087</v>
      </c>
      <c r="B3107" t="s">
        <v>3127</v>
      </c>
      <c r="C3107">
        <v>268</v>
      </c>
      <c r="D3107">
        <v>138</v>
      </c>
      <c r="E3107" t="s">
        <v>9</v>
      </c>
    </row>
    <row r="3108" spans="1:5" x14ac:dyDescent="0.35">
      <c r="A3108" t="s">
        <v>3087</v>
      </c>
      <c r="B3108" t="s">
        <v>3128</v>
      </c>
      <c r="C3108">
        <v>294</v>
      </c>
      <c r="D3108">
        <v>54</v>
      </c>
      <c r="E3108" t="s">
        <v>11</v>
      </c>
    </row>
    <row r="3109" spans="1:5" x14ac:dyDescent="0.35">
      <c r="A3109" t="s">
        <v>3087</v>
      </c>
      <c r="B3109" t="s">
        <v>3129</v>
      </c>
      <c r="C3109">
        <v>256</v>
      </c>
      <c r="D3109">
        <v>166</v>
      </c>
      <c r="E3109" t="s">
        <v>33</v>
      </c>
    </row>
    <row r="3110" spans="1:5" x14ac:dyDescent="0.35">
      <c r="A3110" t="s">
        <v>3087</v>
      </c>
      <c r="B3110" t="s">
        <v>3130</v>
      </c>
      <c r="C3110">
        <v>192</v>
      </c>
      <c r="D3110">
        <v>103</v>
      </c>
      <c r="E3110" t="s">
        <v>11</v>
      </c>
    </row>
    <row r="3111" spans="1:5" x14ac:dyDescent="0.35">
      <c r="A3111" t="s">
        <v>3087</v>
      </c>
      <c r="B3111" t="s">
        <v>3131</v>
      </c>
      <c r="C3111">
        <v>159</v>
      </c>
      <c r="D3111">
        <v>81</v>
      </c>
      <c r="E3111" t="s">
        <v>11</v>
      </c>
    </row>
    <row r="3112" spans="1:5" x14ac:dyDescent="0.35">
      <c r="A3112" t="s">
        <v>3087</v>
      </c>
      <c r="B3112" t="s">
        <v>3132</v>
      </c>
      <c r="C3112">
        <v>169</v>
      </c>
      <c r="D3112">
        <v>109</v>
      </c>
      <c r="E3112" t="s">
        <v>7</v>
      </c>
    </row>
    <row r="3113" spans="1:5" x14ac:dyDescent="0.35">
      <c r="A3113" t="s">
        <v>3087</v>
      </c>
      <c r="B3113" t="s">
        <v>3133</v>
      </c>
      <c r="C3113">
        <v>227</v>
      </c>
      <c r="D3113">
        <v>150</v>
      </c>
      <c r="E3113" t="s">
        <v>17</v>
      </c>
    </row>
    <row r="3114" spans="1:5" x14ac:dyDescent="0.35">
      <c r="A3114" t="s">
        <v>3087</v>
      </c>
      <c r="B3114" t="s">
        <v>3134</v>
      </c>
      <c r="C3114">
        <v>304</v>
      </c>
      <c r="D3114">
        <v>167</v>
      </c>
      <c r="E3114" t="s">
        <v>7</v>
      </c>
    </row>
    <row r="3115" spans="1:5" x14ac:dyDescent="0.35">
      <c r="A3115" t="s">
        <v>3087</v>
      </c>
      <c r="B3115" t="s">
        <v>3135</v>
      </c>
      <c r="C3115">
        <v>315</v>
      </c>
      <c r="D3115">
        <v>107</v>
      </c>
      <c r="E3115" t="s">
        <v>33</v>
      </c>
    </row>
    <row r="3116" spans="1:5" x14ac:dyDescent="0.35">
      <c r="A3116" t="s">
        <v>3087</v>
      </c>
      <c r="B3116" t="s">
        <v>3136</v>
      </c>
      <c r="C3116">
        <v>266</v>
      </c>
      <c r="D3116">
        <v>161</v>
      </c>
      <c r="E3116" t="s">
        <v>21</v>
      </c>
    </row>
    <row r="3117" spans="1:5" x14ac:dyDescent="0.35">
      <c r="A3117" t="s">
        <v>3087</v>
      </c>
      <c r="B3117" t="s">
        <v>3137</v>
      </c>
      <c r="C3117">
        <v>247</v>
      </c>
      <c r="D3117">
        <v>65</v>
      </c>
      <c r="E3117" t="s">
        <v>9</v>
      </c>
    </row>
    <row r="3118" spans="1:5" x14ac:dyDescent="0.35">
      <c r="A3118" t="s">
        <v>3087</v>
      </c>
      <c r="B3118" t="s">
        <v>3138</v>
      </c>
      <c r="C3118">
        <v>161</v>
      </c>
      <c r="D3118">
        <v>145</v>
      </c>
      <c r="E3118" t="s">
        <v>21</v>
      </c>
    </row>
    <row r="3119" spans="1:5" x14ac:dyDescent="0.35">
      <c r="A3119" t="s">
        <v>3087</v>
      </c>
      <c r="B3119" t="s">
        <v>3139</v>
      </c>
      <c r="C3119">
        <v>189</v>
      </c>
      <c r="D3119">
        <v>156</v>
      </c>
      <c r="E3119" t="s">
        <v>15</v>
      </c>
    </row>
    <row r="3120" spans="1:5" x14ac:dyDescent="0.35">
      <c r="A3120" t="s">
        <v>3087</v>
      </c>
      <c r="B3120" t="s">
        <v>3140</v>
      </c>
      <c r="C3120">
        <v>290</v>
      </c>
      <c r="D3120">
        <v>61</v>
      </c>
      <c r="E3120" t="s">
        <v>21</v>
      </c>
    </row>
    <row r="3121" spans="1:5" x14ac:dyDescent="0.35">
      <c r="A3121" t="s">
        <v>3087</v>
      </c>
      <c r="B3121" t="s">
        <v>3141</v>
      </c>
      <c r="C3121">
        <v>189</v>
      </c>
      <c r="D3121">
        <v>50</v>
      </c>
      <c r="E3121" t="s">
        <v>7</v>
      </c>
    </row>
    <row r="3122" spans="1:5" x14ac:dyDescent="0.35">
      <c r="A3122" t="s">
        <v>3087</v>
      </c>
      <c r="B3122" t="s">
        <v>3142</v>
      </c>
      <c r="C3122">
        <v>148</v>
      </c>
      <c r="D3122">
        <v>59</v>
      </c>
      <c r="E3122" t="s">
        <v>7</v>
      </c>
    </row>
    <row r="3123" spans="1:5" x14ac:dyDescent="0.35">
      <c r="A3123" t="s">
        <v>3087</v>
      </c>
      <c r="B3123" t="s">
        <v>3143</v>
      </c>
      <c r="C3123">
        <v>144</v>
      </c>
      <c r="D3123">
        <v>110</v>
      </c>
      <c r="E3123" t="s">
        <v>7</v>
      </c>
    </row>
    <row r="3124" spans="1:5" x14ac:dyDescent="0.35">
      <c r="A3124" t="s">
        <v>3087</v>
      </c>
      <c r="B3124" t="s">
        <v>3144</v>
      </c>
      <c r="C3124">
        <v>173</v>
      </c>
      <c r="D3124">
        <v>73</v>
      </c>
      <c r="E3124" t="s">
        <v>11</v>
      </c>
    </row>
    <row r="3125" spans="1:5" x14ac:dyDescent="0.35">
      <c r="A3125" t="s">
        <v>3087</v>
      </c>
      <c r="B3125" t="s">
        <v>3145</v>
      </c>
      <c r="C3125">
        <v>179</v>
      </c>
      <c r="D3125">
        <v>54</v>
      </c>
      <c r="E3125" t="s">
        <v>9</v>
      </c>
    </row>
    <row r="3126" spans="1:5" x14ac:dyDescent="0.35">
      <c r="A3126" t="s">
        <v>3087</v>
      </c>
      <c r="B3126" t="s">
        <v>3146</v>
      </c>
      <c r="C3126">
        <v>264</v>
      </c>
      <c r="D3126">
        <v>177</v>
      </c>
      <c r="E3126" t="s">
        <v>9</v>
      </c>
    </row>
    <row r="3127" spans="1:5" x14ac:dyDescent="0.35">
      <c r="A3127" t="s">
        <v>3087</v>
      </c>
      <c r="B3127" t="s">
        <v>3147</v>
      </c>
      <c r="C3127">
        <v>296</v>
      </c>
      <c r="D3127">
        <v>152</v>
      </c>
      <c r="E3127" t="s">
        <v>17</v>
      </c>
    </row>
    <row r="3128" spans="1:5" x14ac:dyDescent="0.35">
      <c r="A3128" t="s">
        <v>3087</v>
      </c>
      <c r="B3128" t="s">
        <v>3148</v>
      </c>
      <c r="C3128">
        <v>283</v>
      </c>
      <c r="D3128">
        <v>180</v>
      </c>
      <c r="E3128" t="s">
        <v>17</v>
      </c>
    </row>
    <row r="3129" spans="1:5" x14ac:dyDescent="0.35">
      <c r="A3129" t="s">
        <v>3087</v>
      </c>
      <c r="B3129" t="s">
        <v>3149</v>
      </c>
      <c r="C3129">
        <v>149</v>
      </c>
      <c r="D3129">
        <v>59</v>
      </c>
      <c r="E3129" t="s">
        <v>9</v>
      </c>
    </row>
    <row r="3130" spans="1:5" x14ac:dyDescent="0.35">
      <c r="A3130" t="s">
        <v>3087</v>
      </c>
      <c r="B3130" t="s">
        <v>3150</v>
      </c>
      <c r="C3130">
        <v>106</v>
      </c>
      <c r="D3130">
        <v>50</v>
      </c>
      <c r="E3130" t="s">
        <v>17</v>
      </c>
    </row>
    <row r="3131" spans="1:5" x14ac:dyDescent="0.35">
      <c r="A3131" t="s">
        <v>3087</v>
      </c>
      <c r="B3131" t="s">
        <v>3151</v>
      </c>
      <c r="C3131">
        <v>55</v>
      </c>
      <c r="D3131">
        <v>54</v>
      </c>
      <c r="E3131" t="s">
        <v>11</v>
      </c>
    </row>
    <row r="3132" spans="1:5" x14ac:dyDescent="0.35">
      <c r="A3132" t="s">
        <v>3087</v>
      </c>
      <c r="B3132" t="s">
        <v>3152</v>
      </c>
      <c r="C3132">
        <v>178</v>
      </c>
      <c r="D3132">
        <v>46</v>
      </c>
      <c r="E3132" t="s">
        <v>21</v>
      </c>
    </row>
    <row r="3133" spans="1:5" x14ac:dyDescent="0.35">
      <c r="A3133" t="s">
        <v>3087</v>
      </c>
      <c r="B3133" t="s">
        <v>3153</v>
      </c>
      <c r="C3133">
        <v>304</v>
      </c>
      <c r="D3133">
        <v>181</v>
      </c>
      <c r="E3133" t="s">
        <v>11</v>
      </c>
    </row>
    <row r="3134" spans="1:5" x14ac:dyDescent="0.35">
      <c r="A3134" t="s">
        <v>3087</v>
      </c>
      <c r="B3134" t="s">
        <v>3154</v>
      </c>
      <c r="C3134">
        <v>180</v>
      </c>
      <c r="D3134">
        <v>133</v>
      </c>
      <c r="E3134" t="s">
        <v>9</v>
      </c>
    </row>
    <row r="3135" spans="1:5" x14ac:dyDescent="0.35">
      <c r="A3135" t="s">
        <v>3087</v>
      </c>
      <c r="B3135" t="s">
        <v>3155</v>
      </c>
      <c r="C3135">
        <v>122</v>
      </c>
      <c r="D3135">
        <v>121</v>
      </c>
      <c r="E3135" t="s">
        <v>21</v>
      </c>
    </row>
    <row r="3136" spans="1:5" x14ac:dyDescent="0.35">
      <c r="A3136" t="s">
        <v>3087</v>
      </c>
      <c r="B3136" t="s">
        <v>3156</v>
      </c>
      <c r="C3136">
        <v>267</v>
      </c>
      <c r="D3136">
        <v>66</v>
      </c>
      <c r="E3136" t="s">
        <v>9</v>
      </c>
    </row>
    <row r="3137" spans="1:5" x14ac:dyDescent="0.35">
      <c r="A3137" t="s">
        <v>3087</v>
      </c>
      <c r="B3137" t="s">
        <v>3157</v>
      </c>
      <c r="C3137">
        <v>277</v>
      </c>
      <c r="D3137">
        <v>90</v>
      </c>
      <c r="E3137" t="s">
        <v>17</v>
      </c>
    </row>
    <row r="3138" spans="1:5" x14ac:dyDescent="0.35">
      <c r="A3138" t="s">
        <v>3087</v>
      </c>
      <c r="B3138" t="s">
        <v>3158</v>
      </c>
      <c r="C3138">
        <v>137</v>
      </c>
      <c r="D3138">
        <v>114</v>
      </c>
      <c r="E3138" t="s">
        <v>11</v>
      </c>
    </row>
    <row r="3139" spans="1:5" x14ac:dyDescent="0.35">
      <c r="A3139" t="s">
        <v>3087</v>
      </c>
      <c r="B3139" t="s">
        <v>3159</v>
      </c>
      <c r="C3139">
        <v>302</v>
      </c>
      <c r="D3139">
        <v>56</v>
      </c>
      <c r="E3139" t="s">
        <v>7</v>
      </c>
    </row>
    <row r="3140" spans="1:5" x14ac:dyDescent="0.35">
      <c r="A3140" t="s">
        <v>3087</v>
      </c>
      <c r="B3140" t="s">
        <v>3160</v>
      </c>
      <c r="C3140">
        <v>228</v>
      </c>
      <c r="D3140">
        <v>147</v>
      </c>
      <c r="E3140" t="s">
        <v>11</v>
      </c>
    </row>
    <row r="3141" spans="1:5" x14ac:dyDescent="0.35">
      <c r="A3141" t="s">
        <v>3087</v>
      </c>
      <c r="B3141" t="s">
        <v>3161</v>
      </c>
      <c r="C3141">
        <v>73</v>
      </c>
      <c r="D3141">
        <v>60</v>
      </c>
      <c r="E3141" t="s">
        <v>21</v>
      </c>
    </row>
    <row r="3142" spans="1:5" x14ac:dyDescent="0.35">
      <c r="A3142" t="s">
        <v>3087</v>
      </c>
      <c r="B3142" t="s">
        <v>3162</v>
      </c>
      <c r="C3142">
        <v>240</v>
      </c>
      <c r="D3142">
        <v>50</v>
      </c>
      <c r="E3142" t="s">
        <v>11</v>
      </c>
    </row>
    <row r="3143" spans="1:5" x14ac:dyDescent="0.35">
      <c r="A3143" t="s">
        <v>3087</v>
      </c>
      <c r="B3143" t="s">
        <v>3163</v>
      </c>
      <c r="C3143">
        <v>184</v>
      </c>
      <c r="D3143">
        <v>109</v>
      </c>
      <c r="E3143" t="s">
        <v>11</v>
      </c>
    </row>
    <row r="3144" spans="1:5" x14ac:dyDescent="0.35">
      <c r="A3144" t="s">
        <v>3087</v>
      </c>
      <c r="B3144" t="s">
        <v>3164</v>
      </c>
      <c r="C3144">
        <v>231</v>
      </c>
      <c r="D3144">
        <v>60</v>
      </c>
      <c r="E3144" t="s">
        <v>11</v>
      </c>
    </row>
    <row r="3145" spans="1:5" x14ac:dyDescent="0.35">
      <c r="A3145" t="s">
        <v>3165</v>
      </c>
      <c r="B3145" t="s">
        <v>3166</v>
      </c>
      <c r="C3145">
        <v>319</v>
      </c>
      <c r="D3145">
        <v>33</v>
      </c>
      <c r="E3145" t="s">
        <v>11</v>
      </c>
    </row>
    <row r="3146" spans="1:5" x14ac:dyDescent="0.35">
      <c r="A3146" t="s">
        <v>3165</v>
      </c>
      <c r="B3146" t="s">
        <v>3167</v>
      </c>
      <c r="C3146">
        <v>272</v>
      </c>
      <c r="D3146">
        <v>47</v>
      </c>
      <c r="E3146" t="s">
        <v>17</v>
      </c>
    </row>
    <row r="3147" spans="1:5" x14ac:dyDescent="0.35">
      <c r="A3147" t="s">
        <v>3165</v>
      </c>
      <c r="B3147" t="s">
        <v>3168</v>
      </c>
      <c r="C3147">
        <v>149</v>
      </c>
      <c r="D3147">
        <v>75</v>
      </c>
      <c r="E3147" t="s">
        <v>11</v>
      </c>
    </row>
    <row r="3148" spans="1:5" x14ac:dyDescent="0.35">
      <c r="A3148" t="s">
        <v>3165</v>
      </c>
      <c r="B3148" t="s">
        <v>3169</v>
      </c>
      <c r="C3148">
        <v>117</v>
      </c>
      <c r="D3148">
        <v>105</v>
      </c>
      <c r="E3148" t="s">
        <v>7</v>
      </c>
    </row>
    <row r="3149" spans="1:5" x14ac:dyDescent="0.35">
      <c r="A3149" t="s">
        <v>3165</v>
      </c>
      <c r="B3149" t="s">
        <v>3170</v>
      </c>
      <c r="C3149">
        <v>235</v>
      </c>
      <c r="D3149">
        <v>167</v>
      </c>
      <c r="E3149" t="s">
        <v>9</v>
      </c>
    </row>
    <row r="3150" spans="1:5" x14ac:dyDescent="0.35">
      <c r="A3150" t="s">
        <v>3165</v>
      </c>
      <c r="B3150" t="s">
        <v>3171</v>
      </c>
      <c r="C3150">
        <v>319</v>
      </c>
      <c r="D3150">
        <v>81</v>
      </c>
      <c r="E3150" t="s">
        <v>21</v>
      </c>
    </row>
    <row r="3151" spans="1:5" x14ac:dyDescent="0.35">
      <c r="A3151" t="s">
        <v>3165</v>
      </c>
      <c r="B3151" t="s">
        <v>3172</v>
      </c>
      <c r="C3151">
        <v>254</v>
      </c>
      <c r="D3151">
        <v>121</v>
      </c>
      <c r="E3151" t="s">
        <v>17</v>
      </c>
    </row>
    <row r="3152" spans="1:5" x14ac:dyDescent="0.35">
      <c r="A3152" t="s">
        <v>3165</v>
      </c>
      <c r="B3152" t="s">
        <v>3173</v>
      </c>
      <c r="C3152">
        <v>200</v>
      </c>
      <c r="D3152">
        <v>145</v>
      </c>
      <c r="E3152" t="s">
        <v>11</v>
      </c>
    </row>
    <row r="3153" spans="1:5" x14ac:dyDescent="0.35">
      <c r="A3153" t="s">
        <v>3165</v>
      </c>
      <c r="B3153" t="s">
        <v>3174</v>
      </c>
      <c r="C3153">
        <v>219</v>
      </c>
      <c r="D3153">
        <v>67</v>
      </c>
      <c r="E3153" t="s">
        <v>15</v>
      </c>
    </row>
    <row r="3154" spans="1:5" x14ac:dyDescent="0.35">
      <c r="A3154" t="s">
        <v>3165</v>
      </c>
      <c r="B3154" t="s">
        <v>3175</v>
      </c>
      <c r="C3154">
        <v>195</v>
      </c>
      <c r="D3154">
        <v>78</v>
      </c>
      <c r="E3154" t="s">
        <v>33</v>
      </c>
    </row>
    <row r="3155" spans="1:5" x14ac:dyDescent="0.35">
      <c r="A3155" t="s">
        <v>3165</v>
      </c>
      <c r="B3155" t="s">
        <v>3176</v>
      </c>
      <c r="C3155">
        <v>100</v>
      </c>
      <c r="D3155">
        <v>65</v>
      </c>
      <c r="E3155" t="s">
        <v>17</v>
      </c>
    </row>
    <row r="3156" spans="1:5" x14ac:dyDescent="0.35">
      <c r="A3156" t="s">
        <v>3165</v>
      </c>
      <c r="B3156" t="s">
        <v>3177</v>
      </c>
      <c r="C3156">
        <v>194</v>
      </c>
      <c r="D3156">
        <v>142</v>
      </c>
      <c r="E3156" t="s">
        <v>11</v>
      </c>
    </row>
    <row r="3157" spans="1:5" x14ac:dyDescent="0.35">
      <c r="A3157" t="s">
        <v>3165</v>
      </c>
      <c r="B3157" t="s">
        <v>3178</v>
      </c>
      <c r="C3157">
        <v>211</v>
      </c>
      <c r="D3157">
        <v>141</v>
      </c>
      <c r="E3157" t="s">
        <v>21</v>
      </c>
    </row>
    <row r="3158" spans="1:5" x14ac:dyDescent="0.35">
      <c r="A3158" t="s">
        <v>3165</v>
      </c>
      <c r="B3158" t="s">
        <v>3179</v>
      </c>
      <c r="C3158">
        <v>205</v>
      </c>
      <c r="D3158">
        <v>185</v>
      </c>
      <c r="E3158" t="s">
        <v>7</v>
      </c>
    </row>
    <row r="3159" spans="1:5" x14ac:dyDescent="0.35">
      <c r="A3159" t="s">
        <v>3165</v>
      </c>
      <c r="B3159" t="s">
        <v>3180</v>
      </c>
      <c r="C3159">
        <v>262</v>
      </c>
      <c r="D3159">
        <v>179</v>
      </c>
      <c r="E3159" t="s">
        <v>15</v>
      </c>
    </row>
    <row r="3160" spans="1:5" x14ac:dyDescent="0.35">
      <c r="A3160" t="s">
        <v>3165</v>
      </c>
      <c r="B3160" t="s">
        <v>3181</v>
      </c>
      <c r="C3160">
        <v>298</v>
      </c>
      <c r="D3160">
        <v>43</v>
      </c>
      <c r="E3160" t="s">
        <v>15</v>
      </c>
    </row>
    <row r="3161" spans="1:5" x14ac:dyDescent="0.35">
      <c r="A3161" t="s">
        <v>3165</v>
      </c>
      <c r="B3161" t="s">
        <v>3182</v>
      </c>
      <c r="C3161">
        <v>240</v>
      </c>
      <c r="D3161">
        <v>189</v>
      </c>
      <c r="E3161" t="s">
        <v>33</v>
      </c>
    </row>
    <row r="3162" spans="1:5" x14ac:dyDescent="0.35">
      <c r="A3162" t="s">
        <v>3165</v>
      </c>
      <c r="B3162" t="s">
        <v>3183</v>
      </c>
      <c r="C3162">
        <v>182</v>
      </c>
      <c r="D3162">
        <v>128</v>
      </c>
      <c r="E3162" t="s">
        <v>7</v>
      </c>
    </row>
    <row r="3163" spans="1:5" x14ac:dyDescent="0.35">
      <c r="A3163" t="s">
        <v>3165</v>
      </c>
      <c r="B3163" t="s">
        <v>3184</v>
      </c>
      <c r="C3163">
        <v>186</v>
      </c>
      <c r="D3163">
        <v>122</v>
      </c>
      <c r="E3163" t="s">
        <v>33</v>
      </c>
    </row>
    <row r="3164" spans="1:5" x14ac:dyDescent="0.35">
      <c r="A3164" t="s">
        <v>3165</v>
      </c>
      <c r="B3164" t="s">
        <v>3185</v>
      </c>
      <c r="C3164">
        <v>207</v>
      </c>
      <c r="D3164">
        <v>70</v>
      </c>
      <c r="E3164" t="s">
        <v>9</v>
      </c>
    </row>
    <row r="3165" spans="1:5" x14ac:dyDescent="0.35">
      <c r="A3165" t="s">
        <v>3165</v>
      </c>
      <c r="B3165" t="s">
        <v>3186</v>
      </c>
      <c r="C3165">
        <v>135</v>
      </c>
      <c r="D3165">
        <v>98</v>
      </c>
      <c r="E3165" t="s">
        <v>17</v>
      </c>
    </row>
    <row r="3166" spans="1:5" x14ac:dyDescent="0.35">
      <c r="A3166" t="s">
        <v>3165</v>
      </c>
      <c r="B3166" t="s">
        <v>3187</v>
      </c>
      <c r="C3166">
        <v>88</v>
      </c>
      <c r="D3166">
        <v>58</v>
      </c>
      <c r="E3166" t="s">
        <v>11</v>
      </c>
    </row>
    <row r="3167" spans="1:5" x14ac:dyDescent="0.35">
      <c r="A3167" t="s">
        <v>3165</v>
      </c>
      <c r="B3167" t="s">
        <v>3188</v>
      </c>
      <c r="C3167">
        <v>173</v>
      </c>
      <c r="D3167">
        <v>148</v>
      </c>
      <c r="E3167" t="s">
        <v>21</v>
      </c>
    </row>
    <row r="3168" spans="1:5" x14ac:dyDescent="0.35">
      <c r="A3168" t="s">
        <v>3165</v>
      </c>
      <c r="B3168" t="s">
        <v>3189</v>
      </c>
      <c r="C3168">
        <v>190</v>
      </c>
      <c r="D3168">
        <v>168</v>
      </c>
      <c r="E3168" t="s">
        <v>21</v>
      </c>
    </row>
    <row r="3169" spans="1:5" x14ac:dyDescent="0.35">
      <c r="A3169" t="s">
        <v>3165</v>
      </c>
      <c r="B3169" t="s">
        <v>3190</v>
      </c>
      <c r="C3169">
        <v>295</v>
      </c>
      <c r="D3169">
        <v>61</v>
      </c>
      <c r="E3169" t="s">
        <v>15</v>
      </c>
    </row>
    <row r="3170" spans="1:5" x14ac:dyDescent="0.35">
      <c r="A3170" t="s">
        <v>3165</v>
      </c>
      <c r="B3170" t="s">
        <v>3191</v>
      </c>
      <c r="C3170">
        <v>272</v>
      </c>
      <c r="D3170">
        <v>79</v>
      </c>
      <c r="E3170" t="s">
        <v>11</v>
      </c>
    </row>
    <row r="3171" spans="1:5" x14ac:dyDescent="0.35">
      <c r="A3171" t="s">
        <v>3165</v>
      </c>
      <c r="B3171" t="s">
        <v>3192</v>
      </c>
      <c r="C3171">
        <v>78</v>
      </c>
      <c r="D3171">
        <v>35</v>
      </c>
      <c r="E3171" t="s">
        <v>33</v>
      </c>
    </row>
    <row r="3172" spans="1:5" x14ac:dyDescent="0.35">
      <c r="A3172" t="s">
        <v>3165</v>
      </c>
      <c r="B3172" t="s">
        <v>3193</v>
      </c>
      <c r="C3172">
        <v>253</v>
      </c>
      <c r="D3172">
        <v>43</v>
      </c>
      <c r="E3172" t="s">
        <v>17</v>
      </c>
    </row>
    <row r="3173" spans="1:5" x14ac:dyDescent="0.35">
      <c r="A3173" t="s">
        <v>3165</v>
      </c>
      <c r="B3173" t="s">
        <v>3194</v>
      </c>
      <c r="C3173">
        <v>166</v>
      </c>
      <c r="D3173">
        <v>63</v>
      </c>
      <c r="E3173" t="s">
        <v>21</v>
      </c>
    </row>
    <row r="3174" spans="1:5" x14ac:dyDescent="0.35">
      <c r="A3174" t="s">
        <v>3165</v>
      </c>
      <c r="B3174" t="s">
        <v>3195</v>
      </c>
      <c r="C3174">
        <v>282</v>
      </c>
      <c r="D3174">
        <v>133</v>
      </c>
      <c r="E3174" t="s">
        <v>33</v>
      </c>
    </row>
    <row r="3175" spans="1:5" x14ac:dyDescent="0.35">
      <c r="A3175" t="s">
        <v>3165</v>
      </c>
      <c r="B3175" t="s">
        <v>3196</v>
      </c>
      <c r="C3175">
        <v>229</v>
      </c>
      <c r="D3175">
        <v>171</v>
      </c>
      <c r="E3175" t="s">
        <v>11</v>
      </c>
    </row>
    <row r="3176" spans="1:5" x14ac:dyDescent="0.35">
      <c r="A3176" t="s">
        <v>3165</v>
      </c>
      <c r="B3176" t="s">
        <v>3197</v>
      </c>
      <c r="C3176">
        <v>185</v>
      </c>
      <c r="D3176">
        <v>128</v>
      </c>
      <c r="E3176" t="s">
        <v>17</v>
      </c>
    </row>
    <row r="3177" spans="1:5" x14ac:dyDescent="0.35">
      <c r="A3177" t="s">
        <v>3165</v>
      </c>
      <c r="B3177" t="s">
        <v>3198</v>
      </c>
      <c r="C3177">
        <v>249</v>
      </c>
      <c r="D3177">
        <v>78</v>
      </c>
      <c r="E3177" t="s">
        <v>15</v>
      </c>
    </row>
    <row r="3178" spans="1:5" x14ac:dyDescent="0.35">
      <c r="A3178" t="s">
        <v>3165</v>
      </c>
      <c r="B3178" t="s">
        <v>3199</v>
      </c>
      <c r="C3178">
        <v>235</v>
      </c>
      <c r="D3178">
        <v>142</v>
      </c>
      <c r="E3178" t="s">
        <v>11</v>
      </c>
    </row>
    <row r="3179" spans="1:5" x14ac:dyDescent="0.35">
      <c r="A3179" t="s">
        <v>3165</v>
      </c>
      <c r="B3179" t="s">
        <v>3200</v>
      </c>
      <c r="C3179">
        <v>255</v>
      </c>
      <c r="D3179">
        <v>159</v>
      </c>
      <c r="E3179" t="s">
        <v>9</v>
      </c>
    </row>
    <row r="3180" spans="1:5" x14ac:dyDescent="0.35">
      <c r="A3180" t="s">
        <v>3165</v>
      </c>
      <c r="B3180" t="s">
        <v>3201</v>
      </c>
      <c r="C3180">
        <v>151</v>
      </c>
      <c r="D3180">
        <v>97</v>
      </c>
      <c r="E3180" t="s">
        <v>15</v>
      </c>
    </row>
    <row r="3181" spans="1:5" x14ac:dyDescent="0.35">
      <c r="A3181" t="s">
        <v>3165</v>
      </c>
      <c r="B3181" t="s">
        <v>3202</v>
      </c>
      <c r="C3181">
        <v>174</v>
      </c>
      <c r="D3181">
        <v>100</v>
      </c>
      <c r="E3181" t="s">
        <v>21</v>
      </c>
    </row>
    <row r="3182" spans="1:5" x14ac:dyDescent="0.35">
      <c r="A3182" t="s">
        <v>3165</v>
      </c>
      <c r="B3182" t="s">
        <v>3203</v>
      </c>
      <c r="C3182">
        <v>73</v>
      </c>
      <c r="D3182">
        <v>70</v>
      </c>
      <c r="E3182" t="s">
        <v>33</v>
      </c>
    </row>
    <row r="3183" spans="1:5" x14ac:dyDescent="0.35">
      <c r="A3183" t="s">
        <v>3165</v>
      </c>
      <c r="B3183" t="s">
        <v>3204</v>
      </c>
      <c r="C3183">
        <v>163</v>
      </c>
      <c r="D3183">
        <v>69</v>
      </c>
      <c r="E3183" t="s">
        <v>17</v>
      </c>
    </row>
    <row r="3184" spans="1:5" x14ac:dyDescent="0.35">
      <c r="A3184" t="s">
        <v>3165</v>
      </c>
      <c r="B3184" t="s">
        <v>3205</v>
      </c>
      <c r="C3184">
        <v>293</v>
      </c>
      <c r="D3184">
        <v>167</v>
      </c>
      <c r="E3184" t="s">
        <v>7</v>
      </c>
    </row>
    <row r="3185" spans="1:5" x14ac:dyDescent="0.35">
      <c r="A3185" t="s">
        <v>3165</v>
      </c>
      <c r="B3185" t="s">
        <v>3206</v>
      </c>
      <c r="C3185">
        <v>113</v>
      </c>
      <c r="D3185">
        <v>88</v>
      </c>
      <c r="E3185" t="s">
        <v>15</v>
      </c>
    </row>
    <row r="3186" spans="1:5" x14ac:dyDescent="0.35">
      <c r="A3186" t="s">
        <v>3165</v>
      </c>
      <c r="B3186" t="s">
        <v>3207</v>
      </c>
      <c r="C3186">
        <v>275</v>
      </c>
      <c r="D3186">
        <v>125</v>
      </c>
      <c r="E3186" t="s">
        <v>9</v>
      </c>
    </row>
    <row r="3187" spans="1:5" x14ac:dyDescent="0.35">
      <c r="A3187" t="s">
        <v>3165</v>
      </c>
      <c r="B3187" t="s">
        <v>3208</v>
      </c>
      <c r="C3187">
        <v>245</v>
      </c>
      <c r="D3187">
        <v>35</v>
      </c>
      <c r="E3187" t="s">
        <v>33</v>
      </c>
    </row>
    <row r="3188" spans="1:5" x14ac:dyDescent="0.35">
      <c r="A3188" t="s">
        <v>3165</v>
      </c>
      <c r="B3188" t="s">
        <v>3209</v>
      </c>
      <c r="C3188">
        <v>175</v>
      </c>
      <c r="D3188">
        <v>120</v>
      </c>
      <c r="E3188" t="s">
        <v>9</v>
      </c>
    </row>
    <row r="3189" spans="1:5" x14ac:dyDescent="0.35">
      <c r="A3189" t="s">
        <v>3165</v>
      </c>
      <c r="B3189" t="s">
        <v>3210</v>
      </c>
      <c r="C3189">
        <v>172</v>
      </c>
      <c r="D3189">
        <v>133</v>
      </c>
      <c r="E3189" t="s">
        <v>15</v>
      </c>
    </row>
    <row r="3190" spans="1:5" x14ac:dyDescent="0.35">
      <c r="A3190" t="s">
        <v>3165</v>
      </c>
      <c r="B3190" t="s">
        <v>3211</v>
      </c>
      <c r="C3190">
        <v>209</v>
      </c>
      <c r="D3190">
        <v>33</v>
      </c>
      <c r="E3190" t="s">
        <v>11</v>
      </c>
    </row>
    <row r="3191" spans="1:5" x14ac:dyDescent="0.35">
      <c r="A3191" t="s">
        <v>3165</v>
      </c>
      <c r="B3191" t="s">
        <v>3212</v>
      </c>
      <c r="C3191">
        <v>65</v>
      </c>
      <c r="D3191">
        <v>56</v>
      </c>
      <c r="E3191" t="s">
        <v>9</v>
      </c>
    </row>
    <row r="3192" spans="1:5" x14ac:dyDescent="0.35">
      <c r="A3192" t="s">
        <v>3165</v>
      </c>
      <c r="B3192" t="s">
        <v>3213</v>
      </c>
      <c r="C3192">
        <v>156</v>
      </c>
      <c r="D3192">
        <v>63</v>
      </c>
      <c r="E3192" t="s">
        <v>7</v>
      </c>
    </row>
    <row r="3193" spans="1:5" x14ac:dyDescent="0.35">
      <c r="A3193" t="s">
        <v>3165</v>
      </c>
      <c r="B3193" t="s">
        <v>3214</v>
      </c>
      <c r="C3193">
        <v>279</v>
      </c>
      <c r="D3193">
        <v>116</v>
      </c>
      <c r="E3193" t="s">
        <v>7</v>
      </c>
    </row>
    <row r="3194" spans="1:5" x14ac:dyDescent="0.35">
      <c r="A3194" t="s">
        <v>3165</v>
      </c>
      <c r="B3194" t="s">
        <v>3215</v>
      </c>
      <c r="C3194">
        <v>284</v>
      </c>
      <c r="D3194">
        <v>81</v>
      </c>
      <c r="E3194" t="s">
        <v>15</v>
      </c>
    </row>
    <row r="3195" spans="1:5" x14ac:dyDescent="0.35">
      <c r="A3195" t="s">
        <v>3165</v>
      </c>
      <c r="B3195" t="s">
        <v>3216</v>
      </c>
      <c r="C3195">
        <v>190</v>
      </c>
      <c r="D3195">
        <v>138</v>
      </c>
      <c r="E3195" t="s">
        <v>15</v>
      </c>
    </row>
    <row r="3196" spans="1:5" x14ac:dyDescent="0.35">
      <c r="A3196" t="s">
        <v>3165</v>
      </c>
      <c r="B3196" t="s">
        <v>3217</v>
      </c>
      <c r="C3196">
        <v>199</v>
      </c>
      <c r="D3196">
        <v>189</v>
      </c>
      <c r="E3196" t="s">
        <v>33</v>
      </c>
    </row>
    <row r="3197" spans="1:5" x14ac:dyDescent="0.35">
      <c r="A3197" t="s">
        <v>3165</v>
      </c>
      <c r="B3197" t="s">
        <v>3218</v>
      </c>
      <c r="C3197">
        <v>185</v>
      </c>
      <c r="D3197">
        <v>135</v>
      </c>
      <c r="E3197" t="s">
        <v>9</v>
      </c>
    </row>
    <row r="3198" spans="1:5" x14ac:dyDescent="0.35">
      <c r="A3198" t="s">
        <v>3165</v>
      </c>
      <c r="B3198" t="s">
        <v>3219</v>
      </c>
      <c r="C3198">
        <v>161</v>
      </c>
      <c r="D3198">
        <v>123</v>
      </c>
      <c r="E3198" t="s">
        <v>17</v>
      </c>
    </row>
    <row r="3199" spans="1:5" x14ac:dyDescent="0.35">
      <c r="A3199" t="s">
        <v>3165</v>
      </c>
      <c r="B3199" t="s">
        <v>3220</v>
      </c>
      <c r="C3199">
        <v>270</v>
      </c>
      <c r="D3199">
        <v>118</v>
      </c>
      <c r="E3199" t="s">
        <v>33</v>
      </c>
    </row>
    <row r="3200" spans="1:5" x14ac:dyDescent="0.35">
      <c r="A3200" t="s">
        <v>3165</v>
      </c>
      <c r="B3200" t="s">
        <v>3221</v>
      </c>
      <c r="C3200">
        <v>189</v>
      </c>
      <c r="D3200">
        <v>181</v>
      </c>
      <c r="E3200" t="s">
        <v>17</v>
      </c>
    </row>
    <row r="3201" spans="1:5" x14ac:dyDescent="0.35">
      <c r="A3201" t="s">
        <v>3165</v>
      </c>
      <c r="B3201" t="s">
        <v>3222</v>
      </c>
      <c r="C3201">
        <v>300</v>
      </c>
      <c r="D3201">
        <v>47</v>
      </c>
      <c r="E3201" t="s">
        <v>9</v>
      </c>
    </row>
    <row r="3202" spans="1:5" x14ac:dyDescent="0.35">
      <c r="A3202" t="s">
        <v>3165</v>
      </c>
      <c r="B3202" t="s">
        <v>3223</v>
      </c>
      <c r="C3202">
        <v>282</v>
      </c>
      <c r="D3202">
        <v>140</v>
      </c>
      <c r="E3202" t="s">
        <v>15</v>
      </c>
    </row>
    <row r="3203" spans="1:5" x14ac:dyDescent="0.35">
      <c r="A3203" t="s">
        <v>3165</v>
      </c>
      <c r="B3203" t="s">
        <v>3224</v>
      </c>
      <c r="C3203">
        <v>206</v>
      </c>
      <c r="D3203">
        <v>58</v>
      </c>
      <c r="E3203" t="s">
        <v>7</v>
      </c>
    </row>
    <row r="3204" spans="1:5" x14ac:dyDescent="0.35">
      <c r="A3204" t="s">
        <v>3165</v>
      </c>
      <c r="B3204" t="s">
        <v>3225</v>
      </c>
      <c r="C3204">
        <v>168</v>
      </c>
      <c r="D3204">
        <v>108</v>
      </c>
      <c r="E3204" t="s">
        <v>33</v>
      </c>
    </row>
    <row r="3205" spans="1:5" x14ac:dyDescent="0.35">
      <c r="A3205" t="s">
        <v>3165</v>
      </c>
      <c r="B3205" t="s">
        <v>3226</v>
      </c>
      <c r="C3205">
        <v>112</v>
      </c>
      <c r="D3205">
        <v>65</v>
      </c>
      <c r="E3205" t="s">
        <v>9</v>
      </c>
    </row>
    <row r="3206" spans="1:5" x14ac:dyDescent="0.35">
      <c r="A3206" t="s">
        <v>3165</v>
      </c>
      <c r="B3206" t="s">
        <v>3227</v>
      </c>
      <c r="C3206">
        <v>316</v>
      </c>
      <c r="D3206">
        <v>120</v>
      </c>
      <c r="E3206" t="s">
        <v>33</v>
      </c>
    </row>
    <row r="3207" spans="1:5" x14ac:dyDescent="0.35">
      <c r="A3207" t="s">
        <v>3165</v>
      </c>
      <c r="B3207" t="s">
        <v>3228</v>
      </c>
      <c r="C3207">
        <v>302</v>
      </c>
      <c r="D3207">
        <v>89</v>
      </c>
      <c r="E3207" t="s">
        <v>7</v>
      </c>
    </row>
    <row r="3208" spans="1:5" x14ac:dyDescent="0.35">
      <c r="A3208" t="s">
        <v>3165</v>
      </c>
      <c r="B3208" t="s">
        <v>3229</v>
      </c>
      <c r="C3208">
        <v>260</v>
      </c>
      <c r="D3208">
        <v>85</v>
      </c>
      <c r="E3208" t="s">
        <v>33</v>
      </c>
    </row>
    <row r="3209" spans="1:5" x14ac:dyDescent="0.35">
      <c r="A3209" t="s">
        <v>3165</v>
      </c>
      <c r="B3209" t="s">
        <v>3230</v>
      </c>
      <c r="C3209">
        <v>184</v>
      </c>
      <c r="D3209">
        <v>116</v>
      </c>
      <c r="E3209" t="s">
        <v>15</v>
      </c>
    </row>
    <row r="3210" spans="1:5" x14ac:dyDescent="0.35">
      <c r="A3210" t="s">
        <v>3165</v>
      </c>
      <c r="B3210" t="s">
        <v>3231</v>
      </c>
      <c r="C3210">
        <v>139</v>
      </c>
      <c r="D3210">
        <v>39</v>
      </c>
      <c r="E3210" t="s">
        <v>15</v>
      </c>
    </row>
    <row r="3211" spans="1:5" x14ac:dyDescent="0.35">
      <c r="A3211" t="s">
        <v>3165</v>
      </c>
      <c r="B3211" t="s">
        <v>3232</v>
      </c>
      <c r="C3211">
        <v>227</v>
      </c>
      <c r="D3211">
        <v>124</v>
      </c>
      <c r="E3211" t="s">
        <v>7</v>
      </c>
    </row>
    <row r="3212" spans="1:5" x14ac:dyDescent="0.35">
      <c r="A3212" t="s">
        <v>3165</v>
      </c>
      <c r="B3212" t="s">
        <v>3233</v>
      </c>
      <c r="C3212">
        <v>249</v>
      </c>
      <c r="D3212">
        <v>184</v>
      </c>
      <c r="E3212" t="s">
        <v>9</v>
      </c>
    </row>
    <row r="3213" spans="1:5" x14ac:dyDescent="0.35">
      <c r="A3213" t="s">
        <v>3165</v>
      </c>
      <c r="B3213" t="s">
        <v>3234</v>
      </c>
      <c r="C3213">
        <v>95</v>
      </c>
      <c r="D3213">
        <v>39</v>
      </c>
      <c r="E3213" t="s">
        <v>17</v>
      </c>
    </row>
    <row r="3214" spans="1:5" x14ac:dyDescent="0.35">
      <c r="A3214" t="s">
        <v>3165</v>
      </c>
      <c r="B3214" t="s">
        <v>3235</v>
      </c>
      <c r="C3214">
        <v>140</v>
      </c>
      <c r="D3214">
        <v>36</v>
      </c>
      <c r="E3214" t="s">
        <v>15</v>
      </c>
    </row>
    <row r="3215" spans="1:5" x14ac:dyDescent="0.35">
      <c r="A3215" t="s">
        <v>3165</v>
      </c>
      <c r="B3215" t="s">
        <v>3236</v>
      </c>
      <c r="C3215">
        <v>177</v>
      </c>
      <c r="D3215">
        <v>159</v>
      </c>
      <c r="E3215" t="s">
        <v>15</v>
      </c>
    </row>
    <row r="3216" spans="1:5" x14ac:dyDescent="0.35">
      <c r="A3216" t="s">
        <v>3165</v>
      </c>
      <c r="B3216" t="s">
        <v>3237</v>
      </c>
      <c r="C3216">
        <v>196</v>
      </c>
      <c r="D3216">
        <v>171</v>
      </c>
      <c r="E3216" t="s">
        <v>9</v>
      </c>
    </row>
    <row r="3217" spans="1:5" x14ac:dyDescent="0.35">
      <c r="A3217" t="s">
        <v>3165</v>
      </c>
      <c r="B3217" t="s">
        <v>3238</v>
      </c>
      <c r="C3217">
        <v>253</v>
      </c>
      <c r="D3217">
        <v>99</v>
      </c>
      <c r="E3217" t="s">
        <v>15</v>
      </c>
    </row>
    <row r="3218" spans="1:5" x14ac:dyDescent="0.35">
      <c r="A3218" t="s">
        <v>3165</v>
      </c>
      <c r="B3218" t="s">
        <v>3239</v>
      </c>
      <c r="C3218">
        <v>223</v>
      </c>
      <c r="D3218">
        <v>151</v>
      </c>
      <c r="E3218" t="s">
        <v>21</v>
      </c>
    </row>
    <row r="3219" spans="1:5" x14ac:dyDescent="0.35">
      <c r="A3219" t="s">
        <v>3165</v>
      </c>
      <c r="B3219" t="s">
        <v>3240</v>
      </c>
      <c r="C3219">
        <v>36</v>
      </c>
      <c r="D3219">
        <v>31</v>
      </c>
      <c r="E3219" t="s">
        <v>17</v>
      </c>
    </row>
    <row r="3220" spans="1:5" x14ac:dyDescent="0.35">
      <c r="A3220" t="s">
        <v>3165</v>
      </c>
      <c r="B3220" t="s">
        <v>3241</v>
      </c>
      <c r="C3220">
        <v>268</v>
      </c>
      <c r="D3220">
        <v>151</v>
      </c>
      <c r="E3220" t="s">
        <v>11</v>
      </c>
    </row>
    <row r="3221" spans="1:5" x14ac:dyDescent="0.35">
      <c r="A3221" t="s">
        <v>3165</v>
      </c>
      <c r="B3221" t="s">
        <v>3242</v>
      </c>
      <c r="C3221">
        <v>268</v>
      </c>
      <c r="D3221">
        <v>148</v>
      </c>
      <c r="E3221" t="s">
        <v>33</v>
      </c>
    </row>
    <row r="3222" spans="1:5" x14ac:dyDescent="0.35">
      <c r="A3222" t="s">
        <v>3165</v>
      </c>
      <c r="B3222" t="s">
        <v>3243</v>
      </c>
      <c r="C3222">
        <v>239</v>
      </c>
      <c r="D3222">
        <v>91</v>
      </c>
      <c r="E3222" t="s">
        <v>17</v>
      </c>
    </row>
    <row r="3223" spans="1:5" x14ac:dyDescent="0.35">
      <c r="A3223" t="s">
        <v>3165</v>
      </c>
      <c r="B3223" t="s">
        <v>3244</v>
      </c>
      <c r="C3223">
        <v>104</v>
      </c>
      <c r="D3223">
        <v>41</v>
      </c>
      <c r="E3223" t="s">
        <v>33</v>
      </c>
    </row>
    <row r="3224" spans="1:5" x14ac:dyDescent="0.35">
      <c r="A3224" t="s">
        <v>3165</v>
      </c>
      <c r="B3224" t="s">
        <v>3245</v>
      </c>
      <c r="C3224">
        <v>157</v>
      </c>
      <c r="D3224">
        <v>61</v>
      </c>
      <c r="E3224" t="s">
        <v>11</v>
      </c>
    </row>
    <row r="3225" spans="1:5" x14ac:dyDescent="0.35">
      <c r="A3225" t="s">
        <v>3165</v>
      </c>
      <c r="B3225" t="s">
        <v>3246</v>
      </c>
      <c r="C3225">
        <v>271</v>
      </c>
      <c r="D3225">
        <v>60</v>
      </c>
      <c r="E3225" t="s">
        <v>9</v>
      </c>
    </row>
    <row r="3226" spans="1:5" x14ac:dyDescent="0.35">
      <c r="A3226" t="s">
        <v>3165</v>
      </c>
      <c r="B3226" t="s">
        <v>3247</v>
      </c>
      <c r="C3226">
        <v>190</v>
      </c>
      <c r="D3226">
        <v>118</v>
      </c>
      <c r="E3226" t="s">
        <v>33</v>
      </c>
    </row>
    <row r="3227" spans="1:5" x14ac:dyDescent="0.35">
      <c r="A3227" t="s">
        <v>3165</v>
      </c>
      <c r="B3227" t="s">
        <v>3248</v>
      </c>
      <c r="C3227">
        <v>261</v>
      </c>
      <c r="D3227">
        <v>41</v>
      </c>
      <c r="E3227" t="s">
        <v>9</v>
      </c>
    </row>
    <row r="3228" spans="1:5" x14ac:dyDescent="0.35">
      <c r="A3228" t="s">
        <v>3165</v>
      </c>
      <c r="B3228" t="s">
        <v>3249</v>
      </c>
      <c r="C3228">
        <v>262</v>
      </c>
      <c r="D3228">
        <v>153</v>
      </c>
      <c r="E3228" t="s">
        <v>15</v>
      </c>
    </row>
    <row r="3229" spans="1:5" x14ac:dyDescent="0.35">
      <c r="A3229" t="s">
        <v>3165</v>
      </c>
      <c r="B3229" t="s">
        <v>3250</v>
      </c>
      <c r="C3229">
        <v>219</v>
      </c>
      <c r="D3229">
        <v>162</v>
      </c>
      <c r="E3229" t="s">
        <v>33</v>
      </c>
    </row>
    <row r="3230" spans="1:5" x14ac:dyDescent="0.35">
      <c r="A3230" t="s">
        <v>3165</v>
      </c>
      <c r="B3230" t="s">
        <v>3251</v>
      </c>
      <c r="C3230">
        <v>238</v>
      </c>
      <c r="D3230">
        <v>94</v>
      </c>
      <c r="E3230" t="s">
        <v>15</v>
      </c>
    </row>
    <row r="3231" spans="1:5" x14ac:dyDescent="0.35">
      <c r="A3231" t="s">
        <v>3165</v>
      </c>
      <c r="B3231" t="s">
        <v>3252</v>
      </c>
      <c r="C3231">
        <v>135</v>
      </c>
      <c r="D3231">
        <v>94</v>
      </c>
      <c r="E3231" t="s">
        <v>15</v>
      </c>
    </row>
    <row r="3232" spans="1:5" x14ac:dyDescent="0.35">
      <c r="A3232" t="s">
        <v>3165</v>
      </c>
      <c r="B3232" t="s">
        <v>3253</v>
      </c>
      <c r="C3232">
        <v>204</v>
      </c>
      <c r="D3232">
        <v>47</v>
      </c>
      <c r="E3232" t="s">
        <v>11</v>
      </c>
    </row>
    <row r="3233" spans="1:5" x14ac:dyDescent="0.35">
      <c r="A3233" t="s">
        <v>3165</v>
      </c>
      <c r="B3233" t="s">
        <v>3254</v>
      </c>
      <c r="C3233">
        <v>218</v>
      </c>
      <c r="D3233">
        <v>148</v>
      </c>
      <c r="E3233" t="s">
        <v>7</v>
      </c>
    </row>
    <row r="3234" spans="1:5" x14ac:dyDescent="0.35">
      <c r="A3234" t="s">
        <v>3165</v>
      </c>
      <c r="B3234" t="s">
        <v>3255</v>
      </c>
      <c r="C3234">
        <v>280</v>
      </c>
      <c r="D3234">
        <v>120</v>
      </c>
      <c r="E3234" t="s">
        <v>15</v>
      </c>
    </row>
    <row r="3235" spans="1:5" x14ac:dyDescent="0.35">
      <c r="A3235" t="s">
        <v>3165</v>
      </c>
      <c r="B3235" t="s">
        <v>3256</v>
      </c>
      <c r="C3235">
        <v>208</v>
      </c>
      <c r="D3235">
        <v>66</v>
      </c>
      <c r="E3235" t="s">
        <v>11</v>
      </c>
    </row>
    <row r="3236" spans="1:5" x14ac:dyDescent="0.35">
      <c r="A3236" t="s">
        <v>3165</v>
      </c>
      <c r="B3236" t="s">
        <v>3257</v>
      </c>
      <c r="C3236">
        <v>246</v>
      </c>
      <c r="D3236">
        <v>171</v>
      </c>
      <c r="E3236" t="s">
        <v>15</v>
      </c>
    </row>
    <row r="3237" spans="1:5" x14ac:dyDescent="0.35">
      <c r="A3237" t="s">
        <v>3165</v>
      </c>
      <c r="B3237" t="s">
        <v>3258</v>
      </c>
      <c r="C3237">
        <v>173</v>
      </c>
      <c r="D3237">
        <v>142</v>
      </c>
      <c r="E3237" t="s">
        <v>21</v>
      </c>
    </row>
    <row r="3238" spans="1:5" x14ac:dyDescent="0.35">
      <c r="A3238" t="s">
        <v>3165</v>
      </c>
      <c r="B3238" t="s">
        <v>3259</v>
      </c>
      <c r="C3238">
        <v>195</v>
      </c>
      <c r="D3238">
        <v>180</v>
      </c>
      <c r="E3238" t="s">
        <v>11</v>
      </c>
    </row>
    <row r="3239" spans="1:5" x14ac:dyDescent="0.35">
      <c r="A3239" t="s">
        <v>3165</v>
      </c>
      <c r="B3239" t="s">
        <v>3260</v>
      </c>
      <c r="C3239">
        <v>243</v>
      </c>
      <c r="D3239">
        <v>113</v>
      </c>
      <c r="E3239" t="s">
        <v>7</v>
      </c>
    </row>
    <row r="3240" spans="1:5" x14ac:dyDescent="0.35">
      <c r="A3240" t="s">
        <v>3165</v>
      </c>
      <c r="B3240" t="s">
        <v>3261</v>
      </c>
      <c r="C3240">
        <v>193</v>
      </c>
      <c r="D3240">
        <v>183</v>
      </c>
      <c r="E3240" t="s">
        <v>17</v>
      </c>
    </row>
    <row r="3241" spans="1:5" x14ac:dyDescent="0.35">
      <c r="A3241" t="s">
        <v>3165</v>
      </c>
      <c r="B3241" t="s">
        <v>3262</v>
      </c>
      <c r="C3241">
        <v>194</v>
      </c>
      <c r="D3241">
        <v>54</v>
      </c>
      <c r="E3241" t="s">
        <v>9</v>
      </c>
    </row>
    <row r="3242" spans="1:5" x14ac:dyDescent="0.35">
      <c r="A3242" t="s">
        <v>3165</v>
      </c>
      <c r="B3242" t="s">
        <v>3263</v>
      </c>
      <c r="C3242">
        <v>259</v>
      </c>
      <c r="D3242">
        <v>142</v>
      </c>
      <c r="E3242" t="s">
        <v>17</v>
      </c>
    </row>
    <row r="3243" spans="1:5" x14ac:dyDescent="0.35">
      <c r="A3243" t="s">
        <v>3165</v>
      </c>
      <c r="B3243" t="s">
        <v>3264</v>
      </c>
      <c r="C3243">
        <v>146</v>
      </c>
      <c r="D3243">
        <v>146</v>
      </c>
      <c r="E3243" t="s">
        <v>9</v>
      </c>
    </row>
    <row r="3244" spans="1:5" x14ac:dyDescent="0.35">
      <c r="A3244" t="s">
        <v>3165</v>
      </c>
      <c r="B3244" t="s">
        <v>3265</v>
      </c>
      <c r="C3244">
        <v>216</v>
      </c>
      <c r="D3244">
        <v>164</v>
      </c>
      <c r="E3244" t="s">
        <v>21</v>
      </c>
    </row>
    <row r="3245" spans="1:5" x14ac:dyDescent="0.35">
      <c r="A3245" t="s">
        <v>3165</v>
      </c>
      <c r="B3245" t="s">
        <v>3266</v>
      </c>
      <c r="C3245">
        <v>286</v>
      </c>
      <c r="D3245">
        <v>81</v>
      </c>
      <c r="E3245" t="s">
        <v>15</v>
      </c>
    </row>
    <row r="3246" spans="1:5" x14ac:dyDescent="0.35">
      <c r="A3246" t="s">
        <v>3165</v>
      </c>
      <c r="B3246" t="s">
        <v>3267</v>
      </c>
      <c r="C3246">
        <v>159</v>
      </c>
      <c r="D3246">
        <v>51</v>
      </c>
      <c r="E3246" t="s">
        <v>7</v>
      </c>
    </row>
    <row r="3247" spans="1:5" x14ac:dyDescent="0.35">
      <c r="A3247" t="s">
        <v>3165</v>
      </c>
      <c r="B3247" t="s">
        <v>3268</v>
      </c>
      <c r="C3247">
        <v>279</v>
      </c>
      <c r="D3247">
        <v>114</v>
      </c>
      <c r="E3247" t="s">
        <v>17</v>
      </c>
    </row>
    <row r="3248" spans="1:5" x14ac:dyDescent="0.35">
      <c r="A3248" t="s">
        <v>3165</v>
      </c>
      <c r="B3248" t="s">
        <v>3269</v>
      </c>
      <c r="C3248">
        <v>159</v>
      </c>
      <c r="D3248">
        <v>78</v>
      </c>
      <c r="E3248" t="s">
        <v>15</v>
      </c>
    </row>
    <row r="3249" spans="1:5" x14ac:dyDescent="0.35">
      <c r="A3249" t="s">
        <v>3165</v>
      </c>
      <c r="B3249" t="s">
        <v>3270</v>
      </c>
      <c r="C3249">
        <v>169</v>
      </c>
      <c r="D3249">
        <v>159</v>
      </c>
      <c r="E3249" t="s">
        <v>17</v>
      </c>
    </row>
    <row r="3250" spans="1:5" x14ac:dyDescent="0.35">
      <c r="A3250" t="s">
        <v>3165</v>
      </c>
      <c r="B3250" t="s">
        <v>3271</v>
      </c>
      <c r="C3250">
        <v>209</v>
      </c>
      <c r="D3250">
        <v>93</v>
      </c>
      <c r="E3250" t="s">
        <v>15</v>
      </c>
    </row>
    <row r="3251" spans="1:5" x14ac:dyDescent="0.35">
      <c r="A3251" t="s">
        <v>3165</v>
      </c>
      <c r="B3251" t="s">
        <v>3272</v>
      </c>
      <c r="C3251">
        <v>314</v>
      </c>
      <c r="D3251">
        <v>49</v>
      </c>
      <c r="E3251" t="s">
        <v>9</v>
      </c>
    </row>
    <row r="3252" spans="1:5" x14ac:dyDescent="0.35">
      <c r="A3252" t="s">
        <v>3165</v>
      </c>
      <c r="B3252" t="s">
        <v>3273</v>
      </c>
      <c r="C3252">
        <v>280</v>
      </c>
      <c r="D3252">
        <v>172</v>
      </c>
      <c r="E3252" t="s">
        <v>15</v>
      </c>
    </row>
    <row r="3253" spans="1:5" x14ac:dyDescent="0.35">
      <c r="A3253" t="s">
        <v>3165</v>
      </c>
      <c r="B3253" t="s">
        <v>3274</v>
      </c>
      <c r="C3253">
        <v>235</v>
      </c>
      <c r="D3253">
        <v>156</v>
      </c>
      <c r="E3253" t="s">
        <v>15</v>
      </c>
    </row>
    <row r="3254" spans="1:5" x14ac:dyDescent="0.35">
      <c r="A3254" t="s">
        <v>3165</v>
      </c>
      <c r="B3254" t="s">
        <v>3275</v>
      </c>
      <c r="C3254">
        <v>232</v>
      </c>
      <c r="D3254">
        <v>188</v>
      </c>
      <c r="E3254" t="s">
        <v>15</v>
      </c>
    </row>
    <row r="3255" spans="1:5" x14ac:dyDescent="0.35">
      <c r="A3255" t="s">
        <v>3165</v>
      </c>
      <c r="B3255" t="s">
        <v>3276</v>
      </c>
      <c r="C3255">
        <v>307</v>
      </c>
      <c r="D3255">
        <v>113</v>
      </c>
      <c r="E3255" t="s">
        <v>21</v>
      </c>
    </row>
    <row r="3256" spans="1:5" x14ac:dyDescent="0.35">
      <c r="A3256" t="s">
        <v>3165</v>
      </c>
      <c r="B3256" t="s">
        <v>3277</v>
      </c>
      <c r="C3256">
        <v>283</v>
      </c>
      <c r="D3256">
        <v>176</v>
      </c>
      <c r="E3256" t="s">
        <v>9</v>
      </c>
    </row>
    <row r="3257" spans="1:5" x14ac:dyDescent="0.35">
      <c r="A3257" t="s">
        <v>3165</v>
      </c>
      <c r="B3257" t="s">
        <v>3278</v>
      </c>
      <c r="C3257">
        <v>232</v>
      </c>
      <c r="D3257">
        <v>187</v>
      </c>
      <c r="E3257" t="s">
        <v>7</v>
      </c>
    </row>
    <row r="3258" spans="1:5" x14ac:dyDescent="0.35">
      <c r="A3258" t="s">
        <v>3165</v>
      </c>
      <c r="B3258" t="s">
        <v>3279</v>
      </c>
      <c r="C3258">
        <v>302</v>
      </c>
      <c r="D3258">
        <v>180</v>
      </c>
      <c r="E3258" t="s">
        <v>11</v>
      </c>
    </row>
    <row r="3259" spans="1:5" x14ac:dyDescent="0.35">
      <c r="A3259" t="s">
        <v>3165</v>
      </c>
      <c r="B3259" t="s">
        <v>3280</v>
      </c>
      <c r="C3259">
        <v>257</v>
      </c>
      <c r="D3259">
        <v>166</v>
      </c>
      <c r="E3259" t="s">
        <v>33</v>
      </c>
    </row>
    <row r="3260" spans="1:5" x14ac:dyDescent="0.35">
      <c r="A3260" t="s">
        <v>3165</v>
      </c>
      <c r="B3260" t="s">
        <v>3281</v>
      </c>
      <c r="C3260">
        <v>161</v>
      </c>
      <c r="D3260">
        <v>48</v>
      </c>
      <c r="E3260" t="s">
        <v>15</v>
      </c>
    </row>
    <row r="3261" spans="1:5" x14ac:dyDescent="0.35">
      <c r="A3261" t="s">
        <v>3165</v>
      </c>
      <c r="B3261" t="s">
        <v>3282</v>
      </c>
      <c r="C3261">
        <v>276</v>
      </c>
      <c r="D3261">
        <v>110</v>
      </c>
      <c r="E3261" t="s">
        <v>7</v>
      </c>
    </row>
    <row r="3262" spans="1:5" x14ac:dyDescent="0.35">
      <c r="A3262" t="s">
        <v>3165</v>
      </c>
      <c r="B3262" t="s">
        <v>3283</v>
      </c>
      <c r="C3262">
        <v>274</v>
      </c>
      <c r="D3262">
        <v>73</v>
      </c>
      <c r="E3262" t="s">
        <v>15</v>
      </c>
    </row>
    <row r="3263" spans="1:5" x14ac:dyDescent="0.35">
      <c r="A3263" t="s">
        <v>3165</v>
      </c>
      <c r="B3263" t="s">
        <v>3284</v>
      </c>
      <c r="C3263">
        <v>187</v>
      </c>
      <c r="D3263">
        <v>101</v>
      </c>
      <c r="E3263" t="s">
        <v>9</v>
      </c>
    </row>
    <row r="3264" spans="1:5" x14ac:dyDescent="0.35">
      <c r="A3264" t="s">
        <v>3165</v>
      </c>
      <c r="B3264" t="s">
        <v>3285</v>
      </c>
      <c r="C3264">
        <v>301</v>
      </c>
      <c r="D3264">
        <v>119</v>
      </c>
      <c r="E3264" t="s">
        <v>17</v>
      </c>
    </row>
    <row r="3265" spans="1:5" x14ac:dyDescent="0.35">
      <c r="A3265" t="s">
        <v>3165</v>
      </c>
      <c r="B3265" t="s">
        <v>3286</v>
      </c>
      <c r="C3265">
        <v>198</v>
      </c>
      <c r="D3265">
        <v>106</v>
      </c>
      <c r="E3265" t="s">
        <v>9</v>
      </c>
    </row>
    <row r="3266" spans="1:5" x14ac:dyDescent="0.35">
      <c r="A3266" t="s">
        <v>3165</v>
      </c>
      <c r="B3266" t="s">
        <v>3287</v>
      </c>
      <c r="C3266">
        <v>278</v>
      </c>
      <c r="D3266">
        <v>60</v>
      </c>
      <c r="E3266" t="s">
        <v>11</v>
      </c>
    </row>
    <row r="3267" spans="1:5" x14ac:dyDescent="0.35">
      <c r="A3267" t="s">
        <v>3165</v>
      </c>
      <c r="B3267" t="s">
        <v>3288</v>
      </c>
      <c r="C3267">
        <v>192</v>
      </c>
      <c r="D3267">
        <v>176</v>
      </c>
      <c r="E3267" t="s">
        <v>33</v>
      </c>
    </row>
    <row r="3268" spans="1:5" x14ac:dyDescent="0.35">
      <c r="A3268" t="s">
        <v>3165</v>
      </c>
      <c r="B3268" t="s">
        <v>3289</v>
      </c>
      <c r="C3268">
        <v>320</v>
      </c>
      <c r="D3268">
        <v>84</v>
      </c>
      <c r="E3268" t="s">
        <v>17</v>
      </c>
    </row>
    <row r="3269" spans="1:5" x14ac:dyDescent="0.35">
      <c r="A3269" t="s">
        <v>3165</v>
      </c>
      <c r="B3269" t="s">
        <v>3290</v>
      </c>
      <c r="C3269">
        <v>210</v>
      </c>
      <c r="D3269">
        <v>150</v>
      </c>
      <c r="E3269" t="s">
        <v>33</v>
      </c>
    </row>
    <row r="3270" spans="1:5" x14ac:dyDescent="0.35">
      <c r="A3270" t="s">
        <v>3165</v>
      </c>
      <c r="B3270" t="s">
        <v>3291</v>
      </c>
      <c r="C3270">
        <v>186</v>
      </c>
      <c r="D3270">
        <v>90</v>
      </c>
      <c r="E3270" t="s">
        <v>17</v>
      </c>
    </row>
    <row r="3271" spans="1:5" x14ac:dyDescent="0.35">
      <c r="A3271" t="s">
        <v>3165</v>
      </c>
      <c r="B3271" t="s">
        <v>3292</v>
      </c>
      <c r="C3271">
        <v>243</v>
      </c>
      <c r="D3271">
        <v>69</v>
      </c>
      <c r="E3271" t="s">
        <v>21</v>
      </c>
    </row>
    <row r="3272" spans="1:5" x14ac:dyDescent="0.35">
      <c r="A3272" t="s">
        <v>3165</v>
      </c>
      <c r="B3272" t="s">
        <v>3293</v>
      </c>
      <c r="C3272">
        <v>237</v>
      </c>
      <c r="D3272">
        <v>65</v>
      </c>
      <c r="E3272" t="s">
        <v>7</v>
      </c>
    </row>
    <row r="3273" spans="1:5" x14ac:dyDescent="0.35">
      <c r="A3273" t="s">
        <v>3165</v>
      </c>
      <c r="B3273" t="s">
        <v>3294</v>
      </c>
      <c r="C3273">
        <v>118</v>
      </c>
      <c r="D3273">
        <v>47</v>
      </c>
      <c r="E3273" t="s">
        <v>7</v>
      </c>
    </row>
    <row r="3274" spans="1:5" x14ac:dyDescent="0.35">
      <c r="A3274" t="s">
        <v>3165</v>
      </c>
      <c r="B3274" t="s">
        <v>3295</v>
      </c>
      <c r="C3274">
        <v>188</v>
      </c>
      <c r="D3274">
        <v>156</v>
      </c>
      <c r="E3274" t="s">
        <v>11</v>
      </c>
    </row>
    <row r="3275" spans="1:5" x14ac:dyDescent="0.35">
      <c r="A3275" t="s">
        <v>3165</v>
      </c>
      <c r="B3275" t="s">
        <v>3296</v>
      </c>
      <c r="C3275">
        <v>125</v>
      </c>
      <c r="D3275">
        <v>36</v>
      </c>
      <c r="E3275" t="s">
        <v>17</v>
      </c>
    </row>
    <row r="3276" spans="1:5" x14ac:dyDescent="0.35">
      <c r="A3276" t="s">
        <v>3165</v>
      </c>
      <c r="B3276" t="s">
        <v>3297</v>
      </c>
      <c r="C3276">
        <v>126</v>
      </c>
      <c r="D3276">
        <v>102</v>
      </c>
      <c r="E3276" t="s">
        <v>11</v>
      </c>
    </row>
    <row r="3277" spans="1:5" x14ac:dyDescent="0.35">
      <c r="A3277" t="s">
        <v>3165</v>
      </c>
      <c r="B3277" t="s">
        <v>3298</v>
      </c>
      <c r="C3277">
        <v>177</v>
      </c>
      <c r="D3277">
        <v>165</v>
      </c>
      <c r="E3277" t="s">
        <v>17</v>
      </c>
    </row>
    <row r="3278" spans="1:5" x14ac:dyDescent="0.35">
      <c r="A3278" t="s">
        <v>3165</v>
      </c>
      <c r="B3278" t="s">
        <v>3299</v>
      </c>
      <c r="C3278">
        <v>248</v>
      </c>
      <c r="D3278">
        <v>86</v>
      </c>
      <c r="E3278" t="s">
        <v>21</v>
      </c>
    </row>
    <row r="3279" spans="1:5" x14ac:dyDescent="0.35">
      <c r="A3279" t="s">
        <v>3165</v>
      </c>
      <c r="B3279" t="s">
        <v>3300</v>
      </c>
      <c r="C3279">
        <v>311</v>
      </c>
      <c r="D3279">
        <v>117</v>
      </c>
      <c r="E3279" t="s">
        <v>7</v>
      </c>
    </row>
    <row r="3280" spans="1:5" x14ac:dyDescent="0.35">
      <c r="A3280" t="s">
        <v>3165</v>
      </c>
      <c r="B3280" t="s">
        <v>3301</v>
      </c>
      <c r="C3280">
        <v>311</v>
      </c>
      <c r="D3280">
        <v>34</v>
      </c>
      <c r="E3280" t="s">
        <v>21</v>
      </c>
    </row>
    <row r="3281" spans="1:5" x14ac:dyDescent="0.35">
      <c r="A3281" t="s">
        <v>3165</v>
      </c>
      <c r="B3281" t="s">
        <v>3302</v>
      </c>
      <c r="C3281">
        <v>224</v>
      </c>
      <c r="D3281">
        <v>70</v>
      </c>
      <c r="E3281" t="s">
        <v>17</v>
      </c>
    </row>
    <row r="3282" spans="1:5" x14ac:dyDescent="0.35">
      <c r="A3282" t="s">
        <v>3165</v>
      </c>
      <c r="B3282" t="s">
        <v>3303</v>
      </c>
      <c r="C3282">
        <v>245</v>
      </c>
      <c r="D3282">
        <v>154</v>
      </c>
      <c r="E3282" t="s">
        <v>9</v>
      </c>
    </row>
    <row r="3283" spans="1:5" x14ac:dyDescent="0.35">
      <c r="A3283" t="s">
        <v>3165</v>
      </c>
      <c r="B3283" t="s">
        <v>3304</v>
      </c>
      <c r="C3283">
        <v>208</v>
      </c>
      <c r="D3283">
        <v>183</v>
      </c>
      <c r="E3283" t="s">
        <v>21</v>
      </c>
    </row>
    <row r="3284" spans="1:5" x14ac:dyDescent="0.35">
      <c r="A3284" t="s">
        <v>3165</v>
      </c>
      <c r="B3284" t="s">
        <v>3305</v>
      </c>
      <c r="C3284">
        <v>126</v>
      </c>
      <c r="D3284">
        <v>70</v>
      </c>
      <c r="E3284" t="s">
        <v>15</v>
      </c>
    </row>
    <row r="3285" spans="1:5" x14ac:dyDescent="0.35">
      <c r="A3285" t="s">
        <v>3165</v>
      </c>
      <c r="B3285" t="s">
        <v>3306</v>
      </c>
      <c r="C3285">
        <v>311</v>
      </c>
      <c r="D3285">
        <v>110</v>
      </c>
      <c r="E3285" t="s">
        <v>17</v>
      </c>
    </row>
    <row r="3286" spans="1:5" x14ac:dyDescent="0.35">
      <c r="A3286" t="s">
        <v>3165</v>
      </c>
      <c r="B3286" t="s">
        <v>3307</v>
      </c>
      <c r="C3286">
        <v>288</v>
      </c>
      <c r="D3286">
        <v>101</v>
      </c>
      <c r="E3286" t="s">
        <v>15</v>
      </c>
    </row>
    <row r="3287" spans="1:5" x14ac:dyDescent="0.35">
      <c r="A3287" t="s">
        <v>3165</v>
      </c>
      <c r="B3287" t="s">
        <v>3308</v>
      </c>
      <c r="C3287">
        <v>242</v>
      </c>
      <c r="D3287">
        <v>129</v>
      </c>
      <c r="E3287" t="s">
        <v>15</v>
      </c>
    </row>
    <row r="3288" spans="1:5" x14ac:dyDescent="0.35">
      <c r="A3288" t="s">
        <v>3165</v>
      </c>
      <c r="B3288" t="s">
        <v>3309</v>
      </c>
      <c r="C3288">
        <v>264</v>
      </c>
      <c r="D3288">
        <v>146</v>
      </c>
      <c r="E3288" t="s">
        <v>9</v>
      </c>
    </row>
    <row r="3289" spans="1:5" x14ac:dyDescent="0.35">
      <c r="A3289" t="s">
        <v>3165</v>
      </c>
      <c r="B3289" t="s">
        <v>3310</v>
      </c>
      <c r="C3289">
        <v>212</v>
      </c>
      <c r="D3289">
        <v>31</v>
      </c>
      <c r="E3289" t="s">
        <v>11</v>
      </c>
    </row>
    <row r="3290" spans="1:5" x14ac:dyDescent="0.35">
      <c r="A3290" t="s">
        <v>3165</v>
      </c>
      <c r="B3290" t="s">
        <v>3311</v>
      </c>
      <c r="C3290">
        <v>219</v>
      </c>
      <c r="D3290">
        <v>157</v>
      </c>
      <c r="E3290" t="s">
        <v>33</v>
      </c>
    </row>
    <row r="3291" spans="1:5" x14ac:dyDescent="0.35">
      <c r="A3291" t="s">
        <v>3165</v>
      </c>
      <c r="B3291" t="s">
        <v>3312</v>
      </c>
      <c r="C3291">
        <v>204</v>
      </c>
      <c r="D3291">
        <v>85</v>
      </c>
      <c r="E3291" t="s">
        <v>15</v>
      </c>
    </row>
    <row r="3292" spans="1:5" x14ac:dyDescent="0.35">
      <c r="A3292" t="s">
        <v>3165</v>
      </c>
      <c r="B3292" t="s">
        <v>3313</v>
      </c>
      <c r="C3292">
        <v>115</v>
      </c>
      <c r="D3292">
        <v>101</v>
      </c>
      <c r="E3292" t="s">
        <v>15</v>
      </c>
    </row>
    <row r="3293" spans="1:5" x14ac:dyDescent="0.35">
      <c r="A3293" t="s">
        <v>3165</v>
      </c>
      <c r="B3293" t="s">
        <v>3314</v>
      </c>
      <c r="C3293">
        <v>294</v>
      </c>
      <c r="D3293">
        <v>39</v>
      </c>
      <c r="E3293" t="s">
        <v>15</v>
      </c>
    </row>
    <row r="3294" spans="1:5" x14ac:dyDescent="0.35">
      <c r="A3294" t="s">
        <v>3165</v>
      </c>
      <c r="B3294" t="s">
        <v>3315</v>
      </c>
      <c r="C3294">
        <v>126</v>
      </c>
      <c r="D3294">
        <v>94</v>
      </c>
      <c r="E3294" t="s">
        <v>21</v>
      </c>
    </row>
    <row r="3295" spans="1:5" x14ac:dyDescent="0.35">
      <c r="A3295" t="s">
        <v>3165</v>
      </c>
      <c r="B3295" t="s">
        <v>3316</v>
      </c>
      <c r="C3295">
        <v>276</v>
      </c>
      <c r="D3295">
        <v>69</v>
      </c>
      <c r="E3295" t="s">
        <v>15</v>
      </c>
    </row>
    <row r="3296" spans="1:5" x14ac:dyDescent="0.35">
      <c r="A3296" t="s">
        <v>3165</v>
      </c>
      <c r="B3296" t="s">
        <v>3317</v>
      </c>
      <c r="C3296">
        <v>108</v>
      </c>
      <c r="D3296">
        <v>41</v>
      </c>
      <c r="E3296" t="s">
        <v>17</v>
      </c>
    </row>
    <row r="3297" spans="1:5" x14ac:dyDescent="0.35">
      <c r="A3297" t="s">
        <v>3165</v>
      </c>
      <c r="B3297" t="s">
        <v>3318</v>
      </c>
      <c r="C3297">
        <v>197</v>
      </c>
      <c r="D3297">
        <v>154</v>
      </c>
      <c r="E3297" t="s">
        <v>33</v>
      </c>
    </row>
    <row r="3298" spans="1:5" x14ac:dyDescent="0.35">
      <c r="A3298" t="s">
        <v>3165</v>
      </c>
      <c r="B3298" t="s">
        <v>3319</v>
      </c>
      <c r="C3298">
        <v>128</v>
      </c>
      <c r="D3298">
        <v>50</v>
      </c>
      <c r="E3298" t="s">
        <v>33</v>
      </c>
    </row>
    <row r="3299" spans="1:5" x14ac:dyDescent="0.35">
      <c r="A3299" t="s">
        <v>3165</v>
      </c>
      <c r="B3299" t="s">
        <v>3320</v>
      </c>
      <c r="C3299">
        <v>299</v>
      </c>
      <c r="D3299">
        <v>154</v>
      </c>
      <c r="E3299" t="s">
        <v>11</v>
      </c>
    </row>
    <row r="3300" spans="1:5" x14ac:dyDescent="0.35">
      <c r="A3300" t="s">
        <v>3165</v>
      </c>
      <c r="B3300" t="s">
        <v>3321</v>
      </c>
      <c r="C3300">
        <v>166</v>
      </c>
      <c r="D3300">
        <v>98</v>
      </c>
      <c r="E3300" t="s">
        <v>11</v>
      </c>
    </row>
    <row r="3301" spans="1:5" x14ac:dyDescent="0.35">
      <c r="A3301" t="s">
        <v>3165</v>
      </c>
      <c r="B3301" t="s">
        <v>3322</v>
      </c>
      <c r="C3301">
        <v>258</v>
      </c>
      <c r="D3301">
        <v>132</v>
      </c>
      <c r="E3301" t="s">
        <v>9</v>
      </c>
    </row>
    <row r="3302" spans="1:5" x14ac:dyDescent="0.35">
      <c r="A3302" t="s">
        <v>3165</v>
      </c>
      <c r="B3302" t="s">
        <v>3323</v>
      </c>
      <c r="C3302">
        <v>194</v>
      </c>
      <c r="D3302">
        <v>89</v>
      </c>
      <c r="E3302" t="s">
        <v>9</v>
      </c>
    </row>
    <row r="3303" spans="1:5" x14ac:dyDescent="0.35">
      <c r="A3303" t="s">
        <v>3165</v>
      </c>
      <c r="B3303" t="s">
        <v>3324</v>
      </c>
      <c r="C3303">
        <v>204</v>
      </c>
      <c r="D3303">
        <v>138</v>
      </c>
      <c r="E3303" t="s">
        <v>7</v>
      </c>
    </row>
    <row r="3304" spans="1:5" x14ac:dyDescent="0.35">
      <c r="A3304" t="s">
        <v>3165</v>
      </c>
      <c r="B3304" t="s">
        <v>3325</v>
      </c>
      <c r="C3304">
        <v>320</v>
      </c>
      <c r="D3304">
        <v>123</v>
      </c>
      <c r="E3304" t="s">
        <v>11</v>
      </c>
    </row>
    <row r="3305" spans="1:5" x14ac:dyDescent="0.35">
      <c r="A3305" t="s">
        <v>3165</v>
      </c>
      <c r="B3305" t="s">
        <v>3326</v>
      </c>
      <c r="C3305">
        <v>219</v>
      </c>
      <c r="D3305">
        <v>135</v>
      </c>
      <c r="E3305" t="s">
        <v>21</v>
      </c>
    </row>
    <row r="3306" spans="1:5" x14ac:dyDescent="0.35">
      <c r="A3306" t="s">
        <v>3165</v>
      </c>
      <c r="B3306" t="s">
        <v>3327</v>
      </c>
      <c r="C3306">
        <v>296</v>
      </c>
      <c r="D3306">
        <v>73</v>
      </c>
      <c r="E3306" t="s">
        <v>17</v>
      </c>
    </row>
    <row r="3307" spans="1:5" x14ac:dyDescent="0.35">
      <c r="A3307" t="s">
        <v>3165</v>
      </c>
      <c r="B3307" t="s">
        <v>3328</v>
      </c>
      <c r="C3307">
        <v>172</v>
      </c>
      <c r="D3307">
        <v>171</v>
      </c>
      <c r="E3307" t="s">
        <v>7</v>
      </c>
    </row>
    <row r="3308" spans="1:5" x14ac:dyDescent="0.35">
      <c r="A3308" t="s">
        <v>3165</v>
      </c>
      <c r="B3308" t="s">
        <v>3329</v>
      </c>
      <c r="C3308">
        <v>151</v>
      </c>
      <c r="D3308">
        <v>116</v>
      </c>
      <c r="E3308" t="s">
        <v>21</v>
      </c>
    </row>
    <row r="3309" spans="1:5" x14ac:dyDescent="0.35">
      <c r="A3309" t="s">
        <v>3165</v>
      </c>
      <c r="B3309" t="s">
        <v>3330</v>
      </c>
      <c r="C3309">
        <v>208</v>
      </c>
      <c r="D3309">
        <v>117</v>
      </c>
      <c r="E3309" t="s">
        <v>9</v>
      </c>
    </row>
    <row r="3310" spans="1:5" x14ac:dyDescent="0.35">
      <c r="A3310" t="s">
        <v>3165</v>
      </c>
      <c r="B3310" t="s">
        <v>3331</v>
      </c>
      <c r="C3310">
        <v>249</v>
      </c>
      <c r="D3310">
        <v>170</v>
      </c>
      <c r="E3310" t="s">
        <v>21</v>
      </c>
    </row>
    <row r="3311" spans="1:5" x14ac:dyDescent="0.35">
      <c r="A3311" t="s">
        <v>3165</v>
      </c>
      <c r="B3311" t="s">
        <v>3332</v>
      </c>
      <c r="C3311">
        <v>273</v>
      </c>
      <c r="D3311">
        <v>123</v>
      </c>
      <c r="E3311" t="s">
        <v>7</v>
      </c>
    </row>
    <row r="3312" spans="1:5" x14ac:dyDescent="0.35">
      <c r="A3312" t="s">
        <v>3165</v>
      </c>
      <c r="B3312" t="s">
        <v>3333</v>
      </c>
      <c r="C3312">
        <v>263</v>
      </c>
      <c r="D3312">
        <v>181</v>
      </c>
      <c r="E3312" t="s">
        <v>17</v>
      </c>
    </row>
    <row r="3313" spans="1:5" x14ac:dyDescent="0.35">
      <c r="A3313" t="s">
        <v>3165</v>
      </c>
      <c r="B3313" t="s">
        <v>3334</v>
      </c>
      <c r="C3313">
        <v>189</v>
      </c>
      <c r="D3313">
        <v>185</v>
      </c>
      <c r="E3313" t="s">
        <v>21</v>
      </c>
    </row>
    <row r="3314" spans="1:5" x14ac:dyDescent="0.35">
      <c r="A3314" t="s">
        <v>3165</v>
      </c>
      <c r="B3314" t="s">
        <v>3335</v>
      </c>
      <c r="C3314">
        <v>199</v>
      </c>
      <c r="D3314">
        <v>79</v>
      </c>
      <c r="E3314" t="s">
        <v>33</v>
      </c>
    </row>
    <row r="3315" spans="1:5" x14ac:dyDescent="0.35">
      <c r="A3315" t="s">
        <v>3165</v>
      </c>
      <c r="B3315" t="s">
        <v>3336</v>
      </c>
      <c r="C3315">
        <v>313</v>
      </c>
      <c r="D3315">
        <v>70</v>
      </c>
      <c r="E3315" t="s">
        <v>21</v>
      </c>
    </row>
    <row r="3316" spans="1:5" x14ac:dyDescent="0.35">
      <c r="A3316" t="s">
        <v>3165</v>
      </c>
      <c r="B3316" t="s">
        <v>3337</v>
      </c>
      <c r="C3316">
        <v>295</v>
      </c>
      <c r="D3316">
        <v>113</v>
      </c>
      <c r="E3316" t="s">
        <v>21</v>
      </c>
    </row>
    <row r="3317" spans="1:5" x14ac:dyDescent="0.35">
      <c r="A3317" t="s">
        <v>3165</v>
      </c>
      <c r="B3317" t="s">
        <v>3338</v>
      </c>
      <c r="C3317">
        <v>159</v>
      </c>
      <c r="D3317">
        <v>145</v>
      </c>
      <c r="E3317" t="s">
        <v>21</v>
      </c>
    </row>
    <row r="3318" spans="1:5" x14ac:dyDescent="0.35">
      <c r="A3318" t="s">
        <v>3165</v>
      </c>
      <c r="B3318" t="s">
        <v>3339</v>
      </c>
      <c r="C3318">
        <v>240</v>
      </c>
      <c r="D3318">
        <v>93</v>
      </c>
      <c r="E3318" t="s">
        <v>15</v>
      </c>
    </row>
    <row r="3319" spans="1:5" x14ac:dyDescent="0.35">
      <c r="A3319" t="s">
        <v>3165</v>
      </c>
      <c r="B3319" t="s">
        <v>3340</v>
      </c>
      <c r="C3319">
        <v>90</v>
      </c>
      <c r="D3319">
        <v>90</v>
      </c>
      <c r="E3319" t="s">
        <v>9</v>
      </c>
    </row>
    <row r="3320" spans="1:5" x14ac:dyDescent="0.35">
      <c r="A3320" t="s">
        <v>3165</v>
      </c>
      <c r="B3320" t="s">
        <v>3341</v>
      </c>
      <c r="C3320">
        <v>222</v>
      </c>
      <c r="D3320">
        <v>148</v>
      </c>
      <c r="E3320" t="s">
        <v>33</v>
      </c>
    </row>
    <row r="3321" spans="1:5" x14ac:dyDescent="0.35">
      <c r="A3321" t="s">
        <v>3165</v>
      </c>
      <c r="B3321" t="s">
        <v>3342</v>
      </c>
      <c r="C3321">
        <v>314</v>
      </c>
      <c r="D3321">
        <v>38</v>
      </c>
      <c r="E3321" t="s">
        <v>15</v>
      </c>
    </row>
    <row r="3322" spans="1:5" x14ac:dyDescent="0.35">
      <c r="A3322" t="s">
        <v>3165</v>
      </c>
      <c r="B3322" t="s">
        <v>3343</v>
      </c>
      <c r="C3322">
        <v>290</v>
      </c>
      <c r="D3322">
        <v>88</v>
      </c>
      <c r="E3322" t="s">
        <v>17</v>
      </c>
    </row>
    <row r="3323" spans="1:5" x14ac:dyDescent="0.35">
      <c r="A3323" t="s">
        <v>3165</v>
      </c>
      <c r="B3323" t="s">
        <v>3344</v>
      </c>
      <c r="C3323">
        <v>137</v>
      </c>
      <c r="D3323">
        <v>50</v>
      </c>
      <c r="E3323" t="s">
        <v>9</v>
      </c>
    </row>
    <row r="3324" spans="1:5" x14ac:dyDescent="0.35">
      <c r="A3324" t="s">
        <v>3165</v>
      </c>
      <c r="B3324" t="s">
        <v>3345</v>
      </c>
      <c r="C3324">
        <v>275</v>
      </c>
      <c r="D3324">
        <v>188</v>
      </c>
      <c r="E3324" t="s">
        <v>17</v>
      </c>
    </row>
    <row r="3325" spans="1:5" x14ac:dyDescent="0.35">
      <c r="A3325" t="s">
        <v>3165</v>
      </c>
      <c r="B3325" t="s">
        <v>3346</v>
      </c>
      <c r="C3325">
        <v>248</v>
      </c>
      <c r="D3325">
        <v>181</v>
      </c>
      <c r="E3325" t="s">
        <v>17</v>
      </c>
    </row>
    <row r="3326" spans="1:5" x14ac:dyDescent="0.35">
      <c r="A3326" t="s">
        <v>3165</v>
      </c>
      <c r="B3326" t="s">
        <v>3347</v>
      </c>
      <c r="C3326">
        <v>245</v>
      </c>
      <c r="D3326">
        <v>37</v>
      </c>
      <c r="E3326" t="s">
        <v>15</v>
      </c>
    </row>
    <row r="3327" spans="1:5" x14ac:dyDescent="0.35">
      <c r="A3327" t="s">
        <v>3165</v>
      </c>
      <c r="B3327" t="s">
        <v>3348</v>
      </c>
      <c r="C3327">
        <v>102</v>
      </c>
      <c r="D3327">
        <v>34</v>
      </c>
      <c r="E3327" t="s">
        <v>7</v>
      </c>
    </row>
    <row r="3328" spans="1:5" x14ac:dyDescent="0.35">
      <c r="A3328" t="s">
        <v>3165</v>
      </c>
      <c r="B3328" t="s">
        <v>3349</v>
      </c>
      <c r="C3328">
        <v>135</v>
      </c>
      <c r="D3328">
        <v>121</v>
      </c>
      <c r="E3328" t="s">
        <v>11</v>
      </c>
    </row>
    <row r="3329" spans="1:5" x14ac:dyDescent="0.35">
      <c r="A3329" t="s">
        <v>3165</v>
      </c>
      <c r="B3329" t="s">
        <v>3350</v>
      </c>
      <c r="C3329">
        <v>66</v>
      </c>
      <c r="D3329">
        <v>44</v>
      </c>
      <c r="E3329" t="s">
        <v>21</v>
      </c>
    </row>
    <row r="3330" spans="1:5" x14ac:dyDescent="0.35">
      <c r="A3330" t="s">
        <v>3165</v>
      </c>
      <c r="B3330" t="s">
        <v>3351</v>
      </c>
      <c r="C3330">
        <v>171</v>
      </c>
      <c r="D3330">
        <v>97</v>
      </c>
      <c r="E3330" t="s">
        <v>7</v>
      </c>
    </row>
    <row r="3331" spans="1:5" x14ac:dyDescent="0.35">
      <c r="A3331" t="s">
        <v>3165</v>
      </c>
      <c r="B3331" t="s">
        <v>3352</v>
      </c>
      <c r="C3331">
        <v>235</v>
      </c>
      <c r="D3331">
        <v>80</v>
      </c>
      <c r="E3331" t="s">
        <v>15</v>
      </c>
    </row>
    <row r="3332" spans="1:5" x14ac:dyDescent="0.35">
      <c r="A3332" t="s">
        <v>3165</v>
      </c>
      <c r="B3332" t="s">
        <v>3353</v>
      </c>
      <c r="C3332">
        <v>220</v>
      </c>
      <c r="D3332">
        <v>81</v>
      </c>
      <c r="E3332" t="s">
        <v>9</v>
      </c>
    </row>
    <row r="3333" spans="1:5" x14ac:dyDescent="0.35">
      <c r="A3333" t="s">
        <v>3165</v>
      </c>
      <c r="B3333" t="s">
        <v>3354</v>
      </c>
      <c r="C3333">
        <v>99</v>
      </c>
      <c r="D3333">
        <v>74</v>
      </c>
      <c r="E3333" t="s">
        <v>15</v>
      </c>
    </row>
    <row r="3334" spans="1:5" x14ac:dyDescent="0.35">
      <c r="A3334" t="s">
        <v>3165</v>
      </c>
      <c r="B3334" t="s">
        <v>3355</v>
      </c>
      <c r="C3334">
        <v>73</v>
      </c>
      <c r="D3334">
        <v>57</v>
      </c>
      <c r="E3334" t="s">
        <v>15</v>
      </c>
    </row>
    <row r="3335" spans="1:5" x14ac:dyDescent="0.35">
      <c r="A3335" t="s">
        <v>3165</v>
      </c>
      <c r="B3335" t="s">
        <v>3356</v>
      </c>
      <c r="C3335">
        <v>169</v>
      </c>
      <c r="D3335">
        <v>125</v>
      </c>
      <c r="E3335" t="s">
        <v>33</v>
      </c>
    </row>
    <row r="3336" spans="1:5" x14ac:dyDescent="0.35">
      <c r="A3336" t="s">
        <v>3165</v>
      </c>
      <c r="B3336" t="s">
        <v>3357</v>
      </c>
      <c r="C3336">
        <v>319</v>
      </c>
      <c r="D3336">
        <v>75</v>
      </c>
      <c r="E3336" t="s">
        <v>7</v>
      </c>
    </row>
    <row r="3337" spans="1:5" x14ac:dyDescent="0.35">
      <c r="A3337" t="s">
        <v>3165</v>
      </c>
      <c r="B3337" t="s">
        <v>3358</v>
      </c>
      <c r="C3337">
        <v>91</v>
      </c>
      <c r="D3337">
        <v>53</v>
      </c>
      <c r="E3337" t="s">
        <v>17</v>
      </c>
    </row>
    <row r="3338" spans="1:5" x14ac:dyDescent="0.35">
      <c r="A3338" t="s">
        <v>3165</v>
      </c>
      <c r="B3338" t="s">
        <v>3359</v>
      </c>
      <c r="C3338">
        <v>319</v>
      </c>
      <c r="D3338">
        <v>164</v>
      </c>
      <c r="E3338" t="s">
        <v>9</v>
      </c>
    </row>
    <row r="3339" spans="1:5" x14ac:dyDescent="0.35">
      <c r="A3339" t="s">
        <v>3165</v>
      </c>
      <c r="B3339" t="s">
        <v>3360</v>
      </c>
      <c r="C3339">
        <v>169</v>
      </c>
      <c r="D3339">
        <v>164</v>
      </c>
      <c r="E3339" t="s">
        <v>33</v>
      </c>
    </row>
    <row r="3340" spans="1:5" x14ac:dyDescent="0.35">
      <c r="A3340" t="s">
        <v>3165</v>
      </c>
      <c r="B3340" t="s">
        <v>3361</v>
      </c>
      <c r="C3340">
        <v>249</v>
      </c>
      <c r="D3340">
        <v>105</v>
      </c>
      <c r="E3340" t="s">
        <v>33</v>
      </c>
    </row>
    <row r="3341" spans="1:5" x14ac:dyDescent="0.35">
      <c r="A3341" t="s">
        <v>3165</v>
      </c>
      <c r="B3341" t="s">
        <v>3362</v>
      </c>
      <c r="C3341">
        <v>202</v>
      </c>
      <c r="D3341">
        <v>119</v>
      </c>
      <c r="E3341" t="s">
        <v>15</v>
      </c>
    </row>
    <row r="3342" spans="1:5" x14ac:dyDescent="0.35">
      <c r="A3342" t="s">
        <v>3165</v>
      </c>
      <c r="B3342" t="s">
        <v>3363</v>
      </c>
      <c r="C3342">
        <v>196</v>
      </c>
      <c r="D3342">
        <v>164</v>
      </c>
      <c r="E3342" t="s">
        <v>21</v>
      </c>
    </row>
    <row r="3343" spans="1:5" x14ac:dyDescent="0.35">
      <c r="A3343" t="s">
        <v>3165</v>
      </c>
      <c r="B3343" t="s">
        <v>3364</v>
      </c>
      <c r="C3343">
        <v>289</v>
      </c>
      <c r="D3343">
        <v>45</v>
      </c>
      <c r="E3343" t="s">
        <v>15</v>
      </c>
    </row>
    <row r="3344" spans="1:5" x14ac:dyDescent="0.35">
      <c r="A3344" t="s">
        <v>3165</v>
      </c>
      <c r="B3344" t="s">
        <v>3365</v>
      </c>
      <c r="C3344">
        <v>123</v>
      </c>
      <c r="D3344">
        <v>32</v>
      </c>
      <c r="E3344" t="s">
        <v>15</v>
      </c>
    </row>
    <row r="3345" spans="1:5" x14ac:dyDescent="0.35">
      <c r="A3345" t="s">
        <v>3165</v>
      </c>
      <c r="B3345" t="s">
        <v>3366</v>
      </c>
      <c r="C3345">
        <v>226</v>
      </c>
      <c r="D3345">
        <v>123</v>
      </c>
      <c r="E3345" t="s">
        <v>21</v>
      </c>
    </row>
    <row r="3346" spans="1:5" x14ac:dyDescent="0.35">
      <c r="A3346" t="s">
        <v>3165</v>
      </c>
      <c r="B3346" t="s">
        <v>3367</v>
      </c>
      <c r="C3346">
        <v>197</v>
      </c>
      <c r="D3346">
        <v>128</v>
      </c>
      <c r="E3346" t="s">
        <v>11</v>
      </c>
    </row>
    <row r="3347" spans="1:5" x14ac:dyDescent="0.35">
      <c r="A3347" t="s">
        <v>3165</v>
      </c>
      <c r="B3347" t="s">
        <v>3368</v>
      </c>
      <c r="C3347">
        <v>105</v>
      </c>
      <c r="D3347">
        <v>72</v>
      </c>
      <c r="E3347" t="s">
        <v>33</v>
      </c>
    </row>
    <row r="3348" spans="1:5" x14ac:dyDescent="0.35">
      <c r="A3348" t="s">
        <v>3165</v>
      </c>
      <c r="B3348" t="s">
        <v>3369</v>
      </c>
      <c r="C3348">
        <v>311</v>
      </c>
      <c r="D3348">
        <v>105</v>
      </c>
      <c r="E3348" t="s">
        <v>15</v>
      </c>
    </row>
    <row r="3349" spans="1:5" x14ac:dyDescent="0.35">
      <c r="A3349" t="s">
        <v>3165</v>
      </c>
      <c r="B3349" t="s">
        <v>3370</v>
      </c>
      <c r="C3349">
        <v>113</v>
      </c>
      <c r="D3349">
        <v>95</v>
      </c>
      <c r="E3349" t="s">
        <v>9</v>
      </c>
    </row>
    <row r="3350" spans="1:5" x14ac:dyDescent="0.35">
      <c r="A3350" t="s">
        <v>3165</v>
      </c>
      <c r="B3350" t="s">
        <v>3371</v>
      </c>
      <c r="C3350">
        <v>254</v>
      </c>
      <c r="D3350">
        <v>118</v>
      </c>
      <c r="E3350" t="s">
        <v>9</v>
      </c>
    </row>
    <row r="3351" spans="1:5" x14ac:dyDescent="0.35">
      <c r="A3351" t="s">
        <v>3165</v>
      </c>
      <c r="B3351" t="s">
        <v>3372</v>
      </c>
      <c r="C3351">
        <v>253</v>
      </c>
      <c r="D3351">
        <v>57</v>
      </c>
      <c r="E3351" t="s">
        <v>17</v>
      </c>
    </row>
    <row r="3352" spans="1:5" x14ac:dyDescent="0.35">
      <c r="A3352" t="s">
        <v>3165</v>
      </c>
      <c r="B3352" t="s">
        <v>3373</v>
      </c>
      <c r="C3352">
        <v>319</v>
      </c>
      <c r="D3352">
        <v>56</v>
      </c>
      <c r="E3352" t="s">
        <v>11</v>
      </c>
    </row>
    <row r="3353" spans="1:5" x14ac:dyDescent="0.35">
      <c r="A3353" t="s">
        <v>3165</v>
      </c>
      <c r="B3353" t="s">
        <v>3374</v>
      </c>
      <c r="C3353">
        <v>303</v>
      </c>
      <c r="D3353">
        <v>87</v>
      </c>
      <c r="E3353" t="s">
        <v>15</v>
      </c>
    </row>
    <row r="3354" spans="1:5" x14ac:dyDescent="0.35">
      <c r="A3354" t="s">
        <v>3165</v>
      </c>
      <c r="B3354" t="s">
        <v>3375</v>
      </c>
      <c r="C3354">
        <v>220</v>
      </c>
      <c r="D3354">
        <v>185</v>
      </c>
      <c r="E3354" t="s">
        <v>33</v>
      </c>
    </row>
    <row r="3355" spans="1:5" x14ac:dyDescent="0.35">
      <c r="A3355" t="s">
        <v>3376</v>
      </c>
      <c r="B3355" t="s">
        <v>3377</v>
      </c>
      <c r="C3355">
        <v>303</v>
      </c>
      <c r="D3355">
        <v>135</v>
      </c>
      <c r="E3355" t="s">
        <v>7</v>
      </c>
    </row>
    <row r="3356" spans="1:5" x14ac:dyDescent="0.35">
      <c r="A3356" t="s">
        <v>3376</v>
      </c>
      <c r="B3356" t="s">
        <v>3378</v>
      </c>
      <c r="C3356">
        <v>152</v>
      </c>
      <c r="D3356">
        <v>70</v>
      </c>
      <c r="E3356" t="s">
        <v>33</v>
      </c>
    </row>
    <row r="3357" spans="1:5" x14ac:dyDescent="0.35">
      <c r="A3357" t="s">
        <v>3376</v>
      </c>
      <c r="B3357" t="s">
        <v>3379</v>
      </c>
      <c r="C3357">
        <v>188</v>
      </c>
      <c r="D3357">
        <v>188</v>
      </c>
      <c r="E3357" t="s">
        <v>7</v>
      </c>
    </row>
    <row r="3358" spans="1:5" x14ac:dyDescent="0.35">
      <c r="A3358" t="s">
        <v>3376</v>
      </c>
      <c r="B3358" t="s">
        <v>3380</v>
      </c>
      <c r="C3358">
        <v>147</v>
      </c>
      <c r="D3358">
        <v>62</v>
      </c>
      <c r="E3358" t="s">
        <v>15</v>
      </c>
    </row>
    <row r="3359" spans="1:5" x14ac:dyDescent="0.35">
      <c r="A3359" t="s">
        <v>3376</v>
      </c>
      <c r="B3359" t="s">
        <v>3381</v>
      </c>
      <c r="C3359">
        <v>116</v>
      </c>
      <c r="D3359">
        <v>75</v>
      </c>
      <c r="E3359" t="s">
        <v>21</v>
      </c>
    </row>
    <row r="3360" spans="1:5" x14ac:dyDescent="0.35">
      <c r="A3360" t="s">
        <v>3376</v>
      </c>
      <c r="B3360" t="s">
        <v>3382</v>
      </c>
      <c r="C3360">
        <v>305</v>
      </c>
      <c r="D3360">
        <v>86</v>
      </c>
      <c r="E3360" t="s">
        <v>33</v>
      </c>
    </row>
    <row r="3361" spans="1:5" x14ac:dyDescent="0.35">
      <c r="A3361" t="s">
        <v>3376</v>
      </c>
      <c r="B3361" t="s">
        <v>3383</v>
      </c>
      <c r="C3361">
        <v>166</v>
      </c>
      <c r="D3361">
        <v>119</v>
      </c>
      <c r="E3361" t="s">
        <v>15</v>
      </c>
    </row>
    <row r="3362" spans="1:5" x14ac:dyDescent="0.35">
      <c r="A3362" t="s">
        <v>3376</v>
      </c>
      <c r="B3362" t="s">
        <v>3384</v>
      </c>
      <c r="C3362">
        <v>250</v>
      </c>
      <c r="D3362">
        <v>105</v>
      </c>
      <c r="E3362" t="s">
        <v>33</v>
      </c>
    </row>
    <row r="3363" spans="1:5" x14ac:dyDescent="0.35">
      <c r="A3363" t="s">
        <v>3376</v>
      </c>
      <c r="B3363" t="s">
        <v>3385</v>
      </c>
      <c r="C3363">
        <v>224</v>
      </c>
      <c r="D3363">
        <v>120</v>
      </c>
      <c r="E3363" t="s">
        <v>33</v>
      </c>
    </row>
    <row r="3364" spans="1:5" x14ac:dyDescent="0.35">
      <c r="A3364" t="s">
        <v>3376</v>
      </c>
      <c r="B3364" t="s">
        <v>3386</v>
      </c>
      <c r="C3364">
        <v>246</v>
      </c>
      <c r="D3364">
        <v>165</v>
      </c>
      <c r="E3364" t="s">
        <v>11</v>
      </c>
    </row>
    <row r="3365" spans="1:5" x14ac:dyDescent="0.35">
      <c r="A3365" t="s">
        <v>3376</v>
      </c>
      <c r="B3365" t="s">
        <v>3387</v>
      </c>
      <c r="C3365">
        <v>301</v>
      </c>
      <c r="D3365">
        <v>32</v>
      </c>
      <c r="E3365" t="s">
        <v>11</v>
      </c>
    </row>
    <row r="3366" spans="1:5" x14ac:dyDescent="0.35">
      <c r="A3366" t="s">
        <v>3376</v>
      </c>
      <c r="B3366" t="s">
        <v>3388</v>
      </c>
      <c r="C3366">
        <v>173</v>
      </c>
      <c r="D3366">
        <v>100</v>
      </c>
      <c r="E3366" t="s">
        <v>9</v>
      </c>
    </row>
    <row r="3367" spans="1:5" x14ac:dyDescent="0.35">
      <c r="A3367" t="s">
        <v>3376</v>
      </c>
      <c r="B3367" t="s">
        <v>3389</v>
      </c>
      <c r="C3367">
        <v>131</v>
      </c>
      <c r="D3367">
        <v>45</v>
      </c>
      <c r="E3367" t="s">
        <v>11</v>
      </c>
    </row>
    <row r="3368" spans="1:5" x14ac:dyDescent="0.35">
      <c r="A3368" t="s">
        <v>3376</v>
      </c>
      <c r="B3368" t="s">
        <v>3390</v>
      </c>
      <c r="C3368">
        <v>134</v>
      </c>
      <c r="D3368">
        <v>49</v>
      </c>
      <c r="E3368" t="s">
        <v>17</v>
      </c>
    </row>
    <row r="3369" spans="1:5" x14ac:dyDescent="0.35">
      <c r="A3369" t="s">
        <v>3376</v>
      </c>
      <c r="B3369" t="s">
        <v>3391</v>
      </c>
      <c r="C3369">
        <v>194</v>
      </c>
      <c r="D3369">
        <v>132</v>
      </c>
      <c r="E3369" t="s">
        <v>21</v>
      </c>
    </row>
    <row r="3370" spans="1:5" x14ac:dyDescent="0.35">
      <c r="A3370" t="s">
        <v>3376</v>
      </c>
      <c r="B3370" t="s">
        <v>3392</v>
      </c>
      <c r="C3370">
        <v>249</v>
      </c>
      <c r="D3370">
        <v>183</v>
      </c>
      <c r="E3370" t="s">
        <v>7</v>
      </c>
    </row>
    <row r="3371" spans="1:5" x14ac:dyDescent="0.35">
      <c r="A3371" t="s">
        <v>3376</v>
      </c>
      <c r="B3371" t="s">
        <v>3393</v>
      </c>
      <c r="C3371">
        <v>188</v>
      </c>
      <c r="D3371">
        <v>89</v>
      </c>
      <c r="E3371" t="s">
        <v>11</v>
      </c>
    </row>
    <row r="3372" spans="1:5" x14ac:dyDescent="0.35">
      <c r="A3372" t="s">
        <v>3376</v>
      </c>
      <c r="B3372" t="s">
        <v>3394</v>
      </c>
      <c r="C3372">
        <v>163</v>
      </c>
      <c r="D3372">
        <v>147</v>
      </c>
      <c r="E3372" t="s">
        <v>17</v>
      </c>
    </row>
    <row r="3373" spans="1:5" x14ac:dyDescent="0.35">
      <c r="A3373" t="s">
        <v>3376</v>
      </c>
      <c r="B3373" t="s">
        <v>3395</v>
      </c>
      <c r="C3373">
        <v>320</v>
      </c>
      <c r="D3373">
        <v>186</v>
      </c>
      <c r="E3373" t="s">
        <v>17</v>
      </c>
    </row>
    <row r="3374" spans="1:5" x14ac:dyDescent="0.35">
      <c r="A3374" t="s">
        <v>3376</v>
      </c>
      <c r="B3374" t="s">
        <v>3396</v>
      </c>
      <c r="C3374">
        <v>245</v>
      </c>
      <c r="D3374">
        <v>97</v>
      </c>
      <c r="E3374" t="s">
        <v>15</v>
      </c>
    </row>
    <row r="3375" spans="1:5" x14ac:dyDescent="0.35">
      <c r="A3375" t="s">
        <v>3376</v>
      </c>
      <c r="B3375" t="s">
        <v>3397</v>
      </c>
      <c r="C3375">
        <v>178</v>
      </c>
      <c r="D3375">
        <v>102</v>
      </c>
      <c r="E3375" t="s">
        <v>7</v>
      </c>
    </row>
    <row r="3376" spans="1:5" x14ac:dyDescent="0.35">
      <c r="A3376" t="s">
        <v>3376</v>
      </c>
      <c r="B3376" t="s">
        <v>3398</v>
      </c>
      <c r="C3376">
        <v>200</v>
      </c>
      <c r="D3376">
        <v>56</v>
      </c>
      <c r="E3376" t="s">
        <v>7</v>
      </c>
    </row>
    <row r="3377" spans="1:5" x14ac:dyDescent="0.35">
      <c r="A3377" t="s">
        <v>3376</v>
      </c>
      <c r="B3377" t="s">
        <v>3399</v>
      </c>
      <c r="C3377">
        <v>269</v>
      </c>
      <c r="D3377">
        <v>190</v>
      </c>
      <c r="E3377" t="s">
        <v>11</v>
      </c>
    </row>
    <row r="3378" spans="1:5" x14ac:dyDescent="0.35">
      <c r="A3378" t="s">
        <v>3376</v>
      </c>
      <c r="B3378" t="s">
        <v>3400</v>
      </c>
      <c r="C3378">
        <v>66</v>
      </c>
      <c r="D3378">
        <v>55</v>
      </c>
      <c r="E3378" t="s">
        <v>9</v>
      </c>
    </row>
    <row r="3379" spans="1:5" x14ac:dyDescent="0.35">
      <c r="A3379" t="s">
        <v>3376</v>
      </c>
      <c r="B3379" t="s">
        <v>3401</v>
      </c>
      <c r="C3379">
        <v>120</v>
      </c>
      <c r="D3379">
        <v>105</v>
      </c>
      <c r="E3379" t="s">
        <v>7</v>
      </c>
    </row>
    <row r="3380" spans="1:5" x14ac:dyDescent="0.35">
      <c r="A3380" t="s">
        <v>3376</v>
      </c>
      <c r="B3380" t="s">
        <v>3402</v>
      </c>
      <c r="C3380">
        <v>150</v>
      </c>
      <c r="D3380">
        <v>34</v>
      </c>
      <c r="E3380" t="s">
        <v>7</v>
      </c>
    </row>
    <row r="3381" spans="1:5" x14ac:dyDescent="0.35">
      <c r="A3381" t="s">
        <v>3376</v>
      </c>
      <c r="B3381" t="s">
        <v>3403</v>
      </c>
      <c r="C3381">
        <v>175</v>
      </c>
      <c r="D3381">
        <v>168</v>
      </c>
      <c r="E3381" t="s">
        <v>33</v>
      </c>
    </row>
    <row r="3382" spans="1:5" x14ac:dyDescent="0.35">
      <c r="A3382" t="s">
        <v>3376</v>
      </c>
      <c r="B3382" t="s">
        <v>3404</v>
      </c>
      <c r="C3382">
        <v>217</v>
      </c>
      <c r="D3382">
        <v>80</v>
      </c>
      <c r="E3382" t="s">
        <v>9</v>
      </c>
    </row>
    <row r="3383" spans="1:5" x14ac:dyDescent="0.35">
      <c r="A3383" t="s">
        <v>3405</v>
      </c>
      <c r="B3383" t="s">
        <v>3406</v>
      </c>
      <c r="C3383">
        <v>495</v>
      </c>
      <c r="D3383">
        <v>294</v>
      </c>
      <c r="E3383" t="s">
        <v>7</v>
      </c>
    </row>
    <row r="3384" spans="1:5" x14ac:dyDescent="0.35">
      <c r="A3384" t="s">
        <v>3405</v>
      </c>
      <c r="B3384" t="s">
        <v>3407</v>
      </c>
      <c r="C3384">
        <v>429</v>
      </c>
      <c r="D3384">
        <v>268</v>
      </c>
      <c r="E3384" t="s">
        <v>17</v>
      </c>
    </row>
    <row r="3385" spans="1:5" x14ac:dyDescent="0.35">
      <c r="A3385" t="s">
        <v>3405</v>
      </c>
      <c r="B3385" t="s">
        <v>3408</v>
      </c>
      <c r="C3385">
        <v>444</v>
      </c>
      <c r="D3385">
        <v>426</v>
      </c>
      <c r="E3385" t="s">
        <v>7</v>
      </c>
    </row>
    <row r="3386" spans="1:5" x14ac:dyDescent="0.35">
      <c r="A3386" t="s">
        <v>3405</v>
      </c>
      <c r="B3386" t="s">
        <v>3409</v>
      </c>
      <c r="C3386">
        <v>479</v>
      </c>
      <c r="D3386">
        <v>180</v>
      </c>
      <c r="E3386" t="s">
        <v>21</v>
      </c>
    </row>
    <row r="3387" spans="1:5" x14ac:dyDescent="0.35">
      <c r="A3387" t="s">
        <v>3405</v>
      </c>
      <c r="B3387" t="s">
        <v>3410</v>
      </c>
      <c r="C3387">
        <v>367</v>
      </c>
      <c r="D3387">
        <v>300</v>
      </c>
      <c r="E3387" t="s">
        <v>11</v>
      </c>
    </row>
    <row r="3388" spans="1:5" x14ac:dyDescent="0.35">
      <c r="A3388" t="s">
        <v>3405</v>
      </c>
      <c r="B3388" t="s">
        <v>3411</v>
      </c>
      <c r="C3388">
        <v>471</v>
      </c>
      <c r="D3388">
        <v>469</v>
      </c>
      <c r="E3388" t="s">
        <v>7</v>
      </c>
    </row>
    <row r="3389" spans="1:5" x14ac:dyDescent="0.35">
      <c r="A3389" t="s">
        <v>3405</v>
      </c>
      <c r="B3389" t="s">
        <v>3412</v>
      </c>
      <c r="C3389">
        <v>426</v>
      </c>
      <c r="D3389">
        <v>266</v>
      </c>
      <c r="E3389" t="s">
        <v>17</v>
      </c>
    </row>
    <row r="3390" spans="1:5" x14ac:dyDescent="0.35">
      <c r="A3390" t="s">
        <v>3405</v>
      </c>
      <c r="B3390" t="s">
        <v>3413</v>
      </c>
      <c r="C3390">
        <v>421</v>
      </c>
      <c r="D3390">
        <v>354</v>
      </c>
      <c r="E3390" t="s">
        <v>7</v>
      </c>
    </row>
    <row r="3391" spans="1:5" x14ac:dyDescent="0.35">
      <c r="A3391" t="s">
        <v>3405</v>
      </c>
      <c r="B3391" t="s">
        <v>3414</v>
      </c>
      <c r="C3391">
        <v>442</v>
      </c>
      <c r="D3391">
        <v>166</v>
      </c>
      <c r="E3391" t="s">
        <v>7</v>
      </c>
    </row>
    <row r="3392" spans="1:5" x14ac:dyDescent="0.35">
      <c r="A3392" t="s">
        <v>3405</v>
      </c>
      <c r="B3392" t="s">
        <v>3415</v>
      </c>
      <c r="C3392">
        <v>320</v>
      </c>
      <c r="D3392">
        <v>320</v>
      </c>
      <c r="E3392" t="s">
        <v>17</v>
      </c>
    </row>
    <row r="3393" spans="1:5" x14ac:dyDescent="0.35">
      <c r="A3393" t="s">
        <v>3405</v>
      </c>
      <c r="B3393" t="s">
        <v>3416</v>
      </c>
      <c r="C3393">
        <v>305</v>
      </c>
      <c r="D3393">
        <v>194</v>
      </c>
      <c r="E3393" t="s">
        <v>33</v>
      </c>
    </row>
    <row r="3394" spans="1:5" x14ac:dyDescent="0.35">
      <c r="A3394" t="s">
        <v>3405</v>
      </c>
      <c r="B3394" t="s">
        <v>3417</v>
      </c>
      <c r="C3394">
        <v>385</v>
      </c>
      <c r="D3394">
        <v>336</v>
      </c>
      <c r="E3394" t="s">
        <v>21</v>
      </c>
    </row>
    <row r="3395" spans="1:5" x14ac:dyDescent="0.35">
      <c r="A3395" t="s">
        <v>3405</v>
      </c>
      <c r="B3395" t="s">
        <v>3418</v>
      </c>
      <c r="C3395">
        <v>477</v>
      </c>
      <c r="D3395">
        <v>265</v>
      </c>
      <c r="E3395" t="s">
        <v>21</v>
      </c>
    </row>
    <row r="3396" spans="1:5" x14ac:dyDescent="0.35">
      <c r="A3396" t="s">
        <v>3405</v>
      </c>
      <c r="B3396" t="s">
        <v>3419</v>
      </c>
      <c r="C3396">
        <v>311</v>
      </c>
      <c r="D3396">
        <v>185</v>
      </c>
      <c r="E3396" t="s">
        <v>15</v>
      </c>
    </row>
    <row r="3397" spans="1:5" x14ac:dyDescent="0.35">
      <c r="A3397" t="s">
        <v>3405</v>
      </c>
      <c r="B3397" t="s">
        <v>3420</v>
      </c>
      <c r="C3397">
        <v>423</v>
      </c>
      <c r="D3397">
        <v>390</v>
      </c>
      <c r="E3397" t="s">
        <v>21</v>
      </c>
    </row>
    <row r="3398" spans="1:5" x14ac:dyDescent="0.35">
      <c r="A3398" t="s">
        <v>3405</v>
      </c>
      <c r="B3398" t="s">
        <v>3421</v>
      </c>
      <c r="C3398">
        <v>472</v>
      </c>
      <c r="D3398">
        <v>414</v>
      </c>
      <c r="E3398" t="s">
        <v>9</v>
      </c>
    </row>
    <row r="3399" spans="1:5" x14ac:dyDescent="0.35">
      <c r="A3399" t="s">
        <v>3405</v>
      </c>
      <c r="B3399" t="s">
        <v>3422</v>
      </c>
      <c r="C3399">
        <v>427</v>
      </c>
      <c r="D3399">
        <v>367</v>
      </c>
      <c r="E3399" t="s">
        <v>7</v>
      </c>
    </row>
    <row r="3400" spans="1:5" x14ac:dyDescent="0.35">
      <c r="A3400" t="s">
        <v>3405</v>
      </c>
      <c r="B3400" t="s">
        <v>3423</v>
      </c>
      <c r="C3400">
        <v>473</v>
      </c>
      <c r="D3400">
        <v>448</v>
      </c>
      <c r="E3400" t="s">
        <v>21</v>
      </c>
    </row>
    <row r="3401" spans="1:5" x14ac:dyDescent="0.35">
      <c r="A3401" t="s">
        <v>3405</v>
      </c>
      <c r="B3401" t="s">
        <v>3424</v>
      </c>
      <c r="C3401">
        <v>467</v>
      </c>
      <c r="D3401">
        <v>449</v>
      </c>
      <c r="E3401" t="s">
        <v>21</v>
      </c>
    </row>
    <row r="3402" spans="1:5" x14ac:dyDescent="0.35">
      <c r="A3402" t="s">
        <v>3405</v>
      </c>
      <c r="B3402" t="s">
        <v>3425</v>
      </c>
      <c r="C3402">
        <v>483</v>
      </c>
      <c r="D3402">
        <v>455</v>
      </c>
      <c r="E3402" t="s">
        <v>17</v>
      </c>
    </row>
    <row r="3403" spans="1:5" x14ac:dyDescent="0.35">
      <c r="A3403" t="s">
        <v>3405</v>
      </c>
      <c r="B3403" t="s">
        <v>3426</v>
      </c>
      <c r="C3403">
        <v>500</v>
      </c>
      <c r="D3403">
        <v>464</v>
      </c>
      <c r="E3403" t="s">
        <v>9</v>
      </c>
    </row>
    <row r="3404" spans="1:5" x14ac:dyDescent="0.35">
      <c r="A3404" t="s">
        <v>3405</v>
      </c>
      <c r="B3404" t="s">
        <v>3427</v>
      </c>
      <c r="C3404">
        <v>431</v>
      </c>
      <c r="D3404">
        <v>427</v>
      </c>
      <c r="E3404" t="s">
        <v>17</v>
      </c>
    </row>
    <row r="3405" spans="1:5" x14ac:dyDescent="0.35">
      <c r="A3405" t="s">
        <v>3405</v>
      </c>
      <c r="B3405" t="s">
        <v>3428</v>
      </c>
      <c r="C3405">
        <v>485</v>
      </c>
      <c r="D3405">
        <v>460</v>
      </c>
      <c r="E3405" t="s">
        <v>7</v>
      </c>
    </row>
    <row r="3406" spans="1:5" x14ac:dyDescent="0.35">
      <c r="A3406" t="s">
        <v>3405</v>
      </c>
      <c r="B3406" t="s">
        <v>3429</v>
      </c>
      <c r="C3406">
        <v>448</v>
      </c>
      <c r="D3406">
        <v>403</v>
      </c>
      <c r="E3406" t="s">
        <v>17</v>
      </c>
    </row>
    <row r="3407" spans="1:5" x14ac:dyDescent="0.35">
      <c r="A3407" t="s">
        <v>3405</v>
      </c>
      <c r="B3407" t="s">
        <v>3430</v>
      </c>
      <c r="C3407">
        <v>428</v>
      </c>
      <c r="D3407">
        <v>336</v>
      </c>
      <c r="E3407" t="s">
        <v>17</v>
      </c>
    </row>
    <row r="3408" spans="1:5" x14ac:dyDescent="0.35">
      <c r="A3408" t="s">
        <v>3405</v>
      </c>
      <c r="B3408" t="s">
        <v>3431</v>
      </c>
      <c r="C3408">
        <v>423</v>
      </c>
      <c r="D3408">
        <v>382</v>
      </c>
      <c r="E3408" t="s">
        <v>21</v>
      </c>
    </row>
    <row r="3409" spans="1:5" x14ac:dyDescent="0.35">
      <c r="A3409" t="s">
        <v>3405</v>
      </c>
      <c r="B3409" t="s">
        <v>3432</v>
      </c>
      <c r="C3409">
        <v>358</v>
      </c>
      <c r="D3409">
        <v>300</v>
      </c>
      <c r="E3409" t="s">
        <v>17</v>
      </c>
    </row>
    <row r="3410" spans="1:5" x14ac:dyDescent="0.35">
      <c r="A3410" t="s">
        <v>3405</v>
      </c>
      <c r="B3410" t="s">
        <v>3433</v>
      </c>
      <c r="C3410">
        <v>231</v>
      </c>
      <c r="D3410">
        <v>199</v>
      </c>
      <c r="E3410" t="s">
        <v>11</v>
      </c>
    </row>
    <row r="3411" spans="1:5" x14ac:dyDescent="0.35">
      <c r="A3411" t="s">
        <v>3405</v>
      </c>
      <c r="B3411" t="s">
        <v>3434</v>
      </c>
      <c r="C3411">
        <v>386</v>
      </c>
      <c r="D3411">
        <v>194</v>
      </c>
      <c r="E3411" t="s">
        <v>33</v>
      </c>
    </row>
    <row r="3412" spans="1:5" x14ac:dyDescent="0.35">
      <c r="A3412" t="s">
        <v>3405</v>
      </c>
      <c r="B3412" t="s">
        <v>3435</v>
      </c>
      <c r="C3412">
        <v>466</v>
      </c>
      <c r="D3412">
        <v>278</v>
      </c>
      <c r="E3412" t="s">
        <v>17</v>
      </c>
    </row>
    <row r="3413" spans="1:5" x14ac:dyDescent="0.35">
      <c r="A3413" t="s">
        <v>3405</v>
      </c>
      <c r="B3413" t="s">
        <v>3436</v>
      </c>
      <c r="C3413">
        <v>375</v>
      </c>
      <c r="D3413">
        <v>189</v>
      </c>
      <c r="E3413" t="s">
        <v>17</v>
      </c>
    </row>
    <row r="3414" spans="1:5" x14ac:dyDescent="0.35">
      <c r="A3414" t="s">
        <v>3405</v>
      </c>
      <c r="B3414" t="s">
        <v>3437</v>
      </c>
      <c r="C3414">
        <v>499</v>
      </c>
      <c r="D3414">
        <v>468</v>
      </c>
      <c r="E3414" t="s">
        <v>9</v>
      </c>
    </row>
    <row r="3415" spans="1:5" x14ac:dyDescent="0.35">
      <c r="A3415" t="s">
        <v>3405</v>
      </c>
      <c r="B3415" t="s">
        <v>3438</v>
      </c>
      <c r="C3415">
        <v>354</v>
      </c>
      <c r="D3415">
        <v>196</v>
      </c>
      <c r="E3415" t="s">
        <v>33</v>
      </c>
    </row>
    <row r="3416" spans="1:5" x14ac:dyDescent="0.35">
      <c r="A3416" t="s">
        <v>3405</v>
      </c>
      <c r="B3416" t="s">
        <v>3439</v>
      </c>
      <c r="C3416">
        <v>354</v>
      </c>
      <c r="D3416">
        <v>185</v>
      </c>
      <c r="E3416" t="s">
        <v>9</v>
      </c>
    </row>
    <row r="3417" spans="1:5" x14ac:dyDescent="0.35">
      <c r="A3417" t="s">
        <v>3405</v>
      </c>
      <c r="B3417" t="s">
        <v>3440</v>
      </c>
      <c r="C3417">
        <v>373</v>
      </c>
      <c r="D3417">
        <v>350</v>
      </c>
      <c r="E3417" t="s">
        <v>15</v>
      </c>
    </row>
    <row r="3418" spans="1:5" x14ac:dyDescent="0.35">
      <c r="A3418" t="s">
        <v>3405</v>
      </c>
      <c r="B3418" t="s">
        <v>3441</v>
      </c>
      <c r="C3418">
        <v>451</v>
      </c>
      <c r="D3418">
        <v>230</v>
      </c>
      <c r="E3418" t="s">
        <v>7</v>
      </c>
    </row>
    <row r="3419" spans="1:5" x14ac:dyDescent="0.35">
      <c r="A3419" t="s">
        <v>3405</v>
      </c>
      <c r="B3419" t="s">
        <v>3442</v>
      </c>
      <c r="C3419">
        <v>496</v>
      </c>
      <c r="D3419">
        <v>371</v>
      </c>
      <c r="E3419" t="s">
        <v>7</v>
      </c>
    </row>
    <row r="3420" spans="1:5" x14ac:dyDescent="0.35">
      <c r="A3420" t="s">
        <v>3405</v>
      </c>
      <c r="B3420" t="s">
        <v>3443</v>
      </c>
      <c r="C3420">
        <v>451</v>
      </c>
      <c r="D3420">
        <v>407</v>
      </c>
      <c r="E3420" t="s">
        <v>7</v>
      </c>
    </row>
    <row r="3421" spans="1:5" x14ac:dyDescent="0.35">
      <c r="A3421" t="s">
        <v>3405</v>
      </c>
      <c r="B3421" t="s">
        <v>3444</v>
      </c>
      <c r="C3421">
        <v>445</v>
      </c>
      <c r="D3421">
        <v>263</v>
      </c>
      <c r="E3421" t="s">
        <v>17</v>
      </c>
    </row>
    <row r="3422" spans="1:5" x14ac:dyDescent="0.35">
      <c r="A3422" t="s">
        <v>3405</v>
      </c>
      <c r="B3422" t="s">
        <v>3445</v>
      </c>
      <c r="C3422">
        <v>490</v>
      </c>
      <c r="D3422">
        <v>434</v>
      </c>
      <c r="E3422" t="s">
        <v>17</v>
      </c>
    </row>
    <row r="3423" spans="1:5" x14ac:dyDescent="0.35">
      <c r="A3423" t="s">
        <v>3405</v>
      </c>
      <c r="B3423" t="s">
        <v>3446</v>
      </c>
      <c r="C3423">
        <v>417</v>
      </c>
      <c r="D3423">
        <v>175</v>
      </c>
      <c r="E3423" t="s">
        <v>17</v>
      </c>
    </row>
    <row r="3424" spans="1:5" x14ac:dyDescent="0.35">
      <c r="A3424" t="s">
        <v>3405</v>
      </c>
      <c r="B3424" t="s">
        <v>3447</v>
      </c>
      <c r="C3424">
        <v>339</v>
      </c>
      <c r="D3424">
        <v>318</v>
      </c>
      <c r="E3424" t="s">
        <v>9</v>
      </c>
    </row>
    <row r="3425" spans="1:5" x14ac:dyDescent="0.35">
      <c r="A3425" t="s">
        <v>3405</v>
      </c>
      <c r="B3425" t="s">
        <v>3448</v>
      </c>
      <c r="C3425">
        <v>245</v>
      </c>
      <c r="D3425">
        <v>151</v>
      </c>
      <c r="E3425" t="s">
        <v>17</v>
      </c>
    </row>
    <row r="3426" spans="1:5" x14ac:dyDescent="0.35">
      <c r="A3426" t="s">
        <v>3405</v>
      </c>
      <c r="B3426" t="s">
        <v>3449</v>
      </c>
      <c r="C3426">
        <v>335</v>
      </c>
      <c r="D3426">
        <v>216</v>
      </c>
      <c r="E3426" t="s">
        <v>17</v>
      </c>
    </row>
    <row r="3427" spans="1:5" x14ac:dyDescent="0.35">
      <c r="A3427" t="s">
        <v>3405</v>
      </c>
      <c r="B3427" t="s">
        <v>3450</v>
      </c>
      <c r="C3427">
        <v>360</v>
      </c>
      <c r="D3427">
        <v>282</v>
      </c>
      <c r="E3427" t="s">
        <v>15</v>
      </c>
    </row>
    <row r="3428" spans="1:5" x14ac:dyDescent="0.35">
      <c r="A3428" t="s">
        <v>3405</v>
      </c>
      <c r="B3428" t="s">
        <v>3451</v>
      </c>
      <c r="C3428">
        <v>443</v>
      </c>
      <c r="D3428">
        <v>345</v>
      </c>
      <c r="E3428" t="s">
        <v>33</v>
      </c>
    </row>
    <row r="3429" spans="1:5" x14ac:dyDescent="0.35">
      <c r="A3429" t="s">
        <v>3405</v>
      </c>
      <c r="B3429" t="s">
        <v>3452</v>
      </c>
      <c r="C3429">
        <v>427</v>
      </c>
      <c r="D3429">
        <v>420</v>
      </c>
      <c r="E3429" t="s">
        <v>21</v>
      </c>
    </row>
    <row r="3430" spans="1:5" x14ac:dyDescent="0.35">
      <c r="A3430" t="s">
        <v>3405</v>
      </c>
      <c r="B3430" t="s">
        <v>3453</v>
      </c>
      <c r="C3430">
        <v>391</v>
      </c>
      <c r="D3430">
        <v>387</v>
      </c>
      <c r="E3430" t="s">
        <v>17</v>
      </c>
    </row>
    <row r="3431" spans="1:5" x14ac:dyDescent="0.35">
      <c r="A3431" t="s">
        <v>3405</v>
      </c>
      <c r="B3431" t="s">
        <v>3454</v>
      </c>
      <c r="C3431">
        <v>445</v>
      </c>
      <c r="D3431">
        <v>352</v>
      </c>
      <c r="E3431" t="s">
        <v>21</v>
      </c>
    </row>
    <row r="3432" spans="1:5" x14ac:dyDescent="0.35">
      <c r="A3432" t="s">
        <v>3405</v>
      </c>
      <c r="B3432" t="s">
        <v>3455</v>
      </c>
      <c r="C3432">
        <v>498</v>
      </c>
      <c r="D3432">
        <v>416</v>
      </c>
      <c r="E3432" t="s">
        <v>17</v>
      </c>
    </row>
    <row r="3433" spans="1:5" x14ac:dyDescent="0.35">
      <c r="A3433" t="s">
        <v>3405</v>
      </c>
      <c r="B3433" t="s">
        <v>3456</v>
      </c>
      <c r="C3433">
        <v>441</v>
      </c>
      <c r="D3433">
        <v>430</v>
      </c>
      <c r="E3433" t="s">
        <v>17</v>
      </c>
    </row>
    <row r="3434" spans="1:5" x14ac:dyDescent="0.35">
      <c r="A3434" t="s">
        <v>3405</v>
      </c>
      <c r="B3434" t="s">
        <v>3457</v>
      </c>
      <c r="C3434">
        <v>284</v>
      </c>
      <c r="D3434">
        <v>227</v>
      </c>
      <c r="E3434" t="s">
        <v>15</v>
      </c>
    </row>
    <row r="3435" spans="1:5" x14ac:dyDescent="0.35">
      <c r="A3435" t="s">
        <v>3405</v>
      </c>
      <c r="B3435" t="s">
        <v>3458</v>
      </c>
      <c r="C3435">
        <v>437</v>
      </c>
      <c r="D3435">
        <v>289</v>
      </c>
      <c r="E3435" t="s">
        <v>17</v>
      </c>
    </row>
    <row r="3436" spans="1:5" x14ac:dyDescent="0.35">
      <c r="A3436" t="s">
        <v>3405</v>
      </c>
      <c r="B3436" t="s">
        <v>3459</v>
      </c>
      <c r="C3436">
        <v>272</v>
      </c>
      <c r="D3436">
        <v>201</v>
      </c>
      <c r="E3436" t="s">
        <v>17</v>
      </c>
    </row>
    <row r="3437" spans="1:5" x14ac:dyDescent="0.35">
      <c r="A3437" t="s">
        <v>3405</v>
      </c>
      <c r="B3437" t="s">
        <v>3460</v>
      </c>
      <c r="C3437">
        <v>378</v>
      </c>
      <c r="D3437">
        <v>254</v>
      </c>
      <c r="E3437" t="s">
        <v>17</v>
      </c>
    </row>
    <row r="3438" spans="1:5" x14ac:dyDescent="0.35">
      <c r="A3438" t="s">
        <v>3405</v>
      </c>
      <c r="B3438" t="s">
        <v>3461</v>
      </c>
      <c r="C3438">
        <v>449</v>
      </c>
      <c r="D3438">
        <v>375</v>
      </c>
      <c r="E3438" t="s">
        <v>17</v>
      </c>
    </row>
    <row r="3439" spans="1:5" x14ac:dyDescent="0.35">
      <c r="A3439" t="s">
        <v>3405</v>
      </c>
      <c r="B3439" t="s">
        <v>3462</v>
      </c>
      <c r="C3439">
        <v>493</v>
      </c>
      <c r="D3439">
        <v>443</v>
      </c>
      <c r="E3439" t="s">
        <v>9</v>
      </c>
    </row>
    <row r="3440" spans="1:5" x14ac:dyDescent="0.35">
      <c r="A3440" t="s">
        <v>3405</v>
      </c>
      <c r="B3440" t="s">
        <v>3463</v>
      </c>
      <c r="C3440">
        <v>345</v>
      </c>
      <c r="D3440">
        <v>323</v>
      </c>
      <c r="E3440" t="s">
        <v>17</v>
      </c>
    </row>
    <row r="3441" spans="1:5" x14ac:dyDescent="0.35">
      <c r="A3441" t="s">
        <v>3405</v>
      </c>
      <c r="B3441" t="s">
        <v>3464</v>
      </c>
      <c r="C3441">
        <v>457</v>
      </c>
      <c r="D3441">
        <v>186</v>
      </c>
      <c r="E3441" t="s">
        <v>17</v>
      </c>
    </row>
    <row r="3442" spans="1:5" x14ac:dyDescent="0.35">
      <c r="A3442" t="s">
        <v>3405</v>
      </c>
      <c r="B3442" t="s">
        <v>3465</v>
      </c>
      <c r="C3442">
        <v>486</v>
      </c>
      <c r="D3442">
        <v>473</v>
      </c>
      <c r="E3442" t="s">
        <v>21</v>
      </c>
    </row>
    <row r="3443" spans="1:5" x14ac:dyDescent="0.35">
      <c r="A3443" t="s">
        <v>3405</v>
      </c>
      <c r="B3443" t="s">
        <v>3466</v>
      </c>
      <c r="C3443">
        <v>399</v>
      </c>
      <c r="D3443">
        <v>382</v>
      </c>
      <c r="E3443" t="s">
        <v>17</v>
      </c>
    </row>
    <row r="3444" spans="1:5" x14ac:dyDescent="0.35">
      <c r="A3444" t="s">
        <v>3405</v>
      </c>
      <c r="B3444" t="s">
        <v>3467</v>
      </c>
      <c r="C3444">
        <v>439</v>
      </c>
      <c r="D3444">
        <v>242</v>
      </c>
      <c r="E3444" t="s">
        <v>17</v>
      </c>
    </row>
    <row r="3445" spans="1:5" x14ac:dyDescent="0.35">
      <c r="A3445" t="s">
        <v>3405</v>
      </c>
      <c r="B3445" t="s">
        <v>3468</v>
      </c>
      <c r="C3445">
        <v>374</v>
      </c>
      <c r="D3445">
        <v>262</v>
      </c>
      <c r="E3445" t="s">
        <v>33</v>
      </c>
    </row>
    <row r="3446" spans="1:5" x14ac:dyDescent="0.35">
      <c r="A3446" t="s">
        <v>3405</v>
      </c>
      <c r="B3446" t="s">
        <v>3469</v>
      </c>
      <c r="C3446">
        <v>395</v>
      </c>
      <c r="D3446">
        <v>300</v>
      </c>
      <c r="E3446" t="s">
        <v>7</v>
      </c>
    </row>
    <row r="3447" spans="1:5" x14ac:dyDescent="0.35">
      <c r="A3447" t="s">
        <v>3405</v>
      </c>
      <c r="B3447" t="s">
        <v>3470</v>
      </c>
      <c r="C3447">
        <v>482</v>
      </c>
      <c r="D3447">
        <v>461</v>
      </c>
      <c r="E3447" t="s">
        <v>9</v>
      </c>
    </row>
    <row r="3448" spans="1:5" x14ac:dyDescent="0.35">
      <c r="A3448" t="s">
        <v>3405</v>
      </c>
      <c r="B3448" t="s">
        <v>3471</v>
      </c>
      <c r="C3448">
        <v>422</v>
      </c>
      <c r="D3448">
        <v>173</v>
      </c>
      <c r="E3448" t="s">
        <v>9</v>
      </c>
    </row>
    <row r="3449" spans="1:5" x14ac:dyDescent="0.35">
      <c r="A3449" t="s">
        <v>3405</v>
      </c>
      <c r="B3449" t="s">
        <v>3472</v>
      </c>
      <c r="C3449">
        <v>360</v>
      </c>
      <c r="D3449">
        <v>264</v>
      </c>
      <c r="E3449" t="s">
        <v>21</v>
      </c>
    </row>
    <row r="3450" spans="1:5" x14ac:dyDescent="0.35">
      <c r="A3450" t="s">
        <v>3405</v>
      </c>
      <c r="B3450" t="s">
        <v>3473</v>
      </c>
      <c r="C3450">
        <v>403</v>
      </c>
      <c r="D3450">
        <v>354</v>
      </c>
      <c r="E3450" t="s">
        <v>7</v>
      </c>
    </row>
    <row r="3451" spans="1:5" x14ac:dyDescent="0.35">
      <c r="A3451" t="s">
        <v>3405</v>
      </c>
      <c r="B3451" t="s">
        <v>3474</v>
      </c>
      <c r="C3451">
        <v>340</v>
      </c>
      <c r="D3451">
        <v>291</v>
      </c>
      <c r="E3451" t="s">
        <v>15</v>
      </c>
    </row>
    <row r="3452" spans="1:5" x14ac:dyDescent="0.35">
      <c r="A3452" t="s">
        <v>3405</v>
      </c>
      <c r="B3452" t="s">
        <v>3475</v>
      </c>
      <c r="C3452">
        <v>444</v>
      </c>
      <c r="D3452">
        <v>191</v>
      </c>
      <c r="E3452" t="s">
        <v>33</v>
      </c>
    </row>
    <row r="3453" spans="1:5" x14ac:dyDescent="0.35">
      <c r="A3453" t="s">
        <v>3405</v>
      </c>
      <c r="B3453" t="s">
        <v>3476</v>
      </c>
      <c r="C3453">
        <v>466</v>
      </c>
      <c r="D3453">
        <v>438</v>
      </c>
      <c r="E3453" t="s">
        <v>21</v>
      </c>
    </row>
    <row r="3454" spans="1:5" x14ac:dyDescent="0.35">
      <c r="A3454" t="s">
        <v>3405</v>
      </c>
      <c r="B3454" t="s">
        <v>3477</v>
      </c>
      <c r="C3454">
        <v>463</v>
      </c>
      <c r="D3454">
        <v>181</v>
      </c>
      <c r="E3454" t="s">
        <v>17</v>
      </c>
    </row>
    <row r="3455" spans="1:5" x14ac:dyDescent="0.35">
      <c r="A3455" t="s">
        <v>3405</v>
      </c>
      <c r="B3455" t="s">
        <v>3478</v>
      </c>
      <c r="C3455">
        <v>485</v>
      </c>
      <c r="D3455">
        <v>478</v>
      </c>
      <c r="E3455" t="s">
        <v>17</v>
      </c>
    </row>
    <row r="3456" spans="1:5" x14ac:dyDescent="0.35">
      <c r="A3456" t="s">
        <v>3405</v>
      </c>
      <c r="B3456" t="s">
        <v>3479</v>
      </c>
      <c r="C3456">
        <v>449</v>
      </c>
      <c r="D3456">
        <v>365</v>
      </c>
      <c r="E3456" t="s">
        <v>21</v>
      </c>
    </row>
    <row r="3457" spans="1:5" x14ac:dyDescent="0.35">
      <c r="A3457" t="s">
        <v>3405</v>
      </c>
      <c r="B3457" t="s">
        <v>3480</v>
      </c>
      <c r="C3457">
        <v>263</v>
      </c>
      <c r="D3457">
        <v>169</v>
      </c>
      <c r="E3457" t="s">
        <v>7</v>
      </c>
    </row>
    <row r="3458" spans="1:5" x14ac:dyDescent="0.35">
      <c r="A3458" t="s">
        <v>3405</v>
      </c>
      <c r="B3458" t="s">
        <v>3481</v>
      </c>
      <c r="C3458">
        <v>326</v>
      </c>
      <c r="D3458">
        <v>192</v>
      </c>
      <c r="E3458" t="s">
        <v>9</v>
      </c>
    </row>
    <row r="3459" spans="1:5" x14ac:dyDescent="0.35">
      <c r="A3459" t="s">
        <v>3405</v>
      </c>
      <c r="B3459" t="s">
        <v>3482</v>
      </c>
      <c r="C3459">
        <v>310</v>
      </c>
      <c r="D3459">
        <v>192</v>
      </c>
      <c r="E3459" t="s">
        <v>9</v>
      </c>
    </row>
    <row r="3460" spans="1:5" x14ac:dyDescent="0.35">
      <c r="A3460" t="s">
        <v>3405</v>
      </c>
      <c r="B3460" t="s">
        <v>3483</v>
      </c>
      <c r="C3460">
        <v>431</v>
      </c>
      <c r="D3460">
        <v>375</v>
      </c>
      <c r="E3460" t="s">
        <v>17</v>
      </c>
    </row>
    <row r="3461" spans="1:5" x14ac:dyDescent="0.35">
      <c r="A3461" t="s">
        <v>3405</v>
      </c>
      <c r="B3461" t="s">
        <v>3484</v>
      </c>
      <c r="C3461">
        <v>474</v>
      </c>
      <c r="D3461">
        <v>438</v>
      </c>
      <c r="E3461" t="s">
        <v>9</v>
      </c>
    </row>
    <row r="3462" spans="1:5" x14ac:dyDescent="0.35">
      <c r="A3462" t="s">
        <v>3405</v>
      </c>
      <c r="B3462" t="s">
        <v>3485</v>
      </c>
      <c r="C3462">
        <v>320</v>
      </c>
      <c r="D3462">
        <v>275</v>
      </c>
      <c r="E3462" t="s">
        <v>17</v>
      </c>
    </row>
    <row r="3463" spans="1:5" x14ac:dyDescent="0.35">
      <c r="A3463" t="s">
        <v>3405</v>
      </c>
      <c r="B3463" t="s">
        <v>3486</v>
      </c>
      <c r="C3463">
        <v>458</v>
      </c>
      <c r="D3463">
        <v>390</v>
      </c>
      <c r="E3463" t="s">
        <v>21</v>
      </c>
    </row>
    <row r="3464" spans="1:5" x14ac:dyDescent="0.35">
      <c r="A3464" t="s">
        <v>3405</v>
      </c>
      <c r="B3464" t="s">
        <v>3487</v>
      </c>
      <c r="C3464">
        <v>355</v>
      </c>
      <c r="D3464">
        <v>342</v>
      </c>
      <c r="E3464" t="s">
        <v>21</v>
      </c>
    </row>
    <row r="3465" spans="1:5" x14ac:dyDescent="0.35">
      <c r="A3465" t="s">
        <v>3405</v>
      </c>
      <c r="B3465" t="s">
        <v>3488</v>
      </c>
      <c r="C3465">
        <v>446</v>
      </c>
      <c r="D3465">
        <v>380</v>
      </c>
      <c r="E3465" t="s">
        <v>9</v>
      </c>
    </row>
    <row r="3466" spans="1:5" x14ac:dyDescent="0.35">
      <c r="A3466" t="s">
        <v>3405</v>
      </c>
      <c r="B3466" t="s">
        <v>3489</v>
      </c>
      <c r="C3466">
        <v>289</v>
      </c>
      <c r="D3466">
        <v>210</v>
      </c>
      <c r="E3466" t="s">
        <v>17</v>
      </c>
    </row>
    <row r="3467" spans="1:5" x14ac:dyDescent="0.35">
      <c r="A3467" t="s">
        <v>3405</v>
      </c>
      <c r="B3467" t="s">
        <v>3490</v>
      </c>
      <c r="C3467">
        <v>499</v>
      </c>
      <c r="D3467">
        <v>453</v>
      </c>
      <c r="E3467" t="s">
        <v>17</v>
      </c>
    </row>
    <row r="3468" spans="1:5" x14ac:dyDescent="0.35">
      <c r="A3468" t="s">
        <v>3405</v>
      </c>
      <c r="B3468" t="s">
        <v>3491</v>
      </c>
      <c r="C3468">
        <v>272</v>
      </c>
      <c r="D3468">
        <v>167</v>
      </c>
      <c r="E3468" t="s">
        <v>17</v>
      </c>
    </row>
    <row r="3469" spans="1:5" x14ac:dyDescent="0.35">
      <c r="A3469" t="s">
        <v>3405</v>
      </c>
      <c r="B3469" t="s">
        <v>3492</v>
      </c>
      <c r="C3469">
        <v>473</v>
      </c>
      <c r="D3469">
        <v>470</v>
      </c>
      <c r="E3469" t="s">
        <v>9</v>
      </c>
    </row>
    <row r="3470" spans="1:5" x14ac:dyDescent="0.35">
      <c r="A3470" t="s">
        <v>3405</v>
      </c>
      <c r="B3470" t="s">
        <v>3493</v>
      </c>
      <c r="C3470">
        <v>460</v>
      </c>
      <c r="D3470">
        <v>221</v>
      </c>
      <c r="E3470" t="s">
        <v>17</v>
      </c>
    </row>
    <row r="3471" spans="1:5" x14ac:dyDescent="0.35">
      <c r="A3471" t="s">
        <v>3405</v>
      </c>
      <c r="B3471" t="s">
        <v>3494</v>
      </c>
      <c r="C3471">
        <v>429</v>
      </c>
      <c r="D3471">
        <v>409</v>
      </c>
      <c r="E3471" t="s">
        <v>7</v>
      </c>
    </row>
    <row r="3472" spans="1:5" x14ac:dyDescent="0.35">
      <c r="A3472" t="s">
        <v>3405</v>
      </c>
      <c r="B3472" t="s">
        <v>3495</v>
      </c>
      <c r="C3472">
        <v>380</v>
      </c>
      <c r="D3472">
        <v>325</v>
      </c>
      <c r="E3472" t="s">
        <v>17</v>
      </c>
    </row>
    <row r="3473" spans="1:5" x14ac:dyDescent="0.35">
      <c r="A3473" t="s">
        <v>3405</v>
      </c>
      <c r="B3473" t="s">
        <v>3496</v>
      </c>
      <c r="C3473">
        <v>330</v>
      </c>
      <c r="D3473">
        <v>165</v>
      </c>
      <c r="E3473" t="s">
        <v>11</v>
      </c>
    </row>
    <row r="3474" spans="1:5" x14ac:dyDescent="0.35">
      <c r="A3474" t="s">
        <v>3405</v>
      </c>
      <c r="B3474" t="s">
        <v>3497</v>
      </c>
      <c r="C3474">
        <v>418</v>
      </c>
      <c r="D3474">
        <v>389</v>
      </c>
      <c r="E3474" t="s">
        <v>7</v>
      </c>
    </row>
    <row r="3475" spans="1:5" x14ac:dyDescent="0.35">
      <c r="A3475" t="s">
        <v>3405</v>
      </c>
      <c r="B3475" t="s">
        <v>3498</v>
      </c>
      <c r="C3475">
        <v>452</v>
      </c>
      <c r="D3475">
        <v>324</v>
      </c>
      <c r="E3475" t="s">
        <v>17</v>
      </c>
    </row>
    <row r="3476" spans="1:5" x14ac:dyDescent="0.35">
      <c r="A3476" t="s">
        <v>3405</v>
      </c>
      <c r="B3476" t="s">
        <v>3499</v>
      </c>
      <c r="C3476">
        <v>404</v>
      </c>
      <c r="D3476">
        <v>369</v>
      </c>
      <c r="E3476" t="s">
        <v>17</v>
      </c>
    </row>
    <row r="3477" spans="1:5" x14ac:dyDescent="0.35">
      <c r="A3477" t="s">
        <v>3405</v>
      </c>
      <c r="B3477" t="s">
        <v>3500</v>
      </c>
      <c r="C3477">
        <v>290</v>
      </c>
      <c r="D3477">
        <v>157</v>
      </c>
      <c r="E3477" t="s">
        <v>17</v>
      </c>
    </row>
    <row r="3478" spans="1:5" x14ac:dyDescent="0.35">
      <c r="A3478" t="s">
        <v>3405</v>
      </c>
      <c r="B3478" t="s">
        <v>3501</v>
      </c>
      <c r="C3478">
        <v>469</v>
      </c>
      <c r="D3478">
        <v>418</v>
      </c>
      <c r="E3478" t="s">
        <v>7</v>
      </c>
    </row>
    <row r="3479" spans="1:5" x14ac:dyDescent="0.35">
      <c r="A3479" t="s">
        <v>3405</v>
      </c>
      <c r="B3479" t="s">
        <v>3502</v>
      </c>
      <c r="C3479">
        <v>457</v>
      </c>
      <c r="D3479">
        <v>300</v>
      </c>
      <c r="E3479" t="s">
        <v>33</v>
      </c>
    </row>
    <row r="3480" spans="1:5" x14ac:dyDescent="0.35">
      <c r="A3480" t="s">
        <v>3405</v>
      </c>
      <c r="B3480" t="s">
        <v>3503</v>
      </c>
      <c r="C3480">
        <v>488</v>
      </c>
      <c r="D3480">
        <v>456</v>
      </c>
      <c r="E3480" t="s">
        <v>21</v>
      </c>
    </row>
    <row r="3481" spans="1:5" x14ac:dyDescent="0.35">
      <c r="A3481" t="s">
        <v>3405</v>
      </c>
      <c r="B3481" t="s">
        <v>3504</v>
      </c>
      <c r="C3481">
        <v>475</v>
      </c>
      <c r="D3481">
        <v>438</v>
      </c>
      <c r="E3481" t="s">
        <v>17</v>
      </c>
    </row>
    <row r="3482" spans="1:5" x14ac:dyDescent="0.35">
      <c r="A3482" t="s">
        <v>3405</v>
      </c>
      <c r="B3482" t="s">
        <v>3505</v>
      </c>
      <c r="C3482">
        <v>486</v>
      </c>
      <c r="D3482">
        <v>388</v>
      </c>
      <c r="E3482" t="s">
        <v>9</v>
      </c>
    </row>
    <row r="3483" spans="1:5" x14ac:dyDescent="0.35">
      <c r="A3483" t="s">
        <v>3405</v>
      </c>
      <c r="B3483" t="s">
        <v>3506</v>
      </c>
      <c r="C3483">
        <v>482</v>
      </c>
      <c r="D3483">
        <v>430</v>
      </c>
      <c r="E3483" t="s">
        <v>17</v>
      </c>
    </row>
    <row r="3484" spans="1:5" x14ac:dyDescent="0.35">
      <c r="A3484" t="s">
        <v>3405</v>
      </c>
      <c r="B3484" t="s">
        <v>3507</v>
      </c>
      <c r="C3484">
        <v>435</v>
      </c>
      <c r="D3484">
        <v>432</v>
      </c>
      <c r="E3484" t="s">
        <v>9</v>
      </c>
    </row>
    <row r="3485" spans="1:5" x14ac:dyDescent="0.35">
      <c r="A3485" t="s">
        <v>3405</v>
      </c>
      <c r="B3485" t="s">
        <v>3508</v>
      </c>
      <c r="C3485">
        <v>479</v>
      </c>
      <c r="D3485">
        <v>421</v>
      </c>
      <c r="E3485" t="s">
        <v>9</v>
      </c>
    </row>
    <row r="3486" spans="1:5" x14ac:dyDescent="0.35">
      <c r="A3486" t="s">
        <v>3405</v>
      </c>
      <c r="B3486" t="s">
        <v>3509</v>
      </c>
      <c r="C3486">
        <v>200</v>
      </c>
      <c r="D3486">
        <v>164</v>
      </c>
      <c r="E3486" t="s">
        <v>33</v>
      </c>
    </row>
    <row r="3487" spans="1:5" x14ac:dyDescent="0.35">
      <c r="A3487" t="s">
        <v>3405</v>
      </c>
      <c r="B3487" t="s">
        <v>3510</v>
      </c>
      <c r="C3487">
        <v>483</v>
      </c>
      <c r="D3487">
        <v>469</v>
      </c>
      <c r="E3487" t="s">
        <v>21</v>
      </c>
    </row>
    <row r="3488" spans="1:5" x14ac:dyDescent="0.35">
      <c r="A3488" t="s">
        <v>3405</v>
      </c>
      <c r="B3488" t="s">
        <v>3511</v>
      </c>
      <c r="C3488">
        <v>316</v>
      </c>
      <c r="D3488">
        <v>236</v>
      </c>
      <c r="E3488" t="s">
        <v>17</v>
      </c>
    </row>
    <row r="3489" spans="1:5" x14ac:dyDescent="0.35">
      <c r="A3489" t="s">
        <v>3405</v>
      </c>
      <c r="B3489" t="s">
        <v>3512</v>
      </c>
      <c r="C3489">
        <v>482</v>
      </c>
      <c r="D3489">
        <v>475</v>
      </c>
      <c r="E3489" t="s">
        <v>21</v>
      </c>
    </row>
    <row r="3490" spans="1:5" x14ac:dyDescent="0.35">
      <c r="A3490" t="s">
        <v>3405</v>
      </c>
      <c r="B3490" t="s">
        <v>3513</v>
      </c>
      <c r="C3490">
        <v>491</v>
      </c>
      <c r="D3490">
        <v>372</v>
      </c>
      <c r="E3490" t="s">
        <v>17</v>
      </c>
    </row>
    <row r="3491" spans="1:5" x14ac:dyDescent="0.35">
      <c r="A3491" t="s">
        <v>3405</v>
      </c>
      <c r="B3491" t="s">
        <v>3514</v>
      </c>
      <c r="C3491">
        <v>436</v>
      </c>
      <c r="D3491">
        <v>312</v>
      </c>
      <c r="E3491" t="s">
        <v>15</v>
      </c>
    </row>
    <row r="3492" spans="1:5" x14ac:dyDescent="0.35">
      <c r="A3492" t="s">
        <v>3405</v>
      </c>
      <c r="B3492" t="s">
        <v>3515</v>
      </c>
      <c r="C3492">
        <v>455</v>
      </c>
      <c r="D3492">
        <v>383</v>
      </c>
      <c r="E3492" t="s">
        <v>9</v>
      </c>
    </row>
    <row r="3493" spans="1:5" x14ac:dyDescent="0.35">
      <c r="A3493" t="s">
        <v>3405</v>
      </c>
      <c r="B3493" t="s">
        <v>3516</v>
      </c>
      <c r="C3493">
        <v>496</v>
      </c>
      <c r="D3493">
        <v>249</v>
      </c>
      <c r="E3493" t="s">
        <v>17</v>
      </c>
    </row>
    <row r="3494" spans="1:5" x14ac:dyDescent="0.35">
      <c r="A3494" t="s">
        <v>3405</v>
      </c>
      <c r="B3494" t="s">
        <v>3517</v>
      </c>
      <c r="C3494">
        <v>220</v>
      </c>
      <c r="D3494">
        <v>150</v>
      </c>
      <c r="E3494" t="s">
        <v>17</v>
      </c>
    </row>
    <row r="3495" spans="1:5" x14ac:dyDescent="0.35">
      <c r="A3495" t="s">
        <v>3405</v>
      </c>
      <c r="B3495" t="s">
        <v>3518</v>
      </c>
      <c r="C3495">
        <v>461</v>
      </c>
      <c r="D3495">
        <v>383</v>
      </c>
      <c r="E3495" t="s">
        <v>17</v>
      </c>
    </row>
    <row r="3496" spans="1:5" x14ac:dyDescent="0.35">
      <c r="A3496" t="s">
        <v>3405</v>
      </c>
      <c r="B3496" t="s">
        <v>3519</v>
      </c>
      <c r="C3496">
        <v>381</v>
      </c>
      <c r="D3496">
        <v>250</v>
      </c>
      <c r="E3496" t="s">
        <v>11</v>
      </c>
    </row>
    <row r="3497" spans="1:5" x14ac:dyDescent="0.35">
      <c r="A3497" t="s">
        <v>3405</v>
      </c>
      <c r="B3497" t="s">
        <v>3520</v>
      </c>
      <c r="C3497">
        <v>499</v>
      </c>
      <c r="D3497">
        <v>475</v>
      </c>
      <c r="E3497" t="s">
        <v>7</v>
      </c>
    </row>
    <row r="3498" spans="1:5" x14ac:dyDescent="0.35">
      <c r="A3498" t="s">
        <v>3405</v>
      </c>
      <c r="B3498" t="s">
        <v>3521</v>
      </c>
      <c r="C3498">
        <v>491</v>
      </c>
      <c r="D3498">
        <v>297</v>
      </c>
      <c r="E3498" t="s">
        <v>17</v>
      </c>
    </row>
    <row r="3499" spans="1:5" x14ac:dyDescent="0.35">
      <c r="A3499" t="s">
        <v>3405</v>
      </c>
      <c r="B3499" t="s">
        <v>3522</v>
      </c>
      <c r="C3499">
        <v>472</v>
      </c>
      <c r="D3499">
        <v>340</v>
      </c>
      <c r="E3499" t="s">
        <v>15</v>
      </c>
    </row>
    <row r="3500" spans="1:5" x14ac:dyDescent="0.35">
      <c r="A3500" t="s">
        <v>3405</v>
      </c>
      <c r="B3500" t="s">
        <v>3523</v>
      </c>
      <c r="C3500">
        <v>258</v>
      </c>
      <c r="D3500">
        <v>235</v>
      </c>
      <c r="E3500" t="s">
        <v>17</v>
      </c>
    </row>
    <row r="3501" spans="1:5" x14ac:dyDescent="0.35">
      <c r="A3501" t="s">
        <v>3405</v>
      </c>
      <c r="B3501" t="s">
        <v>3524</v>
      </c>
      <c r="C3501">
        <v>473</v>
      </c>
      <c r="D3501">
        <v>441</v>
      </c>
      <c r="E3501" t="s">
        <v>9</v>
      </c>
    </row>
    <row r="3502" spans="1:5" x14ac:dyDescent="0.35">
      <c r="A3502" t="s">
        <v>3405</v>
      </c>
      <c r="B3502" t="s">
        <v>3525</v>
      </c>
      <c r="C3502">
        <v>497</v>
      </c>
      <c r="D3502">
        <v>472</v>
      </c>
      <c r="E3502" t="s">
        <v>9</v>
      </c>
    </row>
    <row r="3503" spans="1:5" x14ac:dyDescent="0.35">
      <c r="A3503" t="s">
        <v>3405</v>
      </c>
      <c r="B3503" t="s">
        <v>3526</v>
      </c>
      <c r="C3503">
        <v>296</v>
      </c>
      <c r="D3503">
        <v>227</v>
      </c>
      <c r="E3503" t="s">
        <v>9</v>
      </c>
    </row>
    <row r="3504" spans="1:5" x14ac:dyDescent="0.35">
      <c r="A3504" t="s">
        <v>3405</v>
      </c>
      <c r="B3504" t="s">
        <v>3527</v>
      </c>
      <c r="C3504">
        <v>153</v>
      </c>
      <c r="D3504">
        <v>151</v>
      </c>
      <c r="E3504" t="s">
        <v>21</v>
      </c>
    </row>
    <row r="3505" spans="1:5" x14ac:dyDescent="0.35">
      <c r="A3505" t="s">
        <v>3405</v>
      </c>
      <c r="B3505" t="s">
        <v>3528</v>
      </c>
      <c r="C3505">
        <v>490</v>
      </c>
      <c r="D3505">
        <v>296</v>
      </c>
      <c r="E3505" t="s">
        <v>7</v>
      </c>
    </row>
    <row r="3506" spans="1:5" x14ac:dyDescent="0.35">
      <c r="A3506" t="s">
        <v>3405</v>
      </c>
      <c r="B3506" t="s">
        <v>3529</v>
      </c>
      <c r="C3506">
        <v>388</v>
      </c>
      <c r="D3506">
        <v>318</v>
      </c>
      <c r="E3506" t="s">
        <v>17</v>
      </c>
    </row>
    <row r="3507" spans="1:5" x14ac:dyDescent="0.35">
      <c r="A3507" t="s">
        <v>3405</v>
      </c>
      <c r="B3507" t="s">
        <v>3530</v>
      </c>
      <c r="C3507">
        <v>402</v>
      </c>
      <c r="D3507">
        <v>328</v>
      </c>
      <c r="E3507" t="s">
        <v>21</v>
      </c>
    </row>
    <row r="3508" spans="1:5" x14ac:dyDescent="0.35">
      <c r="A3508" t="s">
        <v>3405</v>
      </c>
      <c r="B3508" t="s">
        <v>3531</v>
      </c>
      <c r="C3508">
        <v>276</v>
      </c>
      <c r="D3508">
        <v>218</v>
      </c>
      <c r="E3508" t="s">
        <v>17</v>
      </c>
    </row>
    <row r="3509" spans="1:5" x14ac:dyDescent="0.35">
      <c r="A3509" t="s">
        <v>3405</v>
      </c>
      <c r="B3509" t="s">
        <v>3532</v>
      </c>
      <c r="C3509">
        <v>472</v>
      </c>
      <c r="D3509">
        <v>416</v>
      </c>
      <c r="E3509" t="s">
        <v>21</v>
      </c>
    </row>
    <row r="3510" spans="1:5" x14ac:dyDescent="0.35">
      <c r="A3510" t="s">
        <v>3405</v>
      </c>
      <c r="B3510" t="s">
        <v>3533</v>
      </c>
      <c r="C3510">
        <v>461</v>
      </c>
      <c r="D3510">
        <v>352</v>
      </c>
      <c r="E3510" t="s">
        <v>7</v>
      </c>
    </row>
    <row r="3511" spans="1:5" x14ac:dyDescent="0.35">
      <c r="A3511" t="s">
        <v>3405</v>
      </c>
      <c r="B3511" t="s">
        <v>3534</v>
      </c>
      <c r="C3511">
        <v>420</v>
      </c>
      <c r="D3511">
        <v>258</v>
      </c>
      <c r="E3511" t="s">
        <v>17</v>
      </c>
    </row>
    <row r="3512" spans="1:5" x14ac:dyDescent="0.35">
      <c r="A3512" t="s">
        <v>3405</v>
      </c>
      <c r="B3512" t="s">
        <v>3535</v>
      </c>
      <c r="C3512">
        <v>494</v>
      </c>
      <c r="D3512">
        <v>455</v>
      </c>
      <c r="E3512" t="s">
        <v>21</v>
      </c>
    </row>
    <row r="3513" spans="1:5" x14ac:dyDescent="0.35">
      <c r="A3513" t="s">
        <v>3405</v>
      </c>
      <c r="B3513" t="s">
        <v>3536</v>
      </c>
      <c r="C3513">
        <v>301</v>
      </c>
      <c r="D3513">
        <v>269</v>
      </c>
      <c r="E3513" t="s">
        <v>21</v>
      </c>
    </row>
    <row r="3514" spans="1:5" x14ac:dyDescent="0.35">
      <c r="A3514" t="s">
        <v>3405</v>
      </c>
      <c r="B3514" t="s">
        <v>3537</v>
      </c>
      <c r="C3514">
        <v>488</v>
      </c>
      <c r="D3514">
        <v>432</v>
      </c>
      <c r="E3514" t="s">
        <v>9</v>
      </c>
    </row>
    <row r="3515" spans="1:5" x14ac:dyDescent="0.35">
      <c r="A3515" t="s">
        <v>3405</v>
      </c>
      <c r="B3515" t="s">
        <v>3538</v>
      </c>
      <c r="C3515">
        <v>363</v>
      </c>
      <c r="D3515">
        <v>321</v>
      </c>
      <c r="E3515" t="s">
        <v>9</v>
      </c>
    </row>
    <row r="3516" spans="1:5" x14ac:dyDescent="0.35">
      <c r="A3516" t="s">
        <v>3405</v>
      </c>
      <c r="B3516" t="s">
        <v>3539</v>
      </c>
      <c r="C3516">
        <v>462</v>
      </c>
      <c r="D3516">
        <v>426</v>
      </c>
      <c r="E3516" t="s">
        <v>21</v>
      </c>
    </row>
    <row r="3517" spans="1:5" x14ac:dyDescent="0.35">
      <c r="A3517" t="s">
        <v>3405</v>
      </c>
      <c r="B3517" t="s">
        <v>3540</v>
      </c>
      <c r="C3517">
        <v>383</v>
      </c>
      <c r="D3517">
        <v>364</v>
      </c>
      <c r="E3517" t="s">
        <v>9</v>
      </c>
    </row>
    <row r="3518" spans="1:5" x14ac:dyDescent="0.35">
      <c r="A3518" t="s">
        <v>3405</v>
      </c>
      <c r="B3518" t="s">
        <v>3541</v>
      </c>
      <c r="C3518">
        <v>413</v>
      </c>
      <c r="D3518">
        <v>258</v>
      </c>
      <c r="E3518" t="s">
        <v>21</v>
      </c>
    </row>
    <row r="3519" spans="1:5" x14ac:dyDescent="0.35">
      <c r="A3519" t="s">
        <v>3405</v>
      </c>
      <c r="B3519" t="s">
        <v>3542</v>
      </c>
      <c r="C3519">
        <v>424</v>
      </c>
      <c r="D3519">
        <v>397</v>
      </c>
      <c r="E3519" t="s">
        <v>7</v>
      </c>
    </row>
    <row r="3520" spans="1:5" x14ac:dyDescent="0.35">
      <c r="A3520" t="s">
        <v>3405</v>
      </c>
      <c r="B3520" t="s">
        <v>3543</v>
      </c>
      <c r="C3520">
        <v>459</v>
      </c>
      <c r="D3520">
        <v>403</v>
      </c>
      <c r="E3520" t="s">
        <v>17</v>
      </c>
    </row>
    <row r="3521" spans="1:5" x14ac:dyDescent="0.35">
      <c r="A3521" t="s">
        <v>3405</v>
      </c>
      <c r="B3521" t="s">
        <v>3544</v>
      </c>
      <c r="C3521">
        <v>364</v>
      </c>
      <c r="D3521">
        <v>257</v>
      </c>
      <c r="E3521" t="s">
        <v>15</v>
      </c>
    </row>
    <row r="3522" spans="1:5" x14ac:dyDescent="0.35">
      <c r="A3522" t="s">
        <v>3405</v>
      </c>
      <c r="B3522" t="s">
        <v>3545</v>
      </c>
      <c r="C3522">
        <v>414</v>
      </c>
      <c r="D3522">
        <v>346</v>
      </c>
      <c r="E3522" t="s">
        <v>17</v>
      </c>
    </row>
    <row r="3523" spans="1:5" x14ac:dyDescent="0.35">
      <c r="A3523" t="s">
        <v>3405</v>
      </c>
      <c r="B3523" t="s">
        <v>3546</v>
      </c>
      <c r="C3523">
        <v>457</v>
      </c>
      <c r="D3523">
        <v>448</v>
      </c>
      <c r="E3523" t="s">
        <v>9</v>
      </c>
    </row>
    <row r="3524" spans="1:5" x14ac:dyDescent="0.35">
      <c r="A3524" t="s">
        <v>3405</v>
      </c>
      <c r="B3524" t="s">
        <v>3547</v>
      </c>
      <c r="C3524">
        <v>439</v>
      </c>
      <c r="D3524">
        <v>375</v>
      </c>
      <c r="E3524" t="s">
        <v>17</v>
      </c>
    </row>
    <row r="3525" spans="1:5" x14ac:dyDescent="0.35">
      <c r="A3525" t="s">
        <v>3405</v>
      </c>
      <c r="B3525" t="s">
        <v>3548</v>
      </c>
      <c r="C3525">
        <v>414</v>
      </c>
      <c r="D3525">
        <v>247</v>
      </c>
      <c r="E3525" t="s">
        <v>17</v>
      </c>
    </row>
    <row r="3526" spans="1:5" x14ac:dyDescent="0.35">
      <c r="A3526" t="s">
        <v>3405</v>
      </c>
      <c r="B3526" t="s">
        <v>3549</v>
      </c>
      <c r="C3526">
        <v>475</v>
      </c>
      <c r="D3526">
        <v>269</v>
      </c>
      <c r="E3526" t="s">
        <v>17</v>
      </c>
    </row>
    <row r="3527" spans="1:5" x14ac:dyDescent="0.35">
      <c r="A3527" t="s">
        <v>3405</v>
      </c>
      <c r="B3527" t="s">
        <v>3550</v>
      </c>
      <c r="C3527">
        <v>277</v>
      </c>
      <c r="D3527">
        <v>213</v>
      </c>
      <c r="E3527" t="s">
        <v>17</v>
      </c>
    </row>
    <row r="3528" spans="1:5" x14ac:dyDescent="0.35">
      <c r="A3528" t="s">
        <v>3405</v>
      </c>
      <c r="B3528" t="s">
        <v>3551</v>
      </c>
      <c r="C3528">
        <v>243</v>
      </c>
      <c r="D3528">
        <v>212</v>
      </c>
      <c r="E3528" t="s">
        <v>17</v>
      </c>
    </row>
    <row r="3529" spans="1:5" x14ac:dyDescent="0.35">
      <c r="A3529" t="s">
        <v>3405</v>
      </c>
      <c r="B3529" t="s">
        <v>3552</v>
      </c>
      <c r="C3529">
        <v>437</v>
      </c>
      <c r="D3529">
        <v>316</v>
      </c>
      <c r="E3529" t="s">
        <v>17</v>
      </c>
    </row>
    <row r="3530" spans="1:5" x14ac:dyDescent="0.35">
      <c r="A3530" t="s">
        <v>3405</v>
      </c>
      <c r="B3530" t="s">
        <v>3553</v>
      </c>
      <c r="C3530">
        <v>318</v>
      </c>
      <c r="D3530">
        <v>151</v>
      </c>
      <c r="E3530" t="s">
        <v>11</v>
      </c>
    </row>
    <row r="3531" spans="1:5" x14ac:dyDescent="0.35">
      <c r="A3531" t="s">
        <v>3405</v>
      </c>
      <c r="B3531" t="s">
        <v>3554</v>
      </c>
      <c r="C3531">
        <v>482</v>
      </c>
      <c r="D3531">
        <v>475</v>
      </c>
      <c r="E3531" t="s">
        <v>21</v>
      </c>
    </row>
    <row r="3532" spans="1:5" x14ac:dyDescent="0.35">
      <c r="A3532" t="s">
        <v>3405</v>
      </c>
      <c r="B3532" t="s">
        <v>3555</v>
      </c>
      <c r="C3532">
        <v>361</v>
      </c>
      <c r="D3532">
        <v>328</v>
      </c>
      <c r="E3532" t="s">
        <v>15</v>
      </c>
    </row>
    <row r="3533" spans="1:5" x14ac:dyDescent="0.35">
      <c r="A3533" t="s">
        <v>3405</v>
      </c>
      <c r="B3533" t="s">
        <v>3556</v>
      </c>
      <c r="C3533">
        <v>408</v>
      </c>
      <c r="D3533">
        <v>332</v>
      </c>
      <c r="E3533" t="s">
        <v>33</v>
      </c>
    </row>
    <row r="3534" spans="1:5" x14ac:dyDescent="0.35">
      <c r="A3534" t="s">
        <v>3405</v>
      </c>
      <c r="B3534" t="s">
        <v>3557</v>
      </c>
      <c r="C3534">
        <v>410</v>
      </c>
      <c r="D3534">
        <v>217</v>
      </c>
      <c r="E3534" t="s">
        <v>9</v>
      </c>
    </row>
    <row r="3535" spans="1:5" x14ac:dyDescent="0.35">
      <c r="A3535" t="s">
        <v>3405</v>
      </c>
      <c r="B3535" t="s">
        <v>3558</v>
      </c>
      <c r="C3535">
        <v>350</v>
      </c>
      <c r="D3535">
        <v>250</v>
      </c>
      <c r="E3535" t="s">
        <v>21</v>
      </c>
    </row>
    <row r="3536" spans="1:5" x14ac:dyDescent="0.35">
      <c r="A3536" t="s">
        <v>3405</v>
      </c>
      <c r="B3536" t="s">
        <v>3559</v>
      </c>
      <c r="C3536">
        <v>489</v>
      </c>
      <c r="D3536">
        <v>470</v>
      </c>
      <c r="E3536" t="s">
        <v>7</v>
      </c>
    </row>
    <row r="3537" spans="1:5" x14ac:dyDescent="0.35">
      <c r="A3537" t="s">
        <v>3560</v>
      </c>
      <c r="B3537" t="s">
        <v>3561</v>
      </c>
      <c r="C3537">
        <v>340</v>
      </c>
      <c r="D3537">
        <v>240</v>
      </c>
      <c r="E3537" t="s">
        <v>17</v>
      </c>
    </row>
    <row r="3538" spans="1:5" x14ac:dyDescent="0.35">
      <c r="A3538" t="s">
        <v>3560</v>
      </c>
      <c r="B3538" t="s">
        <v>3562</v>
      </c>
      <c r="C3538">
        <v>283</v>
      </c>
      <c r="D3538">
        <v>270</v>
      </c>
      <c r="E3538" t="s">
        <v>11</v>
      </c>
    </row>
    <row r="3539" spans="1:5" x14ac:dyDescent="0.35">
      <c r="A3539" t="s">
        <v>3560</v>
      </c>
      <c r="B3539" t="s">
        <v>3563</v>
      </c>
      <c r="C3539">
        <v>276</v>
      </c>
      <c r="D3539">
        <v>237</v>
      </c>
      <c r="E3539" t="s">
        <v>33</v>
      </c>
    </row>
    <row r="3540" spans="1:5" x14ac:dyDescent="0.35">
      <c r="A3540" t="s">
        <v>3560</v>
      </c>
      <c r="B3540" t="s">
        <v>3564</v>
      </c>
      <c r="C3540">
        <v>284</v>
      </c>
      <c r="D3540">
        <v>174</v>
      </c>
      <c r="E3540" t="s">
        <v>9</v>
      </c>
    </row>
    <row r="3541" spans="1:5" x14ac:dyDescent="0.35">
      <c r="A3541" t="s">
        <v>3560</v>
      </c>
      <c r="B3541" t="s">
        <v>3565</v>
      </c>
      <c r="C3541">
        <v>266</v>
      </c>
      <c r="D3541">
        <v>225</v>
      </c>
      <c r="E3541" t="s">
        <v>11</v>
      </c>
    </row>
    <row r="3542" spans="1:5" x14ac:dyDescent="0.35">
      <c r="A3542" t="s">
        <v>3560</v>
      </c>
      <c r="B3542" t="s">
        <v>3566</v>
      </c>
      <c r="C3542">
        <v>360</v>
      </c>
      <c r="D3542">
        <v>253</v>
      </c>
      <c r="E3542" t="s">
        <v>11</v>
      </c>
    </row>
    <row r="3543" spans="1:5" x14ac:dyDescent="0.35">
      <c r="A3543" t="s">
        <v>3560</v>
      </c>
      <c r="B3543" t="s">
        <v>3567</v>
      </c>
      <c r="C3543">
        <v>490</v>
      </c>
      <c r="D3543">
        <v>288</v>
      </c>
      <c r="E3543" t="s">
        <v>33</v>
      </c>
    </row>
    <row r="3544" spans="1:5" x14ac:dyDescent="0.35">
      <c r="A3544" t="s">
        <v>3560</v>
      </c>
      <c r="B3544" t="s">
        <v>3568</v>
      </c>
      <c r="C3544">
        <v>435</v>
      </c>
      <c r="D3544">
        <v>402</v>
      </c>
      <c r="E3544" t="s">
        <v>21</v>
      </c>
    </row>
    <row r="3545" spans="1:5" x14ac:dyDescent="0.35">
      <c r="A3545" t="s">
        <v>3560</v>
      </c>
      <c r="B3545" t="s">
        <v>3569</v>
      </c>
      <c r="C3545">
        <v>474</v>
      </c>
      <c r="D3545">
        <v>350</v>
      </c>
      <c r="E3545" t="s">
        <v>21</v>
      </c>
    </row>
    <row r="3546" spans="1:5" x14ac:dyDescent="0.35">
      <c r="A3546" t="s">
        <v>3560</v>
      </c>
      <c r="B3546" t="s">
        <v>3570</v>
      </c>
      <c r="C3546">
        <v>320</v>
      </c>
      <c r="D3546">
        <v>221</v>
      </c>
      <c r="E3546" t="s">
        <v>15</v>
      </c>
    </row>
    <row r="3547" spans="1:5" x14ac:dyDescent="0.35">
      <c r="A3547" t="s">
        <v>3560</v>
      </c>
      <c r="B3547" t="s">
        <v>3571</v>
      </c>
      <c r="C3547">
        <v>454</v>
      </c>
      <c r="D3547">
        <v>398</v>
      </c>
      <c r="E3547" t="s">
        <v>21</v>
      </c>
    </row>
    <row r="3548" spans="1:5" x14ac:dyDescent="0.35">
      <c r="A3548" t="s">
        <v>3560</v>
      </c>
      <c r="B3548" t="s">
        <v>3572</v>
      </c>
      <c r="C3548">
        <v>359</v>
      </c>
      <c r="D3548">
        <v>276</v>
      </c>
      <c r="E3548" t="s">
        <v>33</v>
      </c>
    </row>
    <row r="3549" spans="1:5" x14ac:dyDescent="0.35">
      <c r="A3549" t="s">
        <v>3560</v>
      </c>
      <c r="B3549" t="s">
        <v>3573</v>
      </c>
      <c r="C3549">
        <v>376</v>
      </c>
      <c r="D3549">
        <v>352</v>
      </c>
      <c r="E3549" t="s">
        <v>9</v>
      </c>
    </row>
    <row r="3550" spans="1:5" x14ac:dyDescent="0.35">
      <c r="A3550" t="s">
        <v>3560</v>
      </c>
      <c r="B3550" t="s">
        <v>3574</v>
      </c>
      <c r="C3550">
        <v>257</v>
      </c>
      <c r="D3550">
        <v>169</v>
      </c>
      <c r="E3550" t="s">
        <v>9</v>
      </c>
    </row>
    <row r="3551" spans="1:5" x14ac:dyDescent="0.35">
      <c r="A3551" t="s">
        <v>3560</v>
      </c>
      <c r="B3551" t="s">
        <v>3575</v>
      </c>
      <c r="C3551">
        <v>307</v>
      </c>
      <c r="D3551">
        <v>255</v>
      </c>
      <c r="E3551" t="s">
        <v>15</v>
      </c>
    </row>
    <row r="3552" spans="1:5" x14ac:dyDescent="0.35">
      <c r="A3552" t="s">
        <v>3560</v>
      </c>
      <c r="B3552" t="s">
        <v>3576</v>
      </c>
      <c r="C3552">
        <v>394</v>
      </c>
      <c r="D3552">
        <v>259</v>
      </c>
      <c r="E3552" t="s">
        <v>33</v>
      </c>
    </row>
    <row r="3553" spans="1:5" x14ac:dyDescent="0.35">
      <c r="A3553" t="s">
        <v>3560</v>
      </c>
      <c r="B3553" t="s">
        <v>3577</v>
      </c>
      <c r="C3553">
        <v>314</v>
      </c>
      <c r="D3553">
        <v>299</v>
      </c>
      <c r="E3553" t="s">
        <v>33</v>
      </c>
    </row>
    <row r="3554" spans="1:5" x14ac:dyDescent="0.35">
      <c r="A3554" t="s">
        <v>3560</v>
      </c>
      <c r="B3554" t="s">
        <v>3578</v>
      </c>
      <c r="C3554">
        <v>449</v>
      </c>
      <c r="D3554">
        <v>338</v>
      </c>
      <c r="E3554" t="s">
        <v>7</v>
      </c>
    </row>
    <row r="3555" spans="1:5" x14ac:dyDescent="0.35">
      <c r="A3555" t="s">
        <v>3560</v>
      </c>
      <c r="B3555" t="s">
        <v>3579</v>
      </c>
      <c r="C3555">
        <v>500</v>
      </c>
      <c r="D3555">
        <v>458</v>
      </c>
      <c r="E3555" t="s">
        <v>9</v>
      </c>
    </row>
    <row r="3556" spans="1:5" x14ac:dyDescent="0.35">
      <c r="A3556" t="s">
        <v>3560</v>
      </c>
      <c r="B3556" t="s">
        <v>3580</v>
      </c>
      <c r="C3556">
        <v>467</v>
      </c>
      <c r="D3556">
        <v>460</v>
      </c>
      <c r="E3556" t="s">
        <v>7</v>
      </c>
    </row>
    <row r="3557" spans="1:5" x14ac:dyDescent="0.35">
      <c r="A3557" t="s">
        <v>3560</v>
      </c>
      <c r="B3557" t="s">
        <v>3581</v>
      </c>
      <c r="C3557">
        <v>329</v>
      </c>
      <c r="D3557">
        <v>191</v>
      </c>
      <c r="E3557" t="s">
        <v>21</v>
      </c>
    </row>
    <row r="3558" spans="1:5" x14ac:dyDescent="0.35">
      <c r="A3558" t="s">
        <v>3560</v>
      </c>
      <c r="B3558" t="s">
        <v>3582</v>
      </c>
      <c r="C3558">
        <v>240</v>
      </c>
      <c r="D3558">
        <v>214</v>
      </c>
      <c r="E3558" t="s">
        <v>17</v>
      </c>
    </row>
    <row r="3559" spans="1:5" x14ac:dyDescent="0.35">
      <c r="A3559" t="s">
        <v>3560</v>
      </c>
      <c r="B3559" t="s">
        <v>3583</v>
      </c>
      <c r="C3559">
        <v>160</v>
      </c>
      <c r="D3559">
        <v>152</v>
      </c>
      <c r="E3559" t="s">
        <v>17</v>
      </c>
    </row>
    <row r="3560" spans="1:5" x14ac:dyDescent="0.35">
      <c r="A3560" t="s">
        <v>3560</v>
      </c>
      <c r="B3560" t="s">
        <v>3584</v>
      </c>
      <c r="C3560">
        <v>300</v>
      </c>
      <c r="D3560">
        <v>281</v>
      </c>
      <c r="E3560" t="s">
        <v>15</v>
      </c>
    </row>
    <row r="3561" spans="1:5" x14ac:dyDescent="0.35">
      <c r="A3561" t="s">
        <v>3560</v>
      </c>
      <c r="B3561" t="s">
        <v>3585</v>
      </c>
      <c r="C3561">
        <v>422</v>
      </c>
      <c r="D3561">
        <v>368</v>
      </c>
      <c r="E3561" t="s">
        <v>9</v>
      </c>
    </row>
    <row r="3562" spans="1:5" x14ac:dyDescent="0.35">
      <c r="A3562" t="s">
        <v>3560</v>
      </c>
      <c r="B3562" t="s">
        <v>3586</v>
      </c>
      <c r="C3562">
        <v>422</v>
      </c>
      <c r="D3562">
        <v>248</v>
      </c>
      <c r="E3562" t="s">
        <v>17</v>
      </c>
    </row>
    <row r="3563" spans="1:5" x14ac:dyDescent="0.35">
      <c r="A3563" t="s">
        <v>3560</v>
      </c>
      <c r="B3563" t="s">
        <v>3587</v>
      </c>
      <c r="C3563">
        <v>388</v>
      </c>
      <c r="D3563">
        <v>254</v>
      </c>
      <c r="E3563" t="s">
        <v>33</v>
      </c>
    </row>
    <row r="3564" spans="1:5" x14ac:dyDescent="0.35">
      <c r="A3564" t="s">
        <v>3560</v>
      </c>
      <c r="B3564" t="s">
        <v>3588</v>
      </c>
      <c r="C3564">
        <v>421</v>
      </c>
      <c r="D3564">
        <v>165</v>
      </c>
      <c r="E3564" t="s">
        <v>15</v>
      </c>
    </row>
    <row r="3565" spans="1:5" x14ac:dyDescent="0.35">
      <c r="A3565" t="s">
        <v>3560</v>
      </c>
      <c r="B3565" t="s">
        <v>3589</v>
      </c>
      <c r="C3565">
        <v>310</v>
      </c>
      <c r="D3565">
        <v>150</v>
      </c>
      <c r="E3565" t="s">
        <v>21</v>
      </c>
    </row>
    <row r="3566" spans="1:5" x14ac:dyDescent="0.35">
      <c r="A3566" t="s">
        <v>3560</v>
      </c>
      <c r="B3566" t="s">
        <v>3590</v>
      </c>
      <c r="C3566">
        <v>441</v>
      </c>
      <c r="D3566">
        <v>411</v>
      </c>
      <c r="E3566" t="s">
        <v>7</v>
      </c>
    </row>
    <row r="3567" spans="1:5" x14ac:dyDescent="0.35">
      <c r="A3567" t="s">
        <v>3560</v>
      </c>
      <c r="B3567" t="s">
        <v>3591</v>
      </c>
      <c r="C3567">
        <v>461</v>
      </c>
      <c r="D3567">
        <v>430</v>
      </c>
      <c r="E3567" t="s">
        <v>9</v>
      </c>
    </row>
    <row r="3568" spans="1:5" x14ac:dyDescent="0.35">
      <c r="A3568" t="s">
        <v>3560</v>
      </c>
      <c r="B3568" t="s">
        <v>3592</v>
      </c>
      <c r="C3568">
        <v>471</v>
      </c>
      <c r="D3568">
        <v>371</v>
      </c>
      <c r="E3568" t="s">
        <v>7</v>
      </c>
    </row>
    <row r="3569" spans="1:5" x14ac:dyDescent="0.35">
      <c r="A3569" t="s">
        <v>3560</v>
      </c>
      <c r="B3569" t="s">
        <v>3593</v>
      </c>
      <c r="C3569">
        <v>490</v>
      </c>
      <c r="D3569">
        <v>231</v>
      </c>
      <c r="E3569" t="s">
        <v>11</v>
      </c>
    </row>
    <row r="3570" spans="1:5" x14ac:dyDescent="0.35">
      <c r="A3570" t="s">
        <v>3560</v>
      </c>
      <c r="B3570" t="s">
        <v>3594</v>
      </c>
      <c r="C3570">
        <v>482</v>
      </c>
      <c r="D3570">
        <v>474</v>
      </c>
      <c r="E3570" t="s">
        <v>21</v>
      </c>
    </row>
    <row r="3571" spans="1:5" x14ac:dyDescent="0.35">
      <c r="A3571" t="s">
        <v>3560</v>
      </c>
      <c r="B3571" t="s">
        <v>3595</v>
      </c>
      <c r="C3571">
        <v>498</v>
      </c>
      <c r="D3571">
        <v>410</v>
      </c>
      <c r="E3571" t="s">
        <v>9</v>
      </c>
    </row>
    <row r="3572" spans="1:5" x14ac:dyDescent="0.35">
      <c r="A3572" t="s">
        <v>3560</v>
      </c>
      <c r="B3572" t="s">
        <v>3596</v>
      </c>
      <c r="C3572">
        <v>435</v>
      </c>
      <c r="D3572">
        <v>379</v>
      </c>
      <c r="E3572" t="s">
        <v>7</v>
      </c>
    </row>
    <row r="3573" spans="1:5" x14ac:dyDescent="0.35">
      <c r="A3573" t="s">
        <v>3560</v>
      </c>
      <c r="B3573" t="s">
        <v>3597</v>
      </c>
      <c r="C3573">
        <v>358</v>
      </c>
      <c r="D3573">
        <v>358</v>
      </c>
      <c r="E3573" t="s">
        <v>7</v>
      </c>
    </row>
    <row r="3574" spans="1:5" x14ac:dyDescent="0.35">
      <c r="A3574" t="s">
        <v>3560</v>
      </c>
      <c r="B3574" t="s">
        <v>3598</v>
      </c>
      <c r="C3574">
        <v>422</v>
      </c>
      <c r="D3574">
        <v>339</v>
      </c>
      <c r="E3574" t="s">
        <v>11</v>
      </c>
    </row>
    <row r="3575" spans="1:5" x14ac:dyDescent="0.35">
      <c r="A3575" t="s">
        <v>3560</v>
      </c>
      <c r="B3575" t="s">
        <v>3599</v>
      </c>
      <c r="C3575">
        <v>486</v>
      </c>
      <c r="D3575">
        <v>421</v>
      </c>
      <c r="E3575" t="s">
        <v>7</v>
      </c>
    </row>
    <row r="3576" spans="1:5" x14ac:dyDescent="0.35">
      <c r="A3576" t="s">
        <v>3560</v>
      </c>
      <c r="B3576" t="s">
        <v>3600</v>
      </c>
      <c r="C3576">
        <v>488</v>
      </c>
      <c r="D3576">
        <v>168</v>
      </c>
      <c r="E3576" t="s">
        <v>9</v>
      </c>
    </row>
    <row r="3577" spans="1:5" x14ac:dyDescent="0.35">
      <c r="A3577" t="s">
        <v>3560</v>
      </c>
      <c r="B3577" t="s">
        <v>3601</v>
      </c>
      <c r="C3577">
        <v>458</v>
      </c>
      <c r="D3577">
        <v>452</v>
      </c>
      <c r="E3577" t="s">
        <v>21</v>
      </c>
    </row>
    <row r="3578" spans="1:5" x14ac:dyDescent="0.35">
      <c r="A3578" t="s">
        <v>3560</v>
      </c>
      <c r="B3578" t="s">
        <v>3602</v>
      </c>
      <c r="C3578">
        <v>475</v>
      </c>
      <c r="D3578">
        <v>473</v>
      </c>
      <c r="E3578" t="s">
        <v>7</v>
      </c>
    </row>
    <row r="3579" spans="1:5" x14ac:dyDescent="0.35">
      <c r="A3579" t="s">
        <v>3560</v>
      </c>
      <c r="B3579" t="s">
        <v>3603</v>
      </c>
      <c r="C3579">
        <v>497</v>
      </c>
      <c r="D3579">
        <v>432</v>
      </c>
      <c r="E3579" t="s">
        <v>9</v>
      </c>
    </row>
    <row r="3580" spans="1:5" x14ac:dyDescent="0.35">
      <c r="A3580" t="s">
        <v>3560</v>
      </c>
      <c r="B3580" t="s">
        <v>3604</v>
      </c>
      <c r="C3580">
        <v>422</v>
      </c>
      <c r="D3580">
        <v>398</v>
      </c>
      <c r="E3580" t="s">
        <v>7</v>
      </c>
    </row>
    <row r="3581" spans="1:5" x14ac:dyDescent="0.35">
      <c r="A3581" t="s">
        <v>3560</v>
      </c>
      <c r="B3581" t="s">
        <v>3605</v>
      </c>
      <c r="C3581">
        <v>480</v>
      </c>
      <c r="D3581">
        <v>275</v>
      </c>
      <c r="E3581" t="s">
        <v>15</v>
      </c>
    </row>
    <row r="3582" spans="1:5" x14ac:dyDescent="0.35">
      <c r="A3582" t="s">
        <v>3560</v>
      </c>
      <c r="B3582" t="s">
        <v>3606</v>
      </c>
      <c r="C3582">
        <v>498</v>
      </c>
      <c r="D3582">
        <v>432</v>
      </c>
      <c r="E3582" t="s">
        <v>7</v>
      </c>
    </row>
    <row r="3583" spans="1:5" x14ac:dyDescent="0.35">
      <c r="A3583" t="s">
        <v>3560</v>
      </c>
      <c r="B3583" t="s">
        <v>3607</v>
      </c>
      <c r="C3583">
        <v>392</v>
      </c>
      <c r="D3583">
        <v>367</v>
      </c>
      <c r="E3583" t="s">
        <v>7</v>
      </c>
    </row>
    <row r="3584" spans="1:5" x14ac:dyDescent="0.35">
      <c r="A3584" t="s">
        <v>3560</v>
      </c>
      <c r="B3584" t="s">
        <v>3608</v>
      </c>
      <c r="C3584">
        <v>487</v>
      </c>
      <c r="D3584">
        <v>464</v>
      </c>
      <c r="E3584" t="s">
        <v>21</v>
      </c>
    </row>
    <row r="3585" spans="1:5" x14ac:dyDescent="0.35">
      <c r="A3585" t="s">
        <v>3560</v>
      </c>
      <c r="B3585" t="s">
        <v>3609</v>
      </c>
      <c r="C3585">
        <v>477</v>
      </c>
      <c r="D3585">
        <v>381</v>
      </c>
      <c r="E3585" t="s">
        <v>21</v>
      </c>
    </row>
    <row r="3586" spans="1:5" x14ac:dyDescent="0.35">
      <c r="A3586" t="s">
        <v>3560</v>
      </c>
      <c r="B3586" t="s">
        <v>3610</v>
      </c>
      <c r="C3586">
        <v>350</v>
      </c>
      <c r="D3586">
        <v>196</v>
      </c>
      <c r="E3586" t="s">
        <v>7</v>
      </c>
    </row>
    <row r="3587" spans="1:5" x14ac:dyDescent="0.35">
      <c r="A3587" t="s">
        <v>3560</v>
      </c>
      <c r="B3587" t="s">
        <v>3611</v>
      </c>
      <c r="C3587">
        <v>404</v>
      </c>
      <c r="D3587">
        <v>313</v>
      </c>
      <c r="E3587" t="s">
        <v>15</v>
      </c>
    </row>
    <row r="3588" spans="1:5" x14ac:dyDescent="0.35">
      <c r="A3588" t="s">
        <v>3560</v>
      </c>
      <c r="B3588" t="s">
        <v>3612</v>
      </c>
      <c r="C3588">
        <v>379</v>
      </c>
      <c r="D3588">
        <v>315</v>
      </c>
      <c r="E3588" t="s">
        <v>17</v>
      </c>
    </row>
    <row r="3589" spans="1:5" x14ac:dyDescent="0.35">
      <c r="A3589" t="s">
        <v>3560</v>
      </c>
      <c r="B3589" t="s">
        <v>3613</v>
      </c>
      <c r="C3589">
        <v>407</v>
      </c>
      <c r="D3589">
        <v>200</v>
      </c>
      <c r="E3589" t="s">
        <v>11</v>
      </c>
    </row>
    <row r="3590" spans="1:5" x14ac:dyDescent="0.35">
      <c r="A3590" t="s">
        <v>3560</v>
      </c>
      <c r="B3590" t="s">
        <v>3614</v>
      </c>
      <c r="C3590">
        <v>445</v>
      </c>
      <c r="D3590">
        <v>374</v>
      </c>
      <c r="E3590" t="s">
        <v>9</v>
      </c>
    </row>
    <row r="3591" spans="1:5" x14ac:dyDescent="0.35">
      <c r="A3591" t="s">
        <v>3560</v>
      </c>
      <c r="B3591" t="s">
        <v>3615</v>
      </c>
      <c r="C3591">
        <v>294</v>
      </c>
      <c r="D3591">
        <v>153</v>
      </c>
      <c r="E3591" t="s">
        <v>9</v>
      </c>
    </row>
    <row r="3592" spans="1:5" x14ac:dyDescent="0.35">
      <c r="A3592" t="s">
        <v>3560</v>
      </c>
      <c r="B3592" t="s">
        <v>3616</v>
      </c>
      <c r="C3592">
        <v>476</v>
      </c>
      <c r="D3592">
        <v>189</v>
      </c>
      <c r="E3592" t="s">
        <v>15</v>
      </c>
    </row>
    <row r="3593" spans="1:5" x14ac:dyDescent="0.35">
      <c r="A3593" t="s">
        <v>3560</v>
      </c>
      <c r="B3593" t="s">
        <v>3617</v>
      </c>
      <c r="C3593">
        <v>446</v>
      </c>
      <c r="D3593">
        <v>229</v>
      </c>
      <c r="E3593" t="s">
        <v>15</v>
      </c>
    </row>
    <row r="3594" spans="1:5" x14ac:dyDescent="0.35">
      <c r="A3594" t="s">
        <v>3560</v>
      </c>
      <c r="B3594" t="s">
        <v>3618</v>
      </c>
      <c r="C3594">
        <v>401</v>
      </c>
      <c r="D3594">
        <v>343</v>
      </c>
      <c r="E3594" t="s">
        <v>21</v>
      </c>
    </row>
    <row r="3595" spans="1:5" x14ac:dyDescent="0.35">
      <c r="A3595" t="s">
        <v>3560</v>
      </c>
      <c r="B3595" t="s">
        <v>3619</v>
      </c>
      <c r="C3595">
        <v>406</v>
      </c>
      <c r="D3595">
        <v>338</v>
      </c>
      <c r="E3595" t="s">
        <v>9</v>
      </c>
    </row>
    <row r="3596" spans="1:5" x14ac:dyDescent="0.35">
      <c r="A3596" t="s">
        <v>3560</v>
      </c>
      <c r="B3596" t="s">
        <v>3620</v>
      </c>
      <c r="C3596">
        <v>461</v>
      </c>
      <c r="D3596">
        <v>394</v>
      </c>
      <c r="E3596" t="s">
        <v>21</v>
      </c>
    </row>
    <row r="3597" spans="1:5" x14ac:dyDescent="0.35">
      <c r="A3597" t="s">
        <v>3560</v>
      </c>
      <c r="B3597" t="s">
        <v>3621</v>
      </c>
      <c r="C3597">
        <v>229</v>
      </c>
      <c r="D3597">
        <v>178</v>
      </c>
      <c r="E3597" t="s">
        <v>9</v>
      </c>
    </row>
    <row r="3598" spans="1:5" x14ac:dyDescent="0.35">
      <c r="A3598" t="s">
        <v>3560</v>
      </c>
      <c r="B3598" t="s">
        <v>3622</v>
      </c>
      <c r="C3598">
        <v>381</v>
      </c>
      <c r="D3598">
        <v>339</v>
      </c>
      <c r="E3598" t="s">
        <v>9</v>
      </c>
    </row>
    <row r="3599" spans="1:5" x14ac:dyDescent="0.35">
      <c r="A3599" t="s">
        <v>3560</v>
      </c>
      <c r="B3599" t="s">
        <v>3623</v>
      </c>
      <c r="C3599">
        <v>332</v>
      </c>
      <c r="D3599">
        <v>256</v>
      </c>
      <c r="E3599" t="s">
        <v>15</v>
      </c>
    </row>
    <row r="3600" spans="1:5" x14ac:dyDescent="0.35">
      <c r="A3600" t="s">
        <v>3560</v>
      </c>
      <c r="B3600" t="s">
        <v>3624</v>
      </c>
      <c r="C3600">
        <v>382</v>
      </c>
      <c r="D3600">
        <v>325</v>
      </c>
      <c r="E3600" t="s">
        <v>17</v>
      </c>
    </row>
    <row r="3601" spans="1:5" x14ac:dyDescent="0.35">
      <c r="A3601" t="s">
        <v>3560</v>
      </c>
      <c r="B3601" t="s">
        <v>3625</v>
      </c>
      <c r="C3601">
        <v>367</v>
      </c>
      <c r="D3601">
        <v>249</v>
      </c>
      <c r="E3601" t="s">
        <v>21</v>
      </c>
    </row>
    <row r="3602" spans="1:5" x14ac:dyDescent="0.35">
      <c r="A3602" t="s">
        <v>3560</v>
      </c>
      <c r="B3602" t="s">
        <v>3626</v>
      </c>
      <c r="C3602">
        <v>385</v>
      </c>
      <c r="D3602">
        <v>237</v>
      </c>
      <c r="E3602" t="s">
        <v>33</v>
      </c>
    </row>
    <row r="3603" spans="1:5" x14ac:dyDescent="0.35">
      <c r="A3603" t="s">
        <v>3560</v>
      </c>
      <c r="B3603" t="s">
        <v>3627</v>
      </c>
      <c r="C3603">
        <v>462</v>
      </c>
      <c r="D3603">
        <v>317</v>
      </c>
      <c r="E3603" t="s">
        <v>7</v>
      </c>
    </row>
    <row r="3604" spans="1:5" x14ac:dyDescent="0.35">
      <c r="A3604" t="s">
        <v>3560</v>
      </c>
      <c r="B3604" t="s">
        <v>3628</v>
      </c>
      <c r="C3604">
        <v>241</v>
      </c>
      <c r="D3604">
        <v>196</v>
      </c>
      <c r="E3604" t="s">
        <v>15</v>
      </c>
    </row>
    <row r="3605" spans="1:5" x14ac:dyDescent="0.35">
      <c r="A3605" t="s">
        <v>3560</v>
      </c>
      <c r="B3605" t="s">
        <v>3629</v>
      </c>
      <c r="C3605">
        <v>493</v>
      </c>
      <c r="D3605">
        <v>198</v>
      </c>
      <c r="E3605" t="s">
        <v>9</v>
      </c>
    </row>
    <row r="3606" spans="1:5" x14ac:dyDescent="0.35">
      <c r="A3606" t="s">
        <v>3560</v>
      </c>
      <c r="B3606" t="s">
        <v>3630</v>
      </c>
      <c r="C3606">
        <v>397</v>
      </c>
      <c r="D3606">
        <v>175</v>
      </c>
      <c r="E3606" t="s">
        <v>15</v>
      </c>
    </row>
    <row r="3607" spans="1:5" x14ac:dyDescent="0.35">
      <c r="A3607" t="s">
        <v>3560</v>
      </c>
      <c r="B3607" t="s">
        <v>3631</v>
      </c>
      <c r="C3607">
        <v>407</v>
      </c>
      <c r="D3607">
        <v>376</v>
      </c>
      <c r="E3607" t="s">
        <v>7</v>
      </c>
    </row>
    <row r="3608" spans="1:5" x14ac:dyDescent="0.35">
      <c r="A3608" t="s">
        <v>3560</v>
      </c>
      <c r="B3608" t="s">
        <v>3632</v>
      </c>
      <c r="C3608">
        <v>253</v>
      </c>
      <c r="D3608">
        <v>154</v>
      </c>
      <c r="E3608" t="s">
        <v>7</v>
      </c>
    </row>
    <row r="3609" spans="1:5" x14ac:dyDescent="0.35">
      <c r="A3609" t="s">
        <v>3560</v>
      </c>
      <c r="B3609" t="s">
        <v>3633</v>
      </c>
      <c r="C3609">
        <v>446</v>
      </c>
      <c r="D3609">
        <v>207</v>
      </c>
      <c r="E3609" t="s">
        <v>21</v>
      </c>
    </row>
    <row r="3610" spans="1:5" x14ac:dyDescent="0.35">
      <c r="A3610" t="s">
        <v>3560</v>
      </c>
      <c r="B3610" t="s">
        <v>3634</v>
      </c>
      <c r="C3610">
        <v>360</v>
      </c>
      <c r="D3610">
        <v>205</v>
      </c>
      <c r="E3610" t="s">
        <v>17</v>
      </c>
    </row>
    <row r="3611" spans="1:5" x14ac:dyDescent="0.35">
      <c r="A3611" t="s">
        <v>3560</v>
      </c>
      <c r="B3611" t="s">
        <v>3635</v>
      </c>
      <c r="C3611">
        <v>487</v>
      </c>
      <c r="D3611">
        <v>456</v>
      </c>
      <c r="E3611" t="s">
        <v>7</v>
      </c>
    </row>
    <row r="3612" spans="1:5" x14ac:dyDescent="0.35">
      <c r="A3612" t="s">
        <v>3560</v>
      </c>
      <c r="B3612" t="s">
        <v>3636</v>
      </c>
      <c r="C3612">
        <v>304</v>
      </c>
      <c r="D3612">
        <v>217</v>
      </c>
      <c r="E3612" t="s">
        <v>11</v>
      </c>
    </row>
    <row r="3613" spans="1:5" x14ac:dyDescent="0.35">
      <c r="A3613" t="s">
        <v>3560</v>
      </c>
      <c r="B3613" t="s">
        <v>3637</v>
      </c>
      <c r="C3613">
        <v>497</v>
      </c>
      <c r="D3613">
        <v>267</v>
      </c>
      <c r="E3613" t="s">
        <v>9</v>
      </c>
    </row>
    <row r="3614" spans="1:5" x14ac:dyDescent="0.35">
      <c r="A3614" t="s">
        <v>3560</v>
      </c>
      <c r="B3614" t="s">
        <v>3638</v>
      </c>
      <c r="C3614">
        <v>446</v>
      </c>
      <c r="D3614">
        <v>349</v>
      </c>
      <c r="E3614" t="s">
        <v>33</v>
      </c>
    </row>
    <row r="3615" spans="1:5" x14ac:dyDescent="0.35">
      <c r="A3615" t="s">
        <v>3560</v>
      </c>
      <c r="B3615" t="s">
        <v>3639</v>
      </c>
      <c r="C3615">
        <v>483</v>
      </c>
      <c r="D3615">
        <v>433</v>
      </c>
      <c r="E3615" t="s">
        <v>9</v>
      </c>
    </row>
    <row r="3616" spans="1:5" x14ac:dyDescent="0.35">
      <c r="A3616" t="s">
        <v>3560</v>
      </c>
      <c r="B3616" t="s">
        <v>3640</v>
      </c>
      <c r="C3616">
        <v>398</v>
      </c>
      <c r="D3616">
        <v>164</v>
      </c>
      <c r="E3616" t="s">
        <v>7</v>
      </c>
    </row>
    <row r="3617" spans="1:5" x14ac:dyDescent="0.35">
      <c r="A3617" t="s">
        <v>3560</v>
      </c>
      <c r="B3617" t="s">
        <v>3641</v>
      </c>
      <c r="C3617">
        <v>481</v>
      </c>
      <c r="D3617">
        <v>398</v>
      </c>
      <c r="E3617" t="s">
        <v>9</v>
      </c>
    </row>
    <row r="3618" spans="1:5" x14ac:dyDescent="0.35">
      <c r="A3618" t="s">
        <v>3560</v>
      </c>
      <c r="B3618" t="s">
        <v>3642</v>
      </c>
      <c r="C3618">
        <v>484</v>
      </c>
      <c r="D3618">
        <v>274</v>
      </c>
      <c r="E3618" t="s">
        <v>33</v>
      </c>
    </row>
    <row r="3619" spans="1:5" x14ac:dyDescent="0.35">
      <c r="A3619" t="s">
        <v>3560</v>
      </c>
      <c r="B3619" t="s">
        <v>3643</v>
      </c>
      <c r="C3619">
        <v>414</v>
      </c>
      <c r="D3619">
        <v>225</v>
      </c>
      <c r="E3619" t="s">
        <v>9</v>
      </c>
    </row>
    <row r="3620" spans="1:5" x14ac:dyDescent="0.35">
      <c r="A3620" t="s">
        <v>3560</v>
      </c>
      <c r="B3620" t="s">
        <v>3644</v>
      </c>
      <c r="C3620">
        <v>414</v>
      </c>
      <c r="D3620">
        <v>371</v>
      </c>
      <c r="E3620" t="s">
        <v>9</v>
      </c>
    </row>
    <row r="3621" spans="1:5" x14ac:dyDescent="0.35">
      <c r="A3621" t="s">
        <v>3560</v>
      </c>
      <c r="B3621" t="s">
        <v>3645</v>
      </c>
      <c r="C3621">
        <v>458</v>
      </c>
      <c r="D3621">
        <v>164</v>
      </c>
      <c r="E3621" t="s">
        <v>9</v>
      </c>
    </row>
    <row r="3622" spans="1:5" x14ac:dyDescent="0.35">
      <c r="A3622" t="s">
        <v>3560</v>
      </c>
      <c r="B3622" t="s">
        <v>3646</v>
      </c>
      <c r="C3622">
        <v>374</v>
      </c>
      <c r="D3622">
        <v>241</v>
      </c>
      <c r="E3622" t="s">
        <v>11</v>
      </c>
    </row>
    <row r="3623" spans="1:5" x14ac:dyDescent="0.35">
      <c r="A3623" t="s">
        <v>3560</v>
      </c>
      <c r="B3623" t="s">
        <v>3647</v>
      </c>
      <c r="C3623">
        <v>470</v>
      </c>
      <c r="D3623">
        <v>469</v>
      </c>
      <c r="E3623" t="s">
        <v>9</v>
      </c>
    </row>
    <row r="3624" spans="1:5" x14ac:dyDescent="0.35">
      <c r="A3624" t="s">
        <v>3560</v>
      </c>
      <c r="B3624" t="s">
        <v>3648</v>
      </c>
      <c r="C3624">
        <v>288</v>
      </c>
      <c r="D3624">
        <v>233</v>
      </c>
      <c r="E3624" t="s">
        <v>21</v>
      </c>
    </row>
    <row r="3625" spans="1:5" x14ac:dyDescent="0.35">
      <c r="A3625" t="s">
        <v>3560</v>
      </c>
      <c r="B3625" t="s">
        <v>3649</v>
      </c>
      <c r="C3625">
        <v>322</v>
      </c>
      <c r="D3625">
        <v>277</v>
      </c>
      <c r="E3625" t="s">
        <v>21</v>
      </c>
    </row>
    <row r="3626" spans="1:5" x14ac:dyDescent="0.35">
      <c r="A3626" t="s">
        <v>3560</v>
      </c>
      <c r="B3626" t="s">
        <v>3650</v>
      </c>
      <c r="C3626">
        <v>500</v>
      </c>
      <c r="D3626">
        <v>431</v>
      </c>
      <c r="E3626" t="s">
        <v>21</v>
      </c>
    </row>
    <row r="3627" spans="1:5" x14ac:dyDescent="0.35">
      <c r="A3627" t="s">
        <v>3560</v>
      </c>
      <c r="B3627" t="s">
        <v>3651</v>
      </c>
      <c r="C3627">
        <v>401</v>
      </c>
      <c r="D3627">
        <v>400</v>
      </c>
      <c r="E3627" t="s">
        <v>9</v>
      </c>
    </row>
    <row r="3628" spans="1:5" x14ac:dyDescent="0.35">
      <c r="A3628" t="s">
        <v>3560</v>
      </c>
      <c r="B3628" t="s">
        <v>3652</v>
      </c>
      <c r="C3628">
        <v>446</v>
      </c>
      <c r="D3628">
        <v>439</v>
      </c>
      <c r="E3628" t="s">
        <v>21</v>
      </c>
    </row>
    <row r="3629" spans="1:5" x14ac:dyDescent="0.35">
      <c r="A3629" t="s">
        <v>3560</v>
      </c>
      <c r="B3629" t="s">
        <v>3653</v>
      </c>
      <c r="C3629">
        <v>289</v>
      </c>
      <c r="D3629">
        <v>271</v>
      </c>
      <c r="E3629" t="s">
        <v>21</v>
      </c>
    </row>
    <row r="3630" spans="1:5" x14ac:dyDescent="0.35">
      <c r="A3630" t="s">
        <v>3560</v>
      </c>
      <c r="B3630" t="s">
        <v>3654</v>
      </c>
      <c r="C3630">
        <v>393</v>
      </c>
      <c r="D3630">
        <v>267</v>
      </c>
      <c r="E3630" t="s">
        <v>11</v>
      </c>
    </row>
    <row r="3631" spans="1:5" x14ac:dyDescent="0.35">
      <c r="A3631" t="s">
        <v>3560</v>
      </c>
      <c r="B3631" t="s">
        <v>3655</v>
      </c>
      <c r="C3631">
        <v>396</v>
      </c>
      <c r="D3631">
        <v>309</v>
      </c>
      <c r="E3631" t="s">
        <v>33</v>
      </c>
    </row>
    <row r="3632" spans="1:5" x14ac:dyDescent="0.35">
      <c r="A3632" t="s">
        <v>3560</v>
      </c>
      <c r="B3632" t="s">
        <v>3656</v>
      </c>
      <c r="C3632">
        <v>390</v>
      </c>
      <c r="D3632">
        <v>180</v>
      </c>
      <c r="E3632" t="s">
        <v>21</v>
      </c>
    </row>
    <row r="3633" spans="1:5" x14ac:dyDescent="0.35">
      <c r="A3633" t="s">
        <v>3560</v>
      </c>
      <c r="B3633" t="s">
        <v>3657</v>
      </c>
      <c r="C3633">
        <v>346</v>
      </c>
      <c r="D3633">
        <v>216</v>
      </c>
      <c r="E3633" t="s">
        <v>9</v>
      </c>
    </row>
    <row r="3634" spans="1:5" x14ac:dyDescent="0.35">
      <c r="A3634" t="s">
        <v>3560</v>
      </c>
      <c r="B3634" t="s">
        <v>3658</v>
      </c>
      <c r="C3634">
        <v>400</v>
      </c>
      <c r="D3634">
        <v>382</v>
      </c>
      <c r="E3634" t="s">
        <v>21</v>
      </c>
    </row>
    <row r="3635" spans="1:5" x14ac:dyDescent="0.35">
      <c r="A3635" t="s">
        <v>3560</v>
      </c>
      <c r="B3635" t="s">
        <v>3659</v>
      </c>
      <c r="C3635">
        <v>379</v>
      </c>
      <c r="D3635">
        <v>348</v>
      </c>
      <c r="E3635" t="s">
        <v>7</v>
      </c>
    </row>
    <row r="3636" spans="1:5" x14ac:dyDescent="0.35">
      <c r="A3636" t="s">
        <v>3560</v>
      </c>
      <c r="B3636" t="s">
        <v>3660</v>
      </c>
      <c r="C3636">
        <v>462</v>
      </c>
      <c r="D3636">
        <v>405</v>
      </c>
      <c r="E3636" t="s">
        <v>9</v>
      </c>
    </row>
    <row r="3637" spans="1:5" x14ac:dyDescent="0.35">
      <c r="A3637" t="s">
        <v>3560</v>
      </c>
      <c r="B3637" t="s">
        <v>3661</v>
      </c>
      <c r="C3637">
        <v>410</v>
      </c>
      <c r="D3637">
        <v>173</v>
      </c>
      <c r="E3637" t="s">
        <v>15</v>
      </c>
    </row>
    <row r="3638" spans="1:5" x14ac:dyDescent="0.35">
      <c r="A3638" t="s">
        <v>3560</v>
      </c>
      <c r="B3638" t="s">
        <v>3662</v>
      </c>
      <c r="C3638">
        <v>413</v>
      </c>
      <c r="D3638">
        <v>209</v>
      </c>
      <c r="E3638" t="s">
        <v>33</v>
      </c>
    </row>
    <row r="3639" spans="1:5" x14ac:dyDescent="0.35">
      <c r="A3639" t="s">
        <v>3560</v>
      </c>
      <c r="B3639" t="s">
        <v>3663</v>
      </c>
      <c r="C3639">
        <v>289</v>
      </c>
      <c r="D3639">
        <v>256</v>
      </c>
      <c r="E3639" t="s">
        <v>17</v>
      </c>
    </row>
    <row r="3640" spans="1:5" x14ac:dyDescent="0.35">
      <c r="A3640" t="s">
        <v>3560</v>
      </c>
      <c r="B3640" t="s">
        <v>3664</v>
      </c>
      <c r="C3640">
        <v>390</v>
      </c>
      <c r="D3640">
        <v>372</v>
      </c>
      <c r="E3640" t="s">
        <v>9</v>
      </c>
    </row>
    <row r="3641" spans="1:5" x14ac:dyDescent="0.35">
      <c r="A3641" t="s">
        <v>3560</v>
      </c>
      <c r="B3641" t="s">
        <v>3665</v>
      </c>
      <c r="C3641">
        <v>481</v>
      </c>
      <c r="D3641">
        <v>339</v>
      </c>
      <c r="E3641" t="s">
        <v>9</v>
      </c>
    </row>
    <row r="3642" spans="1:5" x14ac:dyDescent="0.35">
      <c r="A3642" t="s">
        <v>3560</v>
      </c>
      <c r="B3642" t="s">
        <v>3666</v>
      </c>
      <c r="C3642">
        <v>384</v>
      </c>
      <c r="D3642">
        <v>180</v>
      </c>
      <c r="E3642" t="s">
        <v>11</v>
      </c>
    </row>
    <row r="3643" spans="1:5" x14ac:dyDescent="0.35">
      <c r="A3643" t="s">
        <v>3560</v>
      </c>
      <c r="B3643" t="s">
        <v>3667</v>
      </c>
      <c r="C3643">
        <v>446</v>
      </c>
      <c r="D3643">
        <v>441</v>
      </c>
      <c r="E3643" t="s">
        <v>7</v>
      </c>
    </row>
    <row r="3644" spans="1:5" x14ac:dyDescent="0.35">
      <c r="A3644" t="s">
        <v>3560</v>
      </c>
      <c r="B3644" t="s">
        <v>3668</v>
      </c>
      <c r="C3644">
        <v>474</v>
      </c>
      <c r="D3644">
        <v>432</v>
      </c>
      <c r="E3644" t="s">
        <v>9</v>
      </c>
    </row>
    <row r="3645" spans="1:5" x14ac:dyDescent="0.35">
      <c r="A3645" t="s">
        <v>3560</v>
      </c>
      <c r="B3645" t="s">
        <v>3669</v>
      </c>
      <c r="C3645">
        <v>389</v>
      </c>
      <c r="D3645">
        <v>224</v>
      </c>
      <c r="E3645" t="s">
        <v>11</v>
      </c>
    </row>
    <row r="3646" spans="1:5" x14ac:dyDescent="0.35">
      <c r="A3646" t="s">
        <v>3560</v>
      </c>
      <c r="B3646" t="s">
        <v>3670</v>
      </c>
      <c r="C3646">
        <v>286</v>
      </c>
      <c r="D3646">
        <v>266</v>
      </c>
      <c r="E3646" t="s">
        <v>11</v>
      </c>
    </row>
    <row r="3647" spans="1:5" x14ac:dyDescent="0.35">
      <c r="A3647" t="s">
        <v>3560</v>
      </c>
      <c r="B3647" t="s">
        <v>3671</v>
      </c>
      <c r="C3647">
        <v>474</v>
      </c>
      <c r="D3647">
        <v>337</v>
      </c>
      <c r="E3647" t="s">
        <v>11</v>
      </c>
    </row>
    <row r="3648" spans="1:5" x14ac:dyDescent="0.35">
      <c r="A3648" t="s">
        <v>3560</v>
      </c>
      <c r="B3648" t="s">
        <v>3672</v>
      </c>
      <c r="C3648">
        <v>427</v>
      </c>
      <c r="D3648">
        <v>274</v>
      </c>
      <c r="E3648" t="s">
        <v>17</v>
      </c>
    </row>
    <row r="3649" spans="1:5" x14ac:dyDescent="0.35">
      <c r="A3649" t="s">
        <v>3560</v>
      </c>
      <c r="B3649" t="s">
        <v>3673</v>
      </c>
      <c r="C3649">
        <v>313</v>
      </c>
      <c r="D3649">
        <v>270</v>
      </c>
      <c r="E3649" t="s">
        <v>17</v>
      </c>
    </row>
    <row r="3650" spans="1:5" x14ac:dyDescent="0.35">
      <c r="A3650" t="s">
        <v>3560</v>
      </c>
      <c r="B3650" t="s">
        <v>3674</v>
      </c>
      <c r="C3650">
        <v>450</v>
      </c>
      <c r="D3650">
        <v>387</v>
      </c>
      <c r="E3650" t="s">
        <v>21</v>
      </c>
    </row>
    <row r="3651" spans="1:5" x14ac:dyDescent="0.35">
      <c r="A3651" t="s">
        <v>3560</v>
      </c>
      <c r="B3651" t="s">
        <v>3675</v>
      </c>
      <c r="C3651">
        <v>463</v>
      </c>
      <c r="D3651">
        <v>455</v>
      </c>
      <c r="E3651" t="s">
        <v>21</v>
      </c>
    </row>
    <row r="3652" spans="1:5" x14ac:dyDescent="0.35">
      <c r="A3652" t="s">
        <v>3560</v>
      </c>
      <c r="B3652" t="s">
        <v>3676</v>
      </c>
      <c r="C3652">
        <v>435</v>
      </c>
      <c r="D3652">
        <v>256</v>
      </c>
      <c r="E3652" t="s">
        <v>7</v>
      </c>
    </row>
    <row r="3653" spans="1:5" x14ac:dyDescent="0.35">
      <c r="A3653" t="s">
        <v>3560</v>
      </c>
      <c r="B3653" t="s">
        <v>3677</v>
      </c>
      <c r="C3653">
        <v>459</v>
      </c>
      <c r="D3653">
        <v>414</v>
      </c>
      <c r="E3653" t="s">
        <v>7</v>
      </c>
    </row>
    <row r="3654" spans="1:5" x14ac:dyDescent="0.35">
      <c r="A3654" t="s">
        <v>3560</v>
      </c>
      <c r="B3654" t="s">
        <v>3678</v>
      </c>
      <c r="C3654">
        <v>487</v>
      </c>
      <c r="D3654">
        <v>479</v>
      </c>
      <c r="E3654" t="s">
        <v>7</v>
      </c>
    </row>
    <row r="3655" spans="1:5" x14ac:dyDescent="0.35">
      <c r="A3655" t="s">
        <v>3560</v>
      </c>
      <c r="B3655" t="s">
        <v>3679</v>
      </c>
      <c r="C3655">
        <v>365</v>
      </c>
      <c r="D3655">
        <v>354</v>
      </c>
      <c r="E3655" t="s">
        <v>9</v>
      </c>
    </row>
    <row r="3656" spans="1:5" x14ac:dyDescent="0.35">
      <c r="A3656" t="s">
        <v>3560</v>
      </c>
      <c r="B3656" t="s">
        <v>3680</v>
      </c>
      <c r="C3656">
        <v>494</v>
      </c>
      <c r="D3656">
        <v>338</v>
      </c>
      <c r="E3656" t="s">
        <v>21</v>
      </c>
    </row>
    <row r="3657" spans="1:5" x14ac:dyDescent="0.35">
      <c r="A3657" t="s">
        <v>3560</v>
      </c>
      <c r="B3657" t="s">
        <v>3681</v>
      </c>
      <c r="C3657">
        <v>440</v>
      </c>
      <c r="D3657">
        <v>426</v>
      </c>
      <c r="E3657" t="s">
        <v>7</v>
      </c>
    </row>
    <row r="3658" spans="1:5" x14ac:dyDescent="0.35">
      <c r="A3658" t="s">
        <v>3560</v>
      </c>
      <c r="B3658" t="s">
        <v>3682</v>
      </c>
      <c r="C3658">
        <v>448</v>
      </c>
      <c r="D3658">
        <v>271</v>
      </c>
      <c r="E3658" t="s">
        <v>7</v>
      </c>
    </row>
    <row r="3659" spans="1:5" x14ac:dyDescent="0.35">
      <c r="A3659" t="s">
        <v>3560</v>
      </c>
      <c r="B3659" t="s">
        <v>3683</v>
      </c>
      <c r="C3659">
        <v>496</v>
      </c>
      <c r="D3659">
        <v>265</v>
      </c>
      <c r="E3659" t="s">
        <v>33</v>
      </c>
    </row>
    <row r="3660" spans="1:5" x14ac:dyDescent="0.35">
      <c r="A3660" t="s">
        <v>3560</v>
      </c>
      <c r="B3660" t="s">
        <v>3684</v>
      </c>
      <c r="C3660">
        <v>493</v>
      </c>
      <c r="D3660">
        <v>298</v>
      </c>
      <c r="E3660" t="s">
        <v>33</v>
      </c>
    </row>
    <row r="3661" spans="1:5" x14ac:dyDescent="0.35">
      <c r="A3661" t="s">
        <v>3560</v>
      </c>
      <c r="B3661" t="s">
        <v>3685</v>
      </c>
      <c r="C3661">
        <v>418</v>
      </c>
      <c r="D3661">
        <v>345</v>
      </c>
      <c r="E3661" t="s">
        <v>7</v>
      </c>
    </row>
    <row r="3662" spans="1:5" x14ac:dyDescent="0.35">
      <c r="A3662" t="s">
        <v>3560</v>
      </c>
      <c r="B3662" t="s">
        <v>3686</v>
      </c>
      <c r="C3662">
        <v>298</v>
      </c>
      <c r="D3662">
        <v>190</v>
      </c>
      <c r="E3662" t="s">
        <v>11</v>
      </c>
    </row>
    <row r="3663" spans="1:5" x14ac:dyDescent="0.35">
      <c r="A3663" t="s">
        <v>3560</v>
      </c>
      <c r="B3663" t="s">
        <v>3687</v>
      </c>
      <c r="C3663">
        <v>493</v>
      </c>
      <c r="D3663">
        <v>194</v>
      </c>
      <c r="E3663" t="s">
        <v>15</v>
      </c>
    </row>
    <row r="3664" spans="1:5" x14ac:dyDescent="0.35">
      <c r="A3664" t="s">
        <v>3560</v>
      </c>
      <c r="B3664" t="s">
        <v>3688</v>
      </c>
      <c r="C3664">
        <v>353</v>
      </c>
      <c r="D3664">
        <v>187</v>
      </c>
      <c r="E3664" t="s">
        <v>17</v>
      </c>
    </row>
    <row r="3665" spans="1:5" x14ac:dyDescent="0.35">
      <c r="A3665" t="s">
        <v>3560</v>
      </c>
      <c r="B3665" t="s">
        <v>3689</v>
      </c>
      <c r="C3665">
        <v>419</v>
      </c>
      <c r="D3665">
        <v>150</v>
      </c>
      <c r="E3665" t="s">
        <v>15</v>
      </c>
    </row>
    <row r="3666" spans="1:5" x14ac:dyDescent="0.35">
      <c r="A3666" t="s">
        <v>3560</v>
      </c>
      <c r="B3666" t="s">
        <v>3690</v>
      </c>
      <c r="C3666">
        <v>474</v>
      </c>
      <c r="D3666">
        <v>292</v>
      </c>
      <c r="E3666" t="s">
        <v>33</v>
      </c>
    </row>
    <row r="3667" spans="1:5" x14ac:dyDescent="0.35">
      <c r="A3667" t="s">
        <v>3560</v>
      </c>
      <c r="B3667" t="s">
        <v>3691</v>
      </c>
      <c r="C3667">
        <v>349</v>
      </c>
      <c r="D3667">
        <v>271</v>
      </c>
      <c r="E3667" t="s">
        <v>21</v>
      </c>
    </row>
    <row r="3668" spans="1:5" x14ac:dyDescent="0.35">
      <c r="A3668" t="s">
        <v>3560</v>
      </c>
      <c r="B3668" t="s">
        <v>3692</v>
      </c>
      <c r="C3668">
        <v>267</v>
      </c>
      <c r="D3668">
        <v>257</v>
      </c>
      <c r="E3668" t="s">
        <v>7</v>
      </c>
    </row>
    <row r="3669" spans="1:5" x14ac:dyDescent="0.35">
      <c r="A3669" t="s">
        <v>3560</v>
      </c>
      <c r="B3669" t="s">
        <v>3693</v>
      </c>
      <c r="C3669">
        <v>454</v>
      </c>
      <c r="D3669">
        <v>446</v>
      </c>
      <c r="E3669" t="s">
        <v>9</v>
      </c>
    </row>
    <row r="3670" spans="1:5" x14ac:dyDescent="0.35">
      <c r="A3670" t="s">
        <v>3560</v>
      </c>
      <c r="B3670" t="s">
        <v>3694</v>
      </c>
      <c r="C3670">
        <v>469</v>
      </c>
      <c r="D3670">
        <v>454</v>
      </c>
      <c r="E3670" t="s">
        <v>9</v>
      </c>
    </row>
    <row r="3671" spans="1:5" x14ac:dyDescent="0.35">
      <c r="A3671" t="s">
        <v>3560</v>
      </c>
      <c r="B3671" t="s">
        <v>3695</v>
      </c>
      <c r="C3671">
        <v>480</v>
      </c>
      <c r="D3671">
        <v>455</v>
      </c>
      <c r="E3671" t="s">
        <v>9</v>
      </c>
    </row>
    <row r="3672" spans="1:5" x14ac:dyDescent="0.35">
      <c r="A3672" t="s">
        <v>3560</v>
      </c>
      <c r="B3672" t="s">
        <v>3696</v>
      </c>
      <c r="C3672">
        <v>283</v>
      </c>
      <c r="D3672">
        <v>156</v>
      </c>
      <c r="E3672" t="s">
        <v>7</v>
      </c>
    </row>
    <row r="3673" spans="1:5" x14ac:dyDescent="0.35">
      <c r="A3673" t="s">
        <v>3560</v>
      </c>
      <c r="B3673" t="s">
        <v>3697</v>
      </c>
      <c r="C3673">
        <v>329</v>
      </c>
      <c r="D3673">
        <v>155</v>
      </c>
      <c r="E3673" t="s">
        <v>17</v>
      </c>
    </row>
    <row r="3674" spans="1:5" x14ac:dyDescent="0.35">
      <c r="A3674" t="s">
        <v>3560</v>
      </c>
      <c r="B3674" t="s">
        <v>3698</v>
      </c>
      <c r="C3674">
        <v>495</v>
      </c>
      <c r="D3674">
        <v>473</v>
      </c>
      <c r="E3674" t="s">
        <v>7</v>
      </c>
    </row>
    <row r="3675" spans="1:5" x14ac:dyDescent="0.35">
      <c r="A3675" t="s">
        <v>3560</v>
      </c>
      <c r="B3675" t="s">
        <v>3699</v>
      </c>
      <c r="C3675">
        <v>442</v>
      </c>
      <c r="D3675">
        <v>175</v>
      </c>
      <c r="E3675" t="s">
        <v>11</v>
      </c>
    </row>
    <row r="3676" spans="1:5" x14ac:dyDescent="0.35">
      <c r="A3676" t="s">
        <v>3560</v>
      </c>
      <c r="B3676" t="s">
        <v>3700</v>
      </c>
      <c r="C3676">
        <v>441</v>
      </c>
      <c r="D3676">
        <v>428</v>
      </c>
      <c r="E3676" t="s">
        <v>21</v>
      </c>
    </row>
    <row r="3677" spans="1:5" x14ac:dyDescent="0.35">
      <c r="A3677" t="s">
        <v>3560</v>
      </c>
      <c r="B3677" t="s">
        <v>3701</v>
      </c>
      <c r="C3677">
        <v>460</v>
      </c>
      <c r="D3677">
        <v>415</v>
      </c>
      <c r="E3677" t="s">
        <v>7</v>
      </c>
    </row>
    <row r="3678" spans="1:5" x14ac:dyDescent="0.35">
      <c r="A3678" t="s">
        <v>3560</v>
      </c>
      <c r="B3678" t="s">
        <v>3702</v>
      </c>
      <c r="C3678">
        <v>465</v>
      </c>
      <c r="D3678">
        <v>429</v>
      </c>
      <c r="E3678" t="s">
        <v>9</v>
      </c>
    </row>
    <row r="3679" spans="1:5" x14ac:dyDescent="0.35">
      <c r="A3679" t="s">
        <v>3560</v>
      </c>
      <c r="B3679" t="s">
        <v>3703</v>
      </c>
      <c r="C3679">
        <v>352</v>
      </c>
      <c r="D3679">
        <v>293</v>
      </c>
      <c r="E3679" t="s">
        <v>11</v>
      </c>
    </row>
    <row r="3680" spans="1:5" x14ac:dyDescent="0.35">
      <c r="A3680" t="s">
        <v>3560</v>
      </c>
      <c r="B3680" t="s">
        <v>3704</v>
      </c>
      <c r="C3680">
        <v>341</v>
      </c>
      <c r="D3680">
        <v>247</v>
      </c>
      <c r="E3680" t="s">
        <v>21</v>
      </c>
    </row>
    <row r="3681" spans="1:5" x14ac:dyDescent="0.35">
      <c r="A3681" t="s">
        <v>3560</v>
      </c>
      <c r="B3681" t="s">
        <v>3705</v>
      </c>
      <c r="C3681">
        <v>353</v>
      </c>
      <c r="D3681">
        <v>334</v>
      </c>
      <c r="E3681" t="s">
        <v>11</v>
      </c>
    </row>
    <row r="3682" spans="1:5" x14ac:dyDescent="0.35">
      <c r="A3682" t="s">
        <v>3560</v>
      </c>
      <c r="B3682" t="s">
        <v>3706</v>
      </c>
      <c r="C3682">
        <v>423</v>
      </c>
      <c r="D3682">
        <v>400</v>
      </c>
      <c r="E3682" t="s">
        <v>21</v>
      </c>
    </row>
    <row r="3683" spans="1:5" x14ac:dyDescent="0.35">
      <c r="A3683" t="s">
        <v>3560</v>
      </c>
      <c r="B3683" t="s">
        <v>3707</v>
      </c>
      <c r="C3683">
        <v>476</v>
      </c>
      <c r="D3683">
        <v>296</v>
      </c>
      <c r="E3683" t="s">
        <v>9</v>
      </c>
    </row>
    <row r="3684" spans="1:5" x14ac:dyDescent="0.35">
      <c r="A3684" t="s">
        <v>3560</v>
      </c>
      <c r="B3684" t="s">
        <v>3708</v>
      </c>
      <c r="C3684">
        <v>459</v>
      </c>
      <c r="D3684">
        <v>207</v>
      </c>
      <c r="E3684" t="s">
        <v>21</v>
      </c>
    </row>
    <row r="3685" spans="1:5" x14ac:dyDescent="0.35">
      <c r="A3685" t="s">
        <v>3560</v>
      </c>
      <c r="B3685" t="s">
        <v>3709</v>
      </c>
      <c r="C3685">
        <v>436</v>
      </c>
      <c r="D3685">
        <v>296</v>
      </c>
      <c r="E3685" t="s">
        <v>9</v>
      </c>
    </row>
    <row r="3686" spans="1:5" x14ac:dyDescent="0.35">
      <c r="A3686" t="s">
        <v>3560</v>
      </c>
      <c r="B3686" t="s">
        <v>3710</v>
      </c>
      <c r="C3686">
        <v>464</v>
      </c>
      <c r="D3686">
        <v>445</v>
      </c>
      <c r="E3686" t="s">
        <v>9</v>
      </c>
    </row>
    <row r="3687" spans="1:5" x14ac:dyDescent="0.35">
      <c r="A3687" t="s">
        <v>3560</v>
      </c>
      <c r="B3687" t="s">
        <v>3711</v>
      </c>
      <c r="C3687">
        <v>342</v>
      </c>
      <c r="D3687">
        <v>197</v>
      </c>
      <c r="E3687" t="s">
        <v>33</v>
      </c>
    </row>
    <row r="3688" spans="1:5" x14ac:dyDescent="0.35">
      <c r="A3688" t="s">
        <v>3560</v>
      </c>
      <c r="B3688" t="s">
        <v>3712</v>
      </c>
      <c r="C3688">
        <v>318</v>
      </c>
      <c r="D3688">
        <v>265</v>
      </c>
      <c r="E3688" t="s">
        <v>33</v>
      </c>
    </row>
    <row r="3689" spans="1:5" x14ac:dyDescent="0.35">
      <c r="A3689" t="s">
        <v>3560</v>
      </c>
      <c r="B3689" t="s">
        <v>3713</v>
      </c>
      <c r="C3689">
        <v>431</v>
      </c>
      <c r="D3689">
        <v>326</v>
      </c>
      <c r="E3689" t="s">
        <v>9</v>
      </c>
    </row>
    <row r="3690" spans="1:5" x14ac:dyDescent="0.35">
      <c r="A3690" t="s">
        <v>3560</v>
      </c>
      <c r="B3690" t="s">
        <v>3714</v>
      </c>
      <c r="C3690">
        <v>437</v>
      </c>
      <c r="D3690">
        <v>188</v>
      </c>
      <c r="E3690" t="s">
        <v>7</v>
      </c>
    </row>
    <row r="3691" spans="1:5" x14ac:dyDescent="0.35">
      <c r="A3691" t="s">
        <v>3560</v>
      </c>
      <c r="B3691" t="s">
        <v>3715</v>
      </c>
      <c r="C3691">
        <v>392</v>
      </c>
      <c r="D3691">
        <v>280</v>
      </c>
      <c r="E3691" t="s">
        <v>17</v>
      </c>
    </row>
    <row r="3692" spans="1:5" x14ac:dyDescent="0.35">
      <c r="A3692" t="s">
        <v>3560</v>
      </c>
      <c r="B3692" t="s">
        <v>3716</v>
      </c>
      <c r="C3692">
        <v>495</v>
      </c>
      <c r="D3692">
        <v>380</v>
      </c>
      <c r="E3692" t="s">
        <v>9</v>
      </c>
    </row>
    <row r="3693" spans="1:5" x14ac:dyDescent="0.35">
      <c r="A3693" t="s">
        <v>3560</v>
      </c>
      <c r="B3693" t="s">
        <v>3717</v>
      </c>
      <c r="C3693">
        <v>221</v>
      </c>
      <c r="D3693">
        <v>218</v>
      </c>
      <c r="E3693" t="s">
        <v>11</v>
      </c>
    </row>
    <row r="3694" spans="1:5" x14ac:dyDescent="0.35">
      <c r="A3694" t="s">
        <v>3560</v>
      </c>
      <c r="B3694" t="s">
        <v>3718</v>
      </c>
      <c r="C3694">
        <v>380</v>
      </c>
      <c r="D3694">
        <v>195</v>
      </c>
      <c r="E3694" t="s">
        <v>15</v>
      </c>
    </row>
    <row r="3695" spans="1:5" x14ac:dyDescent="0.35">
      <c r="A3695" t="s">
        <v>3560</v>
      </c>
      <c r="B3695" t="s">
        <v>3719</v>
      </c>
      <c r="C3695">
        <v>385</v>
      </c>
      <c r="D3695">
        <v>335</v>
      </c>
      <c r="E3695" t="s">
        <v>17</v>
      </c>
    </row>
    <row r="3696" spans="1:5" x14ac:dyDescent="0.35">
      <c r="A3696" t="s">
        <v>3560</v>
      </c>
      <c r="B3696" t="s">
        <v>3720</v>
      </c>
      <c r="C3696">
        <v>440</v>
      </c>
      <c r="D3696">
        <v>437</v>
      </c>
      <c r="E3696" t="s">
        <v>21</v>
      </c>
    </row>
    <row r="3697" spans="1:5" x14ac:dyDescent="0.35">
      <c r="A3697" t="s">
        <v>3560</v>
      </c>
      <c r="B3697" t="s">
        <v>3721</v>
      </c>
      <c r="C3697">
        <v>208</v>
      </c>
      <c r="D3697">
        <v>163</v>
      </c>
      <c r="E3697" t="s">
        <v>11</v>
      </c>
    </row>
    <row r="3698" spans="1:5" x14ac:dyDescent="0.35">
      <c r="A3698" t="s">
        <v>3560</v>
      </c>
      <c r="B3698" t="s">
        <v>3722</v>
      </c>
      <c r="C3698">
        <v>355</v>
      </c>
      <c r="D3698">
        <v>291</v>
      </c>
      <c r="E3698" t="s">
        <v>9</v>
      </c>
    </row>
    <row r="3699" spans="1:5" x14ac:dyDescent="0.35">
      <c r="A3699" t="s">
        <v>3560</v>
      </c>
      <c r="B3699" t="s">
        <v>3723</v>
      </c>
      <c r="C3699">
        <v>346</v>
      </c>
      <c r="D3699">
        <v>215</v>
      </c>
      <c r="E3699" t="s">
        <v>33</v>
      </c>
    </row>
    <row r="3700" spans="1:5" x14ac:dyDescent="0.35">
      <c r="A3700" t="s">
        <v>3560</v>
      </c>
      <c r="B3700" t="s">
        <v>3724</v>
      </c>
      <c r="C3700">
        <v>365</v>
      </c>
      <c r="D3700">
        <v>181</v>
      </c>
      <c r="E3700" t="s">
        <v>7</v>
      </c>
    </row>
    <row r="3701" spans="1:5" x14ac:dyDescent="0.35">
      <c r="A3701" t="s">
        <v>3560</v>
      </c>
      <c r="B3701" t="s">
        <v>3725</v>
      </c>
      <c r="C3701">
        <v>455</v>
      </c>
      <c r="D3701">
        <v>198</v>
      </c>
      <c r="E3701" t="s">
        <v>9</v>
      </c>
    </row>
    <row r="3702" spans="1:5" x14ac:dyDescent="0.35">
      <c r="A3702" t="s">
        <v>3560</v>
      </c>
      <c r="B3702" t="s">
        <v>3726</v>
      </c>
      <c r="C3702">
        <v>494</v>
      </c>
      <c r="D3702">
        <v>187</v>
      </c>
      <c r="E3702" t="s">
        <v>7</v>
      </c>
    </row>
    <row r="3703" spans="1:5" x14ac:dyDescent="0.35">
      <c r="A3703" t="s">
        <v>3560</v>
      </c>
      <c r="B3703" t="s">
        <v>3727</v>
      </c>
      <c r="C3703">
        <v>455</v>
      </c>
      <c r="D3703">
        <v>422</v>
      </c>
      <c r="E3703" t="s">
        <v>21</v>
      </c>
    </row>
    <row r="3704" spans="1:5" x14ac:dyDescent="0.35">
      <c r="A3704" t="s">
        <v>3560</v>
      </c>
      <c r="B3704" t="s">
        <v>3728</v>
      </c>
      <c r="C3704">
        <v>494</v>
      </c>
      <c r="D3704">
        <v>410</v>
      </c>
      <c r="E3704" t="s">
        <v>7</v>
      </c>
    </row>
    <row r="3705" spans="1:5" x14ac:dyDescent="0.35">
      <c r="A3705" t="s">
        <v>3560</v>
      </c>
      <c r="B3705" t="s">
        <v>3729</v>
      </c>
      <c r="C3705">
        <v>483</v>
      </c>
      <c r="D3705">
        <v>448</v>
      </c>
      <c r="E3705" t="s">
        <v>21</v>
      </c>
    </row>
    <row r="3706" spans="1:5" x14ac:dyDescent="0.35">
      <c r="A3706" t="s">
        <v>3560</v>
      </c>
      <c r="B3706" t="s">
        <v>3730</v>
      </c>
      <c r="C3706">
        <v>479</v>
      </c>
      <c r="D3706">
        <v>441</v>
      </c>
      <c r="E3706" t="s">
        <v>9</v>
      </c>
    </row>
    <row r="3707" spans="1:5" x14ac:dyDescent="0.35">
      <c r="A3707" t="s">
        <v>3560</v>
      </c>
      <c r="B3707" t="s">
        <v>3731</v>
      </c>
      <c r="C3707">
        <v>403</v>
      </c>
      <c r="D3707">
        <v>370</v>
      </c>
      <c r="E3707" t="s">
        <v>9</v>
      </c>
    </row>
    <row r="3708" spans="1:5" x14ac:dyDescent="0.35">
      <c r="A3708" t="s">
        <v>3560</v>
      </c>
      <c r="B3708" t="s">
        <v>3732</v>
      </c>
      <c r="C3708">
        <v>460</v>
      </c>
      <c r="D3708">
        <v>326</v>
      </c>
      <c r="E3708" t="s">
        <v>17</v>
      </c>
    </row>
    <row r="3709" spans="1:5" x14ac:dyDescent="0.35">
      <c r="A3709" t="s">
        <v>3560</v>
      </c>
      <c r="B3709" t="s">
        <v>3733</v>
      </c>
      <c r="C3709">
        <v>425</v>
      </c>
      <c r="D3709">
        <v>364</v>
      </c>
      <c r="E3709" t="s">
        <v>21</v>
      </c>
    </row>
    <row r="3710" spans="1:5" x14ac:dyDescent="0.35">
      <c r="A3710" t="s">
        <v>3560</v>
      </c>
      <c r="B3710" t="s">
        <v>3734</v>
      </c>
      <c r="C3710">
        <v>497</v>
      </c>
      <c r="D3710">
        <v>473</v>
      </c>
      <c r="E3710" t="s">
        <v>21</v>
      </c>
    </row>
    <row r="3711" spans="1:5" x14ac:dyDescent="0.35">
      <c r="A3711" t="s">
        <v>3560</v>
      </c>
      <c r="B3711" t="s">
        <v>3735</v>
      </c>
      <c r="C3711">
        <v>473</v>
      </c>
      <c r="D3711">
        <v>420</v>
      </c>
      <c r="E3711" t="s">
        <v>21</v>
      </c>
    </row>
    <row r="3712" spans="1:5" x14ac:dyDescent="0.35">
      <c r="A3712" t="s">
        <v>3560</v>
      </c>
      <c r="B3712" t="s">
        <v>3736</v>
      </c>
      <c r="C3712">
        <v>439</v>
      </c>
      <c r="D3712">
        <v>428</v>
      </c>
      <c r="E3712" t="s">
        <v>21</v>
      </c>
    </row>
    <row r="3713" spans="1:5" x14ac:dyDescent="0.35">
      <c r="A3713" t="s">
        <v>3560</v>
      </c>
      <c r="B3713" t="s">
        <v>3737</v>
      </c>
      <c r="C3713">
        <v>479</v>
      </c>
      <c r="D3713">
        <v>440</v>
      </c>
      <c r="E3713" t="s">
        <v>21</v>
      </c>
    </row>
    <row r="3714" spans="1:5" x14ac:dyDescent="0.35">
      <c r="A3714" t="s">
        <v>3560</v>
      </c>
      <c r="B3714" t="s">
        <v>3738</v>
      </c>
      <c r="C3714">
        <v>397</v>
      </c>
      <c r="D3714">
        <v>151</v>
      </c>
      <c r="E3714" t="s">
        <v>21</v>
      </c>
    </row>
    <row r="3715" spans="1:5" x14ac:dyDescent="0.35">
      <c r="A3715" t="s">
        <v>3560</v>
      </c>
      <c r="B3715" t="s">
        <v>3739</v>
      </c>
      <c r="C3715">
        <v>441</v>
      </c>
      <c r="D3715">
        <v>302</v>
      </c>
      <c r="E3715" t="s">
        <v>15</v>
      </c>
    </row>
    <row r="3716" spans="1:5" x14ac:dyDescent="0.35">
      <c r="A3716" t="s">
        <v>3560</v>
      </c>
      <c r="B3716" t="s">
        <v>3740</v>
      </c>
      <c r="C3716">
        <v>451</v>
      </c>
      <c r="D3716">
        <v>446</v>
      </c>
      <c r="E3716" t="s">
        <v>7</v>
      </c>
    </row>
    <row r="3717" spans="1:5" x14ac:dyDescent="0.35">
      <c r="A3717" t="s">
        <v>3560</v>
      </c>
      <c r="B3717" t="s">
        <v>3741</v>
      </c>
      <c r="C3717">
        <v>439</v>
      </c>
      <c r="D3717">
        <v>255</v>
      </c>
      <c r="E3717" t="s">
        <v>11</v>
      </c>
    </row>
    <row r="3718" spans="1:5" x14ac:dyDescent="0.35">
      <c r="A3718" t="s">
        <v>3560</v>
      </c>
      <c r="B3718" t="s">
        <v>3742</v>
      </c>
      <c r="C3718">
        <v>497</v>
      </c>
      <c r="D3718">
        <v>475</v>
      </c>
      <c r="E3718" t="s">
        <v>21</v>
      </c>
    </row>
    <row r="3719" spans="1:5" x14ac:dyDescent="0.35">
      <c r="A3719" t="s">
        <v>3560</v>
      </c>
      <c r="B3719" t="s">
        <v>3743</v>
      </c>
      <c r="C3719">
        <v>481</v>
      </c>
      <c r="D3719">
        <v>462</v>
      </c>
      <c r="E3719" t="s">
        <v>7</v>
      </c>
    </row>
    <row r="3720" spans="1:5" x14ac:dyDescent="0.35">
      <c r="A3720" t="s">
        <v>3560</v>
      </c>
      <c r="B3720" t="s">
        <v>3744</v>
      </c>
      <c r="C3720">
        <v>412</v>
      </c>
      <c r="D3720">
        <v>150</v>
      </c>
      <c r="E3720" t="s">
        <v>17</v>
      </c>
    </row>
    <row r="3721" spans="1:5" x14ac:dyDescent="0.35">
      <c r="A3721" t="s">
        <v>3560</v>
      </c>
      <c r="B3721" t="s">
        <v>3745</v>
      </c>
      <c r="C3721">
        <v>424</v>
      </c>
      <c r="D3721">
        <v>413</v>
      </c>
      <c r="E3721" t="s">
        <v>7</v>
      </c>
    </row>
    <row r="3722" spans="1:5" x14ac:dyDescent="0.35">
      <c r="A3722" t="s">
        <v>3560</v>
      </c>
      <c r="B3722" t="s">
        <v>3746</v>
      </c>
      <c r="C3722">
        <v>487</v>
      </c>
      <c r="D3722">
        <v>418</v>
      </c>
      <c r="E3722" t="s">
        <v>21</v>
      </c>
    </row>
    <row r="3723" spans="1:5" x14ac:dyDescent="0.35">
      <c r="A3723" t="s">
        <v>3560</v>
      </c>
      <c r="B3723" t="s">
        <v>3747</v>
      </c>
      <c r="C3723">
        <v>432</v>
      </c>
      <c r="D3723">
        <v>182</v>
      </c>
      <c r="E3723" t="s">
        <v>33</v>
      </c>
    </row>
    <row r="3724" spans="1:5" x14ac:dyDescent="0.35">
      <c r="A3724" t="s">
        <v>3560</v>
      </c>
      <c r="B3724" t="s">
        <v>3748</v>
      </c>
      <c r="C3724">
        <v>484</v>
      </c>
      <c r="D3724">
        <v>434</v>
      </c>
      <c r="E3724" t="s">
        <v>21</v>
      </c>
    </row>
    <row r="3725" spans="1:5" x14ac:dyDescent="0.35">
      <c r="A3725" t="s">
        <v>3560</v>
      </c>
      <c r="B3725" t="s">
        <v>3749</v>
      </c>
      <c r="C3725">
        <v>259</v>
      </c>
      <c r="D3725">
        <v>216</v>
      </c>
      <c r="E3725" t="s">
        <v>21</v>
      </c>
    </row>
    <row r="3726" spans="1:5" x14ac:dyDescent="0.35">
      <c r="A3726" t="s">
        <v>3560</v>
      </c>
      <c r="B3726" t="s">
        <v>3750</v>
      </c>
      <c r="C3726">
        <v>452</v>
      </c>
      <c r="D3726">
        <v>260</v>
      </c>
      <c r="E3726" t="s">
        <v>15</v>
      </c>
    </row>
    <row r="3727" spans="1:5" x14ac:dyDescent="0.35">
      <c r="A3727" t="s">
        <v>3560</v>
      </c>
      <c r="B3727" t="s">
        <v>3751</v>
      </c>
      <c r="C3727">
        <v>343</v>
      </c>
      <c r="D3727">
        <v>252</v>
      </c>
      <c r="E3727" t="s">
        <v>17</v>
      </c>
    </row>
    <row r="3728" spans="1:5" x14ac:dyDescent="0.35">
      <c r="A3728" t="s">
        <v>3560</v>
      </c>
      <c r="B3728" t="s">
        <v>3752</v>
      </c>
      <c r="C3728">
        <v>484</v>
      </c>
      <c r="D3728">
        <v>434</v>
      </c>
      <c r="E3728" t="s">
        <v>9</v>
      </c>
    </row>
    <row r="3729" spans="1:5" x14ac:dyDescent="0.35">
      <c r="A3729" t="s">
        <v>3560</v>
      </c>
      <c r="B3729" t="s">
        <v>3753</v>
      </c>
      <c r="C3729">
        <v>381</v>
      </c>
      <c r="D3729">
        <v>375</v>
      </c>
      <c r="E3729" t="s">
        <v>7</v>
      </c>
    </row>
    <row r="3730" spans="1:5" x14ac:dyDescent="0.35">
      <c r="A3730" t="s">
        <v>3560</v>
      </c>
      <c r="B3730" t="s">
        <v>3754</v>
      </c>
      <c r="C3730">
        <v>491</v>
      </c>
      <c r="D3730">
        <v>308</v>
      </c>
      <c r="E3730" t="s">
        <v>7</v>
      </c>
    </row>
    <row r="3731" spans="1:5" x14ac:dyDescent="0.35">
      <c r="A3731" t="s">
        <v>3560</v>
      </c>
      <c r="B3731" t="s">
        <v>3755</v>
      </c>
      <c r="C3731">
        <v>267</v>
      </c>
      <c r="D3731">
        <v>219</v>
      </c>
      <c r="E3731" t="s">
        <v>11</v>
      </c>
    </row>
    <row r="3732" spans="1:5" x14ac:dyDescent="0.35">
      <c r="A3732" t="s">
        <v>3560</v>
      </c>
      <c r="B3732" t="s">
        <v>3756</v>
      </c>
      <c r="C3732">
        <v>469</v>
      </c>
      <c r="D3732">
        <v>423</v>
      </c>
      <c r="E3732" t="s">
        <v>21</v>
      </c>
    </row>
    <row r="3733" spans="1:5" x14ac:dyDescent="0.35">
      <c r="A3733" t="s">
        <v>3560</v>
      </c>
      <c r="B3733" t="s">
        <v>3757</v>
      </c>
      <c r="C3733">
        <v>167</v>
      </c>
      <c r="D3733">
        <v>159</v>
      </c>
      <c r="E3733" t="s">
        <v>11</v>
      </c>
    </row>
    <row r="3734" spans="1:5" x14ac:dyDescent="0.35">
      <c r="A3734" t="s">
        <v>3560</v>
      </c>
      <c r="B3734" t="s">
        <v>3758</v>
      </c>
      <c r="C3734">
        <v>470</v>
      </c>
      <c r="D3734">
        <v>187</v>
      </c>
      <c r="E3734" t="s">
        <v>9</v>
      </c>
    </row>
    <row r="3735" spans="1:5" x14ac:dyDescent="0.35">
      <c r="A3735" t="s">
        <v>3560</v>
      </c>
      <c r="B3735" t="s">
        <v>3759</v>
      </c>
      <c r="C3735">
        <v>490</v>
      </c>
      <c r="D3735">
        <v>473</v>
      </c>
      <c r="E3735" t="s">
        <v>9</v>
      </c>
    </row>
    <row r="3736" spans="1:5" x14ac:dyDescent="0.35">
      <c r="A3736" t="s">
        <v>3560</v>
      </c>
      <c r="B3736" t="s">
        <v>3760</v>
      </c>
      <c r="C3736">
        <v>463</v>
      </c>
      <c r="D3736">
        <v>369</v>
      </c>
      <c r="E3736" t="s">
        <v>21</v>
      </c>
    </row>
    <row r="3737" spans="1:5" x14ac:dyDescent="0.35">
      <c r="A3737" t="s">
        <v>3560</v>
      </c>
      <c r="B3737" t="s">
        <v>3761</v>
      </c>
      <c r="C3737">
        <v>314</v>
      </c>
      <c r="D3737">
        <v>161</v>
      </c>
      <c r="E3737" t="s">
        <v>7</v>
      </c>
    </row>
    <row r="3738" spans="1:5" x14ac:dyDescent="0.35">
      <c r="A3738" t="s">
        <v>3560</v>
      </c>
      <c r="B3738" t="s">
        <v>3762</v>
      </c>
      <c r="C3738">
        <v>500</v>
      </c>
      <c r="D3738">
        <v>407</v>
      </c>
      <c r="E3738" t="s">
        <v>7</v>
      </c>
    </row>
    <row r="3739" spans="1:5" x14ac:dyDescent="0.35">
      <c r="A3739" t="s">
        <v>3560</v>
      </c>
      <c r="B3739" t="s">
        <v>3763</v>
      </c>
      <c r="C3739">
        <v>455</v>
      </c>
      <c r="D3739">
        <v>181</v>
      </c>
      <c r="E3739" t="s">
        <v>33</v>
      </c>
    </row>
    <row r="3740" spans="1:5" x14ac:dyDescent="0.35">
      <c r="A3740" t="s">
        <v>3560</v>
      </c>
      <c r="B3740" t="s">
        <v>3764</v>
      </c>
      <c r="C3740">
        <v>400</v>
      </c>
      <c r="D3740">
        <v>358</v>
      </c>
      <c r="E3740" t="s">
        <v>9</v>
      </c>
    </row>
    <row r="3741" spans="1:5" x14ac:dyDescent="0.35">
      <c r="A3741" t="s">
        <v>3560</v>
      </c>
      <c r="B3741" t="s">
        <v>3765</v>
      </c>
      <c r="C3741">
        <v>314</v>
      </c>
      <c r="D3741">
        <v>247</v>
      </c>
      <c r="E3741" t="s">
        <v>17</v>
      </c>
    </row>
    <row r="3742" spans="1:5" x14ac:dyDescent="0.35">
      <c r="A3742" t="s">
        <v>3560</v>
      </c>
      <c r="B3742" t="s">
        <v>3766</v>
      </c>
      <c r="C3742">
        <v>325</v>
      </c>
      <c r="D3742">
        <v>230</v>
      </c>
      <c r="E3742" t="s">
        <v>9</v>
      </c>
    </row>
    <row r="3743" spans="1:5" x14ac:dyDescent="0.35">
      <c r="A3743" t="s">
        <v>3560</v>
      </c>
      <c r="B3743" t="s">
        <v>3767</v>
      </c>
      <c r="C3743">
        <v>482</v>
      </c>
      <c r="D3743">
        <v>365</v>
      </c>
      <c r="E3743" t="s">
        <v>9</v>
      </c>
    </row>
    <row r="3744" spans="1:5" x14ac:dyDescent="0.35">
      <c r="A3744" t="s">
        <v>3560</v>
      </c>
      <c r="B3744" t="s">
        <v>3768</v>
      </c>
      <c r="C3744">
        <v>467</v>
      </c>
      <c r="D3744">
        <v>317</v>
      </c>
      <c r="E3744" t="s">
        <v>33</v>
      </c>
    </row>
    <row r="3745" spans="1:5" x14ac:dyDescent="0.35">
      <c r="A3745" t="s">
        <v>3560</v>
      </c>
      <c r="B3745" t="s">
        <v>3769</v>
      </c>
      <c r="C3745">
        <v>383</v>
      </c>
      <c r="D3745">
        <v>305</v>
      </c>
      <c r="E3745" t="s">
        <v>33</v>
      </c>
    </row>
    <row r="3746" spans="1:5" x14ac:dyDescent="0.35">
      <c r="A3746" t="s">
        <v>3560</v>
      </c>
      <c r="B3746" t="s">
        <v>3770</v>
      </c>
      <c r="C3746">
        <v>264</v>
      </c>
      <c r="D3746">
        <v>209</v>
      </c>
      <c r="E3746" t="s">
        <v>21</v>
      </c>
    </row>
    <row r="3747" spans="1:5" x14ac:dyDescent="0.35">
      <c r="A3747" t="s">
        <v>3560</v>
      </c>
      <c r="B3747" t="s">
        <v>3771</v>
      </c>
      <c r="C3747">
        <v>487</v>
      </c>
      <c r="D3747">
        <v>457</v>
      </c>
      <c r="E3747" t="s">
        <v>9</v>
      </c>
    </row>
    <row r="3748" spans="1:5" x14ac:dyDescent="0.35">
      <c r="A3748" t="s">
        <v>3560</v>
      </c>
      <c r="B3748" t="s">
        <v>3772</v>
      </c>
      <c r="C3748">
        <v>447</v>
      </c>
      <c r="D3748">
        <v>321</v>
      </c>
      <c r="E3748" t="s">
        <v>21</v>
      </c>
    </row>
    <row r="3749" spans="1:5" x14ac:dyDescent="0.35">
      <c r="A3749" t="s">
        <v>3560</v>
      </c>
      <c r="B3749" t="s">
        <v>3773</v>
      </c>
      <c r="C3749">
        <v>489</v>
      </c>
      <c r="D3749">
        <v>239</v>
      </c>
      <c r="E3749" t="s">
        <v>17</v>
      </c>
    </row>
    <row r="3750" spans="1:5" x14ac:dyDescent="0.35">
      <c r="A3750" t="s">
        <v>3560</v>
      </c>
      <c r="B3750" t="s">
        <v>3774</v>
      </c>
      <c r="C3750">
        <v>404</v>
      </c>
      <c r="D3750">
        <v>316</v>
      </c>
      <c r="E3750" t="s">
        <v>15</v>
      </c>
    </row>
    <row r="3751" spans="1:5" x14ac:dyDescent="0.35">
      <c r="A3751" t="s">
        <v>3560</v>
      </c>
      <c r="B3751" t="s">
        <v>3775</v>
      </c>
      <c r="C3751">
        <v>441</v>
      </c>
      <c r="D3751">
        <v>407</v>
      </c>
      <c r="E3751" t="s">
        <v>7</v>
      </c>
    </row>
    <row r="3752" spans="1:5" x14ac:dyDescent="0.35">
      <c r="A3752" t="s">
        <v>3560</v>
      </c>
      <c r="B3752" t="s">
        <v>3776</v>
      </c>
      <c r="C3752">
        <v>461</v>
      </c>
      <c r="D3752">
        <v>417</v>
      </c>
      <c r="E3752" t="s">
        <v>7</v>
      </c>
    </row>
    <row r="3753" spans="1:5" x14ac:dyDescent="0.35">
      <c r="A3753" t="s">
        <v>3560</v>
      </c>
      <c r="B3753" t="s">
        <v>3777</v>
      </c>
      <c r="C3753">
        <v>379</v>
      </c>
      <c r="D3753">
        <v>197</v>
      </c>
      <c r="E3753" t="s">
        <v>17</v>
      </c>
    </row>
    <row r="3754" spans="1:5" x14ac:dyDescent="0.35">
      <c r="A3754" t="s">
        <v>3560</v>
      </c>
      <c r="B3754" t="s">
        <v>3778</v>
      </c>
      <c r="C3754">
        <v>391</v>
      </c>
      <c r="D3754">
        <v>336</v>
      </c>
      <c r="E3754" t="s">
        <v>33</v>
      </c>
    </row>
    <row r="3755" spans="1:5" x14ac:dyDescent="0.35">
      <c r="A3755" t="s">
        <v>3560</v>
      </c>
      <c r="B3755" t="s">
        <v>3779</v>
      </c>
      <c r="C3755">
        <v>471</v>
      </c>
      <c r="D3755">
        <v>332</v>
      </c>
      <c r="E3755" t="s">
        <v>9</v>
      </c>
    </row>
    <row r="3756" spans="1:5" x14ac:dyDescent="0.35">
      <c r="A3756" t="s">
        <v>3560</v>
      </c>
      <c r="B3756" t="s">
        <v>3780</v>
      </c>
      <c r="C3756">
        <v>328</v>
      </c>
      <c r="D3756">
        <v>311</v>
      </c>
      <c r="E3756" t="s">
        <v>11</v>
      </c>
    </row>
    <row r="3757" spans="1:5" x14ac:dyDescent="0.35">
      <c r="A3757" t="s">
        <v>3560</v>
      </c>
      <c r="B3757" t="s">
        <v>3781</v>
      </c>
      <c r="C3757">
        <v>472</v>
      </c>
      <c r="D3757">
        <v>396</v>
      </c>
      <c r="E3757" t="s">
        <v>7</v>
      </c>
    </row>
    <row r="3758" spans="1:5" x14ac:dyDescent="0.35">
      <c r="A3758" t="s">
        <v>3560</v>
      </c>
      <c r="B3758" t="s">
        <v>3782</v>
      </c>
      <c r="C3758">
        <v>494</v>
      </c>
      <c r="D3758">
        <v>400</v>
      </c>
      <c r="E3758" t="s">
        <v>9</v>
      </c>
    </row>
    <row r="3759" spans="1:5" x14ac:dyDescent="0.35">
      <c r="A3759" t="s">
        <v>3560</v>
      </c>
      <c r="B3759" t="s">
        <v>3783</v>
      </c>
      <c r="C3759">
        <v>450</v>
      </c>
      <c r="D3759">
        <v>338</v>
      </c>
      <c r="E3759" t="s">
        <v>33</v>
      </c>
    </row>
    <row r="3760" spans="1:5" x14ac:dyDescent="0.35">
      <c r="A3760" t="s">
        <v>3560</v>
      </c>
      <c r="B3760" t="s">
        <v>3784</v>
      </c>
      <c r="C3760">
        <v>477</v>
      </c>
      <c r="D3760">
        <v>331</v>
      </c>
      <c r="E3760" t="s">
        <v>15</v>
      </c>
    </row>
    <row r="3761" spans="1:5" x14ac:dyDescent="0.35">
      <c r="A3761" t="s">
        <v>3560</v>
      </c>
      <c r="B3761" t="s">
        <v>3785</v>
      </c>
      <c r="C3761">
        <v>256</v>
      </c>
      <c r="D3761">
        <v>224</v>
      </c>
      <c r="E3761" t="s">
        <v>21</v>
      </c>
    </row>
    <row r="3762" spans="1:5" x14ac:dyDescent="0.35">
      <c r="A3762" t="s">
        <v>3560</v>
      </c>
      <c r="B3762" t="s">
        <v>3786</v>
      </c>
      <c r="C3762">
        <v>448</v>
      </c>
      <c r="D3762">
        <v>407</v>
      </c>
      <c r="E3762" t="s">
        <v>9</v>
      </c>
    </row>
    <row r="3763" spans="1:5" x14ac:dyDescent="0.35">
      <c r="A3763" t="s">
        <v>3560</v>
      </c>
      <c r="B3763" t="s">
        <v>3787</v>
      </c>
      <c r="C3763">
        <v>278</v>
      </c>
      <c r="D3763">
        <v>251</v>
      </c>
      <c r="E3763" t="s">
        <v>21</v>
      </c>
    </row>
    <row r="3764" spans="1:5" x14ac:dyDescent="0.35">
      <c r="A3764" t="s">
        <v>3560</v>
      </c>
      <c r="B3764" t="s">
        <v>3788</v>
      </c>
      <c r="C3764">
        <v>463</v>
      </c>
      <c r="D3764">
        <v>454</v>
      </c>
      <c r="E3764" t="s">
        <v>21</v>
      </c>
    </row>
    <row r="3765" spans="1:5" x14ac:dyDescent="0.35">
      <c r="A3765" t="s">
        <v>3560</v>
      </c>
      <c r="B3765" t="s">
        <v>3789</v>
      </c>
      <c r="C3765">
        <v>366</v>
      </c>
      <c r="D3765">
        <v>349</v>
      </c>
      <c r="E3765" t="s">
        <v>9</v>
      </c>
    </row>
    <row r="3766" spans="1:5" x14ac:dyDescent="0.35">
      <c r="A3766" t="s">
        <v>3560</v>
      </c>
      <c r="B3766" t="s">
        <v>3790</v>
      </c>
      <c r="C3766">
        <v>363</v>
      </c>
      <c r="D3766">
        <v>280</v>
      </c>
      <c r="E3766" t="s">
        <v>9</v>
      </c>
    </row>
    <row r="3767" spans="1:5" x14ac:dyDescent="0.35">
      <c r="A3767" t="s">
        <v>3560</v>
      </c>
      <c r="B3767" t="s">
        <v>3791</v>
      </c>
      <c r="C3767">
        <v>496</v>
      </c>
      <c r="D3767">
        <v>349</v>
      </c>
      <c r="E3767" t="s">
        <v>21</v>
      </c>
    </row>
    <row r="3768" spans="1:5" x14ac:dyDescent="0.35">
      <c r="A3768" t="s">
        <v>3792</v>
      </c>
      <c r="B3768" t="s">
        <v>3793</v>
      </c>
      <c r="C3768">
        <v>228</v>
      </c>
      <c r="D3768">
        <v>90</v>
      </c>
      <c r="E3768" t="s">
        <v>33</v>
      </c>
    </row>
    <row r="3769" spans="1:5" x14ac:dyDescent="0.35">
      <c r="A3769" t="s">
        <v>3792</v>
      </c>
      <c r="B3769" t="s">
        <v>3794</v>
      </c>
      <c r="C3769">
        <v>189</v>
      </c>
      <c r="D3769">
        <v>138</v>
      </c>
      <c r="E3769" t="s">
        <v>17</v>
      </c>
    </row>
    <row r="3770" spans="1:5" x14ac:dyDescent="0.35">
      <c r="A3770" t="s">
        <v>3792</v>
      </c>
      <c r="B3770" t="s">
        <v>3795</v>
      </c>
      <c r="C3770">
        <v>303</v>
      </c>
      <c r="D3770">
        <v>184</v>
      </c>
      <c r="E3770" t="s">
        <v>15</v>
      </c>
    </row>
    <row r="3771" spans="1:5" x14ac:dyDescent="0.35">
      <c r="A3771" t="s">
        <v>3792</v>
      </c>
      <c r="B3771" t="s">
        <v>3796</v>
      </c>
      <c r="C3771">
        <v>258</v>
      </c>
      <c r="D3771">
        <v>168</v>
      </c>
      <c r="E3771" t="s">
        <v>9</v>
      </c>
    </row>
    <row r="3772" spans="1:5" x14ac:dyDescent="0.35">
      <c r="A3772" t="s">
        <v>3792</v>
      </c>
      <c r="B3772" t="s">
        <v>3797</v>
      </c>
      <c r="C3772">
        <v>278</v>
      </c>
      <c r="D3772">
        <v>143</v>
      </c>
      <c r="E3772" t="s">
        <v>33</v>
      </c>
    </row>
    <row r="3773" spans="1:5" x14ac:dyDescent="0.35">
      <c r="A3773" t="s">
        <v>3792</v>
      </c>
      <c r="B3773" t="s">
        <v>3798</v>
      </c>
      <c r="C3773">
        <v>197</v>
      </c>
      <c r="D3773">
        <v>72</v>
      </c>
      <c r="E3773" t="s">
        <v>15</v>
      </c>
    </row>
    <row r="3774" spans="1:5" x14ac:dyDescent="0.35">
      <c r="A3774" t="s">
        <v>3792</v>
      </c>
      <c r="B3774" t="s">
        <v>3799</v>
      </c>
      <c r="C3774">
        <v>132</v>
      </c>
      <c r="D3774">
        <v>115</v>
      </c>
      <c r="E3774" t="s">
        <v>33</v>
      </c>
    </row>
    <row r="3775" spans="1:5" x14ac:dyDescent="0.35">
      <c r="A3775" t="s">
        <v>3792</v>
      </c>
      <c r="B3775" t="s">
        <v>3800</v>
      </c>
      <c r="C3775">
        <v>209</v>
      </c>
      <c r="D3775">
        <v>79</v>
      </c>
      <c r="E3775" t="s">
        <v>15</v>
      </c>
    </row>
    <row r="3776" spans="1:5" x14ac:dyDescent="0.35">
      <c r="A3776" t="s">
        <v>3792</v>
      </c>
      <c r="B3776" t="s">
        <v>3801</v>
      </c>
      <c r="C3776">
        <v>320</v>
      </c>
      <c r="D3776">
        <v>139</v>
      </c>
      <c r="E3776" t="s">
        <v>21</v>
      </c>
    </row>
    <row r="3777" spans="1:5" x14ac:dyDescent="0.35">
      <c r="A3777" t="s">
        <v>3792</v>
      </c>
      <c r="B3777" t="s">
        <v>3802</v>
      </c>
      <c r="C3777">
        <v>218</v>
      </c>
      <c r="D3777">
        <v>133</v>
      </c>
      <c r="E3777" t="s">
        <v>17</v>
      </c>
    </row>
    <row r="3778" spans="1:5" x14ac:dyDescent="0.35">
      <c r="A3778" t="s">
        <v>3792</v>
      </c>
      <c r="B3778" t="s">
        <v>3803</v>
      </c>
      <c r="C3778">
        <v>99</v>
      </c>
      <c r="D3778">
        <v>36</v>
      </c>
      <c r="E3778" t="s">
        <v>11</v>
      </c>
    </row>
    <row r="3779" spans="1:5" x14ac:dyDescent="0.35">
      <c r="A3779" t="s">
        <v>3792</v>
      </c>
      <c r="B3779" t="s">
        <v>3804</v>
      </c>
      <c r="C3779">
        <v>273</v>
      </c>
      <c r="D3779">
        <v>58</v>
      </c>
      <c r="E3779" t="s">
        <v>7</v>
      </c>
    </row>
    <row r="3780" spans="1:5" x14ac:dyDescent="0.35">
      <c r="A3780" t="s">
        <v>3792</v>
      </c>
      <c r="B3780" t="s">
        <v>3805</v>
      </c>
      <c r="C3780">
        <v>315</v>
      </c>
      <c r="D3780">
        <v>68</v>
      </c>
      <c r="E3780" t="s">
        <v>33</v>
      </c>
    </row>
    <row r="3781" spans="1:5" x14ac:dyDescent="0.35">
      <c r="A3781" t="s">
        <v>3792</v>
      </c>
      <c r="B3781" t="s">
        <v>3806</v>
      </c>
      <c r="C3781">
        <v>285</v>
      </c>
      <c r="D3781">
        <v>78</v>
      </c>
      <c r="E3781" t="s">
        <v>17</v>
      </c>
    </row>
    <row r="3782" spans="1:5" x14ac:dyDescent="0.35">
      <c r="A3782" t="s">
        <v>3792</v>
      </c>
      <c r="B3782" t="s">
        <v>3807</v>
      </c>
      <c r="C3782">
        <v>145</v>
      </c>
      <c r="D3782">
        <v>131</v>
      </c>
      <c r="E3782" t="s">
        <v>17</v>
      </c>
    </row>
    <row r="3783" spans="1:5" x14ac:dyDescent="0.35">
      <c r="A3783" t="s">
        <v>3792</v>
      </c>
      <c r="B3783" t="s">
        <v>3808</v>
      </c>
      <c r="C3783">
        <v>228</v>
      </c>
      <c r="D3783">
        <v>164</v>
      </c>
      <c r="E3783" t="s">
        <v>17</v>
      </c>
    </row>
    <row r="3784" spans="1:5" x14ac:dyDescent="0.35">
      <c r="A3784" t="s">
        <v>3792</v>
      </c>
      <c r="B3784" t="s">
        <v>3809</v>
      </c>
      <c r="C3784">
        <v>280</v>
      </c>
      <c r="D3784">
        <v>147</v>
      </c>
      <c r="E3784" t="s">
        <v>15</v>
      </c>
    </row>
    <row r="3785" spans="1:5" x14ac:dyDescent="0.35">
      <c r="A3785" t="s">
        <v>3792</v>
      </c>
      <c r="B3785" t="s">
        <v>3810</v>
      </c>
      <c r="C3785">
        <v>298</v>
      </c>
      <c r="D3785">
        <v>190</v>
      </c>
      <c r="E3785" t="s">
        <v>9</v>
      </c>
    </row>
    <row r="3786" spans="1:5" x14ac:dyDescent="0.35">
      <c r="A3786" t="s">
        <v>3792</v>
      </c>
      <c r="B3786" t="s">
        <v>3811</v>
      </c>
      <c r="C3786">
        <v>267</v>
      </c>
      <c r="D3786">
        <v>43</v>
      </c>
      <c r="E3786" t="s">
        <v>15</v>
      </c>
    </row>
    <row r="3787" spans="1:5" x14ac:dyDescent="0.35">
      <c r="A3787" t="s">
        <v>3792</v>
      </c>
      <c r="B3787" t="s">
        <v>3812</v>
      </c>
      <c r="C3787">
        <v>106</v>
      </c>
      <c r="D3787">
        <v>30</v>
      </c>
      <c r="E3787" t="s">
        <v>9</v>
      </c>
    </row>
    <row r="3788" spans="1:5" x14ac:dyDescent="0.35">
      <c r="A3788" t="s">
        <v>3792</v>
      </c>
      <c r="B3788" t="s">
        <v>3813</v>
      </c>
      <c r="C3788">
        <v>191</v>
      </c>
      <c r="D3788">
        <v>141</v>
      </c>
      <c r="E3788" t="s">
        <v>9</v>
      </c>
    </row>
    <row r="3789" spans="1:5" x14ac:dyDescent="0.35">
      <c r="A3789" t="s">
        <v>3792</v>
      </c>
      <c r="B3789" t="s">
        <v>3814</v>
      </c>
      <c r="C3789">
        <v>105</v>
      </c>
      <c r="D3789">
        <v>49</v>
      </c>
      <c r="E3789" t="s">
        <v>33</v>
      </c>
    </row>
    <row r="3790" spans="1:5" x14ac:dyDescent="0.35">
      <c r="A3790" t="s">
        <v>3792</v>
      </c>
      <c r="B3790" t="s">
        <v>3815</v>
      </c>
      <c r="C3790">
        <v>251</v>
      </c>
      <c r="D3790">
        <v>111</v>
      </c>
      <c r="E3790" t="s">
        <v>9</v>
      </c>
    </row>
    <row r="3791" spans="1:5" x14ac:dyDescent="0.35">
      <c r="A3791" t="s">
        <v>3792</v>
      </c>
      <c r="B3791" t="s">
        <v>3816</v>
      </c>
      <c r="C3791">
        <v>236</v>
      </c>
      <c r="D3791">
        <v>111</v>
      </c>
      <c r="E3791" t="s">
        <v>7</v>
      </c>
    </row>
    <row r="3792" spans="1:5" x14ac:dyDescent="0.35">
      <c r="A3792" t="s">
        <v>3792</v>
      </c>
      <c r="B3792" t="s">
        <v>3817</v>
      </c>
      <c r="C3792">
        <v>166</v>
      </c>
      <c r="D3792">
        <v>32</v>
      </c>
      <c r="E3792" t="s">
        <v>17</v>
      </c>
    </row>
    <row r="3793" spans="1:5" x14ac:dyDescent="0.35">
      <c r="A3793" t="s">
        <v>3792</v>
      </c>
      <c r="B3793" t="s">
        <v>3818</v>
      </c>
      <c r="C3793">
        <v>172</v>
      </c>
      <c r="D3793">
        <v>69</v>
      </c>
      <c r="E3793" t="s">
        <v>33</v>
      </c>
    </row>
    <row r="3794" spans="1:5" x14ac:dyDescent="0.35">
      <c r="A3794" t="s">
        <v>3792</v>
      </c>
      <c r="B3794" t="s">
        <v>3819</v>
      </c>
      <c r="C3794">
        <v>152</v>
      </c>
      <c r="D3794">
        <v>41</v>
      </c>
      <c r="E3794" t="s">
        <v>33</v>
      </c>
    </row>
    <row r="3795" spans="1:5" x14ac:dyDescent="0.35">
      <c r="A3795" t="s">
        <v>3792</v>
      </c>
      <c r="B3795" t="s">
        <v>3820</v>
      </c>
      <c r="C3795">
        <v>180</v>
      </c>
      <c r="D3795">
        <v>123</v>
      </c>
      <c r="E3795" t="s">
        <v>33</v>
      </c>
    </row>
    <row r="3796" spans="1:5" x14ac:dyDescent="0.35">
      <c r="A3796" t="s">
        <v>3821</v>
      </c>
      <c r="B3796" t="s">
        <v>3822</v>
      </c>
      <c r="C3796">
        <v>294</v>
      </c>
      <c r="D3796">
        <v>172</v>
      </c>
      <c r="E3796" t="s">
        <v>9</v>
      </c>
    </row>
    <row r="3797" spans="1:5" x14ac:dyDescent="0.35">
      <c r="A3797" t="s">
        <v>3821</v>
      </c>
      <c r="B3797" t="s">
        <v>3823</v>
      </c>
      <c r="C3797">
        <v>315</v>
      </c>
      <c r="D3797">
        <v>123</v>
      </c>
      <c r="E3797" t="s">
        <v>15</v>
      </c>
    </row>
    <row r="3798" spans="1:5" x14ac:dyDescent="0.35">
      <c r="A3798" t="s">
        <v>3821</v>
      </c>
      <c r="B3798" t="s">
        <v>3824</v>
      </c>
      <c r="C3798">
        <v>220</v>
      </c>
      <c r="D3798">
        <v>64</v>
      </c>
      <c r="E3798" t="s">
        <v>15</v>
      </c>
    </row>
    <row r="3799" spans="1:5" x14ac:dyDescent="0.35">
      <c r="A3799" t="s">
        <v>3821</v>
      </c>
      <c r="B3799" t="s">
        <v>3825</v>
      </c>
      <c r="C3799">
        <v>155</v>
      </c>
      <c r="D3799">
        <v>150</v>
      </c>
      <c r="E3799" t="s">
        <v>21</v>
      </c>
    </row>
    <row r="3800" spans="1:5" x14ac:dyDescent="0.35">
      <c r="A3800" t="s">
        <v>3821</v>
      </c>
      <c r="B3800" t="s">
        <v>3826</v>
      </c>
      <c r="C3800">
        <v>68</v>
      </c>
      <c r="D3800">
        <v>41</v>
      </c>
      <c r="E3800" t="s">
        <v>33</v>
      </c>
    </row>
    <row r="3801" spans="1:5" x14ac:dyDescent="0.35">
      <c r="A3801" t="s">
        <v>3821</v>
      </c>
      <c r="B3801" t="s">
        <v>3827</v>
      </c>
      <c r="C3801">
        <v>312</v>
      </c>
      <c r="D3801">
        <v>176</v>
      </c>
      <c r="E3801" t="s">
        <v>9</v>
      </c>
    </row>
    <row r="3802" spans="1:5" x14ac:dyDescent="0.35">
      <c r="A3802" t="s">
        <v>3821</v>
      </c>
      <c r="B3802" t="s">
        <v>3828</v>
      </c>
      <c r="C3802">
        <v>188</v>
      </c>
      <c r="D3802">
        <v>66</v>
      </c>
      <c r="E3802" t="s">
        <v>9</v>
      </c>
    </row>
    <row r="3803" spans="1:5" x14ac:dyDescent="0.35">
      <c r="A3803" t="s">
        <v>3821</v>
      </c>
      <c r="B3803" t="s">
        <v>3829</v>
      </c>
      <c r="C3803">
        <v>70</v>
      </c>
      <c r="D3803">
        <v>67</v>
      </c>
      <c r="E3803" t="s">
        <v>15</v>
      </c>
    </row>
    <row r="3804" spans="1:5" x14ac:dyDescent="0.35">
      <c r="A3804" t="s">
        <v>3821</v>
      </c>
      <c r="B3804" t="s">
        <v>3830</v>
      </c>
      <c r="C3804">
        <v>298</v>
      </c>
      <c r="D3804">
        <v>141</v>
      </c>
      <c r="E3804" t="s">
        <v>9</v>
      </c>
    </row>
    <row r="3805" spans="1:5" x14ac:dyDescent="0.35">
      <c r="A3805" t="s">
        <v>3821</v>
      </c>
      <c r="B3805" t="s">
        <v>3831</v>
      </c>
      <c r="C3805">
        <v>210</v>
      </c>
      <c r="D3805">
        <v>78</v>
      </c>
      <c r="E3805" t="s">
        <v>7</v>
      </c>
    </row>
    <row r="3806" spans="1:5" x14ac:dyDescent="0.35">
      <c r="A3806" t="s">
        <v>3821</v>
      </c>
      <c r="B3806" t="s">
        <v>3832</v>
      </c>
      <c r="C3806">
        <v>176</v>
      </c>
      <c r="D3806">
        <v>167</v>
      </c>
      <c r="E3806" t="s">
        <v>21</v>
      </c>
    </row>
    <row r="3807" spans="1:5" x14ac:dyDescent="0.35">
      <c r="A3807" t="s">
        <v>3821</v>
      </c>
      <c r="B3807" t="s">
        <v>3833</v>
      </c>
      <c r="C3807">
        <v>150</v>
      </c>
      <c r="D3807">
        <v>96</v>
      </c>
      <c r="E3807" t="s">
        <v>9</v>
      </c>
    </row>
    <row r="3808" spans="1:5" x14ac:dyDescent="0.35">
      <c r="A3808" t="s">
        <v>3821</v>
      </c>
      <c r="B3808" t="s">
        <v>3834</v>
      </c>
      <c r="C3808">
        <v>234</v>
      </c>
      <c r="D3808">
        <v>94</v>
      </c>
      <c r="E3808" t="s">
        <v>7</v>
      </c>
    </row>
    <row r="3809" spans="1:5" x14ac:dyDescent="0.35">
      <c r="A3809" t="s">
        <v>3821</v>
      </c>
      <c r="B3809" t="s">
        <v>3835</v>
      </c>
      <c r="C3809">
        <v>105</v>
      </c>
      <c r="D3809">
        <v>65</v>
      </c>
      <c r="E3809" t="s">
        <v>17</v>
      </c>
    </row>
    <row r="3810" spans="1:5" x14ac:dyDescent="0.35">
      <c r="A3810" t="s">
        <v>3821</v>
      </c>
      <c r="B3810" t="s">
        <v>3836</v>
      </c>
      <c r="C3810">
        <v>203</v>
      </c>
      <c r="D3810">
        <v>52</v>
      </c>
      <c r="E3810" t="s">
        <v>11</v>
      </c>
    </row>
    <row r="3811" spans="1:5" x14ac:dyDescent="0.35">
      <c r="A3811" t="s">
        <v>3821</v>
      </c>
      <c r="B3811" t="s">
        <v>3837</v>
      </c>
      <c r="C3811">
        <v>68</v>
      </c>
      <c r="D3811">
        <v>49</v>
      </c>
      <c r="E3811" t="s">
        <v>11</v>
      </c>
    </row>
    <row r="3812" spans="1:5" x14ac:dyDescent="0.35">
      <c r="A3812" t="s">
        <v>3821</v>
      </c>
      <c r="B3812" t="s">
        <v>3838</v>
      </c>
      <c r="C3812">
        <v>318</v>
      </c>
      <c r="D3812">
        <v>180</v>
      </c>
      <c r="E3812" t="s">
        <v>33</v>
      </c>
    </row>
    <row r="3813" spans="1:5" x14ac:dyDescent="0.35">
      <c r="A3813" t="s">
        <v>3821</v>
      </c>
      <c r="B3813" t="s">
        <v>3839</v>
      </c>
      <c r="C3813">
        <v>221</v>
      </c>
      <c r="D3813">
        <v>148</v>
      </c>
      <c r="E3813" t="s">
        <v>11</v>
      </c>
    </row>
    <row r="3814" spans="1:5" x14ac:dyDescent="0.35">
      <c r="A3814" t="s">
        <v>3821</v>
      </c>
      <c r="B3814" t="s">
        <v>3840</v>
      </c>
      <c r="C3814">
        <v>197</v>
      </c>
      <c r="D3814">
        <v>158</v>
      </c>
      <c r="E3814" t="s">
        <v>7</v>
      </c>
    </row>
    <row r="3815" spans="1:5" x14ac:dyDescent="0.35">
      <c r="A3815" t="s">
        <v>3821</v>
      </c>
      <c r="B3815" t="s">
        <v>3841</v>
      </c>
      <c r="C3815">
        <v>201</v>
      </c>
      <c r="D3815">
        <v>72</v>
      </c>
      <c r="E3815" t="s">
        <v>11</v>
      </c>
    </row>
    <row r="3816" spans="1:5" x14ac:dyDescent="0.35">
      <c r="A3816" t="s">
        <v>3821</v>
      </c>
      <c r="B3816" t="s">
        <v>3842</v>
      </c>
      <c r="C3816">
        <v>211</v>
      </c>
      <c r="D3816">
        <v>160</v>
      </c>
      <c r="E3816" t="s">
        <v>15</v>
      </c>
    </row>
    <row r="3817" spans="1:5" x14ac:dyDescent="0.35">
      <c r="A3817" t="s">
        <v>3821</v>
      </c>
      <c r="B3817" t="s">
        <v>3843</v>
      </c>
      <c r="C3817">
        <v>232</v>
      </c>
      <c r="D3817">
        <v>155</v>
      </c>
      <c r="E3817" t="s">
        <v>7</v>
      </c>
    </row>
    <row r="3818" spans="1:5" x14ac:dyDescent="0.35">
      <c r="A3818" t="s">
        <v>3821</v>
      </c>
      <c r="B3818" t="s">
        <v>3844</v>
      </c>
      <c r="C3818">
        <v>254</v>
      </c>
      <c r="D3818">
        <v>119</v>
      </c>
      <c r="E3818" t="s">
        <v>7</v>
      </c>
    </row>
    <row r="3819" spans="1:5" x14ac:dyDescent="0.35">
      <c r="A3819" t="s">
        <v>3821</v>
      </c>
      <c r="B3819" t="s">
        <v>3845</v>
      </c>
      <c r="C3819">
        <v>113</v>
      </c>
      <c r="D3819">
        <v>77</v>
      </c>
      <c r="E3819" t="s">
        <v>15</v>
      </c>
    </row>
    <row r="3820" spans="1:5" x14ac:dyDescent="0.35">
      <c r="A3820" t="s">
        <v>3821</v>
      </c>
      <c r="B3820" t="s">
        <v>3846</v>
      </c>
      <c r="C3820">
        <v>240</v>
      </c>
      <c r="D3820">
        <v>140</v>
      </c>
      <c r="E3820" t="s">
        <v>15</v>
      </c>
    </row>
    <row r="3821" spans="1:5" x14ac:dyDescent="0.35">
      <c r="A3821" t="s">
        <v>3821</v>
      </c>
      <c r="B3821" t="s">
        <v>3847</v>
      </c>
      <c r="C3821">
        <v>165</v>
      </c>
      <c r="D3821">
        <v>66</v>
      </c>
      <c r="E3821" t="s">
        <v>21</v>
      </c>
    </row>
    <row r="3822" spans="1:5" x14ac:dyDescent="0.35">
      <c r="A3822" t="s">
        <v>3821</v>
      </c>
      <c r="B3822" t="s">
        <v>3848</v>
      </c>
      <c r="C3822">
        <v>160</v>
      </c>
      <c r="D3822">
        <v>30</v>
      </c>
      <c r="E3822" t="s">
        <v>21</v>
      </c>
    </row>
    <row r="3823" spans="1:5" x14ac:dyDescent="0.35">
      <c r="A3823" t="s">
        <v>3821</v>
      </c>
      <c r="B3823" t="s">
        <v>3849</v>
      </c>
      <c r="C3823">
        <v>143</v>
      </c>
      <c r="D3823">
        <v>62</v>
      </c>
      <c r="E3823" t="s">
        <v>17</v>
      </c>
    </row>
    <row r="3824" spans="1:5" x14ac:dyDescent="0.35">
      <c r="A3824" t="s">
        <v>3821</v>
      </c>
      <c r="B3824" t="s">
        <v>3850</v>
      </c>
      <c r="C3824">
        <v>206</v>
      </c>
      <c r="D3824">
        <v>141</v>
      </c>
      <c r="E3824" t="s">
        <v>15</v>
      </c>
    </row>
    <row r="3825" spans="1:5" x14ac:dyDescent="0.35">
      <c r="A3825" t="s">
        <v>3821</v>
      </c>
      <c r="B3825" t="s">
        <v>3851</v>
      </c>
      <c r="C3825">
        <v>231</v>
      </c>
      <c r="D3825">
        <v>34</v>
      </c>
      <c r="E3825" t="s">
        <v>11</v>
      </c>
    </row>
    <row r="3826" spans="1:5" x14ac:dyDescent="0.35">
      <c r="A3826" t="s">
        <v>3821</v>
      </c>
      <c r="B3826" t="s">
        <v>3852</v>
      </c>
      <c r="C3826">
        <v>283</v>
      </c>
      <c r="D3826">
        <v>92</v>
      </c>
      <c r="E3826" t="s">
        <v>21</v>
      </c>
    </row>
    <row r="3827" spans="1:5" x14ac:dyDescent="0.35">
      <c r="A3827" t="s">
        <v>3821</v>
      </c>
      <c r="B3827" t="s">
        <v>3853</v>
      </c>
      <c r="C3827">
        <v>261</v>
      </c>
      <c r="D3827">
        <v>129</v>
      </c>
      <c r="E3827" t="s">
        <v>11</v>
      </c>
    </row>
    <row r="3828" spans="1:5" x14ac:dyDescent="0.35">
      <c r="A3828" t="s">
        <v>3821</v>
      </c>
      <c r="B3828" t="s">
        <v>3854</v>
      </c>
      <c r="C3828">
        <v>136</v>
      </c>
      <c r="D3828">
        <v>135</v>
      </c>
      <c r="E3828" t="s">
        <v>9</v>
      </c>
    </row>
    <row r="3829" spans="1:5" x14ac:dyDescent="0.35">
      <c r="A3829" t="s">
        <v>3821</v>
      </c>
      <c r="B3829" t="s">
        <v>3855</v>
      </c>
      <c r="C3829">
        <v>190</v>
      </c>
      <c r="D3829">
        <v>120</v>
      </c>
      <c r="E3829" t="s">
        <v>11</v>
      </c>
    </row>
    <row r="3830" spans="1:5" x14ac:dyDescent="0.35">
      <c r="A3830" t="s">
        <v>3821</v>
      </c>
      <c r="B3830" t="s">
        <v>3856</v>
      </c>
      <c r="C3830">
        <v>274</v>
      </c>
      <c r="D3830">
        <v>167</v>
      </c>
      <c r="E3830" t="s">
        <v>15</v>
      </c>
    </row>
    <row r="3831" spans="1:5" x14ac:dyDescent="0.35">
      <c r="A3831" t="s">
        <v>3821</v>
      </c>
      <c r="B3831" t="s">
        <v>3857</v>
      </c>
      <c r="C3831">
        <v>255</v>
      </c>
      <c r="D3831">
        <v>177</v>
      </c>
      <c r="E3831" t="s">
        <v>21</v>
      </c>
    </row>
    <row r="3832" spans="1:5" x14ac:dyDescent="0.35">
      <c r="A3832" t="s">
        <v>3821</v>
      </c>
      <c r="B3832" t="s">
        <v>3858</v>
      </c>
      <c r="C3832">
        <v>183</v>
      </c>
      <c r="D3832">
        <v>101</v>
      </c>
      <c r="E3832" t="s">
        <v>11</v>
      </c>
    </row>
    <row r="3833" spans="1:5" x14ac:dyDescent="0.35">
      <c r="A3833" t="s">
        <v>3821</v>
      </c>
      <c r="B3833" t="s">
        <v>3859</v>
      </c>
      <c r="C3833">
        <v>169</v>
      </c>
      <c r="D3833">
        <v>118</v>
      </c>
      <c r="E3833" t="s">
        <v>15</v>
      </c>
    </row>
    <row r="3834" spans="1:5" x14ac:dyDescent="0.35">
      <c r="A3834" t="s">
        <v>3821</v>
      </c>
      <c r="B3834" t="s">
        <v>3860</v>
      </c>
      <c r="C3834">
        <v>288</v>
      </c>
      <c r="D3834">
        <v>121</v>
      </c>
      <c r="E3834" t="s">
        <v>9</v>
      </c>
    </row>
    <row r="3835" spans="1:5" x14ac:dyDescent="0.35">
      <c r="A3835" t="s">
        <v>3821</v>
      </c>
      <c r="B3835" t="s">
        <v>3861</v>
      </c>
      <c r="C3835">
        <v>245</v>
      </c>
      <c r="D3835">
        <v>100</v>
      </c>
      <c r="E3835" t="s">
        <v>7</v>
      </c>
    </row>
    <row r="3836" spans="1:5" x14ac:dyDescent="0.35">
      <c r="A3836" t="s">
        <v>3821</v>
      </c>
      <c r="B3836" t="s">
        <v>3862</v>
      </c>
      <c r="C3836">
        <v>301</v>
      </c>
      <c r="D3836">
        <v>147</v>
      </c>
      <c r="E3836" t="s">
        <v>7</v>
      </c>
    </row>
    <row r="3837" spans="1:5" x14ac:dyDescent="0.35">
      <c r="A3837" t="s">
        <v>3821</v>
      </c>
      <c r="B3837" t="s">
        <v>3863</v>
      </c>
      <c r="C3837">
        <v>189</v>
      </c>
      <c r="D3837">
        <v>183</v>
      </c>
      <c r="E3837" t="s">
        <v>17</v>
      </c>
    </row>
    <row r="3838" spans="1:5" x14ac:dyDescent="0.35">
      <c r="A3838" t="s">
        <v>3821</v>
      </c>
      <c r="B3838" t="s">
        <v>3864</v>
      </c>
      <c r="C3838">
        <v>266</v>
      </c>
      <c r="D3838">
        <v>178</v>
      </c>
      <c r="E3838" t="s">
        <v>17</v>
      </c>
    </row>
    <row r="3839" spans="1:5" x14ac:dyDescent="0.35">
      <c r="A3839" t="s">
        <v>3821</v>
      </c>
      <c r="B3839" t="s">
        <v>3865</v>
      </c>
      <c r="C3839">
        <v>227</v>
      </c>
      <c r="D3839">
        <v>150</v>
      </c>
      <c r="E3839" t="s">
        <v>11</v>
      </c>
    </row>
    <row r="3840" spans="1:5" x14ac:dyDescent="0.35">
      <c r="A3840" t="s">
        <v>3821</v>
      </c>
      <c r="B3840" t="s">
        <v>3866</v>
      </c>
      <c r="C3840">
        <v>250</v>
      </c>
      <c r="D3840">
        <v>179</v>
      </c>
      <c r="E3840" t="s">
        <v>15</v>
      </c>
    </row>
    <row r="3841" spans="1:5" x14ac:dyDescent="0.35">
      <c r="A3841" t="s">
        <v>3821</v>
      </c>
      <c r="B3841" t="s">
        <v>3867</v>
      </c>
      <c r="C3841">
        <v>200</v>
      </c>
      <c r="D3841">
        <v>66</v>
      </c>
      <c r="E3841" t="s">
        <v>21</v>
      </c>
    </row>
    <row r="3842" spans="1:5" x14ac:dyDescent="0.35">
      <c r="A3842" t="s">
        <v>3821</v>
      </c>
      <c r="B3842" t="s">
        <v>3868</v>
      </c>
      <c r="C3842">
        <v>308</v>
      </c>
      <c r="D3842">
        <v>72</v>
      </c>
      <c r="E3842" t="s">
        <v>11</v>
      </c>
    </row>
    <row r="3843" spans="1:5" x14ac:dyDescent="0.35">
      <c r="A3843" t="s">
        <v>3821</v>
      </c>
      <c r="B3843" t="s">
        <v>3869</v>
      </c>
      <c r="C3843">
        <v>81</v>
      </c>
      <c r="D3843">
        <v>46</v>
      </c>
      <c r="E3843" t="s">
        <v>9</v>
      </c>
    </row>
    <row r="3844" spans="1:5" x14ac:dyDescent="0.35">
      <c r="A3844" t="s">
        <v>3821</v>
      </c>
      <c r="B3844" t="s">
        <v>3870</v>
      </c>
      <c r="C3844">
        <v>296</v>
      </c>
      <c r="D3844">
        <v>66</v>
      </c>
      <c r="E3844" t="s">
        <v>11</v>
      </c>
    </row>
    <row r="3845" spans="1:5" x14ac:dyDescent="0.35">
      <c r="A3845" t="s">
        <v>3821</v>
      </c>
      <c r="B3845" t="s">
        <v>3871</v>
      </c>
      <c r="C3845">
        <v>99</v>
      </c>
      <c r="D3845">
        <v>64</v>
      </c>
      <c r="E3845" t="s">
        <v>21</v>
      </c>
    </row>
    <row r="3846" spans="1:5" x14ac:dyDescent="0.35">
      <c r="A3846" t="s">
        <v>3821</v>
      </c>
      <c r="B3846" t="s">
        <v>3872</v>
      </c>
      <c r="C3846">
        <v>216</v>
      </c>
      <c r="D3846">
        <v>34</v>
      </c>
      <c r="E3846" t="s">
        <v>15</v>
      </c>
    </row>
    <row r="3847" spans="1:5" x14ac:dyDescent="0.35">
      <c r="A3847" t="s">
        <v>3821</v>
      </c>
      <c r="B3847" t="s">
        <v>3873</v>
      </c>
      <c r="C3847">
        <v>156</v>
      </c>
      <c r="D3847">
        <v>150</v>
      </c>
      <c r="E3847" t="s">
        <v>21</v>
      </c>
    </row>
    <row r="3848" spans="1:5" x14ac:dyDescent="0.35">
      <c r="A3848" t="s">
        <v>3821</v>
      </c>
      <c r="B3848" t="s">
        <v>3874</v>
      </c>
      <c r="C3848">
        <v>227</v>
      </c>
      <c r="D3848">
        <v>108</v>
      </c>
      <c r="E3848" t="s">
        <v>15</v>
      </c>
    </row>
    <row r="3849" spans="1:5" x14ac:dyDescent="0.35">
      <c r="A3849" t="s">
        <v>3821</v>
      </c>
      <c r="B3849" t="s">
        <v>3875</v>
      </c>
      <c r="C3849">
        <v>208</v>
      </c>
      <c r="D3849">
        <v>171</v>
      </c>
      <c r="E3849" t="s">
        <v>15</v>
      </c>
    </row>
    <row r="3850" spans="1:5" x14ac:dyDescent="0.35">
      <c r="A3850" t="s">
        <v>3821</v>
      </c>
      <c r="B3850" t="s">
        <v>3876</v>
      </c>
      <c r="C3850">
        <v>288</v>
      </c>
      <c r="D3850">
        <v>114</v>
      </c>
      <c r="E3850" t="s">
        <v>7</v>
      </c>
    </row>
    <row r="3851" spans="1:5" x14ac:dyDescent="0.35">
      <c r="A3851" t="s">
        <v>3821</v>
      </c>
      <c r="B3851" t="s">
        <v>3877</v>
      </c>
      <c r="C3851">
        <v>308</v>
      </c>
      <c r="D3851">
        <v>113</v>
      </c>
      <c r="E3851" t="s">
        <v>9</v>
      </c>
    </row>
    <row r="3852" spans="1:5" x14ac:dyDescent="0.35">
      <c r="A3852" t="s">
        <v>3821</v>
      </c>
      <c r="B3852" t="s">
        <v>3878</v>
      </c>
      <c r="C3852">
        <v>285</v>
      </c>
      <c r="D3852">
        <v>90</v>
      </c>
      <c r="E3852" t="s">
        <v>7</v>
      </c>
    </row>
    <row r="3853" spans="1:5" x14ac:dyDescent="0.35">
      <c r="A3853" t="s">
        <v>3821</v>
      </c>
      <c r="B3853" t="s">
        <v>3879</v>
      </c>
      <c r="C3853">
        <v>245</v>
      </c>
      <c r="D3853">
        <v>46</v>
      </c>
      <c r="E3853" t="s">
        <v>33</v>
      </c>
    </row>
    <row r="3854" spans="1:5" x14ac:dyDescent="0.35">
      <c r="A3854" t="s">
        <v>3821</v>
      </c>
      <c r="B3854" t="s">
        <v>3880</v>
      </c>
      <c r="C3854">
        <v>302</v>
      </c>
      <c r="D3854">
        <v>150</v>
      </c>
      <c r="E3854" t="s">
        <v>21</v>
      </c>
    </row>
    <row r="3855" spans="1:5" x14ac:dyDescent="0.35">
      <c r="A3855" t="s">
        <v>3821</v>
      </c>
      <c r="B3855" t="s">
        <v>3881</v>
      </c>
      <c r="C3855">
        <v>312</v>
      </c>
      <c r="D3855">
        <v>49</v>
      </c>
      <c r="E3855" t="s">
        <v>7</v>
      </c>
    </row>
    <row r="3856" spans="1:5" x14ac:dyDescent="0.35">
      <c r="A3856" t="s">
        <v>3821</v>
      </c>
      <c r="B3856" t="s">
        <v>3882</v>
      </c>
      <c r="C3856">
        <v>275</v>
      </c>
      <c r="D3856">
        <v>182</v>
      </c>
      <c r="E3856" t="s">
        <v>7</v>
      </c>
    </row>
    <row r="3857" spans="1:5" x14ac:dyDescent="0.35">
      <c r="A3857" t="s">
        <v>3821</v>
      </c>
      <c r="B3857" t="s">
        <v>3883</v>
      </c>
      <c r="C3857">
        <v>245</v>
      </c>
      <c r="D3857">
        <v>188</v>
      </c>
      <c r="E3857" t="s">
        <v>33</v>
      </c>
    </row>
    <row r="3858" spans="1:5" x14ac:dyDescent="0.35">
      <c r="A3858" t="s">
        <v>3821</v>
      </c>
      <c r="B3858" t="s">
        <v>3884</v>
      </c>
      <c r="C3858">
        <v>244</v>
      </c>
      <c r="D3858">
        <v>83</v>
      </c>
      <c r="E3858" t="s">
        <v>7</v>
      </c>
    </row>
    <row r="3859" spans="1:5" x14ac:dyDescent="0.35">
      <c r="A3859" t="s">
        <v>3821</v>
      </c>
      <c r="B3859" t="s">
        <v>3885</v>
      </c>
      <c r="C3859">
        <v>58</v>
      </c>
      <c r="D3859">
        <v>55</v>
      </c>
      <c r="E3859" t="s">
        <v>15</v>
      </c>
    </row>
    <row r="3860" spans="1:5" x14ac:dyDescent="0.35">
      <c r="A3860" t="s">
        <v>3821</v>
      </c>
      <c r="B3860" t="s">
        <v>3886</v>
      </c>
      <c r="C3860">
        <v>272</v>
      </c>
      <c r="D3860">
        <v>84</v>
      </c>
      <c r="E3860" t="s">
        <v>33</v>
      </c>
    </row>
    <row r="3861" spans="1:5" x14ac:dyDescent="0.35">
      <c r="A3861" t="s">
        <v>3821</v>
      </c>
      <c r="B3861" t="s">
        <v>3887</v>
      </c>
      <c r="C3861">
        <v>100</v>
      </c>
      <c r="D3861">
        <v>65</v>
      </c>
      <c r="E3861" t="s">
        <v>21</v>
      </c>
    </row>
    <row r="3862" spans="1:5" x14ac:dyDescent="0.35">
      <c r="A3862" t="s">
        <v>3821</v>
      </c>
      <c r="B3862" t="s">
        <v>3888</v>
      </c>
      <c r="C3862">
        <v>313</v>
      </c>
      <c r="D3862">
        <v>72</v>
      </c>
      <c r="E3862" t="s">
        <v>33</v>
      </c>
    </row>
    <row r="3863" spans="1:5" x14ac:dyDescent="0.35">
      <c r="A3863" t="s">
        <v>3821</v>
      </c>
      <c r="B3863" t="s">
        <v>3889</v>
      </c>
      <c r="C3863">
        <v>246</v>
      </c>
      <c r="D3863">
        <v>97</v>
      </c>
      <c r="E3863" t="s">
        <v>9</v>
      </c>
    </row>
    <row r="3864" spans="1:5" x14ac:dyDescent="0.35">
      <c r="A3864" t="s">
        <v>3821</v>
      </c>
      <c r="B3864" t="s">
        <v>3890</v>
      </c>
      <c r="C3864">
        <v>273</v>
      </c>
      <c r="D3864">
        <v>109</v>
      </c>
      <c r="E3864" t="s">
        <v>9</v>
      </c>
    </row>
    <row r="3865" spans="1:5" x14ac:dyDescent="0.35">
      <c r="A3865" t="s">
        <v>3821</v>
      </c>
      <c r="B3865" t="s">
        <v>3891</v>
      </c>
      <c r="C3865">
        <v>313</v>
      </c>
      <c r="D3865">
        <v>70</v>
      </c>
      <c r="E3865" t="s">
        <v>9</v>
      </c>
    </row>
    <row r="3866" spans="1:5" x14ac:dyDescent="0.35">
      <c r="A3866" t="s">
        <v>3821</v>
      </c>
      <c r="B3866" t="s">
        <v>3892</v>
      </c>
      <c r="C3866">
        <v>249</v>
      </c>
      <c r="D3866">
        <v>165</v>
      </c>
      <c r="E3866" t="s">
        <v>17</v>
      </c>
    </row>
    <row r="3867" spans="1:5" x14ac:dyDescent="0.35">
      <c r="A3867" t="s">
        <v>3821</v>
      </c>
      <c r="B3867" t="s">
        <v>3893</v>
      </c>
      <c r="C3867">
        <v>305</v>
      </c>
      <c r="D3867">
        <v>174</v>
      </c>
      <c r="E3867" t="s">
        <v>33</v>
      </c>
    </row>
    <row r="3868" spans="1:5" x14ac:dyDescent="0.35">
      <c r="A3868" t="s">
        <v>3821</v>
      </c>
      <c r="B3868" t="s">
        <v>3894</v>
      </c>
      <c r="C3868">
        <v>120</v>
      </c>
      <c r="D3868">
        <v>74</v>
      </c>
      <c r="E3868" t="s">
        <v>21</v>
      </c>
    </row>
    <row r="3869" spans="1:5" x14ac:dyDescent="0.35">
      <c r="A3869" t="s">
        <v>3821</v>
      </c>
      <c r="B3869" t="s">
        <v>3895</v>
      </c>
      <c r="C3869">
        <v>153</v>
      </c>
      <c r="D3869">
        <v>79</v>
      </c>
      <c r="E3869" t="s">
        <v>33</v>
      </c>
    </row>
    <row r="3870" spans="1:5" x14ac:dyDescent="0.35">
      <c r="A3870" t="s">
        <v>3821</v>
      </c>
      <c r="B3870" t="s">
        <v>3896</v>
      </c>
      <c r="C3870">
        <v>253</v>
      </c>
      <c r="D3870">
        <v>179</v>
      </c>
      <c r="E3870" t="s">
        <v>9</v>
      </c>
    </row>
    <row r="3871" spans="1:5" x14ac:dyDescent="0.35">
      <c r="A3871" t="s">
        <v>3821</v>
      </c>
      <c r="B3871" t="s">
        <v>3897</v>
      </c>
      <c r="C3871">
        <v>169</v>
      </c>
      <c r="D3871">
        <v>39</v>
      </c>
      <c r="E3871" t="s">
        <v>15</v>
      </c>
    </row>
    <row r="3872" spans="1:5" x14ac:dyDescent="0.35">
      <c r="A3872" t="s">
        <v>3821</v>
      </c>
      <c r="B3872" t="s">
        <v>3898</v>
      </c>
      <c r="C3872">
        <v>307</v>
      </c>
      <c r="D3872">
        <v>97</v>
      </c>
      <c r="E3872" t="s">
        <v>17</v>
      </c>
    </row>
    <row r="3873" spans="1:5" x14ac:dyDescent="0.35">
      <c r="A3873" t="s">
        <v>3821</v>
      </c>
      <c r="B3873" t="s">
        <v>3899</v>
      </c>
      <c r="C3873">
        <v>294</v>
      </c>
      <c r="D3873">
        <v>76</v>
      </c>
      <c r="E3873" t="s">
        <v>9</v>
      </c>
    </row>
    <row r="3874" spans="1:5" x14ac:dyDescent="0.35">
      <c r="A3874" t="s">
        <v>3821</v>
      </c>
      <c r="B3874" t="s">
        <v>3900</v>
      </c>
      <c r="C3874">
        <v>257</v>
      </c>
      <c r="D3874">
        <v>176</v>
      </c>
      <c r="E3874" t="s">
        <v>17</v>
      </c>
    </row>
    <row r="3875" spans="1:5" x14ac:dyDescent="0.35">
      <c r="A3875" t="s">
        <v>3821</v>
      </c>
      <c r="B3875" t="s">
        <v>3901</v>
      </c>
      <c r="C3875">
        <v>195</v>
      </c>
      <c r="D3875">
        <v>32</v>
      </c>
      <c r="E3875" t="s">
        <v>33</v>
      </c>
    </row>
    <row r="3876" spans="1:5" x14ac:dyDescent="0.35">
      <c r="A3876" t="s">
        <v>3821</v>
      </c>
      <c r="B3876" t="s">
        <v>3902</v>
      </c>
      <c r="C3876">
        <v>115</v>
      </c>
      <c r="D3876">
        <v>111</v>
      </c>
      <c r="E3876" t="s">
        <v>9</v>
      </c>
    </row>
    <row r="3877" spans="1:5" x14ac:dyDescent="0.35">
      <c r="A3877" t="s">
        <v>3821</v>
      </c>
      <c r="B3877" t="s">
        <v>3903</v>
      </c>
      <c r="C3877">
        <v>134</v>
      </c>
      <c r="D3877">
        <v>70</v>
      </c>
      <c r="E3877" t="s">
        <v>9</v>
      </c>
    </row>
    <row r="3878" spans="1:5" x14ac:dyDescent="0.35">
      <c r="A3878" t="s">
        <v>3821</v>
      </c>
      <c r="B3878" t="s">
        <v>3904</v>
      </c>
      <c r="C3878">
        <v>166</v>
      </c>
      <c r="D3878">
        <v>136</v>
      </c>
      <c r="E3878" t="s">
        <v>11</v>
      </c>
    </row>
    <row r="3879" spans="1:5" x14ac:dyDescent="0.35">
      <c r="A3879" t="s">
        <v>3821</v>
      </c>
      <c r="B3879" t="s">
        <v>3905</v>
      </c>
      <c r="C3879">
        <v>183</v>
      </c>
      <c r="D3879">
        <v>81</v>
      </c>
      <c r="E3879" t="s">
        <v>7</v>
      </c>
    </row>
    <row r="3880" spans="1:5" x14ac:dyDescent="0.35">
      <c r="A3880" t="s">
        <v>3821</v>
      </c>
      <c r="B3880" t="s">
        <v>3906</v>
      </c>
      <c r="C3880">
        <v>296</v>
      </c>
      <c r="D3880">
        <v>35</v>
      </c>
      <c r="E3880" t="s">
        <v>21</v>
      </c>
    </row>
    <row r="3881" spans="1:5" x14ac:dyDescent="0.35">
      <c r="A3881" t="s">
        <v>3821</v>
      </c>
      <c r="B3881" t="s">
        <v>3907</v>
      </c>
      <c r="C3881">
        <v>278</v>
      </c>
      <c r="D3881">
        <v>30</v>
      </c>
      <c r="E3881" t="s">
        <v>9</v>
      </c>
    </row>
    <row r="3882" spans="1:5" x14ac:dyDescent="0.35">
      <c r="A3882" t="s">
        <v>3821</v>
      </c>
      <c r="B3882" t="s">
        <v>3908</v>
      </c>
      <c r="C3882">
        <v>233</v>
      </c>
      <c r="D3882">
        <v>181</v>
      </c>
      <c r="E3882" t="s">
        <v>7</v>
      </c>
    </row>
    <row r="3883" spans="1:5" x14ac:dyDescent="0.35">
      <c r="A3883" t="s">
        <v>3821</v>
      </c>
      <c r="B3883" t="s">
        <v>3909</v>
      </c>
      <c r="C3883">
        <v>251</v>
      </c>
      <c r="D3883">
        <v>178</v>
      </c>
      <c r="E3883" t="s">
        <v>17</v>
      </c>
    </row>
    <row r="3884" spans="1:5" x14ac:dyDescent="0.35">
      <c r="A3884" t="s">
        <v>3821</v>
      </c>
      <c r="B3884" t="s">
        <v>3910</v>
      </c>
      <c r="C3884">
        <v>225</v>
      </c>
      <c r="D3884">
        <v>30</v>
      </c>
      <c r="E3884" t="s">
        <v>33</v>
      </c>
    </row>
    <row r="3885" spans="1:5" x14ac:dyDescent="0.35">
      <c r="A3885" t="s">
        <v>3821</v>
      </c>
      <c r="B3885" t="s">
        <v>3911</v>
      </c>
      <c r="C3885">
        <v>291</v>
      </c>
      <c r="D3885">
        <v>81</v>
      </c>
      <c r="E3885" t="s">
        <v>15</v>
      </c>
    </row>
    <row r="3886" spans="1:5" x14ac:dyDescent="0.35">
      <c r="A3886" t="s">
        <v>3821</v>
      </c>
      <c r="B3886" t="s">
        <v>3912</v>
      </c>
      <c r="C3886">
        <v>133</v>
      </c>
      <c r="D3886">
        <v>125</v>
      </c>
      <c r="E3886" t="s">
        <v>33</v>
      </c>
    </row>
    <row r="3887" spans="1:5" x14ac:dyDescent="0.35">
      <c r="A3887" t="s">
        <v>3821</v>
      </c>
      <c r="B3887" t="s">
        <v>3913</v>
      </c>
      <c r="C3887">
        <v>176</v>
      </c>
      <c r="D3887">
        <v>93</v>
      </c>
      <c r="E3887" t="s">
        <v>9</v>
      </c>
    </row>
    <row r="3888" spans="1:5" x14ac:dyDescent="0.35">
      <c r="A3888" t="s">
        <v>3821</v>
      </c>
      <c r="B3888" t="s">
        <v>3914</v>
      </c>
      <c r="C3888">
        <v>247</v>
      </c>
      <c r="D3888">
        <v>140</v>
      </c>
      <c r="E3888" t="s">
        <v>15</v>
      </c>
    </row>
    <row r="3889" spans="1:5" x14ac:dyDescent="0.35">
      <c r="A3889" t="s">
        <v>3821</v>
      </c>
      <c r="B3889" t="s">
        <v>3915</v>
      </c>
      <c r="C3889">
        <v>304</v>
      </c>
      <c r="D3889">
        <v>107</v>
      </c>
      <c r="E3889" t="s">
        <v>17</v>
      </c>
    </row>
    <row r="3890" spans="1:5" x14ac:dyDescent="0.35">
      <c r="A3890" t="s">
        <v>3821</v>
      </c>
      <c r="B3890" t="s">
        <v>3916</v>
      </c>
      <c r="C3890">
        <v>191</v>
      </c>
      <c r="D3890">
        <v>89</v>
      </c>
      <c r="E3890" t="s">
        <v>11</v>
      </c>
    </row>
    <row r="3891" spans="1:5" x14ac:dyDescent="0.35">
      <c r="A3891" t="s">
        <v>3821</v>
      </c>
      <c r="B3891" t="s">
        <v>3917</v>
      </c>
      <c r="C3891">
        <v>316</v>
      </c>
      <c r="D3891">
        <v>148</v>
      </c>
      <c r="E3891" t="s">
        <v>11</v>
      </c>
    </row>
    <row r="3892" spans="1:5" x14ac:dyDescent="0.35">
      <c r="A3892" t="s">
        <v>3821</v>
      </c>
      <c r="B3892" t="s">
        <v>3918</v>
      </c>
      <c r="C3892">
        <v>283</v>
      </c>
      <c r="D3892">
        <v>117</v>
      </c>
      <c r="E3892" t="s">
        <v>7</v>
      </c>
    </row>
    <row r="3893" spans="1:5" x14ac:dyDescent="0.35">
      <c r="A3893" t="s">
        <v>3821</v>
      </c>
      <c r="B3893" t="s">
        <v>3919</v>
      </c>
      <c r="C3893">
        <v>208</v>
      </c>
      <c r="D3893">
        <v>179</v>
      </c>
      <c r="E3893" t="s">
        <v>11</v>
      </c>
    </row>
    <row r="3894" spans="1:5" x14ac:dyDescent="0.35">
      <c r="A3894" t="s">
        <v>3821</v>
      </c>
      <c r="B3894" t="s">
        <v>3920</v>
      </c>
      <c r="C3894">
        <v>131</v>
      </c>
      <c r="D3894">
        <v>52</v>
      </c>
      <c r="E3894" t="s">
        <v>7</v>
      </c>
    </row>
    <row r="3895" spans="1:5" x14ac:dyDescent="0.35">
      <c r="A3895" t="s">
        <v>3821</v>
      </c>
      <c r="B3895" t="s">
        <v>3921</v>
      </c>
      <c r="C3895">
        <v>120</v>
      </c>
      <c r="D3895">
        <v>36</v>
      </c>
      <c r="E3895" t="s">
        <v>33</v>
      </c>
    </row>
    <row r="3896" spans="1:5" x14ac:dyDescent="0.35">
      <c r="A3896" t="s">
        <v>3821</v>
      </c>
      <c r="B3896" t="s">
        <v>3922</v>
      </c>
      <c r="C3896">
        <v>258</v>
      </c>
      <c r="D3896">
        <v>119</v>
      </c>
      <c r="E3896" t="s">
        <v>33</v>
      </c>
    </row>
    <row r="3897" spans="1:5" x14ac:dyDescent="0.35">
      <c r="A3897" t="s">
        <v>3821</v>
      </c>
      <c r="B3897" t="s">
        <v>3923</v>
      </c>
      <c r="C3897">
        <v>243</v>
      </c>
      <c r="D3897">
        <v>158</v>
      </c>
      <c r="E3897" t="s">
        <v>7</v>
      </c>
    </row>
    <row r="3898" spans="1:5" x14ac:dyDescent="0.35">
      <c r="A3898" t="s">
        <v>3821</v>
      </c>
      <c r="B3898" t="s">
        <v>3924</v>
      </c>
      <c r="C3898">
        <v>243</v>
      </c>
      <c r="D3898">
        <v>148</v>
      </c>
      <c r="E3898" t="s">
        <v>7</v>
      </c>
    </row>
    <row r="3899" spans="1:5" x14ac:dyDescent="0.35">
      <c r="A3899" t="s">
        <v>3821</v>
      </c>
      <c r="B3899" t="s">
        <v>3925</v>
      </c>
      <c r="C3899">
        <v>79</v>
      </c>
      <c r="D3899">
        <v>76</v>
      </c>
      <c r="E3899" t="s">
        <v>15</v>
      </c>
    </row>
    <row r="3900" spans="1:5" x14ac:dyDescent="0.35">
      <c r="A3900" t="s">
        <v>3821</v>
      </c>
      <c r="B3900" t="s">
        <v>3926</v>
      </c>
      <c r="C3900">
        <v>241</v>
      </c>
      <c r="D3900">
        <v>157</v>
      </c>
      <c r="E3900" t="s">
        <v>11</v>
      </c>
    </row>
    <row r="3901" spans="1:5" x14ac:dyDescent="0.35">
      <c r="A3901" t="s">
        <v>3821</v>
      </c>
      <c r="B3901" t="s">
        <v>3927</v>
      </c>
      <c r="C3901">
        <v>142</v>
      </c>
      <c r="D3901">
        <v>45</v>
      </c>
      <c r="E3901" t="s">
        <v>15</v>
      </c>
    </row>
    <row r="3902" spans="1:5" x14ac:dyDescent="0.35">
      <c r="A3902" t="s">
        <v>3821</v>
      </c>
      <c r="B3902" t="s">
        <v>3928</v>
      </c>
      <c r="C3902">
        <v>228</v>
      </c>
      <c r="D3902">
        <v>127</v>
      </c>
      <c r="E3902" t="s">
        <v>21</v>
      </c>
    </row>
    <row r="3903" spans="1:5" x14ac:dyDescent="0.35">
      <c r="A3903" t="s">
        <v>3821</v>
      </c>
      <c r="B3903" t="s">
        <v>3929</v>
      </c>
      <c r="C3903">
        <v>208</v>
      </c>
      <c r="D3903">
        <v>112</v>
      </c>
      <c r="E3903" t="s">
        <v>7</v>
      </c>
    </row>
    <row r="3904" spans="1:5" x14ac:dyDescent="0.35">
      <c r="A3904" t="s">
        <v>3821</v>
      </c>
      <c r="B3904" t="s">
        <v>3930</v>
      </c>
      <c r="C3904">
        <v>292</v>
      </c>
      <c r="D3904">
        <v>97</v>
      </c>
      <c r="E3904" t="s">
        <v>9</v>
      </c>
    </row>
    <row r="3905" spans="1:5" x14ac:dyDescent="0.35">
      <c r="A3905" t="s">
        <v>3821</v>
      </c>
      <c r="B3905" t="s">
        <v>3931</v>
      </c>
      <c r="C3905">
        <v>199</v>
      </c>
      <c r="D3905">
        <v>149</v>
      </c>
      <c r="E3905" t="s">
        <v>11</v>
      </c>
    </row>
    <row r="3906" spans="1:5" x14ac:dyDescent="0.35">
      <c r="A3906" t="s">
        <v>3821</v>
      </c>
      <c r="B3906" t="s">
        <v>3932</v>
      </c>
      <c r="C3906">
        <v>124</v>
      </c>
      <c r="D3906">
        <v>83</v>
      </c>
      <c r="E3906" t="s">
        <v>7</v>
      </c>
    </row>
    <row r="3907" spans="1:5" x14ac:dyDescent="0.35">
      <c r="A3907" t="s">
        <v>3821</v>
      </c>
      <c r="B3907" t="s">
        <v>3933</v>
      </c>
      <c r="C3907">
        <v>265</v>
      </c>
      <c r="D3907">
        <v>45</v>
      </c>
      <c r="E3907" t="s">
        <v>15</v>
      </c>
    </row>
    <row r="3908" spans="1:5" x14ac:dyDescent="0.35">
      <c r="A3908" t="s">
        <v>3821</v>
      </c>
      <c r="B3908" t="s">
        <v>3934</v>
      </c>
      <c r="C3908">
        <v>225</v>
      </c>
      <c r="D3908">
        <v>59</v>
      </c>
      <c r="E3908" t="s">
        <v>33</v>
      </c>
    </row>
    <row r="3909" spans="1:5" x14ac:dyDescent="0.35">
      <c r="A3909" t="s">
        <v>3821</v>
      </c>
      <c r="B3909" t="s">
        <v>3935</v>
      </c>
      <c r="C3909">
        <v>208</v>
      </c>
      <c r="D3909">
        <v>152</v>
      </c>
      <c r="E3909" t="s">
        <v>15</v>
      </c>
    </row>
    <row r="3910" spans="1:5" x14ac:dyDescent="0.35">
      <c r="A3910" t="s">
        <v>3821</v>
      </c>
      <c r="B3910" t="s">
        <v>3936</v>
      </c>
      <c r="C3910">
        <v>156</v>
      </c>
      <c r="D3910">
        <v>106</v>
      </c>
      <c r="E3910" t="s">
        <v>15</v>
      </c>
    </row>
    <row r="3911" spans="1:5" x14ac:dyDescent="0.35">
      <c r="A3911" t="s">
        <v>3821</v>
      </c>
      <c r="B3911" t="s">
        <v>3937</v>
      </c>
      <c r="C3911">
        <v>184</v>
      </c>
      <c r="D3911">
        <v>49</v>
      </c>
      <c r="E3911" t="s">
        <v>21</v>
      </c>
    </row>
    <row r="3912" spans="1:5" x14ac:dyDescent="0.35">
      <c r="A3912" t="s">
        <v>3821</v>
      </c>
      <c r="B3912" t="s">
        <v>3938</v>
      </c>
      <c r="C3912">
        <v>226</v>
      </c>
      <c r="D3912">
        <v>184</v>
      </c>
      <c r="E3912" t="s">
        <v>17</v>
      </c>
    </row>
    <row r="3913" spans="1:5" x14ac:dyDescent="0.35">
      <c r="A3913" t="s">
        <v>3821</v>
      </c>
      <c r="B3913" t="s">
        <v>3939</v>
      </c>
      <c r="C3913">
        <v>240</v>
      </c>
      <c r="D3913">
        <v>53</v>
      </c>
      <c r="E3913" t="s">
        <v>15</v>
      </c>
    </row>
    <row r="3914" spans="1:5" x14ac:dyDescent="0.35">
      <c r="A3914" t="s">
        <v>3821</v>
      </c>
      <c r="B3914" t="s">
        <v>3940</v>
      </c>
      <c r="C3914">
        <v>255</v>
      </c>
      <c r="D3914">
        <v>152</v>
      </c>
      <c r="E3914" t="s">
        <v>21</v>
      </c>
    </row>
    <row r="3915" spans="1:5" x14ac:dyDescent="0.35">
      <c r="A3915" t="s">
        <v>3821</v>
      </c>
      <c r="B3915" t="s">
        <v>3941</v>
      </c>
      <c r="C3915">
        <v>295</v>
      </c>
      <c r="D3915">
        <v>124</v>
      </c>
      <c r="E3915" t="s">
        <v>15</v>
      </c>
    </row>
    <row r="3916" spans="1:5" x14ac:dyDescent="0.35">
      <c r="A3916" t="s">
        <v>3821</v>
      </c>
      <c r="B3916" t="s">
        <v>3942</v>
      </c>
      <c r="C3916">
        <v>230</v>
      </c>
      <c r="D3916">
        <v>165</v>
      </c>
      <c r="E3916" t="s">
        <v>17</v>
      </c>
    </row>
    <row r="3917" spans="1:5" x14ac:dyDescent="0.35">
      <c r="A3917" t="s">
        <v>3821</v>
      </c>
      <c r="B3917" t="s">
        <v>3943</v>
      </c>
      <c r="C3917">
        <v>223</v>
      </c>
      <c r="D3917">
        <v>142</v>
      </c>
      <c r="E3917" t="s">
        <v>9</v>
      </c>
    </row>
    <row r="3918" spans="1:5" x14ac:dyDescent="0.35">
      <c r="A3918" t="s">
        <v>3821</v>
      </c>
      <c r="B3918" t="s">
        <v>3944</v>
      </c>
      <c r="C3918">
        <v>240</v>
      </c>
      <c r="D3918">
        <v>48</v>
      </c>
      <c r="E3918" t="s">
        <v>21</v>
      </c>
    </row>
    <row r="3919" spans="1:5" x14ac:dyDescent="0.35">
      <c r="A3919" t="s">
        <v>3821</v>
      </c>
      <c r="B3919" t="s">
        <v>3945</v>
      </c>
      <c r="C3919">
        <v>319</v>
      </c>
      <c r="D3919">
        <v>107</v>
      </c>
      <c r="E3919" t="s">
        <v>9</v>
      </c>
    </row>
    <row r="3920" spans="1:5" x14ac:dyDescent="0.35">
      <c r="A3920" t="s">
        <v>3821</v>
      </c>
      <c r="B3920" t="s">
        <v>3946</v>
      </c>
      <c r="C3920">
        <v>299</v>
      </c>
      <c r="D3920">
        <v>59</v>
      </c>
      <c r="E3920" t="s">
        <v>17</v>
      </c>
    </row>
    <row r="3921" spans="1:5" x14ac:dyDescent="0.35">
      <c r="A3921" t="s">
        <v>3821</v>
      </c>
      <c r="B3921" t="s">
        <v>3947</v>
      </c>
      <c r="C3921">
        <v>90</v>
      </c>
      <c r="D3921">
        <v>40</v>
      </c>
      <c r="E3921" t="s">
        <v>17</v>
      </c>
    </row>
    <row r="3922" spans="1:5" x14ac:dyDescent="0.35">
      <c r="A3922" t="s">
        <v>3821</v>
      </c>
      <c r="B3922" t="s">
        <v>3948</v>
      </c>
      <c r="C3922">
        <v>302</v>
      </c>
      <c r="D3922">
        <v>73</v>
      </c>
      <c r="E3922" t="s">
        <v>7</v>
      </c>
    </row>
    <row r="3923" spans="1:5" x14ac:dyDescent="0.35">
      <c r="A3923" t="s">
        <v>3821</v>
      </c>
      <c r="B3923" t="s">
        <v>3949</v>
      </c>
      <c r="C3923">
        <v>195</v>
      </c>
      <c r="D3923">
        <v>183</v>
      </c>
      <c r="E3923" t="s">
        <v>17</v>
      </c>
    </row>
    <row r="3924" spans="1:5" x14ac:dyDescent="0.35">
      <c r="A3924" t="s">
        <v>3821</v>
      </c>
      <c r="B3924" t="s">
        <v>3950</v>
      </c>
      <c r="C3924">
        <v>307</v>
      </c>
      <c r="D3924">
        <v>166</v>
      </c>
      <c r="E3924" t="s">
        <v>11</v>
      </c>
    </row>
    <row r="3925" spans="1:5" x14ac:dyDescent="0.35">
      <c r="A3925" t="s">
        <v>3821</v>
      </c>
      <c r="B3925" t="s">
        <v>3951</v>
      </c>
      <c r="C3925">
        <v>171</v>
      </c>
      <c r="D3925">
        <v>140</v>
      </c>
      <c r="E3925" t="s">
        <v>7</v>
      </c>
    </row>
    <row r="3926" spans="1:5" x14ac:dyDescent="0.35">
      <c r="A3926" t="s">
        <v>3821</v>
      </c>
      <c r="B3926" t="s">
        <v>3952</v>
      </c>
      <c r="C3926">
        <v>274</v>
      </c>
      <c r="D3926">
        <v>179</v>
      </c>
      <c r="E3926" t="s">
        <v>21</v>
      </c>
    </row>
    <row r="3927" spans="1:5" x14ac:dyDescent="0.35">
      <c r="A3927" t="s">
        <v>3821</v>
      </c>
      <c r="B3927" t="s">
        <v>3953</v>
      </c>
      <c r="C3927">
        <v>67</v>
      </c>
      <c r="D3927">
        <v>30</v>
      </c>
      <c r="E3927" t="s">
        <v>21</v>
      </c>
    </row>
    <row r="3928" spans="1:5" x14ac:dyDescent="0.35">
      <c r="A3928" t="s">
        <v>3821</v>
      </c>
      <c r="B3928" t="s">
        <v>3954</v>
      </c>
      <c r="C3928">
        <v>124</v>
      </c>
      <c r="D3928">
        <v>63</v>
      </c>
      <c r="E3928" t="s">
        <v>33</v>
      </c>
    </row>
    <row r="3929" spans="1:5" x14ac:dyDescent="0.35">
      <c r="A3929" t="s">
        <v>3821</v>
      </c>
      <c r="B3929" t="s">
        <v>3955</v>
      </c>
      <c r="C3929">
        <v>214</v>
      </c>
      <c r="D3929">
        <v>190</v>
      </c>
      <c r="E3929" t="s">
        <v>21</v>
      </c>
    </row>
    <row r="3930" spans="1:5" x14ac:dyDescent="0.35">
      <c r="A3930" t="s">
        <v>3821</v>
      </c>
      <c r="B3930" t="s">
        <v>3956</v>
      </c>
      <c r="C3930">
        <v>193</v>
      </c>
      <c r="D3930">
        <v>187</v>
      </c>
      <c r="E3930" t="s">
        <v>15</v>
      </c>
    </row>
    <row r="3931" spans="1:5" x14ac:dyDescent="0.35">
      <c r="A3931" t="s">
        <v>3821</v>
      </c>
      <c r="B3931" t="s">
        <v>3957</v>
      </c>
      <c r="C3931">
        <v>203</v>
      </c>
      <c r="D3931">
        <v>185</v>
      </c>
      <c r="E3931" t="s">
        <v>21</v>
      </c>
    </row>
    <row r="3932" spans="1:5" x14ac:dyDescent="0.35">
      <c r="A3932" t="s">
        <v>3821</v>
      </c>
      <c r="B3932" t="s">
        <v>3958</v>
      </c>
      <c r="C3932">
        <v>274</v>
      </c>
      <c r="D3932">
        <v>51</v>
      </c>
      <c r="E3932" t="s">
        <v>15</v>
      </c>
    </row>
    <row r="3933" spans="1:5" x14ac:dyDescent="0.35">
      <c r="A3933" t="s">
        <v>3821</v>
      </c>
      <c r="B3933" t="s">
        <v>3959</v>
      </c>
      <c r="C3933">
        <v>289</v>
      </c>
      <c r="D3933">
        <v>63</v>
      </c>
      <c r="E3933" t="s">
        <v>17</v>
      </c>
    </row>
    <row r="3934" spans="1:5" x14ac:dyDescent="0.35">
      <c r="A3934" t="s">
        <v>3821</v>
      </c>
      <c r="B3934" t="s">
        <v>3960</v>
      </c>
      <c r="C3934">
        <v>267</v>
      </c>
      <c r="D3934">
        <v>112</v>
      </c>
      <c r="E3934" t="s">
        <v>17</v>
      </c>
    </row>
    <row r="3935" spans="1:5" x14ac:dyDescent="0.35">
      <c r="A3935" t="s">
        <v>3821</v>
      </c>
      <c r="B3935" t="s">
        <v>3961</v>
      </c>
      <c r="C3935">
        <v>293</v>
      </c>
      <c r="D3935">
        <v>170</v>
      </c>
      <c r="E3935" t="s">
        <v>11</v>
      </c>
    </row>
    <row r="3936" spans="1:5" x14ac:dyDescent="0.35">
      <c r="A3936" t="s">
        <v>3821</v>
      </c>
      <c r="B3936" t="s">
        <v>3962</v>
      </c>
      <c r="C3936">
        <v>305</v>
      </c>
      <c r="D3936">
        <v>110</v>
      </c>
      <c r="E3936" t="s">
        <v>21</v>
      </c>
    </row>
    <row r="3937" spans="1:5" x14ac:dyDescent="0.35">
      <c r="A3937" t="s">
        <v>3821</v>
      </c>
      <c r="B3937" t="s">
        <v>3963</v>
      </c>
      <c r="C3937">
        <v>234</v>
      </c>
      <c r="D3937">
        <v>81</v>
      </c>
      <c r="E3937" t="s">
        <v>21</v>
      </c>
    </row>
    <row r="3938" spans="1:5" x14ac:dyDescent="0.35">
      <c r="A3938" t="s">
        <v>3821</v>
      </c>
      <c r="B3938" t="s">
        <v>3964</v>
      </c>
      <c r="C3938">
        <v>232</v>
      </c>
      <c r="D3938">
        <v>85</v>
      </c>
      <c r="E3938" t="s">
        <v>33</v>
      </c>
    </row>
    <row r="3939" spans="1:5" x14ac:dyDescent="0.35">
      <c r="A3939" t="s">
        <v>3821</v>
      </c>
      <c r="B3939" t="s">
        <v>3965</v>
      </c>
      <c r="C3939">
        <v>230</v>
      </c>
      <c r="D3939">
        <v>179</v>
      </c>
      <c r="E3939" t="s">
        <v>17</v>
      </c>
    </row>
    <row r="3940" spans="1:5" x14ac:dyDescent="0.35">
      <c r="A3940" t="s">
        <v>3821</v>
      </c>
      <c r="B3940" t="s">
        <v>3966</v>
      </c>
      <c r="C3940">
        <v>277</v>
      </c>
      <c r="D3940">
        <v>163</v>
      </c>
      <c r="E3940" t="s">
        <v>15</v>
      </c>
    </row>
    <row r="3941" spans="1:5" x14ac:dyDescent="0.35">
      <c r="A3941" t="s">
        <v>3821</v>
      </c>
      <c r="B3941" t="s">
        <v>3967</v>
      </c>
      <c r="C3941">
        <v>228</v>
      </c>
      <c r="D3941">
        <v>33</v>
      </c>
      <c r="E3941" t="s">
        <v>11</v>
      </c>
    </row>
    <row r="3942" spans="1:5" x14ac:dyDescent="0.35">
      <c r="A3942" t="s">
        <v>3821</v>
      </c>
      <c r="B3942" t="s">
        <v>3968</v>
      </c>
      <c r="C3942">
        <v>230</v>
      </c>
      <c r="D3942">
        <v>102</v>
      </c>
      <c r="E3942" t="s">
        <v>11</v>
      </c>
    </row>
    <row r="3943" spans="1:5" x14ac:dyDescent="0.35">
      <c r="A3943" t="s">
        <v>3821</v>
      </c>
      <c r="B3943" t="s">
        <v>3969</v>
      </c>
      <c r="C3943">
        <v>68</v>
      </c>
      <c r="D3943">
        <v>36</v>
      </c>
      <c r="E3943" t="s">
        <v>9</v>
      </c>
    </row>
    <row r="3944" spans="1:5" x14ac:dyDescent="0.35">
      <c r="A3944" t="s">
        <v>3821</v>
      </c>
      <c r="B3944" t="s">
        <v>3970</v>
      </c>
      <c r="C3944">
        <v>200</v>
      </c>
      <c r="D3944">
        <v>106</v>
      </c>
      <c r="E3944" t="s">
        <v>9</v>
      </c>
    </row>
    <row r="3945" spans="1:5" x14ac:dyDescent="0.35">
      <c r="A3945" t="s">
        <v>3821</v>
      </c>
      <c r="B3945" t="s">
        <v>3971</v>
      </c>
      <c r="C3945">
        <v>291</v>
      </c>
      <c r="D3945">
        <v>133</v>
      </c>
      <c r="E3945" t="s">
        <v>9</v>
      </c>
    </row>
    <row r="3946" spans="1:5" x14ac:dyDescent="0.35">
      <c r="A3946" t="s">
        <v>3821</v>
      </c>
      <c r="B3946" t="s">
        <v>3972</v>
      </c>
      <c r="C3946">
        <v>123</v>
      </c>
      <c r="D3946">
        <v>33</v>
      </c>
      <c r="E3946" t="s">
        <v>15</v>
      </c>
    </row>
    <row r="3947" spans="1:5" x14ac:dyDescent="0.35">
      <c r="A3947" t="s">
        <v>3821</v>
      </c>
      <c r="B3947" t="s">
        <v>3973</v>
      </c>
      <c r="C3947">
        <v>283</v>
      </c>
      <c r="D3947">
        <v>127</v>
      </c>
      <c r="E3947" t="s">
        <v>21</v>
      </c>
    </row>
    <row r="3948" spans="1:5" x14ac:dyDescent="0.35">
      <c r="A3948" t="s">
        <v>3821</v>
      </c>
      <c r="B3948" t="s">
        <v>3974</v>
      </c>
      <c r="C3948">
        <v>81</v>
      </c>
      <c r="D3948">
        <v>75</v>
      </c>
      <c r="E3948" t="s">
        <v>21</v>
      </c>
    </row>
    <row r="3949" spans="1:5" x14ac:dyDescent="0.35">
      <c r="A3949" t="s">
        <v>3821</v>
      </c>
      <c r="B3949" t="s">
        <v>3975</v>
      </c>
      <c r="C3949">
        <v>318</v>
      </c>
      <c r="D3949">
        <v>128</v>
      </c>
      <c r="E3949" t="s">
        <v>21</v>
      </c>
    </row>
    <row r="3950" spans="1:5" x14ac:dyDescent="0.35">
      <c r="A3950" t="s">
        <v>3821</v>
      </c>
      <c r="B3950" t="s">
        <v>3976</v>
      </c>
      <c r="C3950">
        <v>233</v>
      </c>
      <c r="D3950">
        <v>60</v>
      </c>
      <c r="E3950" t="s">
        <v>17</v>
      </c>
    </row>
    <row r="3951" spans="1:5" x14ac:dyDescent="0.35">
      <c r="A3951" t="s">
        <v>3821</v>
      </c>
      <c r="B3951" t="s">
        <v>3977</v>
      </c>
      <c r="C3951">
        <v>280</v>
      </c>
      <c r="D3951">
        <v>130</v>
      </c>
      <c r="E3951" t="s">
        <v>33</v>
      </c>
    </row>
    <row r="3952" spans="1:5" x14ac:dyDescent="0.35">
      <c r="A3952" t="s">
        <v>3821</v>
      </c>
      <c r="B3952" t="s">
        <v>3978</v>
      </c>
      <c r="C3952">
        <v>166</v>
      </c>
      <c r="D3952">
        <v>137</v>
      </c>
      <c r="E3952" t="s">
        <v>33</v>
      </c>
    </row>
    <row r="3953" spans="1:5" x14ac:dyDescent="0.35">
      <c r="A3953" t="s">
        <v>3821</v>
      </c>
      <c r="B3953" t="s">
        <v>3979</v>
      </c>
      <c r="C3953">
        <v>103</v>
      </c>
      <c r="D3953">
        <v>67</v>
      </c>
      <c r="E3953" t="s">
        <v>21</v>
      </c>
    </row>
    <row r="3954" spans="1:5" x14ac:dyDescent="0.35">
      <c r="A3954" t="s">
        <v>3821</v>
      </c>
      <c r="B3954" t="s">
        <v>3980</v>
      </c>
      <c r="C3954">
        <v>160</v>
      </c>
      <c r="D3954">
        <v>80</v>
      </c>
      <c r="E3954" t="s">
        <v>9</v>
      </c>
    </row>
    <row r="3955" spans="1:5" x14ac:dyDescent="0.35">
      <c r="A3955" t="s">
        <v>3821</v>
      </c>
      <c r="B3955" t="s">
        <v>3981</v>
      </c>
      <c r="C3955">
        <v>259</v>
      </c>
      <c r="D3955">
        <v>144</v>
      </c>
      <c r="E3955" t="s">
        <v>11</v>
      </c>
    </row>
    <row r="3956" spans="1:5" x14ac:dyDescent="0.35">
      <c r="A3956" t="s">
        <v>3821</v>
      </c>
      <c r="B3956" t="s">
        <v>3982</v>
      </c>
      <c r="C3956">
        <v>287</v>
      </c>
      <c r="D3956">
        <v>158</v>
      </c>
      <c r="E3956" t="s">
        <v>33</v>
      </c>
    </row>
    <row r="3957" spans="1:5" x14ac:dyDescent="0.35">
      <c r="A3957" t="s">
        <v>3821</v>
      </c>
      <c r="B3957" t="s">
        <v>3983</v>
      </c>
      <c r="C3957">
        <v>92</v>
      </c>
      <c r="D3957">
        <v>70</v>
      </c>
      <c r="E3957" t="s">
        <v>33</v>
      </c>
    </row>
    <row r="3958" spans="1:5" x14ac:dyDescent="0.35">
      <c r="A3958" t="s">
        <v>3821</v>
      </c>
      <c r="B3958" t="s">
        <v>3984</v>
      </c>
      <c r="C3958">
        <v>228</v>
      </c>
      <c r="D3958">
        <v>75</v>
      </c>
      <c r="E3958" t="s">
        <v>21</v>
      </c>
    </row>
    <row r="3959" spans="1:5" x14ac:dyDescent="0.35">
      <c r="A3959" t="s">
        <v>3821</v>
      </c>
      <c r="B3959" t="s">
        <v>3985</v>
      </c>
      <c r="C3959">
        <v>268</v>
      </c>
      <c r="D3959">
        <v>140</v>
      </c>
      <c r="E3959" t="s">
        <v>21</v>
      </c>
    </row>
    <row r="3960" spans="1:5" x14ac:dyDescent="0.35">
      <c r="A3960" t="s">
        <v>3821</v>
      </c>
      <c r="B3960" t="s">
        <v>3986</v>
      </c>
      <c r="C3960">
        <v>165</v>
      </c>
      <c r="D3960">
        <v>152</v>
      </c>
      <c r="E3960" t="s">
        <v>7</v>
      </c>
    </row>
    <row r="3961" spans="1:5" x14ac:dyDescent="0.35">
      <c r="A3961" t="s">
        <v>3821</v>
      </c>
      <c r="B3961" t="s">
        <v>3987</v>
      </c>
      <c r="C3961">
        <v>279</v>
      </c>
      <c r="D3961">
        <v>47</v>
      </c>
      <c r="E3961" t="s">
        <v>9</v>
      </c>
    </row>
    <row r="3962" spans="1:5" x14ac:dyDescent="0.35">
      <c r="A3962" t="s">
        <v>3821</v>
      </c>
      <c r="B3962" t="s">
        <v>3988</v>
      </c>
      <c r="C3962">
        <v>86</v>
      </c>
      <c r="D3962">
        <v>74</v>
      </c>
      <c r="E3962" t="s">
        <v>17</v>
      </c>
    </row>
    <row r="3963" spans="1:5" x14ac:dyDescent="0.35">
      <c r="A3963" t="s">
        <v>3821</v>
      </c>
      <c r="B3963" t="s">
        <v>3989</v>
      </c>
      <c r="C3963">
        <v>279</v>
      </c>
      <c r="D3963">
        <v>161</v>
      </c>
      <c r="E3963" t="s">
        <v>21</v>
      </c>
    </row>
    <row r="3964" spans="1:5" x14ac:dyDescent="0.35">
      <c r="A3964" t="s">
        <v>3821</v>
      </c>
      <c r="B3964" t="s">
        <v>3990</v>
      </c>
      <c r="C3964">
        <v>104</v>
      </c>
      <c r="D3964">
        <v>56</v>
      </c>
      <c r="E3964" t="s">
        <v>11</v>
      </c>
    </row>
    <row r="3965" spans="1:5" x14ac:dyDescent="0.35">
      <c r="A3965" t="s">
        <v>3821</v>
      </c>
      <c r="B3965" t="s">
        <v>3991</v>
      </c>
      <c r="C3965">
        <v>247</v>
      </c>
      <c r="D3965">
        <v>142</v>
      </c>
      <c r="E3965" t="s">
        <v>9</v>
      </c>
    </row>
    <row r="3966" spans="1:5" x14ac:dyDescent="0.35">
      <c r="A3966" t="s">
        <v>3821</v>
      </c>
      <c r="B3966" t="s">
        <v>3992</v>
      </c>
      <c r="C3966">
        <v>279</v>
      </c>
      <c r="D3966">
        <v>120</v>
      </c>
      <c r="E3966" t="s">
        <v>15</v>
      </c>
    </row>
    <row r="3967" spans="1:5" x14ac:dyDescent="0.35">
      <c r="A3967" t="s">
        <v>3821</v>
      </c>
      <c r="B3967" t="s">
        <v>3993</v>
      </c>
      <c r="C3967">
        <v>319</v>
      </c>
      <c r="D3967">
        <v>160</v>
      </c>
      <c r="E3967" t="s">
        <v>9</v>
      </c>
    </row>
    <row r="3968" spans="1:5" x14ac:dyDescent="0.35">
      <c r="A3968" t="s">
        <v>3821</v>
      </c>
      <c r="B3968" t="s">
        <v>3994</v>
      </c>
      <c r="C3968">
        <v>223</v>
      </c>
      <c r="D3968">
        <v>179</v>
      </c>
      <c r="E3968" t="s">
        <v>17</v>
      </c>
    </row>
    <row r="3969" spans="1:5" x14ac:dyDescent="0.35">
      <c r="A3969" t="s">
        <v>3821</v>
      </c>
      <c r="B3969" t="s">
        <v>3995</v>
      </c>
      <c r="C3969">
        <v>226</v>
      </c>
      <c r="D3969">
        <v>146</v>
      </c>
      <c r="E3969" t="s">
        <v>9</v>
      </c>
    </row>
    <row r="3970" spans="1:5" x14ac:dyDescent="0.35">
      <c r="A3970" t="s">
        <v>3821</v>
      </c>
      <c r="B3970" t="s">
        <v>3996</v>
      </c>
      <c r="C3970">
        <v>208</v>
      </c>
      <c r="D3970">
        <v>66</v>
      </c>
      <c r="E3970" t="s">
        <v>11</v>
      </c>
    </row>
    <row r="3971" spans="1:5" x14ac:dyDescent="0.35">
      <c r="A3971" t="s">
        <v>3821</v>
      </c>
      <c r="B3971" t="s">
        <v>3997</v>
      </c>
      <c r="C3971">
        <v>228</v>
      </c>
      <c r="D3971">
        <v>189</v>
      </c>
      <c r="E3971" t="s">
        <v>17</v>
      </c>
    </row>
    <row r="3972" spans="1:5" x14ac:dyDescent="0.35">
      <c r="A3972" t="s">
        <v>3821</v>
      </c>
      <c r="B3972" t="s">
        <v>3998</v>
      </c>
      <c r="C3972">
        <v>258</v>
      </c>
      <c r="D3972">
        <v>175</v>
      </c>
      <c r="E3972" t="s">
        <v>21</v>
      </c>
    </row>
    <row r="3973" spans="1:5" x14ac:dyDescent="0.35">
      <c r="A3973" t="s">
        <v>3821</v>
      </c>
      <c r="B3973" t="s">
        <v>3999</v>
      </c>
      <c r="C3973">
        <v>92</v>
      </c>
      <c r="D3973">
        <v>71</v>
      </c>
      <c r="E3973" t="s">
        <v>7</v>
      </c>
    </row>
    <row r="3974" spans="1:5" x14ac:dyDescent="0.35">
      <c r="A3974" t="s">
        <v>3821</v>
      </c>
      <c r="B3974" t="s">
        <v>4000</v>
      </c>
      <c r="C3974">
        <v>269</v>
      </c>
      <c r="D3974">
        <v>45</v>
      </c>
      <c r="E3974" t="s">
        <v>17</v>
      </c>
    </row>
    <row r="3975" spans="1:5" x14ac:dyDescent="0.35">
      <c r="A3975" t="s">
        <v>3821</v>
      </c>
      <c r="B3975" t="s">
        <v>4001</v>
      </c>
      <c r="C3975">
        <v>295</v>
      </c>
      <c r="D3975">
        <v>116</v>
      </c>
      <c r="E3975" t="s">
        <v>7</v>
      </c>
    </row>
    <row r="3976" spans="1:5" x14ac:dyDescent="0.35">
      <c r="A3976" t="s">
        <v>3821</v>
      </c>
      <c r="B3976" t="s">
        <v>4002</v>
      </c>
      <c r="C3976">
        <v>225</v>
      </c>
      <c r="D3976">
        <v>138</v>
      </c>
      <c r="E3976" t="s">
        <v>17</v>
      </c>
    </row>
    <row r="3977" spans="1:5" x14ac:dyDescent="0.35">
      <c r="A3977" t="s">
        <v>3821</v>
      </c>
      <c r="B3977" t="s">
        <v>4003</v>
      </c>
      <c r="C3977">
        <v>297</v>
      </c>
      <c r="D3977">
        <v>70</v>
      </c>
      <c r="E3977" t="s">
        <v>33</v>
      </c>
    </row>
    <row r="3978" spans="1:5" x14ac:dyDescent="0.35">
      <c r="A3978" t="s">
        <v>3821</v>
      </c>
      <c r="B3978" t="s">
        <v>4004</v>
      </c>
      <c r="C3978">
        <v>148</v>
      </c>
      <c r="D3978">
        <v>63</v>
      </c>
      <c r="E3978" t="s">
        <v>33</v>
      </c>
    </row>
    <row r="3979" spans="1:5" x14ac:dyDescent="0.35">
      <c r="A3979" t="s">
        <v>3821</v>
      </c>
      <c r="B3979" t="s">
        <v>4005</v>
      </c>
      <c r="C3979">
        <v>172</v>
      </c>
      <c r="D3979">
        <v>161</v>
      </c>
      <c r="E3979" t="s">
        <v>11</v>
      </c>
    </row>
    <row r="3980" spans="1:5" x14ac:dyDescent="0.35">
      <c r="A3980" t="s">
        <v>3821</v>
      </c>
      <c r="B3980" t="s">
        <v>4006</v>
      </c>
      <c r="C3980">
        <v>154</v>
      </c>
      <c r="D3980">
        <v>73</v>
      </c>
      <c r="E3980" t="s">
        <v>11</v>
      </c>
    </row>
    <row r="3981" spans="1:5" x14ac:dyDescent="0.35">
      <c r="A3981" t="s">
        <v>3821</v>
      </c>
      <c r="B3981" t="s">
        <v>4007</v>
      </c>
      <c r="C3981">
        <v>277</v>
      </c>
      <c r="D3981">
        <v>146</v>
      </c>
      <c r="E3981" t="s">
        <v>17</v>
      </c>
    </row>
    <row r="3982" spans="1:5" x14ac:dyDescent="0.35">
      <c r="A3982" t="s">
        <v>3821</v>
      </c>
      <c r="B3982" t="s">
        <v>4008</v>
      </c>
      <c r="C3982">
        <v>289</v>
      </c>
      <c r="D3982">
        <v>169</v>
      </c>
      <c r="E3982" t="s">
        <v>33</v>
      </c>
    </row>
    <row r="3983" spans="1:5" x14ac:dyDescent="0.35">
      <c r="A3983" t="s">
        <v>3821</v>
      </c>
      <c r="B3983" t="s">
        <v>4009</v>
      </c>
      <c r="C3983">
        <v>307</v>
      </c>
      <c r="D3983">
        <v>188</v>
      </c>
      <c r="E3983" t="s">
        <v>17</v>
      </c>
    </row>
    <row r="3984" spans="1:5" x14ac:dyDescent="0.35">
      <c r="A3984" t="s">
        <v>3821</v>
      </c>
      <c r="B3984" t="s">
        <v>4010</v>
      </c>
      <c r="C3984">
        <v>184</v>
      </c>
      <c r="D3984">
        <v>141</v>
      </c>
      <c r="E3984" t="s">
        <v>11</v>
      </c>
    </row>
    <row r="3985" spans="1:5" x14ac:dyDescent="0.35">
      <c r="A3985" t="s">
        <v>3821</v>
      </c>
      <c r="B3985" t="s">
        <v>4011</v>
      </c>
      <c r="C3985">
        <v>252</v>
      </c>
      <c r="D3985">
        <v>36</v>
      </c>
      <c r="E3985" t="s">
        <v>7</v>
      </c>
    </row>
    <row r="3986" spans="1:5" x14ac:dyDescent="0.35">
      <c r="A3986" t="s">
        <v>3821</v>
      </c>
      <c r="B3986" t="s">
        <v>4012</v>
      </c>
      <c r="C3986">
        <v>256</v>
      </c>
      <c r="D3986">
        <v>92</v>
      </c>
      <c r="E3986" t="s">
        <v>33</v>
      </c>
    </row>
    <row r="3987" spans="1:5" x14ac:dyDescent="0.35">
      <c r="A3987" t="s">
        <v>3821</v>
      </c>
      <c r="B3987" t="s">
        <v>4013</v>
      </c>
      <c r="C3987">
        <v>261</v>
      </c>
      <c r="D3987">
        <v>168</v>
      </c>
      <c r="E3987" t="s">
        <v>17</v>
      </c>
    </row>
    <row r="3988" spans="1:5" x14ac:dyDescent="0.35">
      <c r="A3988" t="s">
        <v>3821</v>
      </c>
      <c r="B3988" t="s">
        <v>4014</v>
      </c>
      <c r="C3988">
        <v>107</v>
      </c>
      <c r="D3988">
        <v>92</v>
      </c>
      <c r="E3988" t="s">
        <v>15</v>
      </c>
    </row>
    <row r="3989" spans="1:5" x14ac:dyDescent="0.35">
      <c r="A3989" t="s">
        <v>3821</v>
      </c>
      <c r="B3989" t="s">
        <v>4015</v>
      </c>
      <c r="C3989">
        <v>280</v>
      </c>
      <c r="D3989">
        <v>83</v>
      </c>
      <c r="E3989" t="s">
        <v>11</v>
      </c>
    </row>
    <row r="3990" spans="1:5" x14ac:dyDescent="0.35">
      <c r="A3990" t="s">
        <v>3821</v>
      </c>
      <c r="B3990" t="s">
        <v>4016</v>
      </c>
      <c r="C3990">
        <v>163</v>
      </c>
      <c r="D3990">
        <v>103</v>
      </c>
      <c r="E3990" t="s">
        <v>11</v>
      </c>
    </row>
    <row r="3991" spans="1:5" x14ac:dyDescent="0.35">
      <c r="A3991" t="s">
        <v>3821</v>
      </c>
      <c r="B3991" t="s">
        <v>4017</v>
      </c>
      <c r="C3991">
        <v>160</v>
      </c>
      <c r="D3991">
        <v>83</v>
      </c>
      <c r="E3991" t="s">
        <v>17</v>
      </c>
    </row>
    <row r="3992" spans="1:5" x14ac:dyDescent="0.35">
      <c r="A3992" t="s">
        <v>3821</v>
      </c>
      <c r="B3992" t="s">
        <v>4018</v>
      </c>
      <c r="C3992">
        <v>307</v>
      </c>
      <c r="D3992">
        <v>79</v>
      </c>
      <c r="E3992" t="s">
        <v>33</v>
      </c>
    </row>
    <row r="3993" spans="1:5" x14ac:dyDescent="0.35">
      <c r="A3993" t="s">
        <v>3821</v>
      </c>
      <c r="B3993" t="s">
        <v>4019</v>
      </c>
      <c r="C3993">
        <v>170</v>
      </c>
      <c r="D3993">
        <v>56</v>
      </c>
      <c r="E3993" t="s">
        <v>11</v>
      </c>
    </row>
    <row r="3994" spans="1:5" x14ac:dyDescent="0.35">
      <c r="A3994" t="s">
        <v>3821</v>
      </c>
      <c r="B3994" t="s">
        <v>4020</v>
      </c>
      <c r="C3994">
        <v>286</v>
      </c>
      <c r="D3994">
        <v>113</v>
      </c>
      <c r="E3994" t="s">
        <v>33</v>
      </c>
    </row>
    <row r="3995" spans="1:5" x14ac:dyDescent="0.35">
      <c r="A3995" t="s">
        <v>3821</v>
      </c>
      <c r="B3995" t="s">
        <v>4021</v>
      </c>
      <c r="C3995">
        <v>194</v>
      </c>
      <c r="D3995">
        <v>115</v>
      </c>
      <c r="E3995" t="s">
        <v>11</v>
      </c>
    </row>
    <row r="3996" spans="1:5" x14ac:dyDescent="0.35">
      <c r="A3996" t="s">
        <v>3821</v>
      </c>
      <c r="B3996" t="s">
        <v>4022</v>
      </c>
      <c r="C3996">
        <v>282</v>
      </c>
      <c r="D3996">
        <v>36</v>
      </c>
      <c r="E3996" t="s">
        <v>33</v>
      </c>
    </row>
    <row r="3997" spans="1:5" x14ac:dyDescent="0.35">
      <c r="A3997" t="s">
        <v>3821</v>
      </c>
      <c r="B3997" t="s">
        <v>4023</v>
      </c>
      <c r="C3997">
        <v>258</v>
      </c>
      <c r="D3997">
        <v>89</v>
      </c>
      <c r="E3997" t="s">
        <v>21</v>
      </c>
    </row>
    <row r="3998" spans="1:5" x14ac:dyDescent="0.35">
      <c r="A3998" t="s">
        <v>3821</v>
      </c>
      <c r="B3998" t="s">
        <v>4024</v>
      </c>
      <c r="C3998">
        <v>288</v>
      </c>
      <c r="D3998">
        <v>107</v>
      </c>
      <c r="E3998" t="s">
        <v>11</v>
      </c>
    </row>
    <row r="3999" spans="1:5" x14ac:dyDescent="0.35">
      <c r="A3999" t="s">
        <v>3821</v>
      </c>
      <c r="B3999" t="s">
        <v>4025</v>
      </c>
      <c r="C3999">
        <v>194</v>
      </c>
      <c r="D3999">
        <v>139</v>
      </c>
      <c r="E3999" t="s">
        <v>15</v>
      </c>
    </row>
    <row r="4000" spans="1:5" x14ac:dyDescent="0.35">
      <c r="A4000" t="s">
        <v>3821</v>
      </c>
      <c r="B4000" t="s">
        <v>4026</v>
      </c>
      <c r="C4000">
        <v>101</v>
      </c>
      <c r="D4000">
        <v>57</v>
      </c>
      <c r="E4000" t="s">
        <v>9</v>
      </c>
    </row>
    <row r="4001" spans="1:5" x14ac:dyDescent="0.35">
      <c r="A4001" t="s">
        <v>3821</v>
      </c>
      <c r="B4001" t="s">
        <v>4027</v>
      </c>
      <c r="C4001">
        <v>133</v>
      </c>
      <c r="D4001">
        <v>128</v>
      </c>
      <c r="E4001" t="s">
        <v>11</v>
      </c>
    </row>
    <row r="4002" spans="1:5" x14ac:dyDescent="0.35">
      <c r="A4002" t="s">
        <v>3821</v>
      </c>
      <c r="B4002" t="s">
        <v>4028</v>
      </c>
      <c r="C4002">
        <v>213</v>
      </c>
      <c r="D4002">
        <v>148</v>
      </c>
      <c r="E4002" t="s">
        <v>21</v>
      </c>
    </row>
    <row r="4003" spans="1:5" x14ac:dyDescent="0.35">
      <c r="A4003" t="s">
        <v>3821</v>
      </c>
      <c r="B4003" t="s">
        <v>4029</v>
      </c>
      <c r="C4003">
        <v>82</v>
      </c>
      <c r="D4003">
        <v>56</v>
      </c>
      <c r="E4003" t="s">
        <v>7</v>
      </c>
    </row>
    <row r="4004" spans="1:5" x14ac:dyDescent="0.35">
      <c r="A4004" t="s">
        <v>3821</v>
      </c>
      <c r="B4004" t="s">
        <v>4030</v>
      </c>
      <c r="C4004">
        <v>168</v>
      </c>
      <c r="D4004">
        <v>56</v>
      </c>
      <c r="E4004" t="s">
        <v>21</v>
      </c>
    </row>
    <row r="4005" spans="1:5" x14ac:dyDescent="0.35">
      <c r="A4005" t="s">
        <v>3821</v>
      </c>
      <c r="B4005" t="s">
        <v>4031</v>
      </c>
      <c r="C4005">
        <v>240</v>
      </c>
      <c r="D4005">
        <v>173</v>
      </c>
      <c r="E4005" t="s">
        <v>33</v>
      </c>
    </row>
    <row r="4006" spans="1:5" x14ac:dyDescent="0.35">
      <c r="A4006" t="s">
        <v>3821</v>
      </c>
      <c r="B4006" t="s">
        <v>4032</v>
      </c>
      <c r="C4006">
        <v>291</v>
      </c>
      <c r="D4006">
        <v>84</v>
      </c>
      <c r="E4006" t="s">
        <v>21</v>
      </c>
    </row>
    <row r="4007" spans="1:5" x14ac:dyDescent="0.35">
      <c r="A4007" t="s">
        <v>3821</v>
      </c>
      <c r="B4007" t="s">
        <v>4033</v>
      </c>
      <c r="C4007">
        <v>215</v>
      </c>
      <c r="D4007">
        <v>95</v>
      </c>
      <c r="E4007" t="s">
        <v>11</v>
      </c>
    </row>
    <row r="4008" spans="1:5" x14ac:dyDescent="0.35">
      <c r="A4008" t="s">
        <v>3821</v>
      </c>
      <c r="B4008" t="s">
        <v>4034</v>
      </c>
      <c r="C4008">
        <v>178</v>
      </c>
      <c r="D4008">
        <v>75</v>
      </c>
      <c r="E4008" t="s">
        <v>9</v>
      </c>
    </row>
    <row r="4009" spans="1:5" x14ac:dyDescent="0.35">
      <c r="A4009" t="s">
        <v>3821</v>
      </c>
      <c r="B4009" t="s">
        <v>4035</v>
      </c>
      <c r="C4009">
        <v>288</v>
      </c>
      <c r="D4009">
        <v>146</v>
      </c>
      <c r="E4009" t="s">
        <v>11</v>
      </c>
    </row>
    <row r="4010" spans="1:5" x14ac:dyDescent="0.35">
      <c r="A4010" t="s">
        <v>3821</v>
      </c>
      <c r="B4010" t="s">
        <v>4036</v>
      </c>
      <c r="C4010">
        <v>226</v>
      </c>
      <c r="D4010">
        <v>143</v>
      </c>
      <c r="E4010" t="s">
        <v>7</v>
      </c>
    </row>
    <row r="4011" spans="1:5" x14ac:dyDescent="0.35">
      <c r="A4011" t="s">
        <v>3821</v>
      </c>
      <c r="B4011" t="s">
        <v>4037</v>
      </c>
      <c r="C4011">
        <v>201</v>
      </c>
      <c r="D4011">
        <v>116</v>
      </c>
      <c r="E4011" t="s">
        <v>15</v>
      </c>
    </row>
    <row r="4012" spans="1:5" x14ac:dyDescent="0.35">
      <c r="A4012" t="s">
        <v>3821</v>
      </c>
      <c r="B4012" t="s">
        <v>4038</v>
      </c>
      <c r="C4012">
        <v>274</v>
      </c>
      <c r="D4012">
        <v>64</v>
      </c>
      <c r="E4012" t="s">
        <v>15</v>
      </c>
    </row>
    <row r="4013" spans="1:5" x14ac:dyDescent="0.35">
      <c r="A4013" t="s">
        <v>3821</v>
      </c>
      <c r="B4013" t="s">
        <v>4039</v>
      </c>
      <c r="C4013">
        <v>116</v>
      </c>
      <c r="D4013">
        <v>101</v>
      </c>
      <c r="E4013" t="s">
        <v>7</v>
      </c>
    </row>
    <row r="4014" spans="1:5" x14ac:dyDescent="0.35">
      <c r="A4014" t="s">
        <v>3821</v>
      </c>
      <c r="B4014" t="s">
        <v>4040</v>
      </c>
      <c r="C4014">
        <v>208</v>
      </c>
      <c r="D4014">
        <v>171</v>
      </c>
      <c r="E4014" t="s">
        <v>7</v>
      </c>
    </row>
    <row r="4015" spans="1:5" x14ac:dyDescent="0.35">
      <c r="A4015" t="s">
        <v>3821</v>
      </c>
      <c r="B4015" t="s">
        <v>4041</v>
      </c>
      <c r="C4015">
        <v>102</v>
      </c>
      <c r="D4015">
        <v>39</v>
      </c>
      <c r="E4015" t="s">
        <v>7</v>
      </c>
    </row>
    <row r="4016" spans="1:5" x14ac:dyDescent="0.35">
      <c r="A4016" t="s">
        <v>3821</v>
      </c>
      <c r="B4016" t="s">
        <v>4042</v>
      </c>
      <c r="C4016">
        <v>295</v>
      </c>
      <c r="D4016">
        <v>69</v>
      </c>
      <c r="E4016" t="s">
        <v>7</v>
      </c>
    </row>
    <row r="4017" spans="1:5" x14ac:dyDescent="0.35">
      <c r="A4017" t="s">
        <v>3821</v>
      </c>
      <c r="B4017" t="s">
        <v>4043</v>
      </c>
      <c r="C4017">
        <v>108</v>
      </c>
      <c r="D4017">
        <v>88</v>
      </c>
      <c r="E4017" t="s">
        <v>11</v>
      </c>
    </row>
    <row r="4018" spans="1:5" x14ac:dyDescent="0.35">
      <c r="A4018" t="s">
        <v>3821</v>
      </c>
      <c r="B4018" t="s">
        <v>4044</v>
      </c>
      <c r="C4018">
        <v>239</v>
      </c>
      <c r="D4018">
        <v>129</v>
      </c>
      <c r="E4018" t="s">
        <v>21</v>
      </c>
    </row>
    <row r="4019" spans="1:5" x14ac:dyDescent="0.35">
      <c r="A4019" t="s">
        <v>3821</v>
      </c>
      <c r="B4019" t="s">
        <v>4045</v>
      </c>
      <c r="C4019">
        <v>158</v>
      </c>
      <c r="D4019">
        <v>80</v>
      </c>
      <c r="E4019" t="s">
        <v>21</v>
      </c>
    </row>
    <row r="4020" spans="1:5" x14ac:dyDescent="0.35">
      <c r="A4020" t="s">
        <v>4046</v>
      </c>
      <c r="B4020" t="s">
        <v>4047</v>
      </c>
      <c r="C4020">
        <v>107</v>
      </c>
      <c r="D4020">
        <v>54</v>
      </c>
      <c r="E4020" t="s">
        <v>11</v>
      </c>
    </row>
    <row r="4021" spans="1:5" x14ac:dyDescent="0.35">
      <c r="A4021" t="s">
        <v>4046</v>
      </c>
      <c r="B4021" t="s">
        <v>4048</v>
      </c>
      <c r="C4021">
        <v>291</v>
      </c>
      <c r="D4021">
        <v>150</v>
      </c>
      <c r="E4021" t="s">
        <v>15</v>
      </c>
    </row>
    <row r="4022" spans="1:5" x14ac:dyDescent="0.35">
      <c r="A4022" t="s">
        <v>4046</v>
      </c>
      <c r="B4022" t="s">
        <v>4049</v>
      </c>
      <c r="C4022">
        <v>151</v>
      </c>
      <c r="D4022">
        <v>73</v>
      </c>
      <c r="E4022" t="s">
        <v>9</v>
      </c>
    </row>
    <row r="4023" spans="1:5" x14ac:dyDescent="0.35">
      <c r="A4023" t="s">
        <v>4046</v>
      </c>
      <c r="B4023" t="s">
        <v>4050</v>
      </c>
      <c r="C4023">
        <v>256</v>
      </c>
      <c r="D4023">
        <v>90</v>
      </c>
      <c r="E4023" t="s">
        <v>11</v>
      </c>
    </row>
    <row r="4024" spans="1:5" x14ac:dyDescent="0.35">
      <c r="A4024" t="s">
        <v>4046</v>
      </c>
      <c r="B4024" t="s">
        <v>4051</v>
      </c>
      <c r="C4024">
        <v>75</v>
      </c>
      <c r="D4024">
        <v>63</v>
      </c>
      <c r="E4024" t="s">
        <v>7</v>
      </c>
    </row>
    <row r="4025" spans="1:5" x14ac:dyDescent="0.35">
      <c r="A4025" t="s">
        <v>4046</v>
      </c>
      <c r="B4025" t="s">
        <v>4052</v>
      </c>
      <c r="C4025">
        <v>125</v>
      </c>
      <c r="D4025">
        <v>119</v>
      </c>
      <c r="E4025" t="s">
        <v>7</v>
      </c>
    </row>
    <row r="4026" spans="1:5" x14ac:dyDescent="0.35">
      <c r="A4026" t="s">
        <v>4046</v>
      </c>
      <c r="B4026" t="s">
        <v>4053</v>
      </c>
      <c r="C4026">
        <v>205</v>
      </c>
      <c r="D4026">
        <v>161</v>
      </c>
      <c r="E4026" t="s">
        <v>9</v>
      </c>
    </row>
    <row r="4027" spans="1:5" x14ac:dyDescent="0.35">
      <c r="A4027" t="s">
        <v>4046</v>
      </c>
      <c r="B4027" t="s">
        <v>4054</v>
      </c>
      <c r="C4027">
        <v>139</v>
      </c>
      <c r="D4027">
        <v>65</v>
      </c>
      <c r="E4027" t="s">
        <v>21</v>
      </c>
    </row>
    <row r="4028" spans="1:5" x14ac:dyDescent="0.35">
      <c r="A4028" t="s">
        <v>4046</v>
      </c>
      <c r="B4028" t="s">
        <v>4055</v>
      </c>
      <c r="C4028">
        <v>128</v>
      </c>
      <c r="D4028">
        <v>116</v>
      </c>
      <c r="E4028" t="s">
        <v>11</v>
      </c>
    </row>
    <row r="4029" spans="1:5" x14ac:dyDescent="0.35">
      <c r="A4029" t="s">
        <v>4046</v>
      </c>
      <c r="B4029" t="s">
        <v>4056</v>
      </c>
      <c r="C4029">
        <v>136</v>
      </c>
      <c r="D4029">
        <v>119</v>
      </c>
      <c r="E4029" t="s">
        <v>33</v>
      </c>
    </row>
    <row r="4030" spans="1:5" x14ac:dyDescent="0.35">
      <c r="A4030" t="s">
        <v>4046</v>
      </c>
      <c r="B4030" t="s">
        <v>4057</v>
      </c>
      <c r="C4030">
        <v>219</v>
      </c>
      <c r="D4030">
        <v>190</v>
      </c>
      <c r="E4030" t="s">
        <v>15</v>
      </c>
    </row>
    <row r="4031" spans="1:5" x14ac:dyDescent="0.35">
      <c r="A4031" t="s">
        <v>4046</v>
      </c>
      <c r="B4031" t="s">
        <v>4058</v>
      </c>
      <c r="C4031">
        <v>173</v>
      </c>
      <c r="D4031">
        <v>51</v>
      </c>
      <c r="E4031" t="s">
        <v>33</v>
      </c>
    </row>
    <row r="4032" spans="1:5" x14ac:dyDescent="0.35">
      <c r="A4032" t="s">
        <v>4046</v>
      </c>
      <c r="B4032" t="s">
        <v>4059</v>
      </c>
      <c r="C4032">
        <v>101</v>
      </c>
      <c r="D4032">
        <v>85</v>
      </c>
      <c r="E4032" t="s">
        <v>15</v>
      </c>
    </row>
    <row r="4033" spans="1:5" x14ac:dyDescent="0.35">
      <c r="A4033" t="s">
        <v>4046</v>
      </c>
      <c r="B4033" t="s">
        <v>4060</v>
      </c>
      <c r="C4033">
        <v>306</v>
      </c>
      <c r="D4033">
        <v>96</v>
      </c>
      <c r="E4033" t="s">
        <v>21</v>
      </c>
    </row>
    <row r="4034" spans="1:5" x14ac:dyDescent="0.35">
      <c r="A4034" t="s">
        <v>4046</v>
      </c>
      <c r="B4034" t="s">
        <v>4061</v>
      </c>
      <c r="C4034">
        <v>318</v>
      </c>
      <c r="D4034">
        <v>30</v>
      </c>
      <c r="E4034" t="s">
        <v>15</v>
      </c>
    </row>
    <row r="4035" spans="1:5" x14ac:dyDescent="0.35">
      <c r="A4035" t="s">
        <v>4046</v>
      </c>
      <c r="B4035" t="s">
        <v>4062</v>
      </c>
      <c r="C4035">
        <v>182</v>
      </c>
      <c r="D4035">
        <v>121</v>
      </c>
      <c r="E4035" t="s">
        <v>9</v>
      </c>
    </row>
    <row r="4036" spans="1:5" x14ac:dyDescent="0.35">
      <c r="A4036" t="s">
        <v>4046</v>
      </c>
      <c r="B4036" t="s">
        <v>4063</v>
      </c>
      <c r="C4036">
        <v>100</v>
      </c>
      <c r="D4036">
        <v>33</v>
      </c>
      <c r="E4036" t="s">
        <v>21</v>
      </c>
    </row>
    <row r="4037" spans="1:5" x14ac:dyDescent="0.35">
      <c r="A4037" t="s">
        <v>4046</v>
      </c>
      <c r="B4037" t="s">
        <v>4064</v>
      </c>
      <c r="C4037">
        <v>139</v>
      </c>
      <c r="D4037">
        <v>81</v>
      </c>
      <c r="E4037" t="s">
        <v>7</v>
      </c>
    </row>
    <row r="4038" spans="1:5" x14ac:dyDescent="0.35">
      <c r="A4038" t="s">
        <v>4046</v>
      </c>
      <c r="B4038" t="s">
        <v>4065</v>
      </c>
      <c r="C4038">
        <v>281</v>
      </c>
      <c r="D4038">
        <v>143</v>
      </c>
      <c r="E4038" t="s">
        <v>7</v>
      </c>
    </row>
    <row r="4039" spans="1:5" x14ac:dyDescent="0.35">
      <c r="A4039" t="s">
        <v>4046</v>
      </c>
      <c r="B4039" t="s">
        <v>4066</v>
      </c>
      <c r="C4039">
        <v>305</v>
      </c>
      <c r="D4039">
        <v>101</v>
      </c>
      <c r="E4039" t="s">
        <v>7</v>
      </c>
    </row>
    <row r="4040" spans="1:5" x14ac:dyDescent="0.35">
      <c r="A4040" t="s">
        <v>4046</v>
      </c>
      <c r="B4040" t="s">
        <v>4067</v>
      </c>
      <c r="C4040">
        <v>268</v>
      </c>
      <c r="D4040">
        <v>40</v>
      </c>
      <c r="E4040" t="s">
        <v>17</v>
      </c>
    </row>
    <row r="4041" spans="1:5" x14ac:dyDescent="0.35">
      <c r="A4041" t="s">
        <v>4046</v>
      </c>
      <c r="B4041" t="s">
        <v>4068</v>
      </c>
      <c r="C4041">
        <v>222</v>
      </c>
      <c r="D4041">
        <v>123</v>
      </c>
      <c r="E4041" t="s">
        <v>17</v>
      </c>
    </row>
    <row r="4042" spans="1:5" x14ac:dyDescent="0.35">
      <c r="A4042" t="s">
        <v>4046</v>
      </c>
      <c r="B4042" t="s">
        <v>4069</v>
      </c>
      <c r="C4042">
        <v>312</v>
      </c>
      <c r="D4042">
        <v>135</v>
      </c>
      <c r="E4042" t="s">
        <v>9</v>
      </c>
    </row>
    <row r="4043" spans="1:5" x14ac:dyDescent="0.35">
      <c r="A4043" t="s">
        <v>4046</v>
      </c>
      <c r="B4043" t="s">
        <v>4070</v>
      </c>
      <c r="C4043">
        <v>192</v>
      </c>
      <c r="D4043">
        <v>185</v>
      </c>
      <c r="E4043" t="s">
        <v>11</v>
      </c>
    </row>
    <row r="4044" spans="1:5" x14ac:dyDescent="0.35">
      <c r="A4044" t="s">
        <v>4046</v>
      </c>
      <c r="B4044" t="s">
        <v>4071</v>
      </c>
      <c r="C4044">
        <v>264</v>
      </c>
      <c r="D4044">
        <v>168</v>
      </c>
      <c r="E4044" t="s">
        <v>21</v>
      </c>
    </row>
    <row r="4045" spans="1:5" x14ac:dyDescent="0.35">
      <c r="A4045" t="s">
        <v>4046</v>
      </c>
      <c r="B4045" t="s">
        <v>4072</v>
      </c>
      <c r="C4045">
        <v>232</v>
      </c>
      <c r="D4045">
        <v>116</v>
      </c>
      <c r="E4045" t="s">
        <v>11</v>
      </c>
    </row>
    <row r="4046" spans="1:5" x14ac:dyDescent="0.35">
      <c r="A4046" t="s">
        <v>4046</v>
      </c>
      <c r="B4046" t="s">
        <v>4073</v>
      </c>
      <c r="C4046">
        <v>294</v>
      </c>
      <c r="D4046">
        <v>82</v>
      </c>
      <c r="E4046" t="s">
        <v>7</v>
      </c>
    </row>
    <row r="4047" spans="1:5" x14ac:dyDescent="0.35">
      <c r="A4047" t="s">
        <v>4046</v>
      </c>
      <c r="B4047" t="s">
        <v>4074</v>
      </c>
      <c r="C4047">
        <v>112</v>
      </c>
      <c r="D4047">
        <v>37</v>
      </c>
      <c r="E4047" t="s">
        <v>21</v>
      </c>
    </row>
    <row r="4048" spans="1:5" x14ac:dyDescent="0.35">
      <c r="A4048" t="s">
        <v>4046</v>
      </c>
      <c r="B4048" t="s">
        <v>4075</v>
      </c>
      <c r="C4048">
        <v>212</v>
      </c>
      <c r="D4048">
        <v>64</v>
      </c>
      <c r="E4048" t="s">
        <v>15</v>
      </c>
    </row>
    <row r="4049" spans="1:5" x14ac:dyDescent="0.35">
      <c r="A4049" t="s">
        <v>4046</v>
      </c>
      <c r="B4049" t="s">
        <v>4076</v>
      </c>
      <c r="C4049">
        <v>181</v>
      </c>
      <c r="D4049">
        <v>45</v>
      </c>
      <c r="E4049" t="s">
        <v>21</v>
      </c>
    </row>
    <row r="4050" spans="1:5" x14ac:dyDescent="0.35">
      <c r="A4050" t="s">
        <v>4046</v>
      </c>
      <c r="B4050" t="s">
        <v>4077</v>
      </c>
      <c r="C4050">
        <v>64</v>
      </c>
      <c r="D4050">
        <v>62</v>
      </c>
      <c r="E4050" t="s">
        <v>33</v>
      </c>
    </row>
    <row r="4051" spans="1:5" x14ac:dyDescent="0.35">
      <c r="A4051" t="s">
        <v>4046</v>
      </c>
      <c r="B4051" t="s">
        <v>4078</v>
      </c>
      <c r="C4051">
        <v>175</v>
      </c>
      <c r="D4051">
        <v>37</v>
      </c>
      <c r="E4051" t="s">
        <v>9</v>
      </c>
    </row>
    <row r="4052" spans="1:5" x14ac:dyDescent="0.35">
      <c r="A4052" t="s">
        <v>4046</v>
      </c>
      <c r="B4052" t="s">
        <v>4079</v>
      </c>
      <c r="C4052">
        <v>286</v>
      </c>
      <c r="D4052">
        <v>168</v>
      </c>
      <c r="E4052" t="s">
        <v>17</v>
      </c>
    </row>
    <row r="4053" spans="1:5" x14ac:dyDescent="0.35">
      <c r="A4053" t="s">
        <v>4046</v>
      </c>
      <c r="B4053" t="s">
        <v>4080</v>
      </c>
      <c r="C4053">
        <v>178</v>
      </c>
      <c r="D4053">
        <v>124</v>
      </c>
      <c r="E4053" t="s">
        <v>33</v>
      </c>
    </row>
    <row r="4054" spans="1:5" x14ac:dyDescent="0.35">
      <c r="A4054" t="s">
        <v>4046</v>
      </c>
      <c r="B4054" t="s">
        <v>4081</v>
      </c>
      <c r="C4054">
        <v>179</v>
      </c>
      <c r="D4054">
        <v>173</v>
      </c>
      <c r="E4054" t="s">
        <v>11</v>
      </c>
    </row>
    <row r="4055" spans="1:5" x14ac:dyDescent="0.35">
      <c r="A4055" t="s">
        <v>4046</v>
      </c>
      <c r="B4055" t="s">
        <v>4082</v>
      </c>
      <c r="C4055">
        <v>238</v>
      </c>
      <c r="D4055">
        <v>101</v>
      </c>
      <c r="E4055" t="s">
        <v>9</v>
      </c>
    </row>
    <row r="4056" spans="1:5" x14ac:dyDescent="0.35">
      <c r="A4056" t="s">
        <v>4046</v>
      </c>
      <c r="B4056" t="s">
        <v>4083</v>
      </c>
      <c r="C4056">
        <v>187</v>
      </c>
      <c r="D4056">
        <v>175</v>
      </c>
      <c r="E4056" t="s">
        <v>21</v>
      </c>
    </row>
    <row r="4057" spans="1:5" x14ac:dyDescent="0.35">
      <c r="A4057" t="s">
        <v>4046</v>
      </c>
      <c r="B4057" t="s">
        <v>4084</v>
      </c>
      <c r="C4057">
        <v>163</v>
      </c>
      <c r="D4057">
        <v>101</v>
      </c>
      <c r="E4057" t="s">
        <v>33</v>
      </c>
    </row>
    <row r="4058" spans="1:5" x14ac:dyDescent="0.35">
      <c r="A4058" t="s">
        <v>4046</v>
      </c>
      <c r="B4058" t="s">
        <v>4085</v>
      </c>
      <c r="C4058">
        <v>281</v>
      </c>
      <c r="D4058">
        <v>189</v>
      </c>
      <c r="E4058" t="s">
        <v>9</v>
      </c>
    </row>
    <row r="4059" spans="1:5" x14ac:dyDescent="0.35">
      <c r="A4059" t="s">
        <v>4046</v>
      </c>
      <c r="B4059" t="s">
        <v>4086</v>
      </c>
      <c r="C4059">
        <v>217</v>
      </c>
      <c r="D4059">
        <v>64</v>
      </c>
      <c r="E4059" t="s">
        <v>33</v>
      </c>
    </row>
    <row r="4060" spans="1:5" x14ac:dyDescent="0.35">
      <c r="A4060" t="s">
        <v>4046</v>
      </c>
      <c r="B4060" t="s">
        <v>4087</v>
      </c>
      <c r="C4060">
        <v>283</v>
      </c>
      <c r="D4060">
        <v>161</v>
      </c>
      <c r="E4060" t="s">
        <v>33</v>
      </c>
    </row>
    <row r="4061" spans="1:5" x14ac:dyDescent="0.35">
      <c r="A4061" t="s">
        <v>4046</v>
      </c>
      <c r="B4061" t="s">
        <v>4088</v>
      </c>
      <c r="C4061">
        <v>138</v>
      </c>
      <c r="D4061">
        <v>113</v>
      </c>
      <c r="E4061" t="s">
        <v>33</v>
      </c>
    </row>
    <row r="4062" spans="1:5" x14ac:dyDescent="0.35">
      <c r="A4062" t="s">
        <v>4046</v>
      </c>
      <c r="B4062" t="s">
        <v>4089</v>
      </c>
      <c r="C4062">
        <v>197</v>
      </c>
      <c r="D4062">
        <v>96</v>
      </c>
      <c r="E4062" t="s">
        <v>33</v>
      </c>
    </row>
    <row r="4063" spans="1:5" x14ac:dyDescent="0.35">
      <c r="A4063" t="s">
        <v>4046</v>
      </c>
      <c r="B4063" t="s">
        <v>4090</v>
      </c>
      <c r="C4063">
        <v>319</v>
      </c>
      <c r="D4063">
        <v>135</v>
      </c>
      <c r="E4063" t="s">
        <v>7</v>
      </c>
    </row>
    <row r="4064" spans="1:5" x14ac:dyDescent="0.35">
      <c r="A4064" t="s">
        <v>4046</v>
      </c>
      <c r="B4064" t="s">
        <v>4091</v>
      </c>
      <c r="C4064">
        <v>184</v>
      </c>
      <c r="D4064">
        <v>150</v>
      </c>
      <c r="E4064" t="s">
        <v>9</v>
      </c>
    </row>
    <row r="4065" spans="1:5" x14ac:dyDescent="0.35">
      <c r="A4065" t="s">
        <v>4046</v>
      </c>
      <c r="B4065" t="s">
        <v>4092</v>
      </c>
      <c r="C4065">
        <v>160</v>
      </c>
      <c r="D4065">
        <v>56</v>
      </c>
      <c r="E4065" t="s">
        <v>7</v>
      </c>
    </row>
    <row r="4066" spans="1:5" x14ac:dyDescent="0.35">
      <c r="A4066" t="s">
        <v>4046</v>
      </c>
      <c r="B4066" t="s">
        <v>4093</v>
      </c>
      <c r="C4066">
        <v>298</v>
      </c>
      <c r="D4066">
        <v>82</v>
      </c>
      <c r="E4066" t="s">
        <v>17</v>
      </c>
    </row>
    <row r="4067" spans="1:5" x14ac:dyDescent="0.35">
      <c r="A4067" t="s">
        <v>4046</v>
      </c>
      <c r="B4067" t="s">
        <v>4094</v>
      </c>
      <c r="C4067">
        <v>222</v>
      </c>
      <c r="D4067">
        <v>31</v>
      </c>
      <c r="E4067" t="s">
        <v>9</v>
      </c>
    </row>
    <row r="4068" spans="1:5" x14ac:dyDescent="0.35">
      <c r="A4068" t="s">
        <v>4046</v>
      </c>
      <c r="B4068" t="s">
        <v>4095</v>
      </c>
      <c r="C4068">
        <v>244</v>
      </c>
      <c r="D4068">
        <v>148</v>
      </c>
      <c r="E4068" t="s">
        <v>9</v>
      </c>
    </row>
    <row r="4069" spans="1:5" x14ac:dyDescent="0.35">
      <c r="A4069" t="s">
        <v>4046</v>
      </c>
      <c r="B4069" t="s">
        <v>4096</v>
      </c>
      <c r="C4069">
        <v>250</v>
      </c>
      <c r="D4069">
        <v>49</v>
      </c>
      <c r="E4069" t="s">
        <v>33</v>
      </c>
    </row>
    <row r="4070" spans="1:5" x14ac:dyDescent="0.35">
      <c r="A4070" t="s">
        <v>4046</v>
      </c>
      <c r="B4070" t="s">
        <v>4097</v>
      </c>
      <c r="C4070">
        <v>280</v>
      </c>
      <c r="D4070">
        <v>108</v>
      </c>
      <c r="E4070" t="s">
        <v>9</v>
      </c>
    </row>
    <row r="4071" spans="1:5" x14ac:dyDescent="0.35">
      <c r="A4071" t="s">
        <v>4046</v>
      </c>
      <c r="B4071" t="s">
        <v>4098</v>
      </c>
      <c r="C4071">
        <v>299</v>
      </c>
      <c r="D4071">
        <v>144</v>
      </c>
      <c r="E4071" t="s">
        <v>17</v>
      </c>
    </row>
    <row r="4072" spans="1:5" x14ac:dyDescent="0.35">
      <c r="A4072" t="s">
        <v>4046</v>
      </c>
      <c r="B4072" t="s">
        <v>4099</v>
      </c>
      <c r="C4072">
        <v>152</v>
      </c>
      <c r="D4072">
        <v>103</v>
      </c>
      <c r="E4072" t="s">
        <v>9</v>
      </c>
    </row>
    <row r="4073" spans="1:5" x14ac:dyDescent="0.35">
      <c r="A4073" t="s">
        <v>4046</v>
      </c>
      <c r="B4073" t="s">
        <v>4100</v>
      </c>
      <c r="C4073">
        <v>263</v>
      </c>
      <c r="D4073">
        <v>178</v>
      </c>
      <c r="E4073" t="s">
        <v>17</v>
      </c>
    </row>
    <row r="4074" spans="1:5" x14ac:dyDescent="0.35">
      <c r="A4074" t="s">
        <v>4046</v>
      </c>
      <c r="B4074" t="s">
        <v>4101</v>
      </c>
      <c r="C4074">
        <v>232</v>
      </c>
      <c r="D4074">
        <v>63</v>
      </c>
      <c r="E4074" t="s">
        <v>11</v>
      </c>
    </row>
    <row r="4075" spans="1:5" x14ac:dyDescent="0.35">
      <c r="A4075" t="s">
        <v>4046</v>
      </c>
      <c r="B4075" t="s">
        <v>4102</v>
      </c>
      <c r="C4075">
        <v>189</v>
      </c>
      <c r="D4075">
        <v>128</v>
      </c>
      <c r="E4075" t="s">
        <v>7</v>
      </c>
    </row>
    <row r="4076" spans="1:5" x14ac:dyDescent="0.35">
      <c r="A4076" t="s">
        <v>4046</v>
      </c>
      <c r="B4076" t="s">
        <v>4103</v>
      </c>
      <c r="C4076">
        <v>299</v>
      </c>
      <c r="D4076">
        <v>117</v>
      </c>
      <c r="E4076" t="s">
        <v>9</v>
      </c>
    </row>
    <row r="4077" spans="1:5" x14ac:dyDescent="0.35">
      <c r="A4077" t="s">
        <v>4046</v>
      </c>
      <c r="B4077" t="s">
        <v>4104</v>
      </c>
      <c r="C4077">
        <v>200</v>
      </c>
      <c r="D4077">
        <v>136</v>
      </c>
      <c r="E4077" t="s">
        <v>7</v>
      </c>
    </row>
    <row r="4078" spans="1:5" x14ac:dyDescent="0.35">
      <c r="A4078" t="s">
        <v>4046</v>
      </c>
      <c r="B4078" t="s">
        <v>4105</v>
      </c>
      <c r="C4078">
        <v>208</v>
      </c>
      <c r="D4078">
        <v>137</v>
      </c>
      <c r="E4078" t="s">
        <v>11</v>
      </c>
    </row>
    <row r="4079" spans="1:5" x14ac:dyDescent="0.35">
      <c r="A4079" t="s">
        <v>4046</v>
      </c>
      <c r="B4079" t="s">
        <v>4106</v>
      </c>
      <c r="C4079">
        <v>186</v>
      </c>
      <c r="D4079">
        <v>181</v>
      </c>
      <c r="E4079" t="s">
        <v>33</v>
      </c>
    </row>
    <row r="4080" spans="1:5" x14ac:dyDescent="0.35">
      <c r="A4080" t="s">
        <v>4046</v>
      </c>
      <c r="B4080" t="s">
        <v>4107</v>
      </c>
      <c r="C4080">
        <v>308</v>
      </c>
      <c r="D4080">
        <v>109</v>
      </c>
      <c r="E4080" t="s">
        <v>11</v>
      </c>
    </row>
    <row r="4081" spans="1:5" x14ac:dyDescent="0.35">
      <c r="A4081" t="s">
        <v>4046</v>
      </c>
      <c r="B4081" t="s">
        <v>4108</v>
      </c>
      <c r="C4081">
        <v>271</v>
      </c>
      <c r="D4081">
        <v>127</v>
      </c>
      <c r="E4081" t="s">
        <v>17</v>
      </c>
    </row>
    <row r="4082" spans="1:5" x14ac:dyDescent="0.35">
      <c r="A4082" t="s">
        <v>4046</v>
      </c>
      <c r="B4082" t="s">
        <v>4109</v>
      </c>
      <c r="C4082">
        <v>230</v>
      </c>
      <c r="D4082">
        <v>78</v>
      </c>
      <c r="E4082" t="s">
        <v>21</v>
      </c>
    </row>
    <row r="4083" spans="1:5" x14ac:dyDescent="0.35">
      <c r="A4083" t="s">
        <v>4046</v>
      </c>
      <c r="B4083" t="s">
        <v>4110</v>
      </c>
      <c r="C4083">
        <v>92</v>
      </c>
      <c r="D4083">
        <v>31</v>
      </c>
      <c r="E4083" t="s">
        <v>7</v>
      </c>
    </row>
    <row r="4084" spans="1:5" x14ac:dyDescent="0.35">
      <c r="A4084" t="s">
        <v>4046</v>
      </c>
      <c r="B4084" t="s">
        <v>4111</v>
      </c>
      <c r="C4084">
        <v>318</v>
      </c>
      <c r="D4084">
        <v>139</v>
      </c>
      <c r="E4084" t="s">
        <v>9</v>
      </c>
    </row>
    <row r="4085" spans="1:5" x14ac:dyDescent="0.35">
      <c r="A4085" t="s">
        <v>4046</v>
      </c>
      <c r="B4085" t="s">
        <v>4112</v>
      </c>
      <c r="C4085">
        <v>268</v>
      </c>
      <c r="D4085">
        <v>80</v>
      </c>
      <c r="E4085" t="s">
        <v>7</v>
      </c>
    </row>
    <row r="4086" spans="1:5" x14ac:dyDescent="0.35">
      <c r="A4086" t="s">
        <v>4046</v>
      </c>
      <c r="B4086" t="s">
        <v>4113</v>
      </c>
      <c r="C4086">
        <v>290</v>
      </c>
      <c r="D4086">
        <v>186</v>
      </c>
      <c r="E4086" t="s">
        <v>21</v>
      </c>
    </row>
    <row r="4087" spans="1:5" x14ac:dyDescent="0.35">
      <c r="A4087" t="s">
        <v>4046</v>
      </c>
      <c r="B4087" t="s">
        <v>4114</v>
      </c>
      <c r="C4087">
        <v>224</v>
      </c>
      <c r="D4087">
        <v>94</v>
      </c>
      <c r="E4087" t="s">
        <v>11</v>
      </c>
    </row>
    <row r="4088" spans="1:5" x14ac:dyDescent="0.35">
      <c r="A4088" t="s">
        <v>4046</v>
      </c>
      <c r="B4088" t="s">
        <v>4115</v>
      </c>
      <c r="C4088">
        <v>232</v>
      </c>
      <c r="D4088">
        <v>107</v>
      </c>
      <c r="E4088" t="s">
        <v>7</v>
      </c>
    </row>
    <row r="4089" spans="1:5" x14ac:dyDescent="0.35">
      <c r="A4089" t="s">
        <v>4046</v>
      </c>
      <c r="B4089" t="s">
        <v>4116</v>
      </c>
      <c r="C4089">
        <v>205</v>
      </c>
      <c r="D4089">
        <v>88</v>
      </c>
      <c r="E4089" t="s">
        <v>11</v>
      </c>
    </row>
    <row r="4090" spans="1:5" x14ac:dyDescent="0.35">
      <c r="A4090" t="s">
        <v>4046</v>
      </c>
      <c r="B4090" t="s">
        <v>4117</v>
      </c>
      <c r="C4090">
        <v>163</v>
      </c>
      <c r="D4090">
        <v>160</v>
      </c>
      <c r="E4090" t="s">
        <v>9</v>
      </c>
    </row>
    <row r="4091" spans="1:5" x14ac:dyDescent="0.35">
      <c r="A4091" t="s">
        <v>4046</v>
      </c>
      <c r="B4091" t="s">
        <v>4118</v>
      </c>
      <c r="C4091">
        <v>149</v>
      </c>
      <c r="D4091">
        <v>88</v>
      </c>
      <c r="E4091" t="s">
        <v>9</v>
      </c>
    </row>
    <row r="4092" spans="1:5" x14ac:dyDescent="0.35">
      <c r="A4092" t="s">
        <v>4046</v>
      </c>
      <c r="B4092" t="s">
        <v>4119</v>
      </c>
      <c r="C4092">
        <v>197</v>
      </c>
      <c r="D4092">
        <v>130</v>
      </c>
      <c r="E4092" t="s">
        <v>33</v>
      </c>
    </row>
    <row r="4093" spans="1:5" x14ac:dyDescent="0.35">
      <c r="A4093" t="s">
        <v>4046</v>
      </c>
      <c r="B4093" t="s">
        <v>4120</v>
      </c>
      <c r="C4093">
        <v>205</v>
      </c>
      <c r="D4093">
        <v>55</v>
      </c>
      <c r="E4093" t="s">
        <v>11</v>
      </c>
    </row>
    <row r="4094" spans="1:5" x14ac:dyDescent="0.35">
      <c r="A4094" t="s">
        <v>4046</v>
      </c>
      <c r="B4094" t="s">
        <v>4121</v>
      </c>
      <c r="C4094">
        <v>206</v>
      </c>
      <c r="D4094">
        <v>113</v>
      </c>
      <c r="E4094" t="s">
        <v>11</v>
      </c>
    </row>
    <row r="4095" spans="1:5" x14ac:dyDescent="0.35">
      <c r="A4095" t="s">
        <v>4046</v>
      </c>
      <c r="B4095" t="s">
        <v>4122</v>
      </c>
      <c r="C4095">
        <v>163</v>
      </c>
      <c r="D4095">
        <v>124</v>
      </c>
      <c r="E4095" t="s">
        <v>17</v>
      </c>
    </row>
    <row r="4096" spans="1:5" x14ac:dyDescent="0.35">
      <c r="A4096" t="s">
        <v>4046</v>
      </c>
      <c r="B4096" t="s">
        <v>4123</v>
      </c>
      <c r="C4096">
        <v>143</v>
      </c>
      <c r="D4096">
        <v>132</v>
      </c>
      <c r="E4096" t="s">
        <v>15</v>
      </c>
    </row>
    <row r="4097" spans="1:5" x14ac:dyDescent="0.35">
      <c r="A4097" t="s">
        <v>4046</v>
      </c>
      <c r="B4097" t="s">
        <v>4124</v>
      </c>
      <c r="C4097">
        <v>240</v>
      </c>
      <c r="D4097">
        <v>99</v>
      </c>
      <c r="E4097" t="s">
        <v>21</v>
      </c>
    </row>
    <row r="4098" spans="1:5" x14ac:dyDescent="0.35">
      <c r="A4098" t="s">
        <v>4046</v>
      </c>
      <c r="B4098" t="s">
        <v>4125</v>
      </c>
      <c r="C4098">
        <v>235</v>
      </c>
      <c r="D4098">
        <v>121</v>
      </c>
      <c r="E4098" t="s">
        <v>9</v>
      </c>
    </row>
    <row r="4099" spans="1:5" x14ac:dyDescent="0.35">
      <c r="A4099" t="s">
        <v>4046</v>
      </c>
      <c r="B4099" t="s">
        <v>4126</v>
      </c>
      <c r="C4099">
        <v>121</v>
      </c>
      <c r="D4099">
        <v>92</v>
      </c>
      <c r="E4099" t="s">
        <v>21</v>
      </c>
    </row>
    <row r="4100" spans="1:5" x14ac:dyDescent="0.35">
      <c r="A4100" t="s">
        <v>4046</v>
      </c>
      <c r="B4100" t="s">
        <v>4127</v>
      </c>
      <c r="C4100">
        <v>277</v>
      </c>
      <c r="D4100">
        <v>77</v>
      </c>
      <c r="E4100" t="s">
        <v>15</v>
      </c>
    </row>
    <row r="4101" spans="1:5" x14ac:dyDescent="0.35">
      <c r="A4101" t="s">
        <v>4046</v>
      </c>
      <c r="B4101" t="s">
        <v>4128</v>
      </c>
      <c r="C4101">
        <v>287</v>
      </c>
      <c r="D4101">
        <v>186</v>
      </c>
      <c r="E4101" t="s">
        <v>33</v>
      </c>
    </row>
    <row r="4102" spans="1:5" x14ac:dyDescent="0.35">
      <c r="A4102" t="s">
        <v>4046</v>
      </c>
      <c r="B4102" t="s">
        <v>4129</v>
      </c>
      <c r="C4102">
        <v>244</v>
      </c>
      <c r="D4102">
        <v>167</v>
      </c>
      <c r="E4102" t="s">
        <v>17</v>
      </c>
    </row>
    <row r="4103" spans="1:5" x14ac:dyDescent="0.35">
      <c r="A4103" t="s">
        <v>4046</v>
      </c>
      <c r="B4103" t="s">
        <v>4130</v>
      </c>
      <c r="C4103">
        <v>272</v>
      </c>
      <c r="D4103">
        <v>37</v>
      </c>
      <c r="E4103" t="s">
        <v>15</v>
      </c>
    </row>
    <row r="4104" spans="1:5" x14ac:dyDescent="0.35">
      <c r="A4104" t="s">
        <v>4046</v>
      </c>
      <c r="B4104" t="s">
        <v>4131</v>
      </c>
      <c r="C4104">
        <v>195</v>
      </c>
      <c r="D4104">
        <v>178</v>
      </c>
      <c r="E4104" t="s">
        <v>17</v>
      </c>
    </row>
    <row r="4105" spans="1:5" x14ac:dyDescent="0.35">
      <c r="A4105" t="s">
        <v>4046</v>
      </c>
      <c r="B4105" t="s">
        <v>4132</v>
      </c>
      <c r="C4105">
        <v>257</v>
      </c>
      <c r="D4105">
        <v>126</v>
      </c>
      <c r="E4105" t="s">
        <v>33</v>
      </c>
    </row>
    <row r="4106" spans="1:5" x14ac:dyDescent="0.35">
      <c r="A4106" t="s">
        <v>4046</v>
      </c>
      <c r="B4106" t="s">
        <v>4133</v>
      </c>
      <c r="C4106">
        <v>314</v>
      </c>
      <c r="D4106">
        <v>42</v>
      </c>
      <c r="E4106" t="s">
        <v>15</v>
      </c>
    </row>
    <row r="4107" spans="1:5" x14ac:dyDescent="0.35">
      <c r="A4107" t="s">
        <v>4046</v>
      </c>
      <c r="B4107" t="s">
        <v>4134</v>
      </c>
      <c r="C4107">
        <v>312</v>
      </c>
      <c r="D4107">
        <v>89</v>
      </c>
      <c r="E4107" t="s">
        <v>9</v>
      </c>
    </row>
    <row r="4108" spans="1:5" x14ac:dyDescent="0.35">
      <c r="A4108" t="s">
        <v>4046</v>
      </c>
      <c r="B4108" t="s">
        <v>4135</v>
      </c>
      <c r="C4108">
        <v>123</v>
      </c>
      <c r="D4108">
        <v>117</v>
      </c>
      <c r="E4108" t="s">
        <v>17</v>
      </c>
    </row>
    <row r="4109" spans="1:5" x14ac:dyDescent="0.35">
      <c r="A4109" t="s">
        <v>4046</v>
      </c>
      <c r="B4109" t="s">
        <v>4136</v>
      </c>
      <c r="C4109">
        <v>154</v>
      </c>
      <c r="D4109">
        <v>85</v>
      </c>
      <c r="E4109" t="s">
        <v>21</v>
      </c>
    </row>
    <row r="4110" spans="1:5" x14ac:dyDescent="0.35">
      <c r="A4110" t="s">
        <v>4046</v>
      </c>
      <c r="B4110" t="s">
        <v>4137</v>
      </c>
      <c r="C4110">
        <v>274</v>
      </c>
      <c r="D4110">
        <v>42</v>
      </c>
      <c r="E4110" t="s">
        <v>17</v>
      </c>
    </row>
    <row r="4111" spans="1:5" x14ac:dyDescent="0.35">
      <c r="A4111" t="s">
        <v>4046</v>
      </c>
      <c r="B4111" t="s">
        <v>4138</v>
      </c>
      <c r="C4111">
        <v>255</v>
      </c>
      <c r="D4111">
        <v>55</v>
      </c>
      <c r="E4111" t="s">
        <v>7</v>
      </c>
    </row>
    <row r="4112" spans="1:5" x14ac:dyDescent="0.35">
      <c r="A4112" t="s">
        <v>4046</v>
      </c>
      <c r="B4112" t="s">
        <v>4139</v>
      </c>
      <c r="C4112">
        <v>217</v>
      </c>
      <c r="D4112">
        <v>174</v>
      </c>
      <c r="E4112" t="s">
        <v>11</v>
      </c>
    </row>
    <row r="4113" spans="1:5" x14ac:dyDescent="0.35">
      <c r="A4113" t="s">
        <v>4046</v>
      </c>
      <c r="B4113" t="s">
        <v>4140</v>
      </c>
      <c r="C4113">
        <v>208</v>
      </c>
      <c r="D4113">
        <v>73</v>
      </c>
      <c r="E4113" t="s">
        <v>21</v>
      </c>
    </row>
    <row r="4114" spans="1:5" x14ac:dyDescent="0.35">
      <c r="A4114" t="s">
        <v>4046</v>
      </c>
      <c r="B4114" t="s">
        <v>4141</v>
      </c>
      <c r="C4114">
        <v>94</v>
      </c>
      <c r="D4114">
        <v>38</v>
      </c>
      <c r="E4114" t="s">
        <v>17</v>
      </c>
    </row>
    <row r="4115" spans="1:5" x14ac:dyDescent="0.35">
      <c r="A4115" t="s">
        <v>4046</v>
      </c>
      <c r="B4115" t="s">
        <v>4142</v>
      </c>
      <c r="C4115">
        <v>224</v>
      </c>
      <c r="D4115">
        <v>110</v>
      </c>
      <c r="E4115" t="s">
        <v>15</v>
      </c>
    </row>
    <row r="4116" spans="1:5" x14ac:dyDescent="0.35">
      <c r="A4116" t="s">
        <v>4046</v>
      </c>
      <c r="B4116" t="s">
        <v>4143</v>
      </c>
      <c r="C4116">
        <v>123</v>
      </c>
      <c r="D4116">
        <v>123</v>
      </c>
      <c r="E4116" t="s">
        <v>9</v>
      </c>
    </row>
    <row r="4117" spans="1:5" x14ac:dyDescent="0.35">
      <c r="A4117" t="s">
        <v>4046</v>
      </c>
      <c r="B4117" t="s">
        <v>4144</v>
      </c>
      <c r="C4117">
        <v>123</v>
      </c>
      <c r="D4117">
        <v>72</v>
      </c>
      <c r="E4117" t="s">
        <v>33</v>
      </c>
    </row>
    <row r="4118" spans="1:5" x14ac:dyDescent="0.35">
      <c r="A4118" t="s">
        <v>4046</v>
      </c>
      <c r="B4118" t="s">
        <v>4145</v>
      </c>
      <c r="C4118">
        <v>198</v>
      </c>
      <c r="D4118">
        <v>168</v>
      </c>
      <c r="E4118" t="s">
        <v>21</v>
      </c>
    </row>
    <row r="4119" spans="1:5" x14ac:dyDescent="0.35">
      <c r="A4119" t="s">
        <v>4046</v>
      </c>
      <c r="B4119" t="s">
        <v>4146</v>
      </c>
      <c r="C4119">
        <v>272</v>
      </c>
      <c r="D4119">
        <v>85</v>
      </c>
      <c r="E4119" t="s">
        <v>33</v>
      </c>
    </row>
    <row r="4120" spans="1:5" x14ac:dyDescent="0.35">
      <c r="A4120" t="s">
        <v>4046</v>
      </c>
      <c r="B4120" t="s">
        <v>4147</v>
      </c>
      <c r="C4120">
        <v>136</v>
      </c>
      <c r="D4120">
        <v>131</v>
      </c>
      <c r="E4120" t="s">
        <v>17</v>
      </c>
    </row>
    <row r="4121" spans="1:5" x14ac:dyDescent="0.35">
      <c r="A4121" t="s">
        <v>4046</v>
      </c>
      <c r="B4121" t="s">
        <v>4148</v>
      </c>
      <c r="C4121">
        <v>142</v>
      </c>
      <c r="D4121">
        <v>86</v>
      </c>
      <c r="E4121" t="s">
        <v>21</v>
      </c>
    </row>
    <row r="4122" spans="1:5" x14ac:dyDescent="0.35">
      <c r="A4122" t="s">
        <v>4046</v>
      </c>
      <c r="B4122" t="s">
        <v>4149</v>
      </c>
      <c r="C4122">
        <v>205</v>
      </c>
      <c r="D4122">
        <v>177</v>
      </c>
      <c r="E4122" t="s">
        <v>7</v>
      </c>
    </row>
    <row r="4123" spans="1:5" x14ac:dyDescent="0.35">
      <c r="A4123" t="s">
        <v>4046</v>
      </c>
      <c r="B4123" t="s">
        <v>4150</v>
      </c>
      <c r="C4123">
        <v>224</v>
      </c>
      <c r="D4123">
        <v>179</v>
      </c>
      <c r="E4123" t="s">
        <v>33</v>
      </c>
    </row>
    <row r="4124" spans="1:5" x14ac:dyDescent="0.35">
      <c r="A4124" t="s">
        <v>4046</v>
      </c>
      <c r="B4124" t="s">
        <v>4151</v>
      </c>
      <c r="C4124">
        <v>50</v>
      </c>
      <c r="D4124">
        <v>32</v>
      </c>
      <c r="E4124" t="s">
        <v>33</v>
      </c>
    </row>
    <row r="4125" spans="1:5" x14ac:dyDescent="0.35">
      <c r="A4125" t="s">
        <v>4046</v>
      </c>
      <c r="B4125" t="s">
        <v>4152</v>
      </c>
      <c r="C4125">
        <v>196</v>
      </c>
      <c r="D4125">
        <v>119</v>
      </c>
      <c r="E4125" t="s">
        <v>33</v>
      </c>
    </row>
    <row r="4126" spans="1:5" x14ac:dyDescent="0.35">
      <c r="A4126" t="s">
        <v>4046</v>
      </c>
      <c r="B4126" t="s">
        <v>4153</v>
      </c>
      <c r="C4126">
        <v>146</v>
      </c>
      <c r="D4126">
        <v>59</v>
      </c>
      <c r="E4126" t="s">
        <v>11</v>
      </c>
    </row>
    <row r="4127" spans="1:5" x14ac:dyDescent="0.35">
      <c r="A4127" t="s">
        <v>4046</v>
      </c>
      <c r="B4127" t="s">
        <v>4154</v>
      </c>
      <c r="C4127">
        <v>274</v>
      </c>
      <c r="D4127">
        <v>61</v>
      </c>
      <c r="E4127" t="s">
        <v>11</v>
      </c>
    </row>
    <row r="4128" spans="1:5" x14ac:dyDescent="0.35">
      <c r="A4128" t="s">
        <v>4046</v>
      </c>
      <c r="B4128" t="s">
        <v>4155</v>
      </c>
      <c r="C4128">
        <v>169</v>
      </c>
      <c r="D4128">
        <v>136</v>
      </c>
      <c r="E4128" t="s">
        <v>15</v>
      </c>
    </row>
    <row r="4129" spans="1:5" x14ac:dyDescent="0.35">
      <c r="A4129" t="s">
        <v>4046</v>
      </c>
      <c r="B4129" t="s">
        <v>4156</v>
      </c>
      <c r="C4129">
        <v>285</v>
      </c>
      <c r="D4129">
        <v>106</v>
      </c>
      <c r="E4129" t="s">
        <v>17</v>
      </c>
    </row>
    <row r="4130" spans="1:5" x14ac:dyDescent="0.35">
      <c r="A4130" t="s">
        <v>4046</v>
      </c>
      <c r="B4130" t="s">
        <v>4157</v>
      </c>
      <c r="C4130">
        <v>175</v>
      </c>
      <c r="D4130">
        <v>76</v>
      </c>
      <c r="E4130" t="s">
        <v>9</v>
      </c>
    </row>
    <row r="4131" spans="1:5" x14ac:dyDescent="0.35">
      <c r="A4131" t="s">
        <v>4046</v>
      </c>
      <c r="B4131" t="s">
        <v>4158</v>
      </c>
      <c r="C4131">
        <v>214</v>
      </c>
      <c r="D4131">
        <v>147</v>
      </c>
      <c r="E4131" t="s">
        <v>17</v>
      </c>
    </row>
    <row r="4132" spans="1:5" x14ac:dyDescent="0.35">
      <c r="A4132" t="s">
        <v>4046</v>
      </c>
      <c r="B4132" t="s">
        <v>4159</v>
      </c>
      <c r="C4132">
        <v>138</v>
      </c>
      <c r="D4132">
        <v>107</v>
      </c>
      <c r="E4132" t="s">
        <v>7</v>
      </c>
    </row>
    <row r="4133" spans="1:5" x14ac:dyDescent="0.35">
      <c r="A4133" t="s">
        <v>4046</v>
      </c>
      <c r="B4133" t="s">
        <v>4160</v>
      </c>
      <c r="C4133">
        <v>303</v>
      </c>
      <c r="D4133">
        <v>70</v>
      </c>
      <c r="E4133" t="s">
        <v>33</v>
      </c>
    </row>
    <row r="4134" spans="1:5" x14ac:dyDescent="0.35">
      <c r="A4134" t="s">
        <v>4046</v>
      </c>
      <c r="B4134" t="s">
        <v>4161</v>
      </c>
      <c r="C4134">
        <v>319</v>
      </c>
      <c r="D4134">
        <v>164</v>
      </c>
      <c r="E4134" t="s">
        <v>33</v>
      </c>
    </row>
    <row r="4135" spans="1:5" x14ac:dyDescent="0.35">
      <c r="A4135" t="s">
        <v>4046</v>
      </c>
      <c r="B4135" t="s">
        <v>4162</v>
      </c>
      <c r="C4135">
        <v>243</v>
      </c>
      <c r="D4135">
        <v>178</v>
      </c>
      <c r="E4135" t="s">
        <v>7</v>
      </c>
    </row>
    <row r="4136" spans="1:5" x14ac:dyDescent="0.35">
      <c r="A4136" t="s">
        <v>4046</v>
      </c>
      <c r="B4136" t="s">
        <v>4163</v>
      </c>
      <c r="C4136">
        <v>143</v>
      </c>
      <c r="D4136">
        <v>86</v>
      </c>
      <c r="E4136" t="s">
        <v>21</v>
      </c>
    </row>
    <row r="4137" spans="1:5" x14ac:dyDescent="0.35">
      <c r="A4137" t="s">
        <v>4046</v>
      </c>
      <c r="B4137" t="s">
        <v>4164</v>
      </c>
      <c r="C4137">
        <v>241</v>
      </c>
      <c r="D4137">
        <v>120</v>
      </c>
      <c r="E4137" t="s">
        <v>11</v>
      </c>
    </row>
    <row r="4138" spans="1:5" x14ac:dyDescent="0.35">
      <c r="A4138" t="s">
        <v>4046</v>
      </c>
      <c r="B4138" t="s">
        <v>4165</v>
      </c>
      <c r="C4138">
        <v>202</v>
      </c>
      <c r="D4138">
        <v>153</v>
      </c>
      <c r="E4138" t="s">
        <v>21</v>
      </c>
    </row>
    <row r="4139" spans="1:5" x14ac:dyDescent="0.35">
      <c r="A4139" t="s">
        <v>4046</v>
      </c>
      <c r="B4139" t="s">
        <v>4166</v>
      </c>
      <c r="C4139">
        <v>177</v>
      </c>
      <c r="D4139">
        <v>168</v>
      </c>
      <c r="E4139" t="s">
        <v>11</v>
      </c>
    </row>
    <row r="4140" spans="1:5" x14ac:dyDescent="0.35">
      <c r="A4140" t="s">
        <v>4046</v>
      </c>
      <c r="B4140" t="s">
        <v>4167</v>
      </c>
      <c r="C4140">
        <v>202</v>
      </c>
      <c r="D4140">
        <v>176</v>
      </c>
      <c r="E4140" t="s">
        <v>15</v>
      </c>
    </row>
    <row r="4141" spans="1:5" x14ac:dyDescent="0.35">
      <c r="A4141" t="s">
        <v>4046</v>
      </c>
      <c r="B4141" t="s">
        <v>4168</v>
      </c>
      <c r="C4141">
        <v>313</v>
      </c>
      <c r="D4141">
        <v>56</v>
      </c>
      <c r="E4141" t="s">
        <v>21</v>
      </c>
    </row>
    <row r="4142" spans="1:5" x14ac:dyDescent="0.35">
      <c r="A4142" t="s">
        <v>4046</v>
      </c>
      <c r="B4142" t="s">
        <v>4169</v>
      </c>
      <c r="C4142">
        <v>226</v>
      </c>
      <c r="D4142">
        <v>109</v>
      </c>
      <c r="E4142" t="s">
        <v>21</v>
      </c>
    </row>
    <row r="4143" spans="1:5" x14ac:dyDescent="0.35">
      <c r="A4143" t="s">
        <v>4046</v>
      </c>
      <c r="B4143" t="s">
        <v>4170</v>
      </c>
      <c r="C4143">
        <v>194</v>
      </c>
      <c r="D4143">
        <v>147</v>
      </c>
      <c r="E4143" t="s">
        <v>17</v>
      </c>
    </row>
    <row r="4144" spans="1:5" x14ac:dyDescent="0.35">
      <c r="A4144" t="s">
        <v>4046</v>
      </c>
      <c r="B4144" t="s">
        <v>4171</v>
      </c>
      <c r="C4144">
        <v>223</v>
      </c>
      <c r="D4144">
        <v>78</v>
      </c>
      <c r="E4144" t="s">
        <v>9</v>
      </c>
    </row>
    <row r="4145" spans="1:5" x14ac:dyDescent="0.35">
      <c r="A4145" t="s">
        <v>4046</v>
      </c>
      <c r="B4145" t="s">
        <v>4172</v>
      </c>
      <c r="C4145">
        <v>290</v>
      </c>
      <c r="D4145">
        <v>174</v>
      </c>
      <c r="E4145" t="s">
        <v>7</v>
      </c>
    </row>
    <row r="4146" spans="1:5" x14ac:dyDescent="0.35">
      <c r="A4146" t="s">
        <v>4046</v>
      </c>
      <c r="B4146" t="s">
        <v>4173</v>
      </c>
      <c r="C4146">
        <v>257</v>
      </c>
      <c r="D4146">
        <v>171</v>
      </c>
      <c r="E4146" t="s">
        <v>7</v>
      </c>
    </row>
    <row r="4147" spans="1:5" x14ac:dyDescent="0.35">
      <c r="A4147" t="s">
        <v>4046</v>
      </c>
      <c r="B4147" t="s">
        <v>4174</v>
      </c>
      <c r="C4147">
        <v>185</v>
      </c>
      <c r="D4147">
        <v>135</v>
      </c>
      <c r="E4147" t="s">
        <v>9</v>
      </c>
    </row>
    <row r="4148" spans="1:5" x14ac:dyDescent="0.35">
      <c r="A4148" t="s">
        <v>4046</v>
      </c>
      <c r="B4148" t="s">
        <v>4175</v>
      </c>
      <c r="C4148">
        <v>220</v>
      </c>
      <c r="D4148">
        <v>184</v>
      </c>
      <c r="E4148" t="s">
        <v>11</v>
      </c>
    </row>
    <row r="4149" spans="1:5" x14ac:dyDescent="0.35">
      <c r="A4149" t="s">
        <v>4046</v>
      </c>
      <c r="B4149" t="s">
        <v>4176</v>
      </c>
      <c r="C4149">
        <v>113</v>
      </c>
      <c r="D4149">
        <v>35</v>
      </c>
      <c r="E4149" t="s">
        <v>15</v>
      </c>
    </row>
    <row r="4150" spans="1:5" x14ac:dyDescent="0.35">
      <c r="A4150" t="s">
        <v>4046</v>
      </c>
      <c r="B4150" t="s">
        <v>4177</v>
      </c>
      <c r="C4150">
        <v>211</v>
      </c>
      <c r="D4150">
        <v>91</v>
      </c>
      <c r="E4150" t="s">
        <v>11</v>
      </c>
    </row>
    <row r="4151" spans="1:5" x14ac:dyDescent="0.35">
      <c r="A4151" t="s">
        <v>4046</v>
      </c>
      <c r="B4151" t="s">
        <v>4178</v>
      </c>
      <c r="C4151">
        <v>234</v>
      </c>
      <c r="D4151">
        <v>64</v>
      </c>
      <c r="E4151" t="s">
        <v>15</v>
      </c>
    </row>
    <row r="4152" spans="1:5" x14ac:dyDescent="0.35">
      <c r="A4152" t="s">
        <v>4046</v>
      </c>
      <c r="B4152" t="s">
        <v>4179</v>
      </c>
      <c r="C4152">
        <v>233</v>
      </c>
      <c r="D4152">
        <v>67</v>
      </c>
      <c r="E4152" t="s">
        <v>7</v>
      </c>
    </row>
    <row r="4153" spans="1:5" x14ac:dyDescent="0.35">
      <c r="A4153" t="s">
        <v>4046</v>
      </c>
      <c r="B4153" t="s">
        <v>4180</v>
      </c>
      <c r="C4153">
        <v>171</v>
      </c>
      <c r="D4153">
        <v>54</v>
      </c>
      <c r="E4153" t="s">
        <v>11</v>
      </c>
    </row>
    <row r="4154" spans="1:5" x14ac:dyDescent="0.35">
      <c r="A4154" t="s">
        <v>4046</v>
      </c>
      <c r="B4154" t="s">
        <v>4181</v>
      </c>
      <c r="C4154">
        <v>64</v>
      </c>
      <c r="D4154">
        <v>46</v>
      </c>
      <c r="E4154" t="s">
        <v>33</v>
      </c>
    </row>
    <row r="4155" spans="1:5" x14ac:dyDescent="0.35">
      <c r="A4155" t="s">
        <v>4046</v>
      </c>
      <c r="B4155" t="s">
        <v>4182</v>
      </c>
      <c r="C4155">
        <v>204</v>
      </c>
      <c r="D4155">
        <v>185</v>
      </c>
      <c r="E4155" t="s">
        <v>17</v>
      </c>
    </row>
    <row r="4156" spans="1:5" x14ac:dyDescent="0.35">
      <c r="A4156" t="s">
        <v>4046</v>
      </c>
      <c r="B4156" t="s">
        <v>4183</v>
      </c>
      <c r="C4156">
        <v>234</v>
      </c>
      <c r="D4156">
        <v>81</v>
      </c>
      <c r="E4156" t="s">
        <v>21</v>
      </c>
    </row>
    <row r="4157" spans="1:5" x14ac:dyDescent="0.35">
      <c r="A4157" t="s">
        <v>4046</v>
      </c>
      <c r="B4157" t="s">
        <v>4184</v>
      </c>
      <c r="C4157">
        <v>212</v>
      </c>
      <c r="D4157">
        <v>163</v>
      </c>
      <c r="E4157" t="s">
        <v>11</v>
      </c>
    </row>
    <row r="4158" spans="1:5" x14ac:dyDescent="0.35">
      <c r="A4158" t="s">
        <v>4046</v>
      </c>
      <c r="B4158" t="s">
        <v>4185</v>
      </c>
      <c r="C4158">
        <v>219</v>
      </c>
      <c r="D4158">
        <v>70</v>
      </c>
      <c r="E4158" t="s">
        <v>7</v>
      </c>
    </row>
    <row r="4159" spans="1:5" x14ac:dyDescent="0.35">
      <c r="A4159" t="s">
        <v>4046</v>
      </c>
      <c r="B4159" t="s">
        <v>4186</v>
      </c>
      <c r="C4159">
        <v>235</v>
      </c>
      <c r="D4159">
        <v>93</v>
      </c>
      <c r="E4159" t="s">
        <v>21</v>
      </c>
    </row>
    <row r="4160" spans="1:5" x14ac:dyDescent="0.35">
      <c r="A4160" t="s">
        <v>4046</v>
      </c>
      <c r="B4160" t="s">
        <v>4187</v>
      </c>
      <c r="C4160">
        <v>287</v>
      </c>
      <c r="D4160">
        <v>148</v>
      </c>
      <c r="E4160" t="s">
        <v>15</v>
      </c>
    </row>
    <row r="4161" spans="1:5" x14ac:dyDescent="0.35">
      <c r="A4161" t="s">
        <v>4046</v>
      </c>
      <c r="B4161" t="s">
        <v>4188</v>
      </c>
      <c r="C4161">
        <v>122</v>
      </c>
      <c r="D4161">
        <v>41</v>
      </c>
      <c r="E4161" t="s">
        <v>21</v>
      </c>
    </row>
    <row r="4162" spans="1:5" x14ac:dyDescent="0.35">
      <c r="A4162" t="s">
        <v>4046</v>
      </c>
      <c r="B4162" t="s">
        <v>4189</v>
      </c>
      <c r="C4162">
        <v>106</v>
      </c>
      <c r="D4162">
        <v>64</v>
      </c>
      <c r="E4162" t="s">
        <v>11</v>
      </c>
    </row>
    <row r="4163" spans="1:5" x14ac:dyDescent="0.35">
      <c r="A4163" t="s">
        <v>4046</v>
      </c>
      <c r="B4163" t="s">
        <v>4190</v>
      </c>
      <c r="C4163">
        <v>300</v>
      </c>
      <c r="D4163">
        <v>123</v>
      </c>
      <c r="E4163" t="s">
        <v>15</v>
      </c>
    </row>
    <row r="4164" spans="1:5" x14ac:dyDescent="0.35">
      <c r="A4164" t="s">
        <v>4046</v>
      </c>
      <c r="B4164" t="s">
        <v>4191</v>
      </c>
      <c r="C4164">
        <v>244</v>
      </c>
      <c r="D4164">
        <v>71</v>
      </c>
      <c r="E4164" t="s">
        <v>15</v>
      </c>
    </row>
    <row r="4165" spans="1:5" x14ac:dyDescent="0.35">
      <c r="A4165" t="s">
        <v>4046</v>
      </c>
      <c r="B4165" t="s">
        <v>4192</v>
      </c>
      <c r="C4165">
        <v>187</v>
      </c>
      <c r="D4165">
        <v>45</v>
      </c>
      <c r="E4165" t="s">
        <v>9</v>
      </c>
    </row>
    <row r="4166" spans="1:5" x14ac:dyDescent="0.35">
      <c r="A4166" t="s">
        <v>4046</v>
      </c>
      <c r="B4166" t="s">
        <v>4193</v>
      </c>
      <c r="C4166">
        <v>311</v>
      </c>
      <c r="D4166">
        <v>127</v>
      </c>
      <c r="E4166" t="s">
        <v>7</v>
      </c>
    </row>
    <row r="4167" spans="1:5" x14ac:dyDescent="0.35">
      <c r="A4167" t="s">
        <v>4046</v>
      </c>
      <c r="B4167" t="s">
        <v>4194</v>
      </c>
      <c r="C4167">
        <v>227</v>
      </c>
      <c r="D4167">
        <v>141</v>
      </c>
      <c r="E4167" t="s">
        <v>17</v>
      </c>
    </row>
    <row r="4168" spans="1:5" x14ac:dyDescent="0.35">
      <c r="A4168" t="s">
        <v>4046</v>
      </c>
      <c r="B4168" t="s">
        <v>4195</v>
      </c>
      <c r="C4168">
        <v>223</v>
      </c>
      <c r="D4168">
        <v>110</v>
      </c>
      <c r="E4168" t="s">
        <v>7</v>
      </c>
    </row>
    <row r="4169" spans="1:5" x14ac:dyDescent="0.35">
      <c r="A4169" t="s">
        <v>4046</v>
      </c>
      <c r="B4169" t="s">
        <v>4196</v>
      </c>
      <c r="C4169">
        <v>293</v>
      </c>
      <c r="D4169">
        <v>88</v>
      </c>
      <c r="E4169" t="s">
        <v>21</v>
      </c>
    </row>
    <row r="4170" spans="1:5" x14ac:dyDescent="0.35">
      <c r="A4170" t="s">
        <v>4046</v>
      </c>
      <c r="B4170" t="s">
        <v>4197</v>
      </c>
      <c r="C4170">
        <v>225</v>
      </c>
      <c r="D4170">
        <v>109</v>
      </c>
      <c r="E4170" t="s">
        <v>33</v>
      </c>
    </row>
    <row r="4171" spans="1:5" x14ac:dyDescent="0.35">
      <c r="A4171" t="s">
        <v>4046</v>
      </c>
      <c r="B4171" t="s">
        <v>4198</v>
      </c>
      <c r="C4171">
        <v>127</v>
      </c>
      <c r="D4171">
        <v>31</v>
      </c>
      <c r="E4171" t="s">
        <v>11</v>
      </c>
    </row>
    <row r="4172" spans="1:5" x14ac:dyDescent="0.35">
      <c r="A4172" t="s">
        <v>4046</v>
      </c>
      <c r="B4172" t="s">
        <v>4199</v>
      </c>
      <c r="C4172">
        <v>289</v>
      </c>
      <c r="D4172">
        <v>71</v>
      </c>
      <c r="E4172" t="s">
        <v>15</v>
      </c>
    </row>
    <row r="4173" spans="1:5" x14ac:dyDescent="0.35">
      <c r="A4173" t="s">
        <v>4046</v>
      </c>
      <c r="B4173" t="s">
        <v>4200</v>
      </c>
      <c r="C4173">
        <v>302</v>
      </c>
      <c r="D4173">
        <v>179</v>
      </c>
      <c r="E4173" t="s">
        <v>21</v>
      </c>
    </row>
    <row r="4174" spans="1:5" x14ac:dyDescent="0.35">
      <c r="A4174" t="s">
        <v>4046</v>
      </c>
      <c r="B4174" t="s">
        <v>4201</v>
      </c>
      <c r="C4174">
        <v>190</v>
      </c>
      <c r="D4174">
        <v>116</v>
      </c>
      <c r="E4174" t="s">
        <v>17</v>
      </c>
    </row>
    <row r="4175" spans="1:5" x14ac:dyDescent="0.35">
      <c r="A4175" t="s">
        <v>4046</v>
      </c>
      <c r="B4175" t="s">
        <v>4202</v>
      </c>
      <c r="C4175">
        <v>263</v>
      </c>
      <c r="D4175">
        <v>161</v>
      </c>
      <c r="E4175" t="s">
        <v>21</v>
      </c>
    </row>
    <row r="4176" spans="1:5" x14ac:dyDescent="0.35">
      <c r="A4176" t="s">
        <v>4046</v>
      </c>
      <c r="B4176" t="s">
        <v>4203</v>
      </c>
      <c r="C4176">
        <v>289</v>
      </c>
      <c r="D4176">
        <v>126</v>
      </c>
      <c r="E4176" t="s">
        <v>7</v>
      </c>
    </row>
    <row r="4177" spans="1:5" x14ac:dyDescent="0.35">
      <c r="A4177" t="s">
        <v>4046</v>
      </c>
      <c r="B4177" t="s">
        <v>4204</v>
      </c>
      <c r="C4177">
        <v>120</v>
      </c>
      <c r="D4177">
        <v>97</v>
      </c>
      <c r="E4177" t="s">
        <v>33</v>
      </c>
    </row>
    <row r="4178" spans="1:5" x14ac:dyDescent="0.35">
      <c r="A4178" t="s">
        <v>4046</v>
      </c>
      <c r="B4178" t="s">
        <v>4205</v>
      </c>
      <c r="C4178">
        <v>93</v>
      </c>
      <c r="D4178">
        <v>80</v>
      </c>
      <c r="E4178" t="s">
        <v>9</v>
      </c>
    </row>
    <row r="4179" spans="1:5" x14ac:dyDescent="0.35">
      <c r="A4179" t="s">
        <v>4046</v>
      </c>
      <c r="B4179" t="s">
        <v>4206</v>
      </c>
      <c r="C4179">
        <v>283</v>
      </c>
      <c r="D4179">
        <v>189</v>
      </c>
      <c r="E4179" t="s">
        <v>33</v>
      </c>
    </row>
    <row r="4180" spans="1:5" x14ac:dyDescent="0.35">
      <c r="A4180" t="s">
        <v>4046</v>
      </c>
      <c r="B4180" t="s">
        <v>4207</v>
      </c>
      <c r="C4180">
        <v>280</v>
      </c>
      <c r="D4180">
        <v>97</v>
      </c>
      <c r="E4180" t="s">
        <v>9</v>
      </c>
    </row>
    <row r="4181" spans="1:5" x14ac:dyDescent="0.35">
      <c r="A4181" t="s">
        <v>4046</v>
      </c>
      <c r="B4181" t="s">
        <v>4208</v>
      </c>
      <c r="C4181">
        <v>218</v>
      </c>
      <c r="D4181">
        <v>187</v>
      </c>
      <c r="E4181" t="s">
        <v>9</v>
      </c>
    </row>
    <row r="4182" spans="1:5" x14ac:dyDescent="0.35">
      <c r="A4182" t="s">
        <v>4046</v>
      </c>
      <c r="B4182" t="s">
        <v>4209</v>
      </c>
      <c r="C4182">
        <v>169</v>
      </c>
      <c r="D4182">
        <v>92</v>
      </c>
      <c r="E4182" t="s">
        <v>17</v>
      </c>
    </row>
    <row r="4183" spans="1:5" x14ac:dyDescent="0.35">
      <c r="A4183" t="s">
        <v>4046</v>
      </c>
      <c r="B4183" t="s">
        <v>4210</v>
      </c>
      <c r="C4183">
        <v>202</v>
      </c>
      <c r="D4183">
        <v>86</v>
      </c>
      <c r="E4183" t="s">
        <v>21</v>
      </c>
    </row>
    <row r="4184" spans="1:5" x14ac:dyDescent="0.35">
      <c r="A4184" t="s">
        <v>4046</v>
      </c>
      <c r="B4184" t="s">
        <v>4211</v>
      </c>
      <c r="C4184">
        <v>269</v>
      </c>
      <c r="D4184">
        <v>67</v>
      </c>
      <c r="E4184" t="s">
        <v>11</v>
      </c>
    </row>
    <row r="4185" spans="1:5" x14ac:dyDescent="0.35">
      <c r="A4185" t="s">
        <v>4046</v>
      </c>
      <c r="B4185" t="s">
        <v>4212</v>
      </c>
      <c r="C4185">
        <v>253</v>
      </c>
      <c r="D4185">
        <v>90</v>
      </c>
      <c r="E4185" t="s">
        <v>15</v>
      </c>
    </row>
    <row r="4186" spans="1:5" x14ac:dyDescent="0.35">
      <c r="A4186" t="s">
        <v>4046</v>
      </c>
      <c r="B4186" t="s">
        <v>4213</v>
      </c>
      <c r="C4186">
        <v>313</v>
      </c>
      <c r="D4186">
        <v>178</v>
      </c>
      <c r="E4186" t="s">
        <v>7</v>
      </c>
    </row>
    <row r="4187" spans="1:5" x14ac:dyDescent="0.35">
      <c r="A4187" t="s">
        <v>4046</v>
      </c>
      <c r="B4187" t="s">
        <v>4214</v>
      </c>
      <c r="C4187">
        <v>295</v>
      </c>
      <c r="D4187">
        <v>169</v>
      </c>
      <c r="E4187" t="s">
        <v>11</v>
      </c>
    </row>
    <row r="4188" spans="1:5" x14ac:dyDescent="0.35">
      <c r="A4188" t="s">
        <v>4046</v>
      </c>
      <c r="B4188" t="s">
        <v>4215</v>
      </c>
      <c r="C4188">
        <v>260</v>
      </c>
      <c r="D4188">
        <v>55</v>
      </c>
      <c r="E4188" t="s">
        <v>17</v>
      </c>
    </row>
    <row r="4189" spans="1:5" x14ac:dyDescent="0.35">
      <c r="A4189" t="s">
        <v>4046</v>
      </c>
      <c r="B4189" t="s">
        <v>4216</v>
      </c>
      <c r="C4189">
        <v>163</v>
      </c>
      <c r="D4189">
        <v>113</v>
      </c>
      <c r="E4189" t="s">
        <v>33</v>
      </c>
    </row>
    <row r="4190" spans="1:5" x14ac:dyDescent="0.35">
      <c r="A4190" t="s">
        <v>4046</v>
      </c>
      <c r="B4190" t="s">
        <v>4217</v>
      </c>
      <c r="C4190">
        <v>288</v>
      </c>
      <c r="D4190">
        <v>115</v>
      </c>
      <c r="E4190" t="s">
        <v>17</v>
      </c>
    </row>
    <row r="4191" spans="1:5" x14ac:dyDescent="0.35">
      <c r="A4191" t="s">
        <v>4046</v>
      </c>
      <c r="B4191" t="s">
        <v>4218</v>
      </c>
      <c r="C4191">
        <v>250</v>
      </c>
      <c r="D4191">
        <v>162</v>
      </c>
      <c r="E4191" t="s">
        <v>7</v>
      </c>
    </row>
    <row r="4192" spans="1:5" x14ac:dyDescent="0.35">
      <c r="A4192" t="s">
        <v>4046</v>
      </c>
      <c r="B4192" t="s">
        <v>4219</v>
      </c>
      <c r="C4192">
        <v>299</v>
      </c>
      <c r="D4192">
        <v>119</v>
      </c>
      <c r="E4192" t="s">
        <v>33</v>
      </c>
    </row>
    <row r="4193" spans="1:5" x14ac:dyDescent="0.35">
      <c r="A4193" t="s">
        <v>4046</v>
      </c>
      <c r="B4193" t="s">
        <v>4220</v>
      </c>
      <c r="C4193">
        <v>156</v>
      </c>
      <c r="D4193">
        <v>125</v>
      </c>
      <c r="E4193" t="s">
        <v>21</v>
      </c>
    </row>
    <row r="4194" spans="1:5" x14ac:dyDescent="0.35">
      <c r="A4194" t="s">
        <v>4046</v>
      </c>
      <c r="B4194" t="s">
        <v>4221</v>
      </c>
      <c r="C4194">
        <v>99</v>
      </c>
      <c r="D4194">
        <v>47</v>
      </c>
      <c r="E4194" t="s">
        <v>7</v>
      </c>
    </row>
    <row r="4195" spans="1:5" x14ac:dyDescent="0.35">
      <c r="A4195" t="s">
        <v>4046</v>
      </c>
      <c r="B4195" t="s">
        <v>4222</v>
      </c>
      <c r="C4195">
        <v>203</v>
      </c>
      <c r="D4195">
        <v>176</v>
      </c>
      <c r="E4195" t="s">
        <v>33</v>
      </c>
    </row>
    <row r="4196" spans="1:5" x14ac:dyDescent="0.35">
      <c r="A4196" t="s">
        <v>4046</v>
      </c>
      <c r="B4196" t="s">
        <v>4223</v>
      </c>
      <c r="C4196">
        <v>237</v>
      </c>
      <c r="D4196">
        <v>72</v>
      </c>
      <c r="E4196" t="s">
        <v>7</v>
      </c>
    </row>
    <row r="4197" spans="1:5" x14ac:dyDescent="0.35">
      <c r="A4197" t="s">
        <v>4046</v>
      </c>
      <c r="B4197" t="s">
        <v>4224</v>
      </c>
      <c r="C4197">
        <v>133</v>
      </c>
      <c r="D4197">
        <v>79</v>
      </c>
      <c r="E4197" t="s">
        <v>7</v>
      </c>
    </row>
    <row r="4198" spans="1:5" x14ac:dyDescent="0.35">
      <c r="A4198" t="s">
        <v>4046</v>
      </c>
      <c r="B4198" t="s">
        <v>4225</v>
      </c>
      <c r="C4198">
        <v>311</v>
      </c>
      <c r="D4198">
        <v>62</v>
      </c>
      <c r="E4198" t="s">
        <v>7</v>
      </c>
    </row>
    <row r="4199" spans="1:5" x14ac:dyDescent="0.35">
      <c r="A4199" t="s">
        <v>4046</v>
      </c>
      <c r="B4199" t="s">
        <v>4226</v>
      </c>
      <c r="C4199">
        <v>209</v>
      </c>
      <c r="D4199">
        <v>86</v>
      </c>
      <c r="E4199" t="s">
        <v>7</v>
      </c>
    </row>
    <row r="4200" spans="1:5" x14ac:dyDescent="0.35">
      <c r="A4200" t="s">
        <v>4046</v>
      </c>
      <c r="B4200" t="s">
        <v>4227</v>
      </c>
      <c r="C4200">
        <v>204</v>
      </c>
      <c r="D4200">
        <v>162</v>
      </c>
      <c r="E4200" t="s">
        <v>17</v>
      </c>
    </row>
    <row r="4201" spans="1:5" x14ac:dyDescent="0.35">
      <c r="A4201" t="s">
        <v>4046</v>
      </c>
      <c r="B4201" t="s">
        <v>4228</v>
      </c>
      <c r="C4201">
        <v>286</v>
      </c>
      <c r="D4201">
        <v>173</v>
      </c>
      <c r="E4201" t="s">
        <v>7</v>
      </c>
    </row>
    <row r="4202" spans="1:5" x14ac:dyDescent="0.35">
      <c r="A4202" t="s">
        <v>4046</v>
      </c>
      <c r="B4202" t="s">
        <v>4229</v>
      </c>
      <c r="C4202">
        <v>311</v>
      </c>
      <c r="D4202">
        <v>148</v>
      </c>
      <c r="E4202" t="s">
        <v>17</v>
      </c>
    </row>
    <row r="4203" spans="1:5" x14ac:dyDescent="0.35">
      <c r="A4203" t="s">
        <v>4046</v>
      </c>
      <c r="B4203" t="s">
        <v>4230</v>
      </c>
      <c r="C4203">
        <v>251</v>
      </c>
      <c r="D4203">
        <v>181</v>
      </c>
      <c r="E4203" t="s">
        <v>15</v>
      </c>
    </row>
    <row r="4204" spans="1:5" x14ac:dyDescent="0.35">
      <c r="A4204" t="s">
        <v>4046</v>
      </c>
      <c r="B4204" t="s">
        <v>4231</v>
      </c>
      <c r="C4204">
        <v>310</v>
      </c>
      <c r="D4204">
        <v>169</v>
      </c>
      <c r="E4204" t="s">
        <v>11</v>
      </c>
    </row>
    <row r="4205" spans="1:5" x14ac:dyDescent="0.35">
      <c r="A4205" t="s">
        <v>4046</v>
      </c>
      <c r="B4205" t="s">
        <v>4232</v>
      </c>
      <c r="C4205">
        <v>177</v>
      </c>
      <c r="D4205">
        <v>133</v>
      </c>
      <c r="E4205" t="s">
        <v>15</v>
      </c>
    </row>
    <row r="4206" spans="1:5" x14ac:dyDescent="0.35">
      <c r="A4206" t="s">
        <v>4046</v>
      </c>
      <c r="B4206" t="s">
        <v>4233</v>
      </c>
      <c r="C4206">
        <v>122</v>
      </c>
      <c r="D4206">
        <v>80</v>
      </c>
      <c r="E4206" t="s">
        <v>11</v>
      </c>
    </row>
    <row r="4207" spans="1:5" x14ac:dyDescent="0.35">
      <c r="A4207" t="s">
        <v>4046</v>
      </c>
      <c r="B4207" t="s">
        <v>4234</v>
      </c>
      <c r="C4207">
        <v>320</v>
      </c>
      <c r="D4207">
        <v>56</v>
      </c>
      <c r="E4207" t="s">
        <v>33</v>
      </c>
    </row>
    <row r="4208" spans="1:5" x14ac:dyDescent="0.35">
      <c r="A4208" t="s">
        <v>4046</v>
      </c>
      <c r="B4208" t="s">
        <v>4235</v>
      </c>
      <c r="C4208">
        <v>204</v>
      </c>
      <c r="D4208">
        <v>186</v>
      </c>
      <c r="E4208" t="s">
        <v>11</v>
      </c>
    </row>
    <row r="4209" spans="1:5" x14ac:dyDescent="0.35">
      <c r="A4209" t="s">
        <v>4046</v>
      </c>
      <c r="B4209" t="s">
        <v>4236</v>
      </c>
      <c r="C4209">
        <v>276</v>
      </c>
      <c r="D4209">
        <v>120</v>
      </c>
      <c r="E4209" t="s">
        <v>7</v>
      </c>
    </row>
    <row r="4210" spans="1:5" x14ac:dyDescent="0.35">
      <c r="A4210" t="s">
        <v>4046</v>
      </c>
      <c r="B4210" t="s">
        <v>4237</v>
      </c>
      <c r="C4210">
        <v>226</v>
      </c>
      <c r="D4210">
        <v>104</v>
      </c>
      <c r="E4210" t="s">
        <v>7</v>
      </c>
    </row>
    <row r="4211" spans="1:5" x14ac:dyDescent="0.35">
      <c r="A4211" t="s">
        <v>4046</v>
      </c>
      <c r="B4211" t="s">
        <v>4238</v>
      </c>
      <c r="C4211">
        <v>144</v>
      </c>
      <c r="D4211">
        <v>116</v>
      </c>
      <c r="E4211" t="s">
        <v>33</v>
      </c>
    </row>
    <row r="4212" spans="1:5" x14ac:dyDescent="0.35">
      <c r="A4212" t="s">
        <v>4046</v>
      </c>
      <c r="B4212" t="s">
        <v>4239</v>
      </c>
      <c r="C4212">
        <v>282</v>
      </c>
      <c r="D4212">
        <v>179</v>
      </c>
      <c r="E4212" t="s">
        <v>17</v>
      </c>
    </row>
    <row r="4213" spans="1:5" x14ac:dyDescent="0.35">
      <c r="A4213" t="s">
        <v>4046</v>
      </c>
      <c r="B4213" t="s">
        <v>4240</v>
      </c>
      <c r="C4213">
        <v>245</v>
      </c>
      <c r="D4213">
        <v>49</v>
      </c>
      <c r="E4213" t="s">
        <v>33</v>
      </c>
    </row>
    <row r="4214" spans="1:5" x14ac:dyDescent="0.35">
      <c r="A4214" t="s">
        <v>4046</v>
      </c>
      <c r="B4214" t="s">
        <v>4241</v>
      </c>
      <c r="C4214">
        <v>101</v>
      </c>
      <c r="D4214">
        <v>99</v>
      </c>
      <c r="E4214" t="s">
        <v>9</v>
      </c>
    </row>
    <row r="4215" spans="1:5" x14ac:dyDescent="0.35">
      <c r="A4215" t="s">
        <v>4046</v>
      </c>
      <c r="B4215" t="s">
        <v>4242</v>
      </c>
      <c r="C4215">
        <v>289</v>
      </c>
      <c r="D4215">
        <v>154</v>
      </c>
      <c r="E4215" t="s">
        <v>21</v>
      </c>
    </row>
    <row r="4216" spans="1:5" x14ac:dyDescent="0.35">
      <c r="A4216" t="s">
        <v>4046</v>
      </c>
      <c r="B4216" t="s">
        <v>4243</v>
      </c>
      <c r="C4216">
        <v>168</v>
      </c>
      <c r="D4216">
        <v>131</v>
      </c>
      <c r="E4216" t="s">
        <v>9</v>
      </c>
    </row>
    <row r="4217" spans="1:5" x14ac:dyDescent="0.35">
      <c r="A4217" t="s">
        <v>4046</v>
      </c>
      <c r="B4217" t="s">
        <v>4244</v>
      </c>
      <c r="C4217">
        <v>236</v>
      </c>
      <c r="D4217">
        <v>162</v>
      </c>
      <c r="E4217" t="s">
        <v>33</v>
      </c>
    </row>
    <row r="4218" spans="1:5" x14ac:dyDescent="0.35">
      <c r="A4218" t="s">
        <v>4046</v>
      </c>
      <c r="B4218" t="s">
        <v>4245</v>
      </c>
      <c r="C4218">
        <v>149</v>
      </c>
      <c r="D4218">
        <v>119</v>
      </c>
      <c r="E4218" t="s">
        <v>15</v>
      </c>
    </row>
    <row r="4219" spans="1:5" x14ac:dyDescent="0.35">
      <c r="A4219" t="s">
        <v>4046</v>
      </c>
      <c r="B4219" t="s">
        <v>4246</v>
      </c>
      <c r="C4219">
        <v>253</v>
      </c>
      <c r="D4219">
        <v>67</v>
      </c>
      <c r="E4219" t="s">
        <v>21</v>
      </c>
    </row>
    <row r="4220" spans="1:5" x14ac:dyDescent="0.35">
      <c r="A4220" t="s">
        <v>4046</v>
      </c>
      <c r="B4220" t="s">
        <v>4247</v>
      </c>
      <c r="C4220">
        <v>223</v>
      </c>
      <c r="D4220">
        <v>95</v>
      </c>
      <c r="E4220" t="s">
        <v>33</v>
      </c>
    </row>
    <row r="4221" spans="1:5" x14ac:dyDescent="0.35">
      <c r="A4221" t="s">
        <v>4046</v>
      </c>
      <c r="B4221" t="s">
        <v>4248</v>
      </c>
      <c r="C4221">
        <v>106</v>
      </c>
      <c r="D4221">
        <v>84</v>
      </c>
      <c r="E4221" t="s">
        <v>9</v>
      </c>
    </row>
    <row r="4222" spans="1:5" x14ac:dyDescent="0.35">
      <c r="A4222" t="s">
        <v>4046</v>
      </c>
      <c r="B4222" t="s">
        <v>4249</v>
      </c>
      <c r="C4222">
        <v>147</v>
      </c>
      <c r="D4222">
        <v>103</v>
      </c>
      <c r="E4222" t="s">
        <v>21</v>
      </c>
    </row>
    <row r="4223" spans="1:5" x14ac:dyDescent="0.35">
      <c r="A4223" t="s">
        <v>4046</v>
      </c>
      <c r="B4223" t="s">
        <v>4250</v>
      </c>
      <c r="C4223">
        <v>56</v>
      </c>
      <c r="D4223">
        <v>52</v>
      </c>
      <c r="E4223" t="s">
        <v>33</v>
      </c>
    </row>
    <row r="4224" spans="1:5" x14ac:dyDescent="0.35">
      <c r="A4224" t="s">
        <v>4046</v>
      </c>
      <c r="B4224" t="s">
        <v>4251</v>
      </c>
      <c r="C4224">
        <v>211</v>
      </c>
      <c r="D4224">
        <v>145</v>
      </c>
      <c r="E4224" t="s">
        <v>17</v>
      </c>
    </row>
    <row r="4225" spans="1:5" x14ac:dyDescent="0.35">
      <c r="A4225" t="s">
        <v>4046</v>
      </c>
      <c r="B4225" t="s">
        <v>4252</v>
      </c>
      <c r="C4225">
        <v>242</v>
      </c>
      <c r="D4225">
        <v>142</v>
      </c>
      <c r="E4225" t="s">
        <v>7</v>
      </c>
    </row>
    <row r="4226" spans="1:5" x14ac:dyDescent="0.35">
      <c r="A4226" t="s">
        <v>4046</v>
      </c>
      <c r="B4226" t="s">
        <v>4253</v>
      </c>
      <c r="C4226">
        <v>253</v>
      </c>
      <c r="D4226">
        <v>34</v>
      </c>
      <c r="E4226" t="s">
        <v>33</v>
      </c>
    </row>
    <row r="4227" spans="1:5" x14ac:dyDescent="0.35">
      <c r="A4227" t="s">
        <v>4046</v>
      </c>
      <c r="B4227" t="s">
        <v>4254</v>
      </c>
      <c r="C4227">
        <v>222</v>
      </c>
      <c r="D4227">
        <v>173</v>
      </c>
      <c r="E4227" t="s">
        <v>9</v>
      </c>
    </row>
    <row r="4228" spans="1:5" x14ac:dyDescent="0.35">
      <c r="A4228" t="s">
        <v>4046</v>
      </c>
      <c r="B4228" t="s">
        <v>4255</v>
      </c>
      <c r="C4228">
        <v>316</v>
      </c>
      <c r="D4228">
        <v>90</v>
      </c>
      <c r="E4228" t="s">
        <v>11</v>
      </c>
    </row>
    <row r="4229" spans="1:5" x14ac:dyDescent="0.35">
      <c r="A4229" t="s">
        <v>4046</v>
      </c>
      <c r="B4229" t="s">
        <v>4256</v>
      </c>
      <c r="C4229">
        <v>312</v>
      </c>
      <c r="D4229">
        <v>163</v>
      </c>
      <c r="E4229" t="s">
        <v>33</v>
      </c>
    </row>
    <row r="4230" spans="1:5" x14ac:dyDescent="0.35">
      <c r="A4230" t="s">
        <v>4046</v>
      </c>
      <c r="B4230" t="s">
        <v>4257</v>
      </c>
      <c r="C4230">
        <v>200</v>
      </c>
      <c r="D4230">
        <v>117</v>
      </c>
      <c r="E4230" t="s">
        <v>9</v>
      </c>
    </row>
    <row r="4231" spans="1:5" x14ac:dyDescent="0.35">
      <c r="A4231" t="s">
        <v>4046</v>
      </c>
      <c r="B4231" t="s">
        <v>4258</v>
      </c>
      <c r="C4231">
        <v>276</v>
      </c>
      <c r="D4231">
        <v>127</v>
      </c>
      <c r="E4231" t="s">
        <v>21</v>
      </c>
    </row>
    <row r="4232" spans="1:5" x14ac:dyDescent="0.35">
      <c r="A4232" t="s">
        <v>4046</v>
      </c>
      <c r="B4232" t="s">
        <v>4259</v>
      </c>
      <c r="C4232">
        <v>220</v>
      </c>
      <c r="D4232">
        <v>123</v>
      </c>
      <c r="E4232" t="s">
        <v>11</v>
      </c>
    </row>
    <row r="4233" spans="1:5" x14ac:dyDescent="0.35">
      <c r="A4233" t="s">
        <v>4046</v>
      </c>
      <c r="B4233" t="s">
        <v>4260</v>
      </c>
      <c r="C4233">
        <v>219</v>
      </c>
      <c r="D4233">
        <v>143</v>
      </c>
      <c r="E4233" t="s">
        <v>33</v>
      </c>
    </row>
    <row r="4234" spans="1:5" x14ac:dyDescent="0.35">
      <c r="A4234" t="s">
        <v>4046</v>
      </c>
      <c r="B4234" t="s">
        <v>4261</v>
      </c>
      <c r="C4234">
        <v>150</v>
      </c>
      <c r="D4234">
        <v>32</v>
      </c>
      <c r="E4234" t="s">
        <v>21</v>
      </c>
    </row>
    <row r="4235" spans="1:5" x14ac:dyDescent="0.35">
      <c r="A4235" t="s">
        <v>4046</v>
      </c>
      <c r="B4235" t="s">
        <v>4262</v>
      </c>
      <c r="C4235">
        <v>276</v>
      </c>
      <c r="D4235">
        <v>110</v>
      </c>
      <c r="E4235" t="s">
        <v>21</v>
      </c>
    </row>
    <row r="4236" spans="1:5" x14ac:dyDescent="0.35">
      <c r="A4236" t="s">
        <v>4046</v>
      </c>
      <c r="B4236" t="s">
        <v>4263</v>
      </c>
      <c r="C4236">
        <v>129</v>
      </c>
      <c r="D4236">
        <v>62</v>
      </c>
      <c r="E4236" t="s">
        <v>33</v>
      </c>
    </row>
    <row r="4237" spans="1:5" x14ac:dyDescent="0.35">
      <c r="A4237" t="s">
        <v>4264</v>
      </c>
      <c r="B4237" t="s">
        <v>4265</v>
      </c>
      <c r="C4237">
        <v>136</v>
      </c>
      <c r="D4237">
        <v>121</v>
      </c>
      <c r="E4237" t="s">
        <v>15</v>
      </c>
    </row>
    <row r="4238" spans="1:5" x14ac:dyDescent="0.35">
      <c r="A4238" t="s">
        <v>4264</v>
      </c>
      <c r="B4238" t="s">
        <v>4266</v>
      </c>
      <c r="C4238">
        <v>183</v>
      </c>
      <c r="D4238">
        <v>110</v>
      </c>
      <c r="E4238" t="s">
        <v>11</v>
      </c>
    </row>
    <row r="4239" spans="1:5" x14ac:dyDescent="0.35">
      <c r="A4239" t="s">
        <v>4264</v>
      </c>
      <c r="B4239" t="s">
        <v>4267</v>
      </c>
      <c r="C4239">
        <v>208</v>
      </c>
      <c r="D4239">
        <v>108</v>
      </c>
      <c r="E4239" t="s">
        <v>11</v>
      </c>
    </row>
    <row r="4240" spans="1:5" x14ac:dyDescent="0.35">
      <c r="A4240" t="s">
        <v>4264</v>
      </c>
      <c r="B4240" t="s">
        <v>4268</v>
      </c>
      <c r="C4240">
        <v>267</v>
      </c>
      <c r="D4240">
        <v>132</v>
      </c>
      <c r="E4240" t="s">
        <v>9</v>
      </c>
    </row>
    <row r="4241" spans="1:5" x14ac:dyDescent="0.35">
      <c r="A4241" t="s">
        <v>4264</v>
      </c>
      <c r="B4241" t="s">
        <v>4269</v>
      </c>
      <c r="C4241">
        <v>268</v>
      </c>
      <c r="D4241">
        <v>186</v>
      </c>
      <c r="E4241" t="s">
        <v>17</v>
      </c>
    </row>
    <row r="4242" spans="1:5" x14ac:dyDescent="0.35">
      <c r="A4242" t="s">
        <v>4264</v>
      </c>
      <c r="B4242" t="s">
        <v>4270</v>
      </c>
      <c r="C4242">
        <v>289</v>
      </c>
      <c r="D4242">
        <v>133</v>
      </c>
      <c r="E4242" t="s">
        <v>33</v>
      </c>
    </row>
    <row r="4243" spans="1:5" x14ac:dyDescent="0.35">
      <c r="A4243" t="s">
        <v>4264</v>
      </c>
      <c r="B4243" t="s">
        <v>4271</v>
      </c>
      <c r="C4243">
        <v>125</v>
      </c>
      <c r="D4243">
        <v>52</v>
      </c>
      <c r="E4243" t="s">
        <v>11</v>
      </c>
    </row>
    <row r="4244" spans="1:5" x14ac:dyDescent="0.35">
      <c r="A4244" t="s">
        <v>4264</v>
      </c>
      <c r="B4244" t="s">
        <v>4272</v>
      </c>
      <c r="C4244">
        <v>160</v>
      </c>
      <c r="D4244">
        <v>130</v>
      </c>
      <c r="E4244" t="s">
        <v>15</v>
      </c>
    </row>
    <row r="4245" spans="1:5" x14ac:dyDescent="0.35">
      <c r="A4245" t="s">
        <v>4264</v>
      </c>
      <c r="B4245" t="s">
        <v>4273</v>
      </c>
      <c r="C4245">
        <v>224</v>
      </c>
      <c r="D4245">
        <v>117</v>
      </c>
      <c r="E4245" t="s">
        <v>15</v>
      </c>
    </row>
    <row r="4246" spans="1:5" x14ac:dyDescent="0.35">
      <c r="A4246" t="s">
        <v>4264</v>
      </c>
      <c r="B4246" t="s">
        <v>4274</v>
      </c>
      <c r="C4246">
        <v>136</v>
      </c>
      <c r="D4246">
        <v>70</v>
      </c>
      <c r="E4246" t="s">
        <v>21</v>
      </c>
    </row>
    <row r="4247" spans="1:5" x14ac:dyDescent="0.35">
      <c r="A4247" t="s">
        <v>4264</v>
      </c>
      <c r="B4247" t="s">
        <v>4275</v>
      </c>
      <c r="C4247">
        <v>260</v>
      </c>
      <c r="D4247">
        <v>49</v>
      </c>
      <c r="E4247" t="s">
        <v>15</v>
      </c>
    </row>
    <row r="4248" spans="1:5" x14ac:dyDescent="0.35">
      <c r="A4248" t="s">
        <v>4264</v>
      </c>
      <c r="B4248" t="s">
        <v>4276</v>
      </c>
      <c r="C4248">
        <v>213</v>
      </c>
      <c r="D4248">
        <v>46</v>
      </c>
      <c r="E4248" t="s">
        <v>15</v>
      </c>
    </row>
    <row r="4249" spans="1:5" x14ac:dyDescent="0.35">
      <c r="A4249" t="s">
        <v>4264</v>
      </c>
      <c r="B4249" t="s">
        <v>4277</v>
      </c>
      <c r="C4249">
        <v>84</v>
      </c>
      <c r="D4249">
        <v>49</v>
      </c>
      <c r="E4249" t="s">
        <v>9</v>
      </c>
    </row>
    <row r="4250" spans="1:5" x14ac:dyDescent="0.35">
      <c r="A4250" t="s">
        <v>4264</v>
      </c>
      <c r="B4250" t="s">
        <v>4278</v>
      </c>
      <c r="C4250">
        <v>140</v>
      </c>
      <c r="D4250">
        <v>47</v>
      </c>
      <c r="E4250" t="s">
        <v>9</v>
      </c>
    </row>
    <row r="4251" spans="1:5" x14ac:dyDescent="0.35">
      <c r="A4251" t="s">
        <v>4264</v>
      </c>
      <c r="B4251" t="s">
        <v>4279</v>
      </c>
      <c r="C4251">
        <v>175</v>
      </c>
      <c r="D4251">
        <v>70</v>
      </c>
      <c r="E4251" t="s">
        <v>11</v>
      </c>
    </row>
    <row r="4252" spans="1:5" x14ac:dyDescent="0.35">
      <c r="A4252" t="s">
        <v>4264</v>
      </c>
      <c r="B4252" t="s">
        <v>4280</v>
      </c>
      <c r="C4252">
        <v>185</v>
      </c>
      <c r="D4252">
        <v>61</v>
      </c>
      <c r="E4252" t="s">
        <v>21</v>
      </c>
    </row>
    <row r="4253" spans="1:5" x14ac:dyDescent="0.35">
      <c r="A4253" t="s">
        <v>4264</v>
      </c>
      <c r="B4253" t="s">
        <v>4281</v>
      </c>
      <c r="C4253">
        <v>112</v>
      </c>
      <c r="D4253">
        <v>38</v>
      </c>
      <c r="E4253" t="s">
        <v>9</v>
      </c>
    </row>
    <row r="4254" spans="1:5" x14ac:dyDescent="0.35">
      <c r="A4254" t="s">
        <v>4264</v>
      </c>
      <c r="B4254" t="s">
        <v>4282</v>
      </c>
      <c r="C4254">
        <v>255</v>
      </c>
      <c r="D4254">
        <v>79</v>
      </c>
      <c r="E4254" t="s">
        <v>17</v>
      </c>
    </row>
    <row r="4255" spans="1:5" x14ac:dyDescent="0.35">
      <c r="A4255" t="s">
        <v>4264</v>
      </c>
      <c r="B4255" t="s">
        <v>4283</v>
      </c>
      <c r="C4255">
        <v>313</v>
      </c>
      <c r="D4255">
        <v>87</v>
      </c>
      <c r="E4255" t="s">
        <v>15</v>
      </c>
    </row>
    <row r="4256" spans="1:5" x14ac:dyDescent="0.35">
      <c r="A4256" t="s">
        <v>4264</v>
      </c>
      <c r="B4256" t="s">
        <v>4284</v>
      </c>
      <c r="C4256">
        <v>257</v>
      </c>
      <c r="D4256">
        <v>186</v>
      </c>
      <c r="E4256" t="s">
        <v>15</v>
      </c>
    </row>
    <row r="4257" spans="1:5" x14ac:dyDescent="0.35">
      <c r="A4257" t="s">
        <v>4264</v>
      </c>
      <c r="B4257" t="s">
        <v>4285</v>
      </c>
      <c r="C4257">
        <v>202</v>
      </c>
      <c r="D4257">
        <v>168</v>
      </c>
      <c r="E4257" t="s">
        <v>33</v>
      </c>
    </row>
    <row r="4258" spans="1:5" x14ac:dyDescent="0.35">
      <c r="A4258" t="s">
        <v>4264</v>
      </c>
      <c r="B4258" t="s">
        <v>4286</v>
      </c>
      <c r="C4258">
        <v>74</v>
      </c>
      <c r="D4258">
        <v>39</v>
      </c>
      <c r="E4258" t="s">
        <v>9</v>
      </c>
    </row>
    <row r="4259" spans="1:5" x14ac:dyDescent="0.35">
      <c r="A4259" t="s">
        <v>4264</v>
      </c>
      <c r="B4259" t="s">
        <v>4287</v>
      </c>
      <c r="C4259">
        <v>130</v>
      </c>
      <c r="D4259">
        <v>102</v>
      </c>
      <c r="E4259" t="s">
        <v>21</v>
      </c>
    </row>
    <row r="4260" spans="1:5" x14ac:dyDescent="0.35">
      <c r="A4260" t="s">
        <v>4264</v>
      </c>
      <c r="B4260" t="s">
        <v>4288</v>
      </c>
      <c r="C4260">
        <v>230</v>
      </c>
      <c r="D4260">
        <v>92</v>
      </c>
      <c r="E4260" t="s">
        <v>9</v>
      </c>
    </row>
    <row r="4261" spans="1:5" x14ac:dyDescent="0.35">
      <c r="A4261" t="s">
        <v>4264</v>
      </c>
      <c r="B4261" t="s">
        <v>4289</v>
      </c>
      <c r="C4261">
        <v>200</v>
      </c>
      <c r="D4261">
        <v>129</v>
      </c>
      <c r="E4261" t="s">
        <v>21</v>
      </c>
    </row>
    <row r="4262" spans="1:5" x14ac:dyDescent="0.35">
      <c r="A4262" t="s">
        <v>4264</v>
      </c>
      <c r="B4262" t="s">
        <v>4290</v>
      </c>
      <c r="C4262">
        <v>225</v>
      </c>
      <c r="D4262">
        <v>123</v>
      </c>
      <c r="E4262" t="s">
        <v>21</v>
      </c>
    </row>
    <row r="4263" spans="1:5" x14ac:dyDescent="0.35">
      <c r="A4263" t="s">
        <v>4264</v>
      </c>
      <c r="B4263" t="s">
        <v>4291</v>
      </c>
      <c r="C4263">
        <v>163</v>
      </c>
      <c r="D4263">
        <v>140</v>
      </c>
      <c r="E4263" t="s">
        <v>11</v>
      </c>
    </row>
    <row r="4264" spans="1:5" x14ac:dyDescent="0.35">
      <c r="A4264" t="s">
        <v>4264</v>
      </c>
      <c r="B4264" t="s">
        <v>4292</v>
      </c>
      <c r="C4264">
        <v>305</v>
      </c>
      <c r="D4264">
        <v>109</v>
      </c>
      <c r="E4264" t="s">
        <v>11</v>
      </c>
    </row>
    <row r="4265" spans="1:5" x14ac:dyDescent="0.35">
      <c r="A4265" t="s">
        <v>4264</v>
      </c>
      <c r="B4265" t="s">
        <v>4293</v>
      </c>
      <c r="C4265">
        <v>189</v>
      </c>
      <c r="D4265">
        <v>72</v>
      </c>
      <c r="E4265" t="s">
        <v>21</v>
      </c>
    </row>
    <row r="4266" spans="1:5" x14ac:dyDescent="0.35">
      <c r="A4266" t="s">
        <v>4264</v>
      </c>
      <c r="B4266" t="s">
        <v>4294</v>
      </c>
      <c r="C4266">
        <v>187</v>
      </c>
      <c r="D4266">
        <v>102</v>
      </c>
      <c r="E4266" t="s">
        <v>15</v>
      </c>
    </row>
    <row r="4267" spans="1:5" x14ac:dyDescent="0.35">
      <c r="A4267" t="s">
        <v>4264</v>
      </c>
      <c r="B4267" t="s">
        <v>4295</v>
      </c>
      <c r="C4267">
        <v>183</v>
      </c>
      <c r="D4267">
        <v>155</v>
      </c>
      <c r="E4267" t="s">
        <v>7</v>
      </c>
    </row>
    <row r="4268" spans="1:5" x14ac:dyDescent="0.35">
      <c r="A4268" t="s">
        <v>4264</v>
      </c>
      <c r="B4268" t="s">
        <v>4296</v>
      </c>
      <c r="C4268">
        <v>198</v>
      </c>
      <c r="D4268">
        <v>185</v>
      </c>
      <c r="E4268" t="s">
        <v>7</v>
      </c>
    </row>
    <row r="4269" spans="1:5" x14ac:dyDescent="0.35">
      <c r="A4269" t="s">
        <v>4264</v>
      </c>
      <c r="B4269" t="s">
        <v>4297</v>
      </c>
      <c r="C4269">
        <v>158</v>
      </c>
      <c r="D4269">
        <v>114</v>
      </c>
      <c r="E4269" t="s">
        <v>17</v>
      </c>
    </row>
    <row r="4270" spans="1:5" x14ac:dyDescent="0.35">
      <c r="A4270" t="s">
        <v>4264</v>
      </c>
      <c r="B4270" t="s">
        <v>4298</v>
      </c>
      <c r="C4270">
        <v>231</v>
      </c>
      <c r="D4270">
        <v>155</v>
      </c>
      <c r="E4270" t="s">
        <v>11</v>
      </c>
    </row>
    <row r="4271" spans="1:5" x14ac:dyDescent="0.35">
      <c r="A4271" t="s">
        <v>4264</v>
      </c>
      <c r="B4271" t="s">
        <v>4299</v>
      </c>
      <c r="C4271">
        <v>175</v>
      </c>
      <c r="D4271">
        <v>169</v>
      </c>
      <c r="E4271" t="s">
        <v>9</v>
      </c>
    </row>
    <row r="4272" spans="1:5" x14ac:dyDescent="0.35">
      <c r="A4272" t="s">
        <v>4264</v>
      </c>
      <c r="B4272" t="s">
        <v>4300</v>
      </c>
      <c r="C4272">
        <v>129</v>
      </c>
      <c r="D4272">
        <v>101</v>
      </c>
      <c r="E4272" t="s">
        <v>17</v>
      </c>
    </row>
    <row r="4273" spans="1:5" x14ac:dyDescent="0.35">
      <c r="A4273" t="s">
        <v>4264</v>
      </c>
      <c r="B4273" t="s">
        <v>4301</v>
      </c>
      <c r="C4273">
        <v>200</v>
      </c>
      <c r="D4273">
        <v>186</v>
      </c>
      <c r="E4273" t="s">
        <v>11</v>
      </c>
    </row>
    <row r="4274" spans="1:5" x14ac:dyDescent="0.35">
      <c r="A4274" t="s">
        <v>4264</v>
      </c>
      <c r="B4274" t="s">
        <v>4302</v>
      </c>
      <c r="C4274">
        <v>211</v>
      </c>
      <c r="D4274">
        <v>136</v>
      </c>
      <c r="E4274" t="s">
        <v>11</v>
      </c>
    </row>
    <row r="4275" spans="1:5" x14ac:dyDescent="0.35">
      <c r="A4275" t="s">
        <v>4264</v>
      </c>
      <c r="B4275" t="s">
        <v>4303</v>
      </c>
      <c r="C4275">
        <v>303</v>
      </c>
      <c r="D4275">
        <v>50</v>
      </c>
      <c r="E4275" t="s">
        <v>33</v>
      </c>
    </row>
    <row r="4276" spans="1:5" x14ac:dyDescent="0.35">
      <c r="A4276" t="s">
        <v>4264</v>
      </c>
      <c r="B4276" t="s">
        <v>4304</v>
      </c>
      <c r="C4276">
        <v>159</v>
      </c>
      <c r="D4276">
        <v>108</v>
      </c>
      <c r="E4276" t="s">
        <v>33</v>
      </c>
    </row>
    <row r="4277" spans="1:5" x14ac:dyDescent="0.35">
      <c r="A4277" t="s">
        <v>4264</v>
      </c>
      <c r="B4277" t="s">
        <v>4305</v>
      </c>
      <c r="C4277">
        <v>221</v>
      </c>
      <c r="D4277">
        <v>158</v>
      </c>
      <c r="E4277" t="s">
        <v>21</v>
      </c>
    </row>
    <row r="4278" spans="1:5" x14ac:dyDescent="0.35">
      <c r="A4278" t="s">
        <v>4264</v>
      </c>
      <c r="B4278" t="s">
        <v>4306</v>
      </c>
      <c r="C4278">
        <v>102</v>
      </c>
      <c r="D4278">
        <v>56</v>
      </c>
      <c r="E4278" t="s">
        <v>33</v>
      </c>
    </row>
    <row r="4279" spans="1:5" x14ac:dyDescent="0.35">
      <c r="A4279" t="s">
        <v>4264</v>
      </c>
      <c r="B4279" t="s">
        <v>4307</v>
      </c>
      <c r="C4279">
        <v>58</v>
      </c>
      <c r="D4279">
        <v>40</v>
      </c>
      <c r="E4279" t="s">
        <v>33</v>
      </c>
    </row>
    <row r="4280" spans="1:5" x14ac:dyDescent="0.35">
      <c r="A4280" t="s">
        <v>4264</v>
      </c>
      <c r="B4280" t="s">
        <v>4308</v>
      </c>
      <c r="C4280">
        <v>297</v>
      </c>
      <c r="D4280">
        <v>32</v>
      </c>
      <c r="E4280" t="s">
        <v>17</v>
      </c>
    </row>
    <row r="4281" spans="1:5" x14ac:dyDescent="0.35">
      <c r="A4281" t="s">
        <v>4264</v>
      </c>
      <c r="B4281" t="s">
        <v>4309</v>
      </c>
      <c r="C4281">
        <v>162</v>
      </c>
      <c r="D4281">
        <v>64</v>
      </c>
      <c r="E4281" t="s">
        <v>17</v>
      </c>
    </row>
    <row r="4282" spans="1:5" x14ac:dyDescent="0.35">
      <c r="A4282" t="s">
        <v>4264</v>
      </c>
      <c r="B4282" t="s">
        <v>4310</v>
      </c>
      <c r="C4282">
        <v>267</v>
      </c>
      <c r="D4282">
        <v>151</v>
      </c>
      <c r="E4282" t="s">
        <v>15</v>
      </c>
    </row>
    <row r="4283" spans="1:5" x14ac:dyDescent="0.35">
      <c r="A4283" t="s">
        <v>4264</v>
      </c>
      <c r="B4283" t="s">
        <v>4311</v>
      </c>
      <c r="C4283">
        <v>220</v>
      </c>
      <c r="D4283">
        <v>88</v>
      </c>
      <c r="E4283" t="s">
        <v>33</v>
      </c>
    </row>
    <row r="4284" spans="1:5" x14ac:dyDescent="0.35">
      <c r="A4284" t="s">
        <v>4264</v>
      </c>
      <c r="B4284" t="s">
        <v>4312</v>
      </c>
      <c r="C4284">
        <v>164</v>
      </c>
      <c r="D4284">
        <v>111</v>
      </c>
      <c r="E4284" t="s">
        <v>7</v>
      </c>
    </row>
    <row r="4285" spans="1:5" x14ac:dyDescent="0.35">
      <c r="A4285" t="s">
        <v>4264</v>
      </c>
      <c r="B4285" t="s">
        <v>4313</v>
      </c>
      <c r="C4285">
        <v>281</v>
      </c>
      <c r="D4285">
        <v>133</v>
      </c>
      <c r="E4285" t="s">
        <v>11</v>
      </c>
    </row>
    <row r="4286" spans="1:5" x14ac:dyDescent="0.35">
      <c r="A4286" t="s">
        <v>4264</v>
      </c>
      <c r="B4286" t="s">
        <v>4314</v>
      </c>
      <c r="C4286">
        <v>290</v>
      </c>
      <c r="D4286">
        <v>62</v>
      </c>
      <c r="E4286" t="s">
        <v>7</v>
      </c>
    </row>
    <row r="4287" spans="1:5" x14ac:dyDescent="0.35">
      <c r="A4287" t="s">
        <v>4264</v>
      </c>
      <c r="B4287" t="s">
        <v>4315</v>
      </c>
      <c r="C4287">
        <v>191</v>
      </c>
      <c r="D4287">
        <v>190</v>
      </c>
      <c r="E4287" t="s">
        <v>9</v>
      </c>
    </row>
    <row r="4288" spans="1:5" x14ac:dyDescent="0.35">
      <c r="A4288" t="s">
        <v>4264</v>
      </c>
      <c r="B4288" t="s">
        <v>4316</v>
      </c>
      <c r="C4288">
        <v>58</v>
      </c>
      <c r="D4288">
        <v>44</v>
      </c>
      <c r="E4288" t="s">
        <v>15</v>
      </c>
    </row>
    <row r="4289" spans="1:5" x14ac:dyDescent="0.35">
      <c r="A4289" t="s">
        <v>4264</v>
      </c>
      <c r="B4289" t="s">
        <v>4317</v>
      </c>
      <c r="C4289">
        <v>231</v>
      </c>
      <c r="D4289">
        <v>37</v>
      </c>
      <c r="E4289" t="s">
        <v>7</v>
      </c>
    </row>
    <row r="4290" spans="1:5" x14ac:dyDescent="0.35">
      <c r="A4290" t="s">
        <v>4264</v>
      </c>
      <c r="B4290" t="s">
        <v>4318</v>
      </c>
      <c r="C4290">
        <v>149</v>
      </c>
      <c r="D4290">
        <v>116</v>
      </c>
      <c r="E4290" t="s">
        <v>33</v>
      </c>
    </row>
    <row r="4291" spans="1:5" x14ac:dyDescent="0.35">
      <c r="A4291" t="s">
        <v>4264</v>
      </c>
      <c r="B4291" t="s">
        <v>4319</v>
      </c>
      <c r="C4291">
        <v>316</v>
      </c>
      <c r="D4291">
        <v>178</v>
      </c>
      <c r="E4291" t="s">
        <v>21</v>
      </c>
    </row>
    <row r="4292" spans="1:5" x14ac:dyDescent="0.35">
      <c r="A4292" t="s">
        <v>4264</v>
      </c>
      <c r="B4292" t="s">
        <v>4320</v>
      </c>
      <c r="C4292">
        <v>308</v>
      </c>
      <c r="D4292">
        <v>164</v>
      </c>
      <c r="E4292" t="s">
        <v>11</v>
      </c>
    </row>
    <row r="4293" spans="1:5" x14ac:dyDescent="0.35">
      <c r="A4293" t="s">
        <v>4321</v>
      </c>
      <c r="B4293" t="s">
        <v>4322</v>
      </c>
      <c r="C4293">
        <v>217</v>
      </c>
      <c r="D4293">
        <v>178</v>
      </c>
      <c r="E4293" t="s">
        <v>17</v>
      </c>
    </row>
    <row r="4294" spans="1:5" x14ac:dyDescent="0.35">
      <c r="A4294" t="s">
        <v>4321</v>
      </c>
      <c r="B4294" t="s">
        <v>4323</v>
      </c>
      <c r="C4294">
        <v>148</v>
      </c>
      <c r="D4294">
        <v>128</v>
      </c>
      <c r="E4294" t="s">
        <v>7</v>
      </c>
    </row>
    <row r="4295" spans="1:5" x14ac:dyDescent="0.35">
      <c r="A4295" t="s">
        <v>4321</v>
      </c>
      <c r="B4295" t="s">
        <v>4324</v>
      </c>
      <c r="C4295">
        <v>146</v>
      </c>
      <c r="D4295">
        <v>34</v>
      </c>
      <c r="E4295" t="s">
        <v>17</v>
      </c>
    </row>
    <row r="4296" spans="1:5" x14ac:dyDescent="0.35">
      <c r="A4296" t="s">
        <v>4321</v>
      </c>
      <c r="B4296" t="s">
        <v>4325</v>
      </c>
      <c r="C4296">
        <v>287</v>
      </c>
      <c r="D4296">
        <v>176</v>
      </c>
      <c r="E4296" t="s">
        <v>21</v>
      </c>
    </row>
    <row r="4297" spans="1:5" x14ac:dyDescent="0.35">
      <c r="A4297" t="s">
        <v>4321</v>
      </c>
      <c r="B4297" t="s">
        <v>4326</v>
      </c>
      <c r="C4297">
        <v>312</v>
      </c>
      <c r="D4297">
        <v>128</v>
      </c>
      <c r="E4297" t="s">
        <v>21</v>
      </c>
    </row>
    <row r="4298" spans="1:5" x14ac:dyDescent="0.35">
      <c r="A4298" t="s">
        <v>4321</v>
      </c>
      <c r="B4298" t="s">
        <v>4327</v>
      </c>
      <c r="C4298">
        <v>231</v>
      </c>
      <c r="D4298">
        <v>165</v>
      </c>
      <c r="E4298" t="s">
        <v>9</v>
      </c>
    </row>
    <row r="4299" spans="1:5" x14ac:dyDescent="0.35">
      <c r="A4299" t="s">
        <v>4321</v>
      </c>
      <c r="B4299" t="s">
        <v>4328</v>
      </c>
      <c r="C4299">
        <v>297</v>
      </c>
      <c r="D4299">
        <v>46</v>
      </c>
      <c r="E4299" t="s">
        <v>15</v>
      </c>
    </row>
    <row r="4300" spans="1:5" x14ac:dyDescent="0.35">
      <c r="A4300" t="s">
        <v>4321</v>
      </c>
      <c r="B4300" t="s">
        <v>4329</v>
      </c>
      <c r="C4300">
        <v>181</v>
      </c>
      <c r="D4300">
        <v>125</v>
      </c>
      <c r="E4300" t="s">
        <v>33</v>
      </c>
    </row>
    <row r="4301" spans="1:5" x14ac:dyDescent="0.35">
      <c r="A4301" t="s">
        <v>4321</v>
      </c>
      <c r="B4301" t="s">
        <v>4330</v>
      </c>
      <c r="C4301">
        <v>131</v>
      </c>
      <c r="D4301">
        <v>107</v>
      </c>
      <c r="E4301" t="s">
        <v>33</v>
      </c>
    </row>
    <row r="4302" spans="1:5" x14ac:dyDescent="0.35">
      <c r="A4302" t="s">
        <v>4321</v>
      </c>
      <c r="B4302" t="s">
        <v>4331</v>
      </c>
      <c r="C4302">
        <v>281</v>
      </c>
      <c r="D4302">
        <v>125</v>
      </c>
      <c r="E4302" t="s">
        <v>33</v>
      </c>
    </row>
    <row r="4303" spans="1:5" x14ac:dyDescent="0.35">
      <c r="A4303" t="s">
        <v>4321</v>
      </c>
      <c r="B4303" t="s">
        <v>4332</v>
      </c>
      <c r="C4303">
        <v>183</v>
      </c>
      <c r="D4303">
        <v>94</v>
      </c>
      <c r="E4303" t="s">
        <v>11</v>
      </c>
    </row>
    <row r="4304" spans="1:5" x14ac:dyDescent="0.35">
      <c r="A4304" t="s">
        <v>4321</v>
      </c>
      <c r="B4304" t="s">
        <v>4333</v>
      </c>
      <c r="C4304">
        <v>240</v>
      </c>
      <c r="D4304">
        <v>65</v>
      </c>
      <c r="E4304" t="s">
        <v>7</v>
      </c>
    </row>
    <row r="4305" spans="1:5" x14ac:dyDescent="0.35">
      <c r="A4305" t="s">
        <v>4321</v>
      </c>
      <c r="B4305" t="s">
        <v>4334</v>
      </c>
      <c r="C4305">
        <v>258</v>
      </c>
      <c r="D4305">
        <v>177</v>
      </c>
      <c r="E4305" t="s">
        <v>15</v>
      </c>
    </row>
    <row r="4306" spans="1:5" x14ac:dyDescent="0.35">
      <c r="A4306" t="s">
        <v>4321</v>
      </c>
      <c r="B4306" t="s">
        <v>4335</v>
      </c>
      <c r="C4306">
        <v>100</v>
      </c>
      <c r="D4306">
        <v>93</v>
      </c>
      <c r="E4306" t="s">
        <v>9</v>
      </c>
    </row>
    <row r="4307" spans="1:5" x14ac:dyDescent="0.35">
      <c r="A4307" t="s">
        <v>4321</v>
      </c>
      <c r="B4307" t="s">
        <v>4336</v>
      </c>
      <c r="C4307">
        <v>187</v>
      </c>
      <c r="D4307">
        <v>169</v>
      </c>
      <c r="E4307" t="s">
        <v>9</v>
      </c>
    </row>
    <row r="4308" spans="1:5" x14ac:dyDescent="0.35">
      <c r="A4308" t="s">
        <v>4321</v>
      </c>
      <c r="B4308" t="s">
        <v>4337</v>
      </c>
      <c r="C4308">
        <v>253</v>
      </c>
      <c r="D4308">
        <v>34</v>
      </c>
      <c r="E4308" t="s">
        <v>9</v>
      </c>
    </row>
    <row r="4309" spans="1:5" x14ac:dyDescent="0.35">
      <c r="A4309" t="s">
        <v>4321</v>
      </c>
      <c r="B4309" t="s">
        <v>4338</v>
      </c>
      <c r="C4309">
        <v>225</v>
      </c>
      <c r="D4309">
        <v>143</v>
      </c>
      <c r="E4309" t="s">
        <v>7</v>
      </c>
    </row>
    <row r="4310" spans="1:5" x14ac:dyDescent="0.35">
      <c r="A4310" t="s">
        <v>4321</v>
      </c>
      <c r="B4310" t="s">
        <v>4339</v>
      </c>
      <c r="C4310">
        <v>270</v>
      </c>
      <c r="D4310">
        <v>112</v>
      </c>
      <c r="E4310" t="s">
        <v>21</v>
      </c>
    </row>
    <row r="4311" spans="1:5" x14ac:dyDescent="0.35">
      <c r="A4311" t="s">
        <v>4321</v>
      </c>
      <c r="B4311" t="s">
        <v>4340</v>
      </c>
      <c r="C4311">
        <v>205</v>
      </c>
      <c r="D4311">
        <v>96</v>
      </c>
      <c r="E4311" t="s">
        <v>15</v>
      </c>
    </row>
    <row r="4312" spans="1:5" x14ac:dyDescent="0.35">
      <c r="A4312" t="s">
        <v>4321</v>
      </c>
      <c r="B4312" t="s">
        <v>4341</v>
      </c>
      <c r="C4312">
        <v>198</v>
      </c>
      <c r="D4312">
        <v>145</v>
      </c>
      <c r="E4312" t="s">
        <v>21</v>
      </c>
    </row>
    <row r="4313" spans="1:5" x14ac:dyDescent="0.35">
      <c r="A4313" t="s">
        <v>4321</v>
      </c>
      <c r="B4313" t="s">
        <v>4342</v>
      </c>
      <c r="C4313">
        <v>267</v>
      </c>
      <c r="D4313">
        <v>160</v>
      </c>
      <c r="E4313" t="s">
        <v>7</v>
      </c>
    </row>
    <row r="4314" spans="1:5" x14ac:dyDescent="0.35">
      <c r="A4314" t="s">
        <v>4321</v>
      </c>
      <c r="B4314" t="s">
        <v>4343</v>
      </c>
      <c r="C4314">
        <v>213</v>
      </c>
      <c r="D4314">
        <v>43</v>
      </c>
      <c r="E4314" t="s">
        <v>15</v>
      </c>
    </row>
    <row r="4315" spans="1:5" x14ac:dyDescent="0.35">
      <c r="A4315" t="s">
        <v>4321</v>
      </c>
      <c r="B4315" t="s">
        <v>4344</v>
      </c>
      <c r="C4315">
        <v>307</v>
      </c>
      <c r="D4315">
        <v>125</v>
      </c>
      <c r="E4315" t="s">
        <v>11</v>
      </c>
    </row>
    <row r="4316" spans="1:5" x14ac:dyDescent="0.35">
      <c r="A4316" t="s">
        <v>4321</v>
      </c>
      <c r="B4316" t="s">
        <v>4345</v>
      </c>
      <c r="C4316">
        <v>235</v>
      </c>
      <c r="D4316">
        <v>153</v>
      </c>
      <c r="E4316" t="s">
        <v>7</v>
      </c>
    </row>
    <row r="4317" spans="1:5" x14ac:dyDescent="0.35">
      <c r="A4317" t="s">
        <v>4321</v>
      </c>
      <c r="B4317" t="s">
        <v>4346</v>
      </c>
      <c r="C4317">
        <v>142</v>
      </c>
      <c r="D4317">
        <v>54</v>
      </c>
      <c r="E4317" t="s">
        <v>9</v>
      </c>
    </row>
    <row r="4318" spans="1:5" x14ac:dyDescent="0.35">
      <c r="A4318" t="s">
        <v>4321</v>
      </c>
      <c r="B4318" t="s">
        <v>4347</v>
      </c>
      <c r="C4318">
        <v>214</v>
      </c>
      <c r="D4318">
        <v>81</v>
      </c>
      <c r="E4318" t="s">
        <v>9</v>
      </c>
    </row>
    <row r="4319" spans="1:5" x14ac:dyDescent="0.35">
      <c r="A4319" t="s">
        <v>4321</v>
      </c>
      <c r="B4319" t="s">
        <v>4348</v>
      </c>
      <c r="C4319">
        <v>235</v>
      </c>
      <c r="D4319">
        <v>115</v>
      </c>
      <c r="E4319" t="s">
        <v>11</v>
      </c>
    </row>
    <row r="4320" spans="1:5" x14ac:dyDescent="0.35">
      <c r="A4320" t="s">
        <v>4321</v>
      </c>
      <c r="B4320" t="s">
        <v>4349</v>
      </c>
      <c r="C4320">
        <v>215</v>
      </c>
      <c r="D4320">
        <v>56</v>
      </c>
      <c r="E4320" t="s">
        <v>15</v>
      </c>
    </row>
    <row r="4321" spans="1:5" x14ac:dyDescent="0.35">
      <c r="A4321" t="s">
        <v>4321</v>
      </c>
      <c r="B4321" t="s">
        <v>4350</v>
      </c>
      <c r="C4321">
        <v>139</v>
      </c>
      <c r="D4321">
        <v>130</v>
      </c>
      <c r="E4321" t="s">
        <v>9</v>
      </c>
    </row>
    <row r="4322" spans="1:5" x14ac:dyDescent="0.35">
      <c r="A4322" t="s">
        <v>4321</v>
      </c>
      <c r="B4322" t="s">
        <v>4351</v>
      </c>
      <c r="C4322">
        <v>315</v>
      </c>
      <c r="D4322">
        <v>124</v>
      </c>
      <c r="E4322" t="s">
        <v>17</v>
      </c>
    </row>
    <row r="4323" spans="1:5" x14ac:dyDescent="0.35">
      <c r="A4323" t="s">
        <v>4321</v>
      </c>
      <c r="B4323" t="s">
        <v>4352</v>
      </c>
      <c r="C4323">
        <v>70</v>
      </c>
      <c r="D4323">
        <v>58</v>
      </c>
      <c r="E4323" t="s">
        <v>17</v>
      </c>
    </row>
    <row r="4324" spans="1:5" x14ac:dyDescent="0.35">
      <c r="A4324" t="s">
        <v>4321</v>
      </c>
      <c r="B4324" t="s">
        <v>4353</v>
      </c>
      <c r="C4324">
        <v>178</v>
      </c>
      <c r="D4324">
        <v>31</v>
      </c>
      <c r="E4324" t="s">
        <v>9</v>
      </c>
    </row>
    <row r="4325" spans="1:5" x14ac:dyDescent="0.35">
      <c r="A4325" t="s">
        <v>4321</v>
      </c>
      <c r="B4325" t="s">
        <v>4354</v>
      </c>
      <c r="C4325">
        <v>293</v>
      </c>
      <c r="D4325">
        <v>156</v>
      </c>
      <c r="E4325" t="s">
        <v>33</v>
      </c>
    </row>
    <row r="4326" spans="1:5" x14ac:dyDescent="0.35">
      <c r="A4326" t="s">
        <v>4321</v>
      </c>
      <c r="B4326" t="s">
        <v>4355</v>
      </c>
      <c r="C4326">
        <v>290</v>
      </c>
      <c r="D4326">
        <v>81</v>
      </c>
      <c r="E4326" t="s">
        <v>17</v>
      </c>
    </row>
    <row r="4327" spans="1:5" x14ac:dyDescent="0.35">
      <c r="A4327" t="s">
        <v>4321</v>
      </c>
      <c r="B4327" t="s">
        <v>4356</v>
      </c>
      <c r="C4327">
        <v>170</v>
      </c>
      <c r="D4327">
        <v>118</v>
      </c>
      <c r="E4327" t="s">
        <v>21</v>
      </c>
    </row>
    <row r="4328" spans="1:5" x14ac:dyDescent="0.35">
      <c r="A4328" t="s">
        <v>4321</v>
      </c>
      <c r="B4328" t="s">
        <v>4357</v>
      </c>
      <c r="C4328">
        <v>188</v>
      </c>
      <c r="D4328">
        <v>148</v>
      </c>
      <c r="E4328" t="s">
        <v>7</v>
      </c>
    </row>
    <row r="4329" spans="1:5" x14ac:dyDescent="0.35">
      <c r="A4329" t="s">
        <v>4321</v>
      </c>
      <c r="B4329" t="s">
        <v>4358</v>
      </c>
      <c r="C4329">
        <v>180</v>
      </c>
      <c r="D4329">
        <v>45</v>
      </c>
      <c r="E4329" t="s">
        <v>21</v>
      </c>
    </row>
    <row r="4330" spans="1:5" x14ac:dyDescent="0.35">
      <c r="A4330" t="s">
        <v>4321</v>
      </c>
      <c r="B4330" t="s">
        <v>4359</v>
      </c>
      <c r="C4330">
        <v>278</v>
      </c>
      <c r="D4330">
        <v>175</v>
      </c>
      <c r="E4330" t="s">
        <v>17</v>
      </c>
    </row>
    <row r="4331" spans="1:5" x14ac:dyDescent="0.35">
      <c r="A4331" t="s">
        <v>4321</v>
      </c>
      <c r="B4331" t="s">
        <v>4360</v>
      </c>
      <c r="C4331">
        <v>284</v>
      </c>
      <c r="D4331">
        <v>90</v>
      </c>
      <c r="E4331" t="s">
        <v>33</v>
      </c>
    </row>
    <row r="4332" spans="1:5" x14ac:dyDescent="0.35">
      <c r="A4332" t="s">
        <v>4321</v>
      </c>
      <c r="B4332" t="s">
        <v>4361</v>
      </c>
      <c r="C4332">
        <v>268</v>
      </c>
      <c r="D4332">
        <v>126</v>
      </c>
      <c r="E4332" t="s">
        <v>11</v>
      </c>
    </row>
    <row r="4333" spans="1:5" x14ac:dyDescent="0.35">
      <c r="A4333" t="s">
        <v>4321</v>
      </c>
      <c r="B4333" t="s">
        <v>4362</v>
      </c>
      <c r="C4333">
        <v>291</v>
      </c>
      <c r="D4333">
        <v>158</v>
      </c>
      <c r="E4333" t="s">
        <v>33</v>
      </c>
    </row>
    <row r="4334" spans="1:5" x14ac:dyDescent="0.35">
      <c r="A4334" t="s">
        <v>4321</v>
      </c>
      <c r="B4334" t="s">
        <v>4363</v>
      </c>
      <c r="C4334">
        <v>177</v>
      </c>
      <c r="D4334">
        <v>152</v>
      </c>
      <c r="E4334" t="s">
        <v>11</v>
      </c>
    </row>
    <row r="4335" spans="1:5" x14ac:dyDescent="0.35">
      <c r="A4335" t="s">
        <v>4321</v>
      </c>
      <c r="B4335" t="s">
        <v>4364</v>
      </c>
      <c r="C4335">
        <v>132</v>
      </c>
      <c r="D4335">
        <v>66</v>
      </c>
      <c r="E4335" t="s">
        <v>9</v>
      </c>
    </row>
    <row r="4336" spans="1:5" x14ac:dyDescent="0.35">
      <c r="A4336" t="s">
        <v>4321</v>
      </c>
      <c r="B4336" t="s">
        <v>4365</v>
      </c>
      <c r="C4336">
        <v>298</v>
      </c>
      <c r="D4336">
        <v>40</v>
      </c>
      <c r="E4336" t="s">
        <v>17</v>
      </c>
    </row>
    <row r="4337" spans="1:5" x14ac:dyDescent="0.35">
      <c r="A4337" t="s">
        <v>4321</v>
      </c>
      <c r="B4337" t="s">
        <v>4366</v>
      </c>
      <c r="C4337">
        <v>255</v>
      </c>
      <c r="D4337">
        <v>127</v>
      </c>
      <c r="E4337" t="s">
        <v>7</v>
      </c>
    </row>
    <row r="4338" spans="1:5" x14ac:dyDescent="0.35">
      <c r="A4338" t="s">
        <v>4321</v>
      </c>
      <c r="B4338" t="s">
        <v>4367</v>
      </c>
      <c r="C4338">
        <v>163</v>
      </c>
      <c r="D4338">
        <v>144</v>
      </c>
      <c r="E4338" t="s">
        <v>21</v>
      </c>
    </row>
    <row r="4339" spans="1:5" x14ac:dyDescent="0.35">
      <c r="A4339" t="s">
        <v>4321</v>
      </c>
      <c r="B4339" t="s">
        <v>4368</v>
      </c>
      <c r="C4339">
        <v>283</v>
      </c>
      <c r="D4339">
        <v>98</v>
      </c>
      <c r="E4339" t="s">
        <v>17</v>
      </c>
    </row>
    <row r="4340" spans="1:5" x14ac:dyDescent="0.35">
      <c r="A4340" t="s">
        <v>4321</v>
      </c>
      <c r="B4340" t="s">
        <v>4369</v>
      </c>
      <c r="C4340">
        <v>276</v>
      </c>
      <c r="D4340">
        <v>183</v>
      </c>
      <c r="E4340" t="s">
        <v>33</v>
      </c>
    </row>
    <row r="4341" spans="1:5" x14ac:dyDescent="0.35">
      <c r="A4341" t="s">
        <v>4321</v>
      </c>
      <c r="B4341" t="s">
        <v>4370</v>
      </c>
      <c r="C4341">
        <v>232</v>
      </c>
      <c r="D4341">
        <v>129</v>
      </c>
      <c r="E4341" t="s">
        <v>15</v>
      </c>
    </row>
    <row r="4342" spans="1:5" x14ac:dyDescent="0.35">
      <c r="A4342" t="s">
        <v>4321</v>
      </c>
      <c r="B4342" t="s">
        <v>4371</v>
      </c>
      <c r="C4342">
        <v>253</v>
      </c>
      <c r="D4342">
        <v>148</v>
      </c>
      <c r="E4342" t="s">
        <v>17</v>
      </c>
    </row>
    <row r="4343" spans="1:5" x14ac:dyDescent="0.35">
      <c r="A4343" t="s">
        <v>4321</v>
      </c>
      <c r="B4343" t="s">
        <v>4372</v>
      </c>
      <c r="C4343">
        <v>198</v>
      </c>
      <c r="D4343">
        <v>135</v>
      </c>
      <c r="E4343" t="s">
        <v>7</v>
      </c>
    </row>
    <row r="4344" spans="1:5" x14ac:dyDescent="0.35">
      <c r="A4344" t="s">
        <v>4321</v>
      </c>
      <c r="B4344" t="s">
        <v>4373</v>
      </c>
      <c r="C4344">
        <v>300</v>
      </c>
      <c r="D4344">
        <v>33</v>
      </c>
      <c r="E4344" t="s">
        <v>17</v>
      </c>
    </row>
    <row r="4345" spans="1:5" x14ac:dyDescent="0.35">
      <c r="A4345" t="s">
        <v>4321</v>
      </c>
      <c r="B4345" t="s">
        <v>4374</v>
      </c>
      <c r="C4345">
        <v>232</v>
      </c>
      <c r="D4345">
        <v>57</v>
      </c>
      <c r="E4345" t="s">
        <v>33</v>
      </c>
    </row>
    <row r="4346" spans="1:5" x14ac:dyDescent="0.35">
      <c r="A4346" t="s">
        <v>4321</v>
      </c>
      <c r="B4346" t="s">
        <v>4375</v>
      </c>
      <c r="C4346">
        <v>262</v>
      </c>
      <c r="D4346">
        <v>77</v>
      </c>
      <c r="E4346" t="s">
        <v>33</v>
      </c>
    </row>
    <row r="4347" spans="1:5" x14ac:dyDescent="0.35">
      <c r="A4347" t="s">
        <v>4321</v>
      </c>
      <c r="B4347" t="s">
        <v>4376</v>
      </c>
      <c r="C4347">
        <v>66</v>
      </c>
      <c r="D4347">
        <v>39</v>
      </c>
      <c r="E4347" t="s">
        <v>11</v>
      </c>
    </row>
    <row r="4348" spans="1:5" x14ac:dyDescent="0.35">
      <c r="A4348" t="s">
        <v>4321</v>
      </c>
      <c r="B4348" t="s">
        <v>4377</v>
      </c>
      <c r="C4348">
        <v>151</v>
      </c>
      <c r="D4348">
        <v>88</v>
      </c>
      <c r="E4348" t="s">
        <v>17</v>
      </c>
    </row>
    <row r="4349" spans="1:5" x14ac:dyDescent="0.35">
      <c r="A4349" t="s">
        <v>4321</v>
      </c>
      <c r="B4349" t="s">
        <v>4378</v>
      </c>
      <c r="C4349">
        <v>213</v>
      </c>
      <c r="D4349">
        <v>55</v>
      </c>
      <c r="E4349" t="s">
        <v>21</v>
      </c>
    </row>
    <row r="4350" spans="1:5" x14ac:dyDescent="0.35">
      <c r="A4350" t="s">
        <v>4321</v>
      </c>
      <c r="B4350" t="s">
        <v>4379</v>
      </c>
      <c r="C4350">
        <v>220</v>
      </c>
      <c r="D4350">
        <v>58</v>
      </c>
      <c r="E4350" t="s">
        <v>11</v>
      </c>
    </row>
    <row r="4351" spans="1:5" x14ac:dyDescent="0.35">
      <c r="A4351" t="s">
        <v>4321</v>
      </c>
      <c r="B4351" t="s">
        <v>4380</v>
      </c>
      <c r="C4351">
        <v>159</v>
      </c>
      <c r="D4351">
        <v>152</v>
      </c>
      <c r="E4351" t="s">
        <v>17</v>
      </c>
    </row>
    <row r="4352" spans="1:5" x14ac:dyDescent="0.35">
      <c r="A4352" t="s">
        <v>4321</v>
      </c>
      <c r="B4352" t="s">
        <v>4381</v>
      </c>
      <c r="C4352">
        <v>237</v>
      </c>
      <c r="D4352">
        <v>68</v>
      </c>
      <c r="E4352" t="s">
        <v>7</v>
      </c>
    </row>
    <row r="4353" spans="1:5" x14ac:dyDescent="0.35">
      <c r="A4353" t="s">
        <v>4321</v>
      </c>
      <c r="B4353" t="s">
        <v>4382</v>
      </c>
      <c r="C4353">
        <v>254</v>
      </c>
      <c r="D4353">
        <v>166</v>
      </c>
      <c r="E4353" t="s">
        <v>9</v>
      </c>
    </row>
    <row r="4354" spans="1:5" x14ac:dyDescent="0.35">
      <c r="A4354" t="s">
        <v>4321</v>
      </c>
      <c r="B4354" t="s">
        <v>4383</v>
      </c>
      <c r="C4354">
        <v>141</v>
      </c>
      <c r="D4354">
        <v>75</v>
      </c>
      <c r="E4354" t="s">
        <v>17</v>
      </c>
    </row>
    <row r="4355" spans="1:5" x14ac:dyDescent="0.35">
      <c r="A4355" t="s">
        <v>4321</v>
      </c>
      <c r="B4355" t="s">
        <v>4384</v>
      </c>
      <c r="C4355">
        <v>292</v>
      </c>
      <c r="D4355">
        <v>180</v>
      </c>
      <c r="E4355" t="s">
        <v>33</v>
      </c>
    </row>
    <row r="4356" spans="1:5" x14ac:dyDescent="0.35">
      <c r="A4356" t="s">
        <v>4321</v>
      </c>
      <c r="B4356" t="s">
        <v>4385</v>
      </c>
      <c r="C4356">
        <v>263</v>
      </c>
      <c r="D4356">
        <v>32</v>
      </c>
      <c r="E4356" t="s">
        <v>33</v>
      </c>
    </row>
    <row r="4357" spans="1:5" x14ac:dyDescent="0.35">
      <c r="A4357" t="s">
        <v>4321</v>
      </c>
      <c r="B4357" t="s">
        <v>4386</v>
      </c>
      <c r="C4357">
        <v>187</v>
      </c>
      <c r="D4357">
        <v>122</v>
      </c>
      <c r="E4357" t="s">
        <v>17</v>
      </c>
    </row>
    <row r="4358" spans="1:5" x14ac:dyDescent="0.35">
      <c r="A4358" t="s">
        <v>4321</v>
      </c>
      <c r="B4358" t="s">
        <v>4387</v>
      </c>
      <c r="C4358">
        <v>118</v>
      </c>
      <c r="D4358">
        <v>94</v>
      </c>
      <c r="E4358" t="s">
        <v>21</v>
      </c>
    </row>
    <row r="4359" spans="1:5" x14ac:dyDescent="0.35">
      <c r="A4359" t="s">
        <v>4321</v>
      </c>
      <c r="B4359" t="s">
        <v>4388</v>
      </c>
      <c r="C4359">
        <v>177</v>
      </c>
      <c r="D4359">
        <v>89</v>
      </c>
      <c r="E4359" t="s">
        <v>7</v>
      </c>
    </row>
    <row r="4360" spans="1:5" x14ac:dyDescent="0.35">
      <c r="A4360" t="s">
        <v>4321</v>
      </c>
      <c r="B4360" t="s">
        <v>4389</v>
      </c>
      <c r="C4360">
        <v>155</v>
      </c>
      <c r="D4360">
        <v>146</v>
      </c>
      <c r="E4360" t="s">
        <v>15</v>
      </c>
    </row>
    <row r="4361" spans="1:5" x14ac:dyDescent="0.35">
      <c r="A4361" t="s">
        <v>4321</v>
      </c>
      <c r="B4361" t="s">
        <v>4390</v>
      </c>
      <c r="C4361">
        <v>211</v>
      </c>
      <c r="D4361">
        <v>64</v>
      </c>
      <c r="E4361" t="s">
        <v>21</v>
      </c>
    </row>
    <row r="4362" spans="1:5" x14ac:dyDescent="0.35">
      <c r="A4362" t="s">
        <v>4321</v>
      </c>
      <c r="B4362" t="s">
        <v>4391</v>
      </c>
      <c r="C4362">
        <v>212</v>
      </c>
      <c r="D4362">
        <v>131</v>
      </c>
      <c r="E4362" t="s">
        <v>21</v>
      </c>
    </row>
    <row r="4363" spans="1:5" x14ac:dyDescent="0.35">
      <c r="A4363" t="s">
        <v>4321</v>
      </c>
      <c r="B4363" t="s">
        <v>4392</v>
      </c>
      <c r="C4363">
        <v>151</v>
      </c>
      <c r="D4363">
        <v>105</v>
      </c>
      <c r="E4363" t="s">
        <v>11</v>
      </c>
    </row>
    <row r="4364" spans="1:5" x14ac:dyDescent="0.35">
      <c r="A4364" t="s">
        <v>4321</v>
      </c>
      <c r="B4364" t="s">
        <v>4393</v>
      </c>
      <c r="C4364">
        <v>273</v>
      </c>
      <c r="D4364">
        <v>182</v>
      </c>
      <c r="E4364" t="s">
        <v>33</v>
      </c>
    </row>
    <row r="4365" spans="1:5" x14ac:dyDescent="0.35">
      <c r="A4365" t="s">
        <v>4321</v>
      </c>
      <c r="B4365" t="s">
        <v>4394</v>
      </c>
      <c r="C4365">
        <v>173</v>
      </c>
      <c r="D4365">
        <v>150</v>
      </c>
      <c r="E4365" t="s">
        <v>11</v>
      </c>
    </row>
    <row r="4366" spans="1:5" x14ac:dyDescent="0.35">
      <c r="A4366" t="s">
        <v>4321</v>
      </c>
      <c r="B4366" t="s">
        <v>4395</v>
      </c>
      <c r="C4366">
        <v>276</v>
      </c>
      <c r="D4366">
        <v>177</v>
      </c>
      <c r="E4366" t="s">
        <v>7</v>
      </c>
    </row>
    <row r="4367" spans="1:5" x14ac:dyDescent="0.35">
      <c r="A4367" t="s">
        <v>4321</v>
      </c>
      <c r="B4367" t="s">
        <v>4396</v>
      </c>
      <c r="C4367">
        <v>320</v>
      </c>
      <c r="D4367">
        <v>172</v>
      </c>
      <c r="E4367" t="s">
        <v>9</v>
      </c>
    </row>
    <row r="4368" spans="1:5" x14ac:dyDescent="0.35">
      <c r="A4368" t="s">
        <v>4321</v>
      </c>
      <c r="B4368" t="s">
        <v>4397</v>
      </c>
      <c r="C4368">
        <v>276</v>
      </c>
      <c r="D4368">
        <v>178</v>
      </c>
      <c r="E4368" t="s">
        <v>21</v>
      </c>
    </row>
    <row r="4369" spans="1:5" x14ac:dyDescent="0.35">
      <c r="A4369" t="s">
        <v>4321</v>
      </c>
      <c r="B4369" t="s">
        <v>4398</v>
      </c>
      <c r="C4369">
        <v>193</v>
      </c>
      <c r="D4369">
        <v>94</v>
      </c>
      <c r="E4369" t="s">
        <v>15</v>
      </c>
    </row>
    <row r="4370" spans="1:5" x14ac:dyDescent="0.35">
      <c r="A4370" t="s">
        <v>4321</v>
      </c>
      <c r="B4370" t="s">
        <v>4399</v>
      </c>
      <c r="C4370">
        <v>125</v>
      </c>
      <c r="D4370">
        <v>91</v>
      </c>
      <c r="E4370" t="s">
        <v>9</v>
      </c>
    </row>
    <row r="4371" spans="1:5" x14ac:dyDescent="0.35">
      <c r="A4371" t="s">
        <v>4321</v>
      </c>
      <c r="B4371" t="s">
        <v>4400</v>
      </c>
      <c r="C4371">
        <v>199</v>
      </c>
      <c r="D4371">
        <v>133</v>
      </c>
      <c r="E4371" t="s">
        <v>7</v>
      </c>
    </row>
    <row r="4372" spans="1:5" x14ac:dyDescent="0.35">
      <c r="A4372" t="s">
        <v>4321</v>
      </c>
      <c r="B4372" t="s">
        <v>4401</v>
      </c>
      <c r="C4372">
        <v>267</v>
      </c>
      <c r="D4372">
        <v>72</v>
      </c>
      <c r="E4372" t="s">
        <v>17</v>
      </c>
    </row>
    <row r="4373" spans="1:5" x14ac:dyDescent="0.35">
      <c r="A4373" t="s">
        <v>4321</v>
      </c>
      <c r="B4373" t="s">
        <v>4402</v>
      </c>
      <c r="C4373">
        <v>271</v>
      </c>
      <c r="D4373">
        <v>118</v>
      </c>
      <c r="E4373" t="s">
        <v>21</v>
      </c>
    </row>
    <row r="4374" spans="1:5" x14ac:dyDescent="0.35">
      <c r="A4374" t="s">
        <v>4321</v>
      </c>
      <c r="B4374" t="s">
        <v>4403</v>
      </c>
      <c r="C4374">
        <v>296</v>
      </c>
      <c r="D4374">
        <v>56</v>
      </c>
      <c r="E4374" t="s">
        <v>11</v>
      </c>
    </row>
    <row r="4375" spans="1:5" x14ac:dyDescent="0.35">
      <c r="A4375" t="s">
        <v>4321</v>
      </c>
      <c r="B4375" t="s">
        <v>4404</v>
      </c>
      <c r="C4375">
        <v>146</v>
      </c>
      <c r="D4375">
        <v>136</v>
      </c>
      <c r="E4375" t="s">
        <v>33</v>
      </c>
    </row>
    <row r="4376" spans="1:5" x14ac:dyDescent="0.35">
      <c r="A4376" t="s">
        <v>4321</v>
      </c>
      <c r="B4376" t="s">
        <v>4405</v>
      </c>
      <c r="C4376">
        <v>194</v>
      </c>
      <c r="D4376">
        <v>35</v>
      </c>
      <c r="E4376" t="s">
        <v>9</v>
      </c>
    </row>
    <row r="4377" spans="1:5" x14ac:dyDescent="0.35">
      <c r="A4377" t="s">
        <v>4321</v>
      </c>
      <c r="B4377" t="s">
        <v>4406</v>
      </c>
      <c r="C4377">
        <v>298</v>
      </c>
      <c r="D4377">
        <v>150</v>
      </c>
      <c r="E4377" t="s">
        <v>17</v>
      </c>
    </row>
    <row r="4378" spans="1:5" x14ac:dyDescent="0.35">
      <c r="A4378" t="s">
        <v>4321</v>
      </c>
      <c r="B4378" t="s">
        <v>4407</v>
      </c>
      <c r="C4378">
        <v>221</v>
      </c>
      <c r="D4378">
        <v>161</v>
      </c>
      <c r="E4378" t="s">
        <v>7</v>
      </c>
    </row>
    <row r="4379" spans="1:5" x14ac:dyDescent="0.35">
      <c r="A4379" t="s">
        <v>4321</v>
      </c>
      <c r="B4379" t="s">
        <v>4408</v>
      </c>
      <c r="C4379">
        <v>302</v>
      </c>
      <c r="D4379">
        <v>84</v>
      </c>
      <c r="E4379" t="s">
        <v>17</v>
      </c>
    </row>
    <row r="4380" spans="1:5" x14ac:dyDescent="0.35">
      <c r="A4380" t="s">
        <v>4321</v>
      </c>
      <c r="B4380" t="s">
        <v>4409</v>
      </c>
      <c r="C4380">
        <v>223</v>
      </c>
      <c r="D4380">
        <v>152</v>
      </c>
      <c r="E4380" t="s">
        <v>21</v>
      </c>
    </row>
    <row r="4381" spans="1:5" x14ac:dyDescent="0.35">
      <c r="A4381" t="s">
        <v>4321</v>
      </c>
      <c r="B4381" t="s">
        <v>4410</v>
      </c>
      <c r="C4381">
        <v>171</v>
      </c>
      <c r="D4381">
        <v>97</v>
      </c>
      <c r="E4381" t="s">
        <v>15</v>
      </c>
    </row>
    <row r="4382" spans="1:5" x14ac:dyDescent="0.35">
      <c r="A4382" t="s">
        <v>4321</v>
      </c>
      <c r="B4382" t="s">
        <v>4411</v>
      </c>
      <c r="C4382">
        <v>154</v>
      </c>
      <c r="D4382">
        <v>107</v>
      </c>
      <c r="E4382" t="s">
        <v>11</v>
      </c>
    </row>
    <row r="4383" spans="1:5" x14ac:dyDescent="0.35">
      <c r="A4383" t="s">
        <v>4321</v>
      </c>
      <c r="B4383" t="s">
        <v>4412</v>
      </c>
      <c r="C4383">
        <v>306</v>
      </c>
      <c r="D4383">
        <v>78</v>
      </c>
      <c r="E4383" t="s">
        <v>9</v>
      </c>
    </row>
    <row r="4384" spans="1:5" x14ac:dyDescent="0.35">
      <c r="A4384" t="s">
        <v>4413</v>
      </c>
      <c r="B4384" t="s">
        <v>4414</v>
      </c>
      <c r="C4384">
        <v>500</v>
      </c>
      <c r="D4384">
        <v>406</v>
      </c>
      <c r="E4384" t="s">
        <v>21</v>
      </c>
    </row>
    <row r="4385" spans="1:5" x14ac:dyDescent="0.35">
      <c r="A4385" t="s">
        <v>4413</v>
      </c>
      <c r="B4385" t="s">
        <v>4415</v>
      </c>
      <c r="C4385">
        <v>244</v>
      </c>
      <c r="D4385">
        <v>221</v>
      </c>
      <c r="E4385" t="s">
        <v>15</v>
      </c>
    </row>
    <row r="4386" spans="1:5" x14ac:dyDescent="0.35">
      <c r="A4386" t="s">
        <v>4413</v>
      </c>
      <c r="B4386" t="s">
        <v>4416</v>
      </c>
      <c r="C4386">
        <v>488</v>
      </c>
      <c r="D4386">
        <v>462</v>
      </c>
      <c r="E4386" t="s">
        <v>21</v>
      </c>
    </row>
    <row r="4387" spans="1:5" x14ac:dyDescent="0.35">
      <c r="A4387" t="s">
        <v>4413</v>
      </c>
      <c r="B4387" t="s">
        <v>4417</v>
      </c>
      <c r="C4387">
        <v>467</v>
      </c>
      <c r="D4387">
        <v>259</v>
      </c>
      <c r="E4387" t="s">
        <v>33</v>
      </c>
    </row>
    <row r="4388" spans="1:5" x14ac:dyDescent="0.35">
      <c r="A4388" t="s">
        <v>4413</v>
      </c>
      <c r="B4388" t="s">
        <v>4418</v>
      </c>
      <c r="C4388">
        <v>490</v>
      </c>
      <c r="D4388">
        <v>245</v>
      </c>
      <c r="E4388" t="s">
        <v>33</v>
      </c>
    </row>
    <row r="4389" spans="1:5" x14ac:dyDescent="0.35">
      <c r="A4389" t="s">
        <v>4413</v>
      </c>
      <c r="B4389" t="s">
        <v>4419</v>
      </c>
      <c r="C4389">
        <v>482</v>
      </c>
      <c r="D4389">
        <v>429</v>
      </c>
      <c r="E4389" t="s">
        <v>21</v>
      </c>
    </row>
    <row r="4390" spans="1:5" x14ac:dyDescent="0.35">
      <c r="A4390" t="s">
        <v>4413</v>
      </c>
      <c r="B4390" t="s">
        <v>4420</v>
      </c>
      <c r="C4390">
        <v>498</v>
      </c>
      <c r="D4390">
        <v>343</v>
      </c>
      <c r="E4390" t="s">
        <v>7</v>
      </c>
    </row>
    <row r="4391" spans="1:5" x14ac:dyDescent="0.35">
      <c r="A4391" t="s">
        <v>4413</v>
      </c>
      <c r="B4391" t="s">
        <v>4421</v>
      </c>
      <c r="C4391">
        <v>426</v>
      </c>
      <c r="D4391">
        <v>409</v>
      </c>
      <c r="E4391" t="s">
        <v>9</v>
      </c>
    </row>
    <row r="4392" spans="1:5" x14ac:dyDescent="0.35">
      <c r="A4392" t="s">
        <v>4413</v>
      </c>
      <c r="B4392" t="s">
        <v>4422</v>
      </c>
      <c r="C4392">
        <v>482</v>
      </c>
      <c r="D4392">
        <v>478</v>
      </c>
      <c r="E4392" t="s">
        <v>9</v>
      </c>
    </row>
    <row r="4393" spans="1:5" x14ac:dyDescent="0.35">
      <c r="A4393" t="s">
        <v>4413</v>
      </c>
      <c r="B4393" t="s">
        <v>4423</v>
      </c>
      <c r="C4393">
        <v>341</v>
      </c>
      <c r="D4393">
        <v>291</v>
      </c>
      <c r="E4393" t="s">
        <v>33</v>
      </c>
    </row>
    <row r="4394" spans="1:5" x14ac:dyDescent="0.35">
      <c r="A4394" t="s">
        <v>4413</v>
      </c>
      <c r="B4394" t="s">
        <v>4424</v>
      </c>
      <c r="C4394">
        <v>454</v>
      </c>
      <c r="D4394">
        <v>378</v>
      </c>
      <c r="E4394" t="s">
        <v>9</v>
      </c>
    </row>
    <row r="4395" spans="1:5" x14ac:dyDescent="0.35">
      <c r="A4395" t="s">
        <v>4413</v>
      </c>
      <c r="B4395" t="s">
        <v>4425</v>
      </c>
      <c r="C4395">
        <v>381</v>
      </c>
      <c r="D4395">
        <v>276</v>
      </c>
      <c r="E4395" t="s">
        <v>33</v>
      </c>
    </row>
    <row r="4396" spans="1:5" x14ac:dyDescent="0.35">
      <c r="A4396" t="s">
        <v>4413</v>
      </c>
      <c r="B4396" t="s">
        <v>4426</v>
      </c>
      <c r="C4396">
        <v>313</v>
      </c>
      <c r="D4396">
        <v>155</v>
      </c>
      <c r="E4396" t="s">
        <v>9</v>
      </c>
    </row>
    <row r="4397" spans="1:5" x14ac:dyDescent="0.35">
      <c r="A4397" t="s">
        <v>4413</v>
      </c>
      <c r="B4397" t="s">
        <v>4427</v>
      </c>
      <c r="C4397">
        <v>487</v>
      </c>
      <c r="D4397">
        <v>288</v>
      </c>
      <c r="E4397" t="s">
        <v>9</v>
      </c>
    </row>
    <row r="4398" spans="1:5" x14ac:dyDescent="0.35">
      <c r="A4398" t="s">
        <v>4413</v>
      </c>
      <c r="B4398" t="s">
        <v>4428</v>
      </c>
      <c r="C4398">
        <v>424</v>
      </c>
      <c r="D4398">
        <v>304</v>
      </c>
      <c r="E4398" t="s">
        <v>7</v>
      </c>
    </row>
    <row r="4399" spans="1:5" x14ac:dyDescent="0.35">
      <c r="A4399" t="s">
        <v>4413</v>
      </c>
      <c r="B4399" t="s">
        <v>4429</v>
      </c>
      <c r="C4399">
        <v>473</v>
      </c>
      <c r="D4399">
        <v>436</v>
      </c>
      <c r="E4399" t="s">
        <v>7</v>
      </c>
    </row>
    <row r="4400" spans="1:5" x14ac:dyDescent="0.35">
      <c r="A4400" t="s">
        <v>4413</v>
      </c>
      <c r="B4400" t="s">
        <v>4430</v>
      </c>
      <c r="C4400">
        <v>473</v>
      </c>
      <c r="D4400">
        <v>315</v>
      </c>
      <c r="E4400" t="s">
        <v>15</v>
      </c>
    </row>
    <row r="4401" spans="1:5" x14ac:dyDescent="0.35">
      <c r="A4401" t="s">
        <v>4413</v>
      </c>
      <c r="B4401" t="s">
        <v>4431</v>
      </c>
      <c r="C4401">
        <v>333</v>
      </c>
      <c r="D4401">
        <v>325</v>
      </c>
      <c r="E4401" t="s">
        <v>15</v>
      </c>
    </row>
    <row r="4402" spans="1:5" x14ac:dyDescent="0.35">
      <c r="A4402" t="s">
        <v>4413</v>
      </c>
      <c r="B4402" t="s">
        <v>4432</v>
      </c>
      <c r="C4402">
        <v>323</v>
      </c>
      <c r="D4402">
        <v>315</v>
      </c>
      <c r="E4402" t="s">
        <v>11</v>
      </c>
    </row>
    <row r="4403" spans="1:5" x14ac:dyDescent="0.35">
      <c r="A4403" t="s">
        <v>4413</v>
      </c>
      <c r="B4403" t="s">
        <v>4433</v>
      </c>
      <c r="C4403">
        <v>458</v>
      </c>
      <c r="D4403">
        <v>395</v>
      </c>
      <c r="E4403" t="s">
        <v>21</v>
      </c>
    </row>
    <row r="4404" spans="1:5" x14ac:dyDescent="0.35">
      <c r="A4404" t="s">
        <v>4413</v>
      </c>
      <c r="B4404" t="s">
        <v>4434</v>
      </c>
      <c r="C4404">
        <v>384</v>
      </c>
      <c r="D4404">
        <v>164</v>
      </c>
      <c r="E4404" t="s">
        <v>33</v>
      </c>
    </row>
    <row r="4405" spans="1:5" x14ac:dyDescent="0.35">
      <c r="A4405" t="s">
        <v>4413</v>
      </c>
      <c r="B4405" t="s">
        <v>4435</v>
      </c>
      <c r="C4405">
        <v>485</v>
      </c>
      <c r="D4405">
        <v>336</v>
      </c>
      <c r="E4405" t="s">
        <v>11</v>
      </c>
    </row>
    <row r="4406" spans="1:5" x14ac:dyDescent="0.35">
      <c r="A4406" t="s">
        <v>4413</v>
      </c>
      <c r="B4406" t="s">
        <v>4436</v>
      </c>
      <c r="C4406">
        <v>492</v>
      </c>
      <c r="D4406">
        <v>342</v>
      </c>
      <c r="E4406" t="s">
        <v>17</v>
      </c>
    </row>
    <row r="4407" spans="1:5" x14ac:dyDescent="0.35">
      <c r="A4407" t="s">
        <v>4413</v>
      </c>
      <c r="B4407" t="s">
        <v>4437</v>
      </c>
      <c r="C4407">
        <v>372</v>
      </c>
      <c r="D4407">
        <v>326</v>
      </c>
      <c r="E4407" t="s">
        <v>7</v>
      </c>
    </row>
    <row r="4408" spans="1:5" x14ac:dyDescent="0.35">
      <c r="A4408" t="s">
        <v>4413</v>
      </c>
      <c r="B4408" t="s">
        <v>4438</v>
      </c>
      <c r="C4408">
        <v>329</v>
      </c>
      <c r="D4408">
        <v>210</v>
      </c>
      <c r="E4408" t="s">
        <v>7</v>
      </c>
    </row>
    <row r="4409" spans="1:5" x14ac:dyDescent="0.35">
      <c r="A4409" t="s">
        <v>4413</v>
      </c>
      <c r="B4409" t="s">
        <v>4439</v>
      </c>
      <c r="C4409">
        <v>488</v>
      </c>
      <c r="D4409">
        <v>393</v>
      </c>
      <c r="E4409" t="s">
        <v>7</v>
      </c>
    </row>
    <row r="4410" spans="1:5" x14ac:dyDescent="0.35">
      <c r="A4410" t="s">
        <v>4413</v>
      </c>
      <c r="B4410" t="s">
        <v>4440</v>
      </c>
      <c r="C4410">
        <v>301</v>
      </c>
      <c r="D4410">
        <v>211</v>
      </c>
      <c r="E4410" t="s">
        <v>9</v>
      </c>
    </row>
    <row r="4411" spans="1:5" x14ac:dyDescent="0.35">
      <c r="A4411" t="s">
        <v>4413</v>
      </c>
      <c r="B4411" t="s">
        <v>4441</v>
      </c>
      <c r="C4411">
        <v>450</v>
      </c>
      <c r="D4411">
        <v>190</v>
      </c>
      <c r="E4411" t="s">
        <v>17</v>
      </c>
    </row>
    <row r="4412" spans="1:5" x14ac:dyDescent="0.35">
      <c r="A4412" t="s">
        <v>4413</v>
      </c>
      <c r="B4412" t="s">
        <v>4442</v>
      </c>
      <c r="C4412">
        <v>470</v>
      </c>
      <c r="D4412">
        <v>188</v>
      </c>
      <c r="E4412" t="s">
        <v>33</v>
      </c>
    </row>
    <row r="4413" spans="1:5" x14ac:dyDescent="0.35">
      <c r="A4413" t="s">
        <v>4413</v>
      </c>
      <c r="B4413" t="s">
        <v>4443</v>
      </c>
      <c r="C4413">
        <v>228</v>
      </c>
      <c r="D4413">
        <v>189</v>
      </c>
      <c r="E4413" t="s">
        <v>21</v>
      </c>
    </row>
    <row r="4414" spans="1:5" x14ac:dyDescent="0.35">
      <c r="A4414" t="s">
        <v>4413</v>
      </c>
      <c r="B4414" t="s">
        <v>4444</v>
      </c>
      <c r="C4414">
        <v>428</v>
      </c>
      <c r="D4414">
        <v>428</v>
      </c>
      <c r="E4414" t="s">
        <v>7</v>
      </c>
    </row>
    <row r="4415" spans="1:5" x14ac:dyDescent="0.35">
      <c r="A4415" t="s">
        <v>4413</v>
      </c>
      <c r="B4415" t="s">
        <v>4445</v>
      </c>
      <c r="C4415">
        <v>352</v>
      </c>
      <c r="D4415">
        <v>295</v>
      </c>
      <c r="E4415" t="s">
        <v>7</v>
      </c>
    </row>
    <row r="4416" spans="1:5" x14ac:dyDescent="0.35">
      <c r="A4416" t="s">
        <v>4413</v>
      </c>
      <c r="B4416" t="s">
        <v>4446</v>
      </c>
      <c r="C4416">
        <v>499</v>
      </c>
      <c r="D4416">
        <v>469</v>
      </c>
      <c r="E4416" t="s">
        <v>7</v>
      </c>
    </row>
    <row r="4417" spans="1:5" x14ac:dyDescent="0.35">
      <c r="A4417" t="s">
        <v>4413</v>
      </c>
      <c r="B4417" t="s">
        <v>4447</v>
      </c>
      <c r="C4417">
        <v>459</v>
      </c>
      <c r="D4417">
        <v>180</v>
      </c>
      <c r="E4417" t="s">
        <v>7</v>
      </c>
    </row>
    <row r="4418" spans="1:5" x14ac:dyDescent="0.35">
      <c r="A4418" t="s">
        <v>4413</v>
      </c>
      <c r="B4418" t="s">
        <v>4448</v>
      </c>
      <c r="C4418">
        <v>496</v>
      </c>
      <c r="D4418">
        <v>466</v>
      </c>
      <c r="E4418" t="s">
        <v>9</v>
      </c>
    </row>
    <row r="4419" spans="1:5" x14ac:dyDescent="0.35">
      <c r="A4419" t="s">
        <v>4413</v>
      </c>
      <c r="B4419" t="s">
        <v>4449</v>
      </c>
      <c r="C4419">
        <v>443</v>
      </c>
      <c r="D4419">
        <v>361</v>
      </c>
      <c r="E4419" t="s">
        <v>9</v>
      </c>
    </row>
    <row r="4420" spans="1:5" x14ac:dyDescent="0.35">
      <c r="A4420" t="s">
        <v>4413</v>
      </c>
      <c r="B4420" t="s">
        <v>4450</v>
      </c>
      <c r="C4420">
        <v>204</v>
      </c>
      <c r="D4420">
        <v>165</v>
      </c>
      <c r="E4420" t="s">
        <v>15</v>
      </c>
    </row>
    <row r="4421" spans="1:5" x14ac:dyDescent="0.35">
      <c r="A4421" t="s">
        <v>4413</v>
      </c>
      <c r="B4421" t="s">
        <v>4451</v>
      </c>
      <c r="C4421">
        <v>478</v>
      </c>
      <c r="D4421">
        <v>473</v>
      </c>
      <c r="E4421" t="s">
        <v>21</v>
      </c>
    </row>
    <row r="4422" spans="1:5" x14ac:dyDescent="0.35">
      <c r="A4422" t="s">
        <v>4413</v>
      </c>
      <c r="B4422" t="s">
        <v>4452</v>
      </c>
      <c r="C4422">
        <v>481</v>
      </c>
      <c r="D4422">
        <v>259</v>
      </c>
      <c r="E4422" t="s">
        <v>33</v>
      </c>
    </row>
    <row r="4423" spans="1:5" x14ac:dyDescent="0.35">
      <c r="A4423" t="s">
        <v>4413</v>
      </c>
      <c r="B4423" t="s">
        <v>4453</v>
      </c>
      <c r="C4423">
        <v>454</v>
      </c>
      <c r="D4423">
        <v>335</v>
      </c>
      <c r="E4423" t="s">
        <v>17</v>
      </c>
    </row>
    <row r="4424" spans="1:5" x14ac:dyDescent="0.35">
      <c r="A4424" t="s">
        <v>4413</v>
      </c>
      <c r="B4424" t="s">
        <v>4454</v>
      </c>
      <c r="C4424">
        <v>400</v>
      </c>
      <c r="D4424">
        <v>293</v>
      </c>
      <c r="E4424" t="s">
        <v>33</v>
      </c>
    </row>
    <row r="4425" spans="1:5" x14ac:dyDescent="0.35">
      <c r="A4425" t="s">
        <v>4413</v>
      </c>
      <c r="B4425" t="s">
        <v>4455</v>
      </c>
      <c r="C4425">
        <v>365</v>
      </c>
      <c r="D4425">
        <v>320</v>
      </c>
      <c r="E4425" t="s">
        <v>21</v>
      </c>
    </row>
    <row r="4426" spans="1:5" x14ac:dyDescent="0.35">
      <c r="A4426" t="s">
        <v>4413</v>
      </c>
      <c r="B4426" t="s">
        <v>4456</v>
      </c>
      <c r="C4426">
        <v>424</v>
      </c>
      <c r="D4426">
        <v>304</v>
      </c>
      <c r="E4426" t="s">
        <v>11</v>
      </c>
    </row>
    <row r="4427" spans="1:5" x14ac:dyDescent="0.35">
      <c r="A4427" t="s">
        <v>4413</v>
      </c>
      <c r="B4427" t="s">
        <v>4457</v>
      </c>
      <c r="C4427">
        <v>495</v>
      </c>
      <c r="D4427">
        <v>479</v>
      </c>
      <c r="E4427" t="s">
        <v>7</v>
      </c>
    </row>
    <row r="4428" spans="1:5" x14ac:dyDescent="0.35">
      <c r="A4428" t="s">
        <v>4413</v>
      </c>
      <c r="B4428" t="s">
        <v>4458</v>
      </c>
      <c r="C4428">
        <v>474</v>
      </c>
      <c r="D4428">
        <v>357</v>
      </c>
      <c r="E4428" t="s">
        <v>7</v>
      </c>
    </row>
    <row r="4429" spans="1:5" x14ac:dyDescent="0.35">
      <c r="A4429" t="s">
        <v>4413</v>
      </c>
      <c r="B4429" t="s">
        <v>4459</v>
      </c>
      <c r="C4429">
        <v>159</v>
      </c>
      <c r="D4429">
        <v>158</v>
      </c>
      <c r="E4429" t="s">
        <v>33</v>
      </c>
    </row>
    <row r="4430" spans="1:5" x14ac:dyDescent="0.35">
      <c r="A4430" t="s">
        <v>4413</v>
      </c>
      <c r="B4430" t="s">
        <v>4460</v>
      </c>
      <c r="C4430">
        <v>380</v>
      </c>
      <c r="D4430">
        <v>162</v>
      </c>
      <c r="E4430" t="s">
        <v>17</v>
      </c>
    </row>
    <row r="4431" spans="1:5" x14ac:dyDescent="0.35">
      <c r="A4431" t="s">
        <v>4413</v>
      </c>
      <c r="B4431" t="s">
        <v>4461</v>
      </c>
      <c r="C4431">
        <v>428</v>
      </c>
      <c r="D4431">
        <v>421</v>
      </c>
      <c r="E4431" t="s">
        <v>9</v>
      </c>
    </row>
    <row r="4432" spans="1:5" x14ac:dyDescent="0.35">
      <c r="A4432" t="s">
        <v>4413</v>
      </c>
      <c r="B4432" t="s">
        <v>4462</v>
      </c>
      <c r="C4432">
        <v>372</v>
      </c>
      <c r="D4432">
        <v>210</v>
      </c>
      <c r="E4432" t="s">
        <v>7</v>
      </c>
    </row>
    <row r="4433" spans="1:5" x14ac:dyDescent="0.35">
      <c r="A4433" t="s">
        <v>4413</v>
      </c>
      <c r="B4433" t="s">
        <v>4463</v>
      </c>
      <c r="C4433">
        <v>463</v>
      </c>
      <c r="D4433">
        <v>260</v>
      </c>
      <c r="E4433" t="s">
        <v>21</v>
      </c>
    </row>
    <row r="4434" spans="1:5" x14ac:dyDescent="0.35">
      <c r="A4434" t="s">
        <v>4413</v>
      </c>
      <c r="B4434" t="s">
        <v>4464</v>
      </c>
      <c r="C4434">
        <v>309</v>
      </c>
      <c r="D4434">
        <v>276</v>
      </c>
      <c r="E4434" t="s">
        <v>11</v>
      </c>
    </row>
    <row r="4435" spans="1:5" x14ac:dyDescent="0.35">
      <c r="A4435" t="s">
        <v>4413</v>
      </c>
      <c r="B4435" t="s">
        <v>4465</v>
      </c>
      <c r="C4435">
        <v>306</v>
      </c>
      <c r="D4435">
        <v>213</v>
      </c>
      <c r="E4435" t="s">
        <v>33</v>
      </c>
    </row>
    <row r="4436" spans="1:5" x14ac:dyDescent="0.35">
      <c r="A4436" t="s">
        <v>4413</v>
      </c>
      <c r="B4436" t="s">
        <v>4466</v>
      </c>
      <c r="C4436">
        <v>300</v>
      </c>
      <c r="D4436">
        <v>179</v>
      </c>
      <c r="E4436" t="s">
        <v>33</v>
      </c>
    </row>
    <row r="4437" spans="1:5" x14ac:dyDescent="0.35">
      <c r="A4437" t="s">
        <v>4413</v>
      </c>
      <c r="B4437" t="s">
        <v>4467</v>
      </c>
      <c r="C4437">
        <v>384</v>
      </c>
      <c r="D4437">
        <v>273</v>
      </c>
      <c r="E4437" t="s">
        <v>9</v>
      </c>
    </row>
    <row r="4438" spans="1:5" x14ac:dyDescent="0.35">
      <c r="A4438" t="s">
        <v>4413</v>
      </c>
      <c r="B4438" t="s">
        <v>4468</v>
      </c>
      <c r="C4438">
        <v>494</v>
      </c>
      <c r="D4438">
        <v>454</v>
      </c>
      <c r="E4438" t="s">
        <v>9</v>
      </c>
    </row>
    <row r="4439" spans="1:5" x14ac:dyDescent="0.35">
      <c r="A4439" t="s">
        <v>4413</v>
      </c>
      <c r="B4439" t="s">
        <v>4469</v>
      </c>
      <c r="C4439">
        <v>453</v>
      </c>
      <c r="D4439">
        <v>378</v>
      </c>
      <c r="E4439" t="s">
        <v>21</v>
      </c>
    </row>
    <row r="4440" spans="1:5" x14ac:dyDescent="0.35">
      <c r="A4440" t="s">
        <v>4413</v>
      </c>
      <c r="B4440" t="s">
        <v>4470</v>
      </c>
      <c r="C4440">
        <v>453</v>
      </c>
      <c r="D4440">
        <v>224</v>
      </c>
      <c r="E4440" t="s">
        <v>11</v>
      </c>
    </row>
    <row r="4441" spans="1:5" x14ac:dyDescent="0.35">
      <c r="A4441" t="s">
        <v>4413</v>
      </c>
      <c r="B4441" t="s">
        <v>4471</v>
      </c>
      <c r="C4441">
        <v>427</v>
      </c>
      <c r="D4441">
        <v>349</v>
      </c>
      <c r="E4441" t="s">
        <v>11</v>
      </c>
    </row>
    <row r="4442" spans="1:5" x14ac:dyDescent="0.35">
      <c r="A4442" t="s">
        <v>4413</v>
      </c>
      <c r="B4442" t="s">
        <v>4472</v>
      </c>
      <c r="C4442">
        <v>320</v>
      </c>
      <c r="D4442">
        <v>267</v>
      </c>
      <c r="E4442" t="s">
        <v>11</v>
      </c>
    </row>
    <row r="4443" spans="1:5" x14ac:dyDescent="0.35">
      <c r="A4443" t="s">
        <v>4413</v>
      </c>
      <c r="B4443" t="s">
        <v>4473</v>
      </c>
      <c r="C4443">
        <v>494</v>
      </c>
      <c r="D4443">
        <v>436</v>
      </c>
      <c r="E4443" t="s">
        <v>9</v>
      </c>
    </row>
    <row r="4444" spans="1:5" x14ac:dyDescent="0.35">
      <c r="A4444" t="s">
        <v>4413</v>
      </c>
      <c r="B4444" t="s">
        <v>4474</v>
      </c>
      <c r="C4444">
        <v>473</v>
      </c>
      <c r="D4444">
        <v>463</v>
      </c>
      <c r="E4444" t="s">
        <v>21</v>
      </c>
    </row>
    <row r="4445" spans="1:5" x14ac:dyDescent="0.35">
      <c r="A4445" t="s">
        <v>4413</v>
      </c>
      <c r="B4445" t="s">
        <v>4475</v>
      </c>
      <c r="C4445">
        <v>498</v>
      </c>
      <c r="D4445">
        <v>341</v>
      </c>
      <c r="E4445" t="s">
        <v>7</v>
      </c>
    </row>
    <row r="4446" spans="1:5" x14ac:dyDescent="0.35">
      <c r="A4446" t="s">
        <v>4413</v>
      </c>
      <c r="B4446" t="s">
        <v>4476</v>
      </c>
      <c r="C4446">
        <v>334</v>
      </c>
      <c r="D4446">
        <v>171</v>
      </c>
      <c r="E4446" t="s">
        <v>33</v>
      </c>
    </row>
    <row r="4447" spans="1:5" x14ac:dyDescent="0.35">
      <c r="A4447" t="s">
        <v>4413</v>
      </c>
      <c r="B4447" t="s">
        <v>4477</v>
      </c>
      <c r="C4447">
        <v>482</v>
      </c>
      <c r="D4447">
        <v>330</v>
      </c>
      <c r="E4447" t="s">
        <v>15</v>
      </c>
    </row>
    <row r="4448" spans="1:5" x14ac:dyDescent="0.35">
      <c r="A4448" t="s">
        <v>4413</v>
      </c>
      <c r="B4448" t="s">
        <v>4478</v>
      </c>
      <c r="C4448">
        <v>424</v>
      </c>
      <c r="D4448">
        <v>336</v>
      </c>
      <c r="E4448" t="s">
        <v>21</v>
      </c>
    </row>
    <row r="4449" spans="1:5" x14ac:dyDescent="0.35">
      <c r="A4449" t="s">
        <v>4413</v>
      </c>
      <c r="B4449" t="s">
        <v>4479</v>
      </c>
      <c r="C4449">
        <v>315</v>
      </c>
      <c r="D4449">
        <v>164</v>
      </c>
      <c r="E4449" t="s">
        <v>21</v>
      </c>
    </row>
    <row r="4450" spans="1:5" x14ac:dyDescent="0.35">
      <c r="A4450" t="s">
        <v>4413</v>
      </c>
      <c r="B4450" t="s">
        <v>4480</v>
      </c>
      <c r="C4450">
        <v>459</v>
      </c>
      <c r="D4450">
        <v>427</v>
      </c>
      <c r="E4450" t="s">
        <v>21</v>
      </c>
    </row>
    <row r="4451" spans="1:5" x14ac:dyDescent="0.35">
      <c r="A4451" t="s">
        <v>4413</v>
      </c>
      <c r="B4451" t="s">
        <v>4481</v>
      </c>
      <c r="C4451">
        <v>311</v>
      </c>
      <c r="D4451">
        <v>187</v>
      </c>
      <c r="E4451" t="s">
        <v>9</v>
      </c>
    </row>
    <row r="4452" spans="1:5" x14ac:dyDescent="0.35">
      <c r="A4452" t="s">
        <v>4413</v>
      </c>
      <c r="B4452" t="s">
        <v>4482</v>
      </c>
      <c r="C4452">
        <v>419</v>
      </c>
      <c r="D4452">
        <v>348</v>
      </c>
      <c r="E4452" t="s">
        <v>21</v>
      </c>
    </row>
    <row r="4453" spans="1:5" x14ac:dyDescent="0.35">
      <c r="A4453" t="s">
        <v>4413</v>
      </c>
      <c r="B4453" t="s">
        <v>4483</v>
      </c>
      <c r="C4453">
        <v>243</v>
      </c>
      <c r="D4453">
        <v>238</v>
      </c>
      <c r="E4453" t="s">
        <v>7</v>
      </c>
    </row>
    <row r="4454" spans="1:5" x14ac:dyDescent="0.35">
      <c r="A4454" t="s">
        <v>4413</v>
      </c>
      <c r="B4454" t="s">
        <v>4484</v>
      </c>
      <c r="C4454">
        <v>424</v>
      </c>
      <c r="D4454">
        <v>384</v>
      </c>
      <c r="E4454" t="s">
        <v>21</v>
      </c>
    </row>
    <row r="4455" spans="1:5" x14ac:dyDescent="0.35">
      <c r="A4455" t="s">
        <v>4413</v>
      </c>
      <c r="B4455" t="s">
        <v>4485</v>
      </c>
      <c r="C4455">
        <v>324</v>
      </c>
      <c r="D4455">
        <v>318</v>
      </c>
      <c r="E4455" t="s">
        <v>15</v>
      </c>
    </row>
    <row r="4456" spans="1:5" x14ac:dyDescent="0.35">
      <c r="A4456" t="s">
        <v>4413</v>
      </c>
      <c r="B4456" t="s">
        <v>4486</v>
      </c>
      <c r="C4456">
        <v>448</v>
      </c>
      <c r="D4456">
        <v>213</v>
      </c>
      <c r="E4456" t="s">
        <v>15</v>
      </c>
    </row>
    <row r="4457" spans="1:5" x14ac:dyDescent="0.35">
      <c r="A4457" t="s">
        <v>4413</v>
      </c>
      <c r="B4457" t="s">
        <v>4487</v>
      </c>
      <c r="C4457">
        <v>494</v>
      </c>
      <c r="D4457">
        <v>375</v>
      </c>
      <c r="E4457" t="s">
        <v>9</v>
      </c>
    </row>
    <row r="4458" spans="1:5" x14ac:dyDescent="0.35">
      <c r="A4458" t="s">
        <v>4413</v>
      </c>
      <c r="B4458" t="s">
        <v>4488</v>
      </c>
      <c r="C4458">
        <v>444</v>
      </c>
      <c r="D4458">
        <v>353</v>
      </c>
      <c r="E4458" t="s">
        <v>9</v>
      </c>
    </row>
    <row r="4459" spans="1:5" x14ac:dyDescent="0.35">
      <c r="A4459" t="s">
        <v>4413</v>
      </c>
      <c r="B4459" t="s">
        <v>4489</v>
      </c>
      <c r="C4459">
        <v>429</v>
      </c>
      <c r="D4459">
        <v>417</v>
      </c>
      <c r="E4459" t="s">
        <v>9</v>
      </c>
    </row>
    <row r="4460" spans="1:5" x14ac:dyDescent="0.35">
      <c r="A4460" t="s">
        <v>4413</v>
      </c>
      <c r="B4460" t="s">
        <v>4490</v>
      </c>
      <c r="C4460">
        <v>378</v>
      </c>
      <c r="D4460">
        <v>228</v>
      </c>
      <c r="E4460" t="s">
        <v>15</v>
      </c>
    </row>
    <row r="4461" spans="1:5" x14ac:dyDescent="0.35">
      <c r="A4461" t="s">
        <v>4413</v>
      </c>
      <c r="B4461" t="s">
        <v>774</v>
      </c>
      <c r="C4461">
        <v>485</v>
      </c>
      <c r="D4461">
        <v>230</v>
      </c>
      <c r="E4461" t="s">
        <v>17</v>
      </c>
    </row>
    <row r="4462" spans="1:5" x14ac:dyDescent="0.35">
      <c r="A4462" t="s">
        <v>4413</v>
      </c>
      <c r="B4462" t="s">
        <v>775</v>
      </c>
      <c r="C4462">
        <v>479</v>
      </c>
      <c r="D4462">
        <v>467</v>
      </c>
      <c r="E4462" t="s">
        <v>7</v>
      </c>
    </row>
    <row r="4463" spans="1:5" x14ac:dyDescent="0.35">
      <c r="A4463" t="s">
        <v>4413</v>
      </c>
      <c r="B4463" t="s">
        <v>776</v>
      </c>
      <c r="C4463">
        <v>435</v>
      </c>
      <c r="D4463">
        <v>211</v>
      </c>
      <c r="E4463" t="s">
        <v>9</v>
      </c>
    </row>
    <row r="4464" spans="1:5" x14ac:dyDescent="0.35">
      <c r="A4464" t="s">
        <v>4413</v>
      </c>
      <c r="B4464" t="s">
        <v>777</v>
      </c>
      <c r="C4464">
        <v>469</v>
      </c>
      <c r="D4464">
        <v>260</v>
      </c>
      <c r="E4464" t="s">
        <v>9</v>
      </c>
    </row>
    <row r="4465" spans="1:5" x14ac:dyDescent="0.35">
      <c r="A4465" t="s">
        <v>4413</v>
      </c>
      <c r="B4465" t="s">
        <v>778</v>
      </c>
      <c r="C4465">
        <v>453</v>
      </c>
      <c r="D4465">
        <v>398</v>
      </c>
      <c r="E4465" t="s">
        <v>7</v>
      </c>
    </row>
    <row r="4466" spans="1:5" x14ac:dyDescent="0.35">
      <c r="A4466" t="s">
        <v>4413</v>
      </c>
      <c r="B4466" t="s">
        <v>779</v>
      </c>
      <c r="C4466">
        <v>453</v>
      </c>
      <c r="D4466">
        <v>344</v>
      </c>
      <c r="E4466" t="s">
        <v>15</v>
      </c>
    </row>
    <row r="4467" spans="1:5" x14ac:dyDescent="0.35">
      <c r="A4467" t="s">
        <v>4413</v>
      </c>
      <c r="B4467" t="s">
        <v>780</v>
      </c>
      <c r="C4467">
        <v>487</v>
      </c>
      <c r="D4467">
        <v>465</v>
      </c>
      <c r="E4467" t="s">
        <v>21</v>
      </c>
    </row>
    <row r="4468" spans="1:5" x14ac:dyDescent="0.35">
      <c r="A4468" t="s">
        <v>4413</v>
      </c>
      <c r="B4468" t="s">
        <v>4491</v>
      </c>
      <c r="C4468">
        <v>280</v>
      </c>
      <c r="D4468">
        <v>248</v>
      </c>
      <c r="E4468" t="s">
        <v>15</v>
      </c>
    </row>
    <row r="4469" spans="1:5" x14ac:dyDescent="0.35">
      <c r="A4469" t="s">
        <v>4413</v>
      </c>
      <c r="B4469" t="s">
        <v>4492</v>
      </c>
      <c r="C4469">
        <v>489</v>
      </c>
      <c r="D4469">
        <v>199</v>
      </c>
      <c r="E4469" t="s">
        <v>15</v>
      </c>
    </row>
    <row r="4470" spans="1:5" x14ac:dyDescent="0.35">
      <c r="A4470" t="s">
        <v>4413</v>
      </c>
      <c r="B4470" t="s">
        <v>4493</v>
      </c>
      <c r="C4470">
        <v>322</v>
      </c>
      <c r="D4470">
        <v>321</v>
      </c>
      <c r="E4470" t="s">
        <v>17</v>
      </c>
    </row>
    <row r="4471" spans="1:5" x14ac:dyDescent="0.35">
      <c r="A4471" t="s">
        <v>4413</v>
      </c>
      <c r="B4471" t="s">
        <v>4494</v>
      </c>
      <c r="C4471">
        <v>384</v>
      </c>
      <c r="D4471">
        <v>170</v>
      </c>
      <c r="E4471" t="s">
        <v>7</v>
      </c>
    </row>
    <row r="4472" spans="1:5" x14ac:dyDescent="0.35">
      <c r="A4472" t="s">
        <v>4413</v>
      </c>
      <c r="B4472" t="s">
        <v>4495</v>
      </c>
      <c r="C4472">
        <v>475</v>
      </c>
      <c r="D4472">
        <v>436</v>
      </c>
      <c r="E4472" t="s">
        <v>9</v>
      </c>
    </row>
    <row r="4473" spans="1:5" x14ac:dyDescent="0.35">
      <c r="A4473" t="s">
        <v>4413</v>
      </c>
      <c r="B4473" t="s">
        <v>4496</v>
      </c>
      <c r="C4473">
        <v>455</v>
      </c>
      <c r="D4473">
        <v>354</v>
      </c>
      <c r="E4473" t="s">
        <v>7</v>
      </c>
    </row>
    <row r="4474" spans="1:5" x14ac:dyDescent="0.35">
      <c r="A4474" t="s">
        <v>4413</v>
      </c>
      <c r="B4474" t="s">
        <v>4497</v>
      </c>
      <c r="C4474">
        <v>446</v>
      </c>
      <c r="D4474">
        <v>443</v>
      </c>
      <c r="E4474" t="s">
        <v>9</v>
      </c>
    </row>
    <row r="4475" spans="1:5" x14ac:dyDescent="0.35">
      <c r="A4475" t="s">
        <v>4413</v>
      </c>
      <c r="B4475" t="s">
        <v>4498</v>
      </c>
      <c r="C4475">
        <v>261</v>
      </c>
      <c r="D4475">
        <v>233</v>
      </c>
      <c r="E4475" t="s">
        <v>15</v>
      </c>
    </row>
    <row r="4476" spans="1:5" x14ac:dyDescent="0.35">
      <c r="A4476" t="s">
        <v>4413</v>
      </c>
      <c r="B4476" t="s">
        <v>4499</v>
      </c>
      <c r="C4476">
        <v>473</v>
      </c>
      <c r="D4476">
        <v>379</v>
      </c>
      <c r="E4476" t="s">
        <v>9</v>
      </c>
    </row>
    <row r="4477" spans="1:5" x14ac:dyDescent="0.35">
      <c r="A4477" t="s">
        <v>4413</v>
      </c>
      <c r="B4477" t="s">
        <v>4500</v>
      </c>
      <c r="C4477">
        <v>387</v>
      </c>
      <c r="D4477">
        <v>343</v>
      </c>
      <c r="E4477" t="s">
        <v>11</v>
      </c>
    </row>
    <row r="4478" spans="1:5" x14ac:dyDescent="0.35">
      <c r="A4478" t="s">
        <v>4413</v>
      </c>
      <c r="B4478" t="s">
        <v>4501</v>
      </c>
      <c r="C4478">
        <v>444</v>
      </c>
      <c r="D4478">
        <v>230</v>
      </c>
      <c r="E4478" t="s">
        <v>15</v>
      </c>
    </row>
    <row r="4479" spans="1:5" x14ac:dyDescent="0.35">
      <c r="A4479" t="s">
        <v>4413</v>
      </c>
      <c r="B4479" t="s">
        <v>4502</v>
      </c>
      <c r="C4479">
        <v>258</v>
      </c>
      <c r="D4479">
        <v>215</v>
      </c>
      <c r="E4479" t="s">
        <v>15</v>
      </c>
    </row>
    <row r="4480" spans="1:5" x14ac:dyDescent="0.35">
      <c r="A4480" t="s">
        <v>4413</v>
      </c>
      <c r="B4480" t="s">
        <v>4503</v>
      </c>
      <c r="C4480">
        <v>231</v>
      </c>
      <c r="D4480">
        <v>167</v>
      </c>
      <c r="E4480" t="s">
        <v>17</v>
      </c>
    </row>
    <row r="4481" spans="1:5" x14ac:dyDescent="0.35">
      <c r="A4481" t="s">
        <v>4413</v>
      </c>
      <c r="B4481" t="s">
        <v>4504</v>
      </c>
      <c r="C4481">
        <v>317</v>
      </c>
      <c r="D4481">
        <v>209</v>
      </c>
      <c r="E4481" t="s">
        <v>33</v>
      </c>
    </row>
    <row r="4482" spans="1:5" x14ac:dyDescent="0.35">
      <c r="A4482" t="s">
        <v>4413</v>
      </c>
      <c r="B4482" t="s">
        <v>4505</v>
      </c>
      <c r="C4482">
        <v>470</v>
      </c>
      <c r="D4482">
        <v>276</v>
      </c>
      <c r="E4482" t="s">
        <v>11</v>
      </c>
    </row>
    <row r="4483" spans="1:5" x14ac:dyDescent="0.35">
      <c r="A4483" t="s">
        <v>4413</v>
      </c>
      <c r="B4483" t="s">
        <v>4506</v>
      </c>
      <c r="C4483">
        <v>483</v>
      </c>
      <c r="D4483">
        <v>466</v>
      </c>
      <c r="E4483" t="s">
        <v>9</v>
      </c>
    </row>
    <row r="4484" spans="1:5" x14ac:dyDescent="0.35">
      <c r="A4484" t="s">
        <v>4413</v>
      </c>
      <c r="B4484" t="s">
        <v>4507</v>
      </c>
      <c r="C4484">
        <v>263</v>
      </c>
      <c r="D4484">
        <v>244</v>
      </c>
      <c r="E4484" t="s">
        <v>9</v>
      </c>
    </row>
    <row r="4485" spans="1:5" x14ac:dyDescent="0.35">
      <c r="A4485" t="s">
        <v>4413</v>
      </c>
      <c r="B4485" t="s">
        <v>4508</v>
      </c>
      <c r="C4485">
        <v>363</v>
      </c>
      <c r="D4485">
        <v>347</v>
      </c>
      <c r="E4485" t="s">
        <v>15</v>
      </c>
    </row>
    <row r="4486" spans="1:5" x14ac:dyDescent="0.35">
      <c r="A4486" t="s">
        <v>4413</v>
      </c>
      <c r="B4486" t="s">
        <v>4509</v>
      </c>
      <c r="C4486">
        <v>468</v>
      </c>
      <c r="D4486">
        <v>376</v>
      </c>
      <c r="E4486" t="s">
        <v>7</v>
      </c>
    </row>
    <row r="4487" spans="1:5" x14ac:dyDescent="0.35">
      <c r="A4487" t="s">
        <v>4413</v>
      </c>
      <c r="B4487" t="s">
        <v>4510</v>
      </c>
      <c r="C4487">
        <v>267</v>
      </c>
      <c r="D4487">
        <v>194</v>
      </c>
      <c r="E4487" t="s">
        <v>33</v>
      </c>
    </row>
    <row r="4488" spans="1:5" x14ac:dyDescent="0.35">
      <c r="A4488" t="s">
        <v>4413</v>
      </c>
      <c r="B4488" t="s">
        <v>4511</v>
      </c>
      <c r="C4488">
        <v>481</v>
      </c>
      <c r="D4488">
        <v>299</v>
      </c>
      <c r="E4488" t="s">
        <v>17</v>
      </c>
    </row>
    <row r="4489" spans="1:5" x14ac:dyDescent="0.35">
      <c r="A4489" t="s">
        <v>4413</v>
      </c>
      <c r="B4489" t="s">
        <v>4512</v>
      </c>
      <c r="C4489">
        <v>463</v>
      </c>
      <c r="D4489">
        <v>379</v>
      </c>
      <c r="E4489" t="s">
        <v>9</v>
      </c>
    </row>
    <row r="4490" spans="1:5" x14ac:dyDescent="0.35">
      <c r="A4490" t="s">
        <v>4413</v>
      </c>
      <c r="B4490" t="s">
        <v>4513</v>
      </c>
      <c r="C4490">
        <v>324</v>
      </c>
      <c r="D4490">
        <v>282</v>
      </c>
      <c r="E4490" t="s">
        <v>15</v>
      </c>
    </row>
    <row r="4491" spans="1:5" x14ac:dyDescent="0.35">
      <c r="A4491" t="s">
        <v>4413</v>
      </c>
      <c r="B4491" t="s">
        <v>4514</v>
      </c>
      <c r="C4491">
        <v>409</v>
      </c>
      <c r="D4491">
        <v>292</v>
      </c>
      <c r="E4491" t="s">
        <v>7</v>
      </c>
    </row>
    <row r="4492" spans="1:5" x14ac:dyDescent="0.35">
      <c r="A4492" t="s">
        <v>4413</v>
      </c>
      <c r="B4492" t="s">
        <v>4515</v>
      </c>
      <c r="C4492">
        <v>397</v>
      </c>
      <c r="D4492">
        <v>199</v>
      </c>
      <c r="E4492" t="s">
        <v>17</v>
      </c>
    </row>
    <row r="4493" spans="1:5" x14ac:dyDescent="0.35">
      <c r="A4493" t="s">
        <v>4413</v>
      </c>
      <c r="B4493" t="s">
        <v>4516</v>
      </c>
      <c r="C4493">
        <v>256</v>
      </c>
      <c r="D4493">
        <v>237</v>
      </c>
      <c r="E4493" t="s">
        <v>9</v>
      </c>
    </row>
    <row r="4494" spans="1:5" x14ac:dyDescent="0.35">
      <c r="A4494" t="s">
        <v>4413</v>
      </c>
      <c r="B4494" t="s">
        <v>4517</v>
      </c>
      <c r="C4494">
        <v>491</v>
      </c>
      <c r="D4494">
        <v>415</v>
      </c>
      <c r="E4494" t="s">
        <v>9</v>
      </c>
    </row>
    <row r="4495" spans="1:5" x14ac:dyDescent="0.35">
      <c r="A4495" t="s">
        <v>4413</v>
      </c>
      <c r="B4495" t="s">
        <v>4518</v>
      </c>
      <c r="C4495">
        <v>397</v>
      </c>
      <c r="D4495">
        <v>197</v>
      </c>
      <c r="E4495" t="s">
        <v>17</v>
      </c>
    </row>
    <row r="4496" spans="1:5" x14ac:dyDescent="0.35">
      <c r="A4496" t="s">
        <v>4413</v>
      </c>
      <c r="B4496" t="s">
        <v>4519</v>
      </c>
      <c r="C4496">
        <v>467</v>
      </c>
      <c r="D4496">
        <v>407</v>
      </c>
      <c r="E4496" t="s">
        <v>21</v>
      </c>
    </row>
    <row r="4497" spans="1:5" x14ac:dyDescent="0.35">
      <c r="A4497" t="s">
        <v>4413</v>
      </c>
      <c r="B4497" t="s">
        <v>4520</v>
      </c>
      <c r="C4497">
        <v>422</v>
      </c>
      <c r="D4497">
        <v>398</v>
      </c>
      <c r="E4497" t="s">
        <v>21</v>
      </c>
    </row>
    <row r="4498" spans="1:5" x14ac:dyDescent="0.35">
      <c r="A4498" t="s">
        <v>4413</v>
      </c>
      <c r="B4498" t="s">
        <v>4521</v>
      </c>
      <c r="C4498">
        <v>436</v>
      </c>
      <c r="D4498">
        <v>350</v>
      </c>
      <c r="E4498" t="s">
        <v>17</v>
      </c>
    </row>
    <row r="4499" spans="1:5" x14ac:dyDescent="0.35">
      <c r="A4499" t="s">
        <v>4413</v>
      </c>
      <c r="B4499" t="s">
        <v>4522</v>
      </c>
      <c r="C4499">
        <v>500</v>
      </c>
      <c r="D4499">
        <v>434</v>
      </c>
      <c r="E4499" t="s">
        <v>7</v>
      </c>
    </row>
    <row r="4500" spans="1:5" x14ac:dyDescent="0.35">
      <c r="A4500" t="s">
        <v>4413</v>
      </c>
      <c r="B4500" t="s">
        <v>4523</v>
      </c>
      <c r="C4500">
        <v>484</v>
      </c>
      <c r="D4500">
        <v>421</v>
      </c>
      <c r="E4500" t="s">
        <v>21</v>
      </c>
    </row>
    <row r="4501" spans="1:5" x14ac:dyDescent="0.35">
      <c r="A4501" t="s">
        <v>4413</v>
      </c>
      <c r="B4501" t="s">
        <v>4524</v>
      </c>
      <c r="C4501">
        <v>453</v>
      </c>
      <c r="D4501">
        <v>290</v>
      </c>
      <c r="E4501" t="s">
        <v>33</v>
      </c>
    </row>
    <row r="4502" spans="1:5" x14ac:dyDescent="0.35">
      <c r="A4502" t="s">
        <v>4413</v>
      </c>
      <c r="B4502" t="s">
        <v>4525</v>
      </c>
      <c r="C4502">
        <v>333</v>
      </c>
      <c r="D4502">
        <v>285</v>
      </c>
      <c r="E4502" t="s">
        <v>15</v>
      </c>
    </row>
    <row r="4503" spans="1:5" x14ac:dyDescent="0.35">
      <c r="A4503" t="s">
        <v>4413</v>
      </c>
      <c r="B4503" t="s">
        <v>4526</v>
      </c>
      <c r="C4503">
        <v>481</v>
      </c>
      <c r="D4503">
        <v>472</v>
      </c>
      <c r="E4503" t="s">
        <v>7</v>
      </c>
    </row>
    <row r="4504" spans="1:5" x14ac:dyDescent="0.35">
      <c r="A4504" t="s">
        <v>4413</v>
      </c>
      <c r="B4504" t="s">
        <v>4527</v>
      </c>
      <c r="C4504">
        <v>299</v>
      </c>
      <c r="D4504">
        <v>279</v>
      </c>
      <c r="E4504" t="s">
        <v>21</v>
      </c>
    </row>
    <row r="4505" spans="1:5" x14ac:dyDescent="0.35">
      <c r="A4505" t="s">
        <v>4413</v>
      </c>
      <c r="B4505" t="s">
        <v>4528</v>
      </c>
      <c r="C4505">
        <v>406</v>
      </c>
      <c r="D4505">
        <v>339</v>
      </c>
      <c r="E4505" t="s">
        <v>33</v>
      </c>
    </row>
    <row r="4506" spans="1:5" x14ac:dyDescent="0.35">
      <c r="A4506" t="s">
        <v>4413</v>
      </c>
      <c r="B4506" t="s">
        <v>4529</v>
      </c>
      <c r="C4506">
        <v>336</v>
      </c>
      <c r="D4506">
        <v>290</v>
      </c>
      <c r="E4506" t="s">
        <v>21</v>
      </c>
    </row>
    <row r="4507" spans="1:5" x14ac:dyDescent="0.35">
      <c r="A4507" t="s">
        <v>4413</v>
      </c>
      <c r="B4507" t="s">
        <v>4530</v>
      </c>
      <c r="C4507">
        <v>246</v>
      </c>
      <c r="D4507">
        <v>178</v>
      </c>
      <c r="E4507" t="s">
        <v>7</v>
      </c>
    </row>
    <row r="4508" spans="1:5" x14ac:dyDescent="0.35">
      <c r="A4508" t="s">
        <v>4413</v>
      </c>
      <c r="B4508" t="s">
        <v>4531</v>
      </c>
      <c r="C4508">
        <v>466</v>
      </c>
      <c r="D4508">
        <v>248</v>
      </c>
      <c r="E4508" t="s">
        <v>7</v>
      </c>
    </row>
    <row r="4509" spans="1:5" x14ac:dyDescent="0.35">
      <c r="A4509" t="s">
        <v>4413</v>
      </c>
      <c r="B4509" t="s">
        <v>4532</v>
      </c>
      <c r="C4509">
        <v>484</v>
      </c>
      <c r="D4509">
        <v>441</v>
      </c>
      <c r="E4509" t="s">
        <v>9</v>
      </c>
    </row>
    <row r="4510" spans="1:5" x14ac:dyDescent="0.35">
      <c r="A4510" t="s">
        <v>4413</v>
      </c>
      <c r="B4510" t="s">
        <v>4533</v>
      </c>
      <c r="C4510">
        <v>407</v>
      </c>
      <c r="D4510">
        <v>339</v>
      </c>
      <c r="E4510" t="s">
        <v>15</v>
      </c>
    </row>
    <row r="4511" spans="1:5" x14ac:dyDescent="0.35">
      <c r="A4511" t="s">
        <v>4413</v>
      </c>
      <c r="B4511" t="s">
        <v>4534</v>
      </c>
      <c r="C4511">
        <v>224</v>
      </c>
      <c r="D4511">
        <v>160</v>
      </c>
      <c r="E4511" t="s">
        <v>33</v>
      </c>
    </row>
    <row r="4512" spans="1:5" x14ac:dyDescent="0.35">
      <c r="A4512" t="s">
        <v>4413</v>
      </c>
      <c r="B4512" t="s">
        <v>4535</v>
      </c>
      <c r="C4512">
        <v>386</v>
      </c>
      <c r="D4512">
        <v>360</v>
      </c>
      <c r="E4512" t="s">
        <v>21</v>
      </c>
    </row>
    <row r="4513" spans="1:5" x14ac:dyDescent="0.35">
      <c r="A4513" t="s">
        <v>4413</v>
      </c>
      <c r="B4513" t="s">
        <v>4536</v>
      </c>
      <c r="C4513">
        <v>407</v>
      </c>
      <c r="D4513">
        <v>289</v>
      </c>
      <c r="E4513" t="s">
        <v>15</v>
      </c>
    </row>
    <row r="4514" spans="1:5" x14ac:dyDescent="0.35">
      <c r="A4514" t="s">
        <v>4413</v>
      </c>
      <c r="B4514" t="s">
        <v>4537</v>
      </c>
      <c r="C4514">
        <v>463</v>
      </c>
      <c r="D4514">
        <v>392</v>
      </c>
      <c r="E4514" t="s">
        <v>9</v>
      </c>
    </row>
    <row r="4515" spans="1:5" x14ac:dyDescent="0.35">
      <c r="A4515" t="s">
        <v>4413</v>
      </c>
      <c r="B4515" t="s">
        <v>4538</v>
      </c>
      <c r="C4515">
        <v>396</v>
      </c>
      <c r="D4515">
        <v>343</v>
      </c>
      <c r="E4515" t="s">
        <v>9</v>
      </c>
    </row>
    <row r="4516" spans="1:5" x14ac:dyDescent="0.35">
      <c r="A4516" t="s">
        <v>4413</v>
      </c>
      <c r="B4516" t="s">
        <v>4539</v>
      </c>
      <c r="C4516">
        <v>420</v>
      </c>
      <c r="D4516">
        <v>214</v>
      </c>
      <c r="E4516" t="s">
        <v>17</v>
      </c>
    </row>
    <row r="4517" spans="1:5" x14ac:dyDescent="0.35">
      <c r="A4517" t="s">
        <v>4413</v>
      </c>
      <c r="B4517" t="s">
        <v>4540</v>
      </c>
      <c r="C4517">
        <v>455</v>
      </c>
      <c r="D4517">
        <v>239</v>
      </c>
      <c r="E4517" t="s">
        <v>11</v>
      </c>
    </row>
    <row r="4518" spans="1:5" x14ac:dyDescent="0.35">
      <c r="A4518" t="s">
        <v>4413</v>
      </c>
      <c r="B4518" t="s">
        <v>4541</v>
      </c>
      <c r="C4518">
        <v>217</v>
      </c>
      <c r="D4518">
        <v>188</v>
      </c>
      <c r="E4518" t="s">
        <v>11</v>
      </c>
    </row>
    <row r="4519" spans="1:5" x14ac:dyDescent="0.35">
      <c r="A4519" t="s">
        <v>4413</v>
      </c>
      <c r="B4519" t="s">
        <v>4542</v>
      </c>
      <c r="C4519">
        <v>401</v>
      </c>
      <c r="D4519">
        <v>293</v>
      </c>
      <c r="E4519" t="s">
        <v>21</v>
      </c>
    </row>
    <row r="4520" spans="1:5" x14ac:dyDescent="0.35">
      <c r="A4520" t="s">
        <v>4413</v>
      </c>
      <c r="B4520" t="s">
        <v>4543</v>
      </c>
      <c r="C4520">
        <v>489</v>
      </c>
      <c r="D4520">
        <v>443</v>
      </c>
      <c r="E4520" t="s">
        <v>21</v>
      </c>
    </row>
    <row r="4521" spans="1:5" x14ac:dyDescent="0.35">
      <c r="A4521" t="s">
        <v>4413</v>
      </c>
      <c r="B4521" t="s">
        <v>4544</v>
      </c>
      <c r="C4521">
        <v>344</v>
      </c>
      <c r="D4521">
        <v>191</v>
      </c>
      <c r="E4521" t="s">
        <v>11</v>
      </c>
    </row>
    <row r="4522" spans="1:5" x14ac:dyDescent="0.35">
      <c r="A4522" t="s">
        <v>4413</v>
      </c>
      <c r="B4522" t="s">
        <v>4545</v>
      </c>
      <c r="C4522">
        <v>443</v>
      </c>
      <c r="D4522">
        <v>330</v>
      </c>
      <c r="E4522" t="s">
        <v>9</v>
      </c>
    </row>
    <row r="4523" spans="1:5" x14ac:dyDescent="0.35">
      <c r="A4523" t="s">
        <v>4413</v>
      </c>
      <c r="B4523" t="s">
        <v>4546</v>
      </c>
      <c r="C4523">
        <v>449</v>
      </c>
      <c r="D4523">
        <v>401</v>
      </c>
      <c r="E4523" t="s">
        <v>9</v>
      </c>
    </row>
    <row r="4524" spans="1:5" x14ac:dyDescent="0.35">
      <c r="A4524" t="s">
        <v>4413</v>
      </c>
      <c r="B4524" t="s">
        <v>4547</v>
      </c>
      <c r="C4524">
        <v>369</v>
      </c>
      <c r="D4524">
        <v>325</v>
      </c>
      <c r="E4524" t="s">
        <v>9</v>
      </c>
    </row>
    <row r="4525" spans="1:5" x14ac:dyDescent="0.35">
      <c r="A4525" t="s">
        <v>4413</v>
      </c>
      <c r="B4525" t="s">
        <v>4548</v>
      </c>
      <c r="C4525">
        <v>332</v>
      </c>
      <c r="D4525">
        <v>325</v>
      </c>
      <c r="E4525" t="s">
        <v>33</v>
      </c>
    </row>
    <row r="4526" spans="1:5" x14ac:dyDescent="0.35">
      <c r="A4526" t="s">
        <v>4413</v>
      </c>
      <c r="B4526" t="s">
        <v>4549</v>
      </c>
      <c r="C4526">
        <v>498</v>
      </c>
      <c r="D4526">
        <v>231</v>
      </c>
      <c r="E4526" t="s">
        <v>11</v>
      </c>
    </row>
    <row r="4527" spans="1:5" x14ac:dyDescent="0.35">
      <c r="A4527" t="s">
        <v>4413</v>
      </c>
      <c r="B4527" t="s">
        <v>4550</v>
      </c>
      <c r="C4527">
        <v>349</v>
      </c>
      <c r="D4527">
        <v>349</v>
      </c>
      <c r="E4527" t="s">
        <v>11</v>
      </c>
    </row>
    <row r="4528" spans="1:5" x14ac:dyDescent="0.35">
      <c r="A4528" t="s">
        <v>4413</v>
      </c>
      <c r="B4528" t="s">
        <v>4551</v>
      </c>
      <c r="C4528">
        <v>485</v>
      </c>
      <c r="D4528">
        <v>460</v>
      </c>
      <c r="E4528" t="s">
        <v>7</v>
      </c>
    </row>
    <row r="4529" spans="1:5" x14ac:dyDescent="0.35">
      <c r="A4529" t="s">
        <v>4413</v>
      </c>
      <c r="B4529" t="s">
        <v>4552</v>
      </c>
      <c r="C4529">
        <v>296</v>
      </c>
      <c r="D4529">
        <v>248</v>
      </c>
      <c r="E4529" t="s">
        <v>15</v>
      </c>
    </row>
    <row r="4530" spans="1:5" x14ac:dyDescent="0.35">
      <c r="A4530" t="s">
        <v>4413</v>
      </c>
      <c r="B4530" t="s">
        <v>4553</v>
      </c>
      <c r="C4530">
        <v>360</v>
      </c>
      <c r="D4530">
        <v>317</v>
      </c>
      <c r="E4530" t="s">
        <v>33</v>
      </c>
    </row>
    <row r="4531" spans="1:5" x14ac:dyDescent="0.35">
      <c r="A4531" t="s">
        <v>4413</v>
      </c>
      <c r="B4531" t="s">
        <v>4554</v>
      </c>
      <c r="C4531">
        <v>439</v>
      </c>
      <c r="D4531">
        <v>331</v>
      </c>
      <c r="E4531" t="s">
        <v>7</v>
      </c>
    </row>
    <row r="4532" spans="1:5" x14ac:dyDescent="0.35">
      <c r="A4532" t="s">
        <v>4413</v>
      </c>
      <c r="B4532" t="s">
        <v>4555</v>
      </c>
      <c r="C4532">
        <v>294</v>
      </c>
      <c r="D4532">
        <v>183</v>
      </c>
      <c r="E4532" t="s">
        <v>15</v>
      </c>
    </row>
    <row r="4533" spans="1:5" x14ac:dyDescent="0.35">
      <c r="A4533" t="s">
        <v>4413</v>
      </c>
      <c r="B4533" t="s">
        <v>4556</v>
      </c>
      <c r="C4533">
        <v>367</v>
      </c>
      <c r="D4533">
        <v>236</v>
      </c>
      <c r="E4533" t="s">
        <v>15</v>
      </c>
    </row>
    <row r="4534" spans="1:5" x14ac:dyDescent="0.35">
      <c r="A4534" t="s">
        <v>4413</v>
      </c>
      <c r="B4534" t="s">
        <v>4557</v>
      </c>
      <c r="C4534">
        <v>411</v>
      </c>
      <c r="D4534">
        <v>245</v>
      </c>
      <c r="E4534" t="s">
        <v>33</v>
      </c>
    </row>
    <row r="4535" spans="1:5" x14ac:dyDescent="0.35">
      <c r="A4535" t="s">
        <v>4413</v>
      </c>
      <c r="B4535" t="s">
        <v>4558</v>
      </c>
      <c r="C4535">
        <v>277</v>
      </c>
      <c r="D4535">
        <v>211</v>
      </c>
      <c r="E4535" t="s">
        <v>17</v>
      </c>
    </row>
    <row r="4536" spans="1:5" x14ac:dyDescent="0.35">
      <c r="A4536" t="s">
        <v>4413</v>
      </c>
      <c r="B4536" t="s">
        <v>4559</v>
      </c>
      <c r="C4536">
        <v>468</v>
      </c>
      <c r="D4536">
        <v>336</v>
      </c>
      <c r="E4536" t="s">
        <v>15</v>
      </c>
    </row>
    <row r="4537" spans="1:5" x14ac:dyDescent="0.35">
      <c r="A4537" t="s">
        <v>4413</v>
      </c>
      <c r="B4537" t="s">
        <v>4560</v>
      </c>
      <c r="C4537">
        <v>382</v>
      </c>
      <c r="D4537">
        <v>248</v>
      </c>
      <c r="E4537" t="s">
        <v>7</v>
      </c>
    </row>
    <row r="4538" spans="1:5" x14ac:dyDescent="0.35">
      <c r="A4538" t="s">
        <v>4413</v>
      </c>
      <c r="B4538" t="s">
        <v>4561</v>
      </c>
      <c r="C4538">
        <v>445</v>
      </c>
      <c r="D4538">
        <v>249</v>
      </c>
      <c r="E4538" t="s">
        <v>9</v>
      </c>
    </row>
    <row r="4539" spans="1:5" x14ac:dyDescent="0.35">
      <c r="A4539" t="s">
        <v>4413</v>
      </c>
      <c r="B4539" t="s">
        <v>4562</v>
      </c>
      <c r="C4539">
        <v>490</v>
      </c>
      <c r="D4539">
        <v>193</v>
      </c>
      <c r="E4539" t="s">
        <v>21</v>
      </c>
    </row>
    <row r="4540" spans="1:5" x14ac:dyDescent="0.35">
      <c r="A4540" t="s">
        <v>4413</v>
      </c>
      <c r="B4540" t="s">
        <v>4563</v>
      </c>
      <c r="C4540">
        <v>292</v>
      </c>
      <c r="D4540">
        <v>242</v>
      </c>
      <c r="E4540" t="s">
        <v>11</v>
      </c>
    </row>
    <row r="4541" spans="1:5" x14ac:dyDescent="0.35">
      <c r="A4541" t="s">
        <v>4413</v>
      </c>
      <c r="B4541" t="s">
        <v>4564</v>
      </c>
      <c r="C4541">
        <v>438</v>
      </c>
      <c r="D4541">
        <v>326</v>
      </c>
      <c r="E4541" t="s">
        <v>17</v>
      </c>
    </row>
    <row r="4542" spans="1:5" x14ac:dyDescent="0.35">
      <c r="A4542" t="s">
        <v>4413</v>
      </c>
      <c r="B4542" t="s">
        <v>4565</v>
      </c>
      <c r="C4542">
        <v>439</v>
      </c>
      <c r="D4542">
        <v>319</v>
      </c>
      <c r="E4542" t="s">
        <v>11</v>
      </c>
    </row>
    <row r="4543" spans="1:5" x14ac:dyDescent="0.35">
      <c r="A4543" t="s">
        <v>4413</v>
      </c>
      <c r="B4543" t="s">
        <v>4566</v>
      </c>
      <c r="C4543">
        <v>459</v>
      </c>
      <c r="D4543">
        <v>448</v>
      </c>
      <c r="E4543" t="s">
        <v>7</v>
      </c>
    </row>
    <row r="4544" spans="1:5" x14ac:dyDescent="0.35">
      <c r="A4544" t="s">
        <v>4413</v>
      </c>
      <c r="B4544" t="s">
        <v>4567</v>
      </c>
      <c r="C4544">
        <v>467</v>
      </c>
      <c r="D4544">
        <v>428</v>
      </c>
      <c r="E4544" t="s">
        <v>7</v>
      </c>
    </row>
    <row r="4545" spans="1:5" x14ac:dyDescent="0.35">
      <c r="A4545" t="s">
        <v>4413</v>
      </c>
      <c r="B4545" t="s">
        <v>4568</v>
      </c>
      <c r="C4545">
        <v>319</v>
      </c>
      <c r="D4545">
        <v>246</v>
      </c>
      <c r="E4545" t="s">
        <v>17</v>
      </c>
    </row>
    <row r="4546" spans="1:5" x14ac:dyDescent="0.35">
      <c r="A4546" t="s">
        <v>4413</v>
      </c>
      <c r="B4546" t="s">
        <v>4569</v>
      </c>
      <c r="C4546">
        <v>419</v>
      </c>
      <c r="D4546">
        <v>329</v>
      </c>
      <c r="E4546" t="s">
        <v>17</v>
      </c>
    </row>
    <row r="4547" spans="1:5" x14ac:dyDescent="0.35">
      <c r="A4547" t="s">
        <v>4413</v>
      </c>
      <c r="B4547" t="s">
        <v>4570</v>
      </c>
      <c r="C4547">
        <v>430</v>
      </c>
      <c r="D4547">
        <v>396</v>
      </c>
      <c r="E4547" t="s">
        <v>21</v>
      </c>
    </row>
    <row r="4548" spans="1:5" x14ac:dyDescent="0.35">
      <c r="A4548" t="s">
        <v>4413</v>
      </c>
      <c r="B4548" t="s">
        <v>4571</v>
      </c>
      <c r="C4548">
        <v>454</v>
      </c>
      <c r="D4548">
        <v>284</v>
      </c>
      <c r="E4548" t="s">
        <v>15</v>
      </c>
    </row>
    <row r="4549" spans="1:5" x14ac:dyDescent="0.35">
      <c r="A4549" t="s">
        <v>4413</v>
      </c>
      <c r="B4549" t="s">
        <v>4572</v>
      </c>
      <c r="C4549">
        <v>401</v>
      </c>
      <c r="D4549">
        <v>225</v>
      </c>
      <c r="E4549" t="s">
        <v>17</v>
      </c>
    </row>
    <row r="4550" spans="1:5" x14ac:dyDescent="0.35">
      <c r="A4550" t="s">
        <v>4413</v>
      </c>
      <c r="B4550" t="s">
        <v>4573</v>
      </c>
      <c r="C4550">
        <v>275</v>
      </c>
      <c r="D4550">
        <v>219</v>
      </c>
      <c r="E4550" t="s">
        <v>21</v>
      </c>
    </row>
    <row r="4551" spans="1:5" x14ac:dyDescent="0.35">
      <c r="A4551" t="s">
        <v>4413</v>
      </c>
      <c r="B4551" t="s">
        <v>4574</v>
      </c>
      <c r="C4551">
        <v>488</v>
      </c>
      <c r="D4551">
        <v>480</v>
      </c>
      <c r="E4551" t="s">
        <v>7</v>
      </c>
    </row>
    <row r="4552" spans="1:5" x14ac:dyDescent="0.35">
      <c r="A4552" t="s">
        <v>4413</v>
      </c>
      <c r="B4552" t="s">
        <v>4575</v>
      </c>
      <c r="C4552">
        <v>420</v>
      </c>
      <c r="D4552">
        <v>372</v>
      </c>
      <c r="E4552" t="s">
        <v>7</v>
      </c>
    </row>
    <row r="4553" spans="1:5" x14ac:dyDescent="0.35">
      <c r="A4553" t="s">
        <v>4413</v>
      </c>
      <c r="B4553" t="s">
        <v>4576</v>
      </c>
      <c r="C4553">
        <v>360</v>
      </c>
      <c r="D4553">
        <v>324</v>
      </c>
      <c r="E4553" t="s">
        <v>7</v>
      </c>
    </row>
    <row r="4554" spans="1:5" x14ac:dyDescent="0.35">
      <c r="A4554" t="s">
        <v>4413</v>
      </c>
      <c r="B4554" t="s">
        <v>4577</v>
      </c>
      <c r="C4554">
        <v>457</v>
      </c>
      <c r="D4554">
        <v>179</v>
      </c>
      <c r="E4554" t="s">
        <v>33</v>
      </c>
    </row>
    <row r="4555" spans="1:5" x14ac:dyDescent="0.35">
      <c r="A4555" t="s">
        <v>4413</v>
      </c>
      <c r="B4555" t="s">
        <v>4578</v>
      </c>
      <c r="C4555">
        <v>456</v>
      </c>
      <c r="D4555">
        <v>323</v>
      </c>
      <c r="E4555" t="s">
        <v>17</v>
      </c>
    </row>
    <row r="4556" spans="1:5" x14ac:dyDescent="0.35">
      <c r="A4556" t="s">
        <v>4413</v>
      </c>
      <c r="B4556" t="s">
        <v>4579</v>
      </c>
      <c r="C4556">
        <v>410</v>
      </c>
      <c r="D4556">
        <v>282</v>
      </c>
      <c r="E4556" t="s">
        <v>15</v>
      </c>
    </row>
    <row r="4557" spans="1:5" x14ac:dyDescent="0.35">
      <c r="A4557" t="s">
        <v>4413</v>
      </c>
      <c r="B4557" t="s">
        <v>4580</v>
      </c>
      <c r="C4557">
        <v>211</v>
      </c>
      <c r="D4557">
        <v>180</v>
      </c>
      <c r="E4557" t="s">
        <v>11</v>
      </c>
    </row>
    <row r="4558" spans="1:5" x14ac:dyDescent="0.35">
      <c r="A4558" t="s">
        <v>4413</v>
      </c>
      <c r="B4558" t="s">
        <v>4581</v>
      </c>
      <c r="C4558">
        <v>425</v>
      </c>
      <c r="D4558">
        <v>400</v>
      </c>
      <c r="E4558" t="s">
        <v>9</v>
      </c>
    </row>
    <row r="4559" spans="1:5" x14ac:dyDescent="0.35">
      <c r="A4559" t="s">
        <v>4413</v>
      </c>
      <c r="B4559" t="s">
        <v>4582</v>
      </c>
      <c r="C4559">
        <v>407</v>
      </c>
      <c r="D4559">
        <v>294</v>
      </c>
      <c r="E4559" t="s">
        <v>11</v>
      </c>
    </row>
    <row r="4560" spans="1:5" x14ac:dyDescent="0.35">
      <c r="A4560" t="s">
        <v>4413</v>
      </c>
      <c r="B4560" t="s">
        <v>4583</v>
      </c>
      <c r="C4560">
        <v>401</v>
      </c>
      <c r="D4560">
        <v>274</v>
      </c>
      <c r="E4560" t="s">
        <v>17</v>
      </c>
    </row>
    <row r="4561" spans="1:5" x14ac:dyDescent="0.35">
      <c r="A4561" t="s">
        <v>4413</v>
      </c>
      <c r="B4561" t="s">
        <v>4584</v>
      </c>
      <c r="C4561">
        <v>471</v>
      </c>
      <c r="D4561">
        <v>370</v>
      </c>
      <c r="E4561" t="s">
        <v>21</v>
      </c>
    </row>
    <row r="4562" spans="1:5" x14ac:dyDescent="0.35">
      <c r="A4562" t="s">
        <v>4413</v>
      </c>
      <c r="B4562" t="s">
        <v>4585</v>
      </c>
      <c r="C4562">
        <v>496</v>
      </c>
      <c r="D4562">
        <v>278</v>
      </c>
      <c r="E4562" t="s">
        <v>17</v>
      </c>
    </row>
    <row r="4563" spans="1:5" x14ac:dyDescent="0.35">
      <c r="A4563" t="s">
        <v>4413</v>
      </c>
      <c r="B4563" t="s">
        <v>4586</v>
      </c>
      <c r="C4563">
        <v>485</v>
      </c>
      <c r="D4563">
        <v>461</v>
      </c>
      <c r="E4563" t="s">
        <v>21</v>
      </c>
    </row>
    <row r="4564" spans="1:5" x14ac:dyDescent="0.35">
      <c r="A4564" t="s">
        <v>4413</v>
      </c>
      <c r="B4564" t="s">
        <v>4587</v>
      </c>
      <c r="C4564">
        <v>471</v>
      </c>
      <c r="D4564">
        <v>470</v>
      </c>
      <c r="E4564" t="s">
        <v>21</v>
      </c>
    </row>
    <row r="4565" spans="1:5" x14ac:dyDescent="0.35">
      <c r="A4565" t="s">
        <v>4413</v>
      </c>
      <c r="B4565" t="s">
        <v>4588</v>
      </c>
      <c r="C4565">
        <v>460</v>
      </c>
      <c r="D4565">
        <v>452</v>
      </c>
      <c r="E4565" t="s">
        <v>7</v>
      </c>
    </row>
    <row r="4566" spans="1:5" x14ac:dyDescent="0.35">
      <c r="A4566" t="s">
        <v>4413</v>
      </c>
      <c r="B4566" t="s">
        <v>4589</v>
      </c>
      <c r="C4566">
        <v>379</v>
      </c>
      <c r="D4566">
        <v>370</v>
      </c>
      <c r="E4566" t="s">
        <v>21</v>
      </c>
    </row>
    <row r="4567" spans="1:5" x14ac:dyDescent="0.35">
      <c r="A4567" t="s">
        <v>4413</v>
      </c>
      <c r="B4567" t="s">
        <v>4590</v>
      </c>
      <c r="C4567">
        <v>321</v>
      </c>
      <c r="D4567">
        <v>188</v>
      </c>
      <c r="E4567" t="s">
        <v>21</v>
      </c>
    </row>
    <row r="4568" spans="1:5" x14ac:dyDescent="0.35">
      <c r="A4568" t="s">
        <v>4413</v>
      </c>
      <c r="B4568" t="s">
        <v>4591</v>
      </c>
      <c r="C4568">
        <v>488</v>
      </c>
      <c r="D4568">
        <v>454</v>
      </c>
      <c r="E4568" t="s">
        <v>9</v>
      </c>
    </row>
    <row r="4569" spans="1:5" x14ac:dyDescent="0.35">
      <c r="A4569" t="s">
        <v>4413</v>
      </c>
      <c r="B4569" t="s">
        <v>4592</v>
      </c>
      <c r="C4569">
        <v>300</v>
      </c>
      <c r="D4569">
        <v>280</v>
      </c>
      <c r="E4569" t="s">
        <v>11</v>
      </c>
    </row>
    <row r="4570" spans="1:5" x14ac:dyDescent="0.35">
      <c r="A4570" t="s">
        <v>4413</v>
      </c>
      <c r="B4570" t="s">
        <v>4593</v>
      </c>
      <c r="C4570">
        <v>466</v>
      </c>
      <c r="D4570">
        <v>458</v>
      </c>
      <c r="E4570" t="s">
        <v>21</v>
      </c>
    </row>
    <row r="4571" spans="1:5" x14ac:dyDescent="0.35">
      <c r="A4571" t="s">
        <v>4413</v>
      </c>
      <c r="B4571" t="s">
        <v>4594</v>
      </c>
      <c r="C4571">
        <v>493</v>
      </c>
      <c r="D4571">
        <v>421</v>
      </c>
      <c r="E4571" t="s">
        <v>21</v>
      </c>
    </row>
    <row r="4572" spans="1:5" x14ac:dyDescent="0.35">
      <c r="A4572" t="s">
        <v>4413</v>
      </c>
      <c r="B4572" t="s">
        <v>4595</v>
      </c>
      <c r="C4572">
        <v>271</v>
      </c>
      <c r="D4572">
        <v>160</v>
      </c>
      <c r="E4572" t="s">
        <v>9</v>
      </c>
    </row>
    <row r="4573" spans="1:5" x14ac:dyDescent="0.35">
      <c r="A4573" t="s">
        <v>4413</v>
      </c>
      <c r="B4573" t="s">
        <v>4596</v>
      </c>
      <c r="C4573">
        <v>489</v>
      </c>
      <c r="D4573">
        <v>428</v>
      </c>
      <c r="E4573" t="s">
        <v>7</v>
      </c>
    </row>
    <row r="4574" spans="1:5" x14ac:dyDescent="0.35">
      <c r="A4574" t="s">
        <v>4413</v>
      </c>
      <c r="B4574" t="s">
        <v>4597</v>
      </c>
      <c r="C4574">
        <v>321</v>
      </c>
      <c r="D4574">
        <v>279</v>
      </c>
      <c r="E4574" t="s">
        <v>9</v>
      </c>
    </row>
    <row r="4575" spans="1:5" x14ac:dyDescent="0.35">
      <c r="A4575" t="s">
        <v>4413</v>
      </c>
      <c r="B4575" t="s">
        <v>4598</v>
      </c>
      <c r="C4575">
        <v>452</v>
      </c>
      <c r="D4575">
        <v>438</v>
      </c>
      <c r="E4575" t="s">
        <v>7</v>
      </c>
    </row>
    <row r="4576" spans="1:5" x14ac:dyDescent="0.35">
      <c r="A4576" t="s">
        <v>4413</v>
      </c>
      <c r="B4576" t="s">
        <v>4599</v>
      </c>
      <c r="C4576">
        <v>316</v>
      </c>
      <c r="D4576">
        <v>226</v>
      </c>
      <c r="E4576" t="s">
        <v>33</v>
      </c>
    </row>
    <row r="4577" spans="1:5" x14ac:dyDescent="0.35">
      <c r="A4577" t="s">
        <v>4413</v>
      </c>
      <c r="B4577" t="s">
        <v>4600</v>
      </c>
      <c r="C4577">
        <v>367</v>
      </c>
      <c r="D4577">
        <v>257</v>
      </c>
      <c r="E4577" t="s">
        <v>9</v>
      </c>
    </row>
    <row r="4578" spans="1:5" x14ac:dyDescent="0.35">
      <c r="A4578" t="s">
        <v>4413</v>
      </c>
      <c r="B4578" t="s">
        <v>4601</v>
      </c>
      <c r="C4578">
        <v>345</v>
      </c>
      <c r="D4578">
        <v>180</v>
      </c>
      <c r="E4578" t="s">
        <v>21</v>
      </c>
    </row>
    <row r="4579" spans="1:5" x14ac:dyDescent="0.35">
      <c r="A4579" t="s">
        <v>4413</v>
      </c>
      <c r="B4579" t="s">
        <v>4602</v>
      </c>
      <c r="C4579">
        <v>277</v>
      </c>
      <c r="D4579">
        <v>234</v>
      </c>
      <c r="E4579" t="s">
        <v>17</v>
      </c>
    </row>
    <row r="4580" spans="1:5" x14ac:dyDescent="0.35">
      <c r="A4580" t="s">
        <v>4413</v>
      </c>
      <c r="B4580" t="s">
        <v>4603</v>
      </c>
      <c r="C4580">
        <v>324</v>
      </c>
      <c r="D4580">
        <v>158</v>
      </c>
      <c r="E4580" t="s">
        <v>15</v>
      </c>
    </row>
    <row r="4581" spans="1:5" x14ac:dyDescent="0.35">
      <c r="A4581" t="s">
        <v>4413</v>
      </c>
      <c r="B4581" t="s">
        <v>4604</v>
      </c>
      <c r="C4581">
        <v>423</v>
      </c>
      <c r="D4581">
        <v>409</v>
      </c>
      <c r="E4581" t="s">
        <v>9</v>
      </c>
    </row>
    <row r="4582" spans="1:5" x14ac:dyDescent="0.35">
      <c r="A4582" t="s">
        <v>4413</v>
      </c>
      <c r="B4582" t="s">
        <v>4605</v>
      </c>
      <c r="C4582">
        <v>321</v>
      </c>
      <c r="D4582">
        <v>160</v>
      </c>
      <c r="E4582" t="s">
        <v>11</v>
      </c>
    </row>
    <row r="4583" spans="1:5" x14ac:dyDescent="0.35">
      <c r="A4583" t="s">
        <v>4413</v>
      </c>
      <c r="B4583" t="s">
        <v>4606</v>
      </c>
      <c r="C4583">
        <v>459</v>
      </c>
      <c r="D4583">
        <v>391</v>
      </c>
      <c r="E4583" t="s">
        <v>21</v>
      </c>
    </row>
    <row r="4584" spans="1:5" x14ac:dyDescent="0.35">
      <c r="A4584" t="s">
        <v>4413</v>
      </c>
      <c r="B4584" t="s">
        <v>4607</v>
      </c>
      <c r="C4584">
        <v>419</v>
      </c>
      <c r="D4584">
        <v>417</v>
      </c>
      <c r="E4584" t="s">
        <v>9</v>
      </c>
    </row>
    <row r="4585" spans="1:5" x14ac:dyDescent="0.35">
      <c r="A4585" t="s">
        <v>4413</v>
      </c>
      <c r="B4585" t="s">
        <v>4608</v>
      </c>
      <c r="C4585">
        <v>477</v>
      </c>
      <c r="D4585">
        <v>282</v>
      </c>
      <c r="E4585" t="s">
        <v>21</v>
      </c>
    </row>
    <row r="4586" spans="1:5" x14ac:dyDescent="0.35">
      <c r="A4586" t="s">
        <v>4413</v>
      </c>
      <c r="B4586" t="s">
        <v>4609</v>
      </c>
      <c r="C4586">
        <v>323</v>
      </c>
      <c r="D4586">
        <v>251</v>
      </c>
      <c r="E4586" t="s">
        <v>15</v>
      </c>
    </row>
    <row r="4587" spans="1:5" x14ac:dyDescent="0.35">
      <c r="A4587" t="s">
        <v>4413</v>
      </c>
      <c r="B4587" t="s">
        <v>4610</v>
      </c>
      <c r="C4587">
        <v>430</v>
      </c>
      <c r="D4587">
        <v>308</v>
      </c>
      <c r="E4587" t="s">
        <v>21</v>
      </c>
    </row>
    <row r="4588" spans="1:5" x14ac:dyDescent="0.35">
      <c r="A4588" t="s">
        <v>4413</v>
      </c>
      <c r="B4588" t="s">
        <v>4611</v>
      </c>
      <c r="C4588">
        <v>491</v>
      </c>
      <c r="D4588">
        <v>416</v>
      </c>
      <c r="E4588" t="s">
        <v>7</v>
      </c>
    </row>
    <row r="4589" spans="1:5" x14ac:dyDescent="0.35">
      <c r="A4589" t="s">
        <v>4413</v>
      </c>
      <c r="B4589" t="s">
        <v>4612</v>
      </c>
      <c r="C4589">
        <v>451</v>
      </c>
      <c r="D4589">
        <v>332</v>
      </c>
      <c r="E4589" t="s">
        <v>21</v>
      </c>
    </row>
    <row r="4590" spans="1:5" x14ac:dyDescent="0.35">
      <c r="A4590" t="s">
        <v>4413</v>
      </c>
      <c r="B4590" t="s">
        <v>4613</v>
      </c>
      <c r="C4590">
        <v>394</v>
      </c>
      <c r="D4590">
        <v>352</v>
      </c>
      <c r="E4590" t="s">
        <v>9</v>
      </c>
    </row>
    <row r="4591" spans="1:5" x14ac:dyDescent="0.35">
      <c r="A4591" t="s">
        <v>4413</v>
      </c>
      <c r="B4591" t="s">
        <v>4614</v>
      </c>
      <c r="C4591">
        <v>483</v>
      </c>
      <c r="D4591">
        <v>472</v>
      </c>
      <c r="E4591" t="s">
        <v>7</v>
      </c>
    </row>
    <row r="4592" spans="1:5" x14ac:dyDescent="0.35">
      <c r="A4592" t="s">
        <v>4413</v>
      </c>
      <c r="B4592" t="s">
        <v>4615</v>
      </c>
      <c r="C4592">
        <v>473</v>
      </c>
      <c r="D4592">
        <v>434</v>
      </c>
      <c r="E4592" t="s">
        <v>21</v>
      </c>
    </row>
    <row r="4593" spans="1:5" x14ac:dyDescent="0.35">
      <c r="A4593" t="s">
        <v>4413</v>
      </c>
      <c r="B4593" t="s">
        <v>4616</v>
      </c>
      <c r="C4593">
        <v>499</v>
      </c>
      <c r="D4593">
        <v>450</v>
      </c>
      <c r="E4593" t="s">
        <v>21</v>
      </c>
    </row>
    <row r="4594" spans="1:5" x14ac:dyDescent="0.35">
      <c r="A4594" t="s">
        <v>4413</v>
      </c>
      <c r="B4594" t="s">
        <v>4617</v>
      </c>
      <c r="C4594">
        <v>370</v>
      </c>
      <c r="D4594">
        <v>206</v>
      </c>
      <c r="E4594" t="s">
        <v>7</v>
      </c>
    </row>
    <row r="4595" spans="1:5" x14ac:dyDescent="0.35">
      <c r="A4595" t="s">
        <v>4413</v>
      </c>
      <c r="B4595" t="s">
        <v>4618</v>
      </c>
      <c r="C4595">
        <v>413</v>
      </c>
      <c r="D4595">
        <v>312</v>
      </c>
      <c r="E4595" t="s">
        <v>33</v>
      </c>
    </row>
    <row r="4596" spans="1:5" x14ac:dyDescent="0.35">
      <c r="A4596" t="s">
        <v>4413</v>
      </c>
      <c r="B4596" t="s">
        <v>4619</v>
      </c>
      <c r="C4596">
        <v>485</v>
      </c>
      <c r="D4596">
        <v>440</v>
      </c>
      <c r="E4596" t="s">
        <v>21</v>
      </c>
    </row>
    <row r="4597" spans="1:5" x14ac:dyDescent="0.35">
      <c r="A4597" t="s">
        <v>4413</v>
      </c>
      <c r="B4597" t="s">
        <v>4620</v>
      </c>
      <c r="C4597">
        <v>467</v>
      </c>
      <c r="D4597">
        <v>400</v>
      </c>
      <c r="E4597" t="s">
        <v>9</v>
      </c>
    </row>
    <row r="4598" spans="1:5" x14ac:dyDescent="0.35">
      <c r="A4598" t="s">
        <v>4413</v>
      </c>
      <c r="B4598" t="s">
        <v>4621</v>
      </c>
      <c r="C4598">
        <v>420</v>
      </c>
      <c r="D4598">
        <v>397</v>
      </c>
      <c r="E4598" t="s">
        <v>21</v>
      </c>
    </row>
    <row r="4599" spans="1:5" x14ac:dyDescent="0.35">
      <c r="A4599" t="s">
        <v>4413</v>
      </c>
      <c r="B4599" t="s">
        <v>4622</v>
      </c>
      <c r="C4599">
        <v>477</v>
      </c>
      <c r="D4599">
        <v>171</v>
      </c>
      <c r="E4599" t="s">
        <v>7</v>
      </c>
    </row>
    <row r="4600" spans="1:5" x14ac:dyDescent="0.35">
      <c r="A4600" t="s">
        <v>4413</v>
      </c>
      <c r="B4600" t="s">
        <v>4623</v>
      </c>
      <c r="C4600">
        <v>494</v>
      </c>
      <c r="D4600">
        <v>341</v>
      </c>
      <c r="E4600" t="s">
        <v>7</v>
      </c>
    </row>
    <row r="4601" spans="1:5" x14ac:dyDescent="0.35">
      <c r="A4601" t="s">
        <v>4413</v>
      </c>
      <c r="B4601" t="s">
        <v>4624</v>
      </c>
      <c r="C4601">
        <v>481</v>
      </c>
      <c r="D4601">
        <v>373</v>
      </c>
      <c r="E4601" t="s">
        <v>9</v>
      </c>
    </row>
    <row r="4602" spans="1:5" x14ac:dyDescent="0.35">
      <c r="A4602" t="s">
        <v>4413</v>
      </c>
      <c r="B4602" t="s">
        <v>4625</v>
      </c>
      <c r="C4602">
        <v>415</v>
      </c>
      <c r="D4602">
        <v>293</v>
      </c>
      <c r="E4602" t="s">
        <v>7</v>
      </c>
    </row>
    <row r="4603" spans="1:5" x14ac:dyDescent="0.35">
      <c r="A4603" t="s">
        <v>4413</v>
      </c>
      <c r="B4603" t="s">
        <v>4626</v>
      </c>
      <c r="C4603">
        <v>454</v>
      </c>
      <c r="D4603">
        <v>453</v>
      </c>
      <c r="E4603" t="s">
        <v>9</v>
      </c>
    </row>
    <row r="4604" spans="1:5" x14ac:dyDescent="0.35">
      <c r="A4604" t="s">
        <v>4413</v>
      </c>
      <c r="B4604" t="s">
        <v>4627</v>
      </c>
      <c r="C4604">
        <v>354</v>
      </c>
      <c r="D4604">
        <v>292</v>
      </c>
      <c r="E4604" t="s">
        <v>15</v>
      </c>
    </row>
    <row r="4605" spans="1:5" x14ac:dyDescent="0.35">
      <c r="A4605" t="s">
        <v>4413</v>
      </c>
      <c r="B4605" t="s">
        <v>4628</v>
      </c>
      <c r="C4605">
        <v>470</v>
      </c>
      <c r="D4605">
        <v>464</v>
      </c>
      <c r="E4605" t="s">
        <v>21</v>
      </c>
    </row>
    <row r="4606" spans="1:5" x14ac:dyDescent="0.35">
      <c r="A4606" t="s">
        <v>4413</v>
      </c>
      <c r="B4606" t="s">
        <v>4629</v>
      </c>
      <c r="C4606">
        <v>412</v>
      </c>
      <c r="D4606">
        <v>392</v>
      </c>
      <c r="E4606" t="s">
        <v>9</v>
      </c>
    </row>
    <row r="4607" spans="1:5" x14ac:dyDescent="0.35">
      <c r="A4607" t="s">
        <v>4413</v>
      </c>
      <c r="B4607" t="s">
        <v>4630</v>
      </c>
      <c r="C4607">
        <v>453</v>
      </c>
      <c r="D4607">
        <v>299</v>
      </c>
      <c r="E4607" t="s">
        <v>21</v>
      </c>
    </row>
    <row r="4608" spans="1:5" x14ac:dyDescent="0.35">
      <c r="A4608" t="s">
        <v>4413</v>
      </c>
      <c r="B4608" t="s">
        <v>4631</v>
      </c>
      <c r="C4608">
        <v>399</v>
      </c>
      <c r="D4608">
        <v>348</v>
      </c>
      <c r="E4608" t="s">
        <v>15</v>
      </c>
    </row>
    <row r="4609" spans="1:5" x14ac:dyDescent="0.35">
      <c r="A4609" t="s">
        <v>4413</v>
      </c>
      <c r="B4609" t="s">
        <v>4632</v>
      </c>
      <c r="C4609">
        <v>388</v>
      </c>
      <c r="D4609">
        <v>378</v>
      </c>
      <c r="E4609" t="s">
        <v>9</v>
      </c>
    </row>
    <row r="4610" spans="1:5" x14ac:dyDescent="0.35">
      <c r="A4610" t="s">
        <v>4413</v>
      </c>
      <c r="B4610" t="s">
        <v>4633</v>
      </c>
      <c r="C4610">
        <v>436</v>
      </c>
      <c r="D4610">
        <v>430</v>
      </c>
      <c r="E4610" t="s">
        <v>21</v>
      </c>
    </row>
    <row r="4611" spans="1:5" x14ac:dyDescent="0.35">
      <c r="A4611" t="s">
        <v>4413</v>
      </c>
      <c r="B4611" t="s">
        <v>4634</v>
      </c>
      <c r="C4611">
        <v>488</v>
      </c>
      <c r="D4611">
        <v>472</v>
      </c>
      <c r="E4611" t="s">
        <v>21</v>
      </c>
    </row>
    <row r="4612" spans="1:5" x14ac:dyDescent="0.35">
      <c r="A4612" t="s">
        <v>4413</v>
      </c>
      <c r="B4612" t="s">
        <v>4635</v>
      </c>
      <c r="C4612">
        <v>445</v>
      </c>
      <c r="D4612">
        <v>391</v>
      </c>
      <c r="E4612" t="s">
        <v>7</v>
      </c>
    </row>
    <row r="4613" spans="1:5" x14ac:dyDescent="0.35">
      <c r="A4613" t="s">
        <v>4413</v>
      </c>
      <c r="B4613" t="s">
        <v>4636</v>
      </c>
      <c r="C4613">
        <v>492</v>
      </c>
      <c r="D4613">
        <v>190</v>
      </c>
      <c r="E4613" t="s">
        <v>17</v>
      </c>
    </row>
    <row r="4614" spans="1:5" x14ac:dyDescent="0.35">
      <c r="A4614" t="s">
        <v>4413</v>
      </c>
      <c r="B4614" t="s">
        <v>4637</v>
      </c>
      <c r="C4614">
        <v>377</v>
      </c>
      <c r="D4614">
        <v>272</v>
      </c>
      <c r="E4614" t="s">
        <v>33</v>
      </c>
    </row>
    <row r="4615" spans="1:5" x14ac:dyDescent="0.35">
      <c r="A4615" t="s">
        <v>4413</v>
      </c>
      <c r="B4615" t="s">
        <v>4638</v>
      </c>
      <c r="C4615">
        <v>422</v>
      </c>
      <c r="D4615">
        <v>296</v>
      </c>
      <c r="E4615" t="s">
        <v>17</v>
      </c>
    </row>
    <row r="4616" spans="1:5" x14ac:dyDescent="0.35">
      <c r="A4616" t="s">
        <v>4413</v>
      </c>
      <c r="B4616" t="s">
        <v>4639</v>
      </c>
      <c r="C4616">
        <v>458</v>
      </c>
      <c r="D4616">
        <v>443</v>
      </c>
      <c r="E4616" t="s">
        <v>7</v>
      </c>
    </row>
    <row r="4617" spans="1:5" x14ac:dyDescent="0.35">
      <c r="A4617" t="s">
        <v>4413</v>
      </c>
      <c r="B4617" t="s">
        <v>4640</v>
      </c>
      <c r="C4617">
        <v>308</v>
      </c>
      <c r="D4617">
        <v>260</v>
      </c>
      <c r="E4617" t="s">
        <v>9</v>
      </c>
    </row>
    <row r="4618" spans="1:5" x14ac:dyDescent="0.35">
      <c r="A4618" t="s">
        <v>4413</v>
      </c>
      <c r="B4618" t="s">
        <v>4641</v>
      </c>
      <c r="C4618">
        <v>485</v>
      </c>
      <c r="D4618">
        <v>478</v>
      </c>
      <c r="E4618" t="s">
        <v>21</v>
      </c>
    </row>
    <row r="4619" spans="1:5" x14ac:dyDescent="0.35">
      <c r="A4619" t="s">
        <v>4413</v>
      </c>
      <c r="B4619" t="s">
        <v>4642</v>
      </c>
      <c r="C4619">
        <v>444</v>
      </c>
      <c r="D4619">
        <v>283</v>
      </c>
      <c r="E4619" t="s">
        <v>33</v>
      </c>
    </row>
    <row r="4620" spans="1:5" x14ac:dyDescent="0.35">
      <c r="A4620" t="s">
        <v>4413</v>
      </c>
      <c r="B4620" t="s">
        <v>4643</v>
      </c>
      <c r="C4620">
        <v>349</v>
      </c>
      <c r="D4620">
        <v>326</v>
      </c>
      <c r="E4620" t="s">
        <v>21</v>
      </c>
    </row>
    <row r="4621" spans="1:5" x14ac:dyDescent="0.35">
      <c r="A4621" t="s">
        <v>4413</v>
      </c>
      <c r="B4621" t="s">
        <v>4644</v>
      </c>
      <c r="C4621">
        <v>432</v>
      </c>
      <c r="D4621">
        <v>356</v>
      </c>
      <c r="E4621" t="s">
        <v>7</v>
      </c>
    </row>
    <row r="4622" spans="1:5" x14ac:dyDescent="0.35">
      <c r="A4622" t="s">
        <v>4413</v>
      </c>
      <c r="B4622" t="s">
        <v>1460</v>
      </c>
      <c r="C4622">
        <v>385</v>
      </c>
      <c r="D4622">
        <v>186</v>
      </c>
      <c r="E4622" t="s">
        <v>9</v>
      </c>
    </row>
    <row r="4623" spans="1:5" x14ac:dyDescent="0.35">
      <c r="A4623" t="s">
        <v>4413</v>
      </c>
      <c r="B4623" t="s">
        <v>1461</v>
      </c>
      <c r="C4623">
        <v>428</v>
      </c>
      <c r="D4623">
        <v>427</v>
      </c>
      <c r="E4623" t="s">
        <v>7</v>
      </c>
    </row>
    <row r="4624" spans="1:5" x14ac:dyDescent="0.35">
      <c r="A4624" t="s">
        <v>4413</v>
      </c>
      <c r="B4624" t="s">
        <v>1462</v>
      </c>
      <c r="C4624">
        <v>304</v>
      </c>
      <c r="D4624">
        <v>281</v>
      </c>
      <c r="E4624" t="s">
        <v>9</v>
      </c>
    </row>
    <row r="4625" spans="1:5" x14ac:dyDescent="0.35">
      <c r="A4625" t="s">
        <v>4413</v>
      </c>
      <c r="B4625" t="s">
        <v>1463</v>
      </c>
      <c r="C4625">
        <v>486</v>
      </c>
      <c r="D4625">
        <v>466</v>
      </c>
      <c r="E4625" t="s">
        <v>7</v>
      </c>
    </row>
    <row r="4626" spans="1:5" x14ac:dyDescent="0.35">
      <c r="A4626" t="s">
        <v>4413</v>
      </c>
      <c r="B4626" t="s">
        <v>1464</v>
      </c>
      <c r="C4626">
        <v>433</v>
      </c>
      <c r="D4626">
        <v>433</v>
      </c>
      <c r="E4626" t="s">
        <v>7</v>
      </c>
    </row>
    <row r="4627" spans="1:5" x14ac:dyDescent="0.35">
      <c r="A4627" t="s">
        <v>4413</v>
      </c>
      <c r="B4627" t="s">
        <v>1465</v>
      </c>
      <c r="C4627">
        <v>297</v>
      </c>
      <c r="D4627">
        <v>266</v>
      </c>
      <c r="E4627" t="s">
        <v>33</v>
      </c>
    </row>
    <row r="4628" spans="1:5" x14ac:dyDescent="0.35">
      <c r="A4628" t="s">
        <v>4413</v>
      </c>
      <c r="B4628" t="s">
        <v>1466</v>
      </c>
      <c r="C4628">
        <v>469</v>
      </c>
      <c r="D4628">
        <v>356</v>
      </c>
      <c r="E4628" t="s">
        <v>21</v>
      </c>
    </row>
    <row r="4629" spans="1:5" x14ac:dyDescent="0.35">
      <c r="A4629" t="s">
        <v>4413</v>
      </c>
      <c r="B4629" t="s">
        <v>4645</v>
      </c>
      <c r="C4629">
        <v>257</v>
      </c>
      <c r="D4629">
        <v>186</v>
      </c>
      <c r="E4629" t="s">
        <v>33</v>
      </c>
    </row>
    <row r="4630" spans="1:5" x14ac:dyDescent="0.35">
      <c r="A4630" t="s">
        <v>4413</v>
      </c>
      <c r="B4630" t="s">
        <v>4646</v>
      </c>
      <c r="C4630">
        <v>343</v>
      </c>
      <c r="D4630">
        <v>235</v>
      </c>
      <c r="E4630" t="s">
        <v>17</v>
      </c>
    </row>
    <row r="4631" spans="1:5" x14ac:dyDescent="0.35">
      <c r="A4631" t="s">
        <v>4413</v>
      </c>
      <c r="B4631" t="s">
        <v>4647</v>
      </c>
      <c r="C4631">
        <v>354</v>
      </c>
      <c r="D4631">
        <v>188</v>
      </c>
      <c r="E4631" t="s">
        <v>7</v>
      </c>
    </row>
    <row r="4632" spans="1:5" x14ac:dyDescent="0.35">
      <c r="A4632" t="s">
        <v>4413</v>
      </c>
      <c r="B4632" t="s">
        <v>4648</v>
      </c>
      <c r="C4632">
        <v>250</v>
      </c>
      <c r="D4632">
        <v>249</v>
      </c>
      <c r="E4632" t="s">
        <v>11</v>
      </c>
    </row>
    <row r="4633" spans="1:5" x14ac:dyDescent="0.35">
      <c r="A4633" t="s">
        <v>4413</v>
      </c>
      <c r="B4633" t="s">
        <v>4649</v>
      </c>
      <c r="C4633">
        <v>368</v>
      </c>
      <c r="D4633">
        <v>343</v>
      </c>
      <c r="E4633" t="s">
        <v>7</v>
      </c>
    </row>
    <row r="4634" spans="1:5" x14ac:dyDescent="0.35">
      <c r="A4634" t="s">
        <v>4413</v>
      </c>
      <c r="B4634" t="s">
        <v>4650</v>
      </c>
      <c r="C4634">
        <v>490</v>
      </c>
      <c r="D4634">
        <v>388</v>
      </c>
      <c r="E4634" t="s">
        <v>9</v>
      </c>
    </row>
    <row r="4635" spans="1:5" x14ac:dyDescent="0.35">
      <c r="A4635" t="s">
        <v>4413</v>
      </c>
      <c r="B4635" t="s">
        <v>4651</v>
      </c>
      <c r="C4635">
        <v>307</v>
      </c>
      <c r="D4635">
        <v>278</v>
      </c>
      <c r="E4635" t="s">
        <v>11</v>
      </c>
    </row>
    <row r="4636" spans="1:5" x14ac:dyDescent="0.35">
      <c r="A4636" t="s">
        <v>4413</v>
      </c>
      <c r="B4636" t="s">
        <v>4652</v>
      </c>
      <c r="C4636">
        <v>460</v>
      </c>
      <c r="D4636">
        <v>407</v>
      </c>
      <c r="E4636" t="s">
        <v>9</v>
      </c>
    </row>
    <row r="4637" spans="1:5" x14ac:dyDescent="0.35">
      <c r="A4637" t="s">
        <v>4413</v>
      </c>
      <c r="B4637" t="s">
        <v>4653</v>
      </c>
      <c r="C4637">
        <v>304</v>
      </c>
      <c r="D4637">
        <v>201</v>
      </c>
      <c r="E4637" t="s">
        <v>11</v>
      </c>
    </row>
    <row r="4638" spans="1:5" x14ac:dyDescent="0.35">
      <c r="A4638" t="s">
        <v>4413</v>
      </c>
      <c r="B4638" t="s">
        <v>4654</v>
      </c>
      <c r="C4638">
        <v>199</v>
      </c>
      <c r="D4638">
        <v>174</v>
      </c>
      <c r="E4638" t="s">
        <v>11</v>
      </c>
    </row>
    <row r="4639" spans="1:5" x14ac:dyDescent="0.35">
      <c r="A4639" t="s">
        <v>4413</v>
      </c>
      <c r="B4639" t="s">
        <v>4655</v>
      </c>
      <c r="C4639">
        <v>307</v>
      </c>
      <c r="D4639">
        <v>239</v>
      </c>
      <c r="E4639" t="s">
        <v>9</v>
      </c>
    </row>
    <row r="4640" spans="1:5" x14ac:dyDescent="0.35">
      <c r="A4640" t="s">
        <v>4413</v>
      </c>
      <c r="B4640" t="s">
        <v>4656</v>
      </c>
      <c r="C4640">
        <v>489</v>
      </c>
      <c r="D4640">
        <v>465</v>
      </c>
      <c r="E4640" t="s">
        <v>21</v>
      </c>
    </row>
    <row r="4641" spans="1:5" x14ac:dyDescent="0.35">
      <c r="A4641" t="s">
        <v>4413</v>
      </c>
      <c r="B4641" t="s">
        <v>4657</v>
      </c>
      <c r="C4641">
        <v>441</v>
      </c>
      <c r="D4641">
        <v>437</v>
      </c>
      <c r="E4641" t="s">
        <v>7</v>
      </c>
    </row>
    <row r="4642" spans="1:5" x14ac:dyDescent="0.35">
      <c r="A4642" t="s">
        <v>4413</v>
      </c>
      <c r="B4642" t="s">
        <v>4658</v>
      </c>
      <c r="C4642">
        <v>477</v>
      </c>
      <c r="D4642">
        <v>297</v>
      </c>
      <c r="E4642" t="s">
        <v>15</v>
      </c>
    </row>
    <row r="4643" spans="1:5" x14ac:dyDescent="0.35">
      <c r="A4643" t="s">
        <v>4413</v>
      </c>
      <c r="B4643" t="s">
        <v>4659</v>
      </c>
      <c r="C4643">
        <v>485</v>
      </c>
      <c r="D4643">
        <v>297</v>
      </c>
      <c r="E4643" t="s">
        <v>15</v>
      </c>
    </row>
    <row r="4644" spans="1:5" x14ac:dyDescent="0.35">
      <c r="A4644" t="s">
        <v>4413</v>
      </c>
      <c r="B4644" t="s">
        <v>4660</v>
      </c>
      <c r="C4644">
        <v>475</v>
      </c>
      <c r="D4644">
        <v>437</v>
      </c>
      <c r="E4644" t="s">
        <v>9</v>
      </c>
    </row>
    <row r="4645" spans="1:5" x14ac:dyDescent="0.35">
      <c r="A4645" t="s">
        <v>4413</v>
      </c>
      <c r="B4645" t="s">
        <v>4661</v>
      </c>
      <c r="C4645">
        <v>393</v>
      </c>
      <c r="D4645">
        <v>358</v>
      </c>
      <c r="E4645" t="s">
        <v>9</v>
      </c>
    </row>
    <row r="4646" spans="1:5" x14ac:dyDescent="0.35">
      <c r="A4646" t="s">
        <v>4413</v>
      </c>
      <c r="B4646" t="s">
        <v>4662</v>
      </c>
      <c r="C4646">
        <v>291</v>
      </c>
      <c r="D4646">
        <v>281</v>
      </c>
      <c r="E4646" t="s">
        <v>11</v>
      </c>
    </row>
    <row r="4647" spans="1:5" x14ac:dyDescent="0.35">
      <c r="A4647" t="s">
        <v>4413</v>
      </c>
      <c r="B4647" t="s">
        <v>4663</v>
      </c>
      <c r="C4647">
        <v>421</v>
      </c>
      <c r="D4647">
        <v>337</v>
      </c>
      <c r="E4647" t="s">
        <v>7</v>
      </c>
    </row>
    <row r="4648" spans="1:5" x14ac:dyDescent="0.35">
      <c r="A4648" t="s">
        <v>4413</v>
      </c>
      <c r="B4648" t="s">
        <v>4664</v>
      </c>
      <c r="C4648">
        <v>485</v>
      </c>
      <c r="D4648">
        <v>473</v>
      </c>
      <c r="E4648" t="s">
        <v>9</v>
      </c>
    </row>
    <row r="4649" spans="1:5" x14ac:dyDescent="0.35">
      <c r="A4649" t="s">
        <v>4413</v>
      </c>
      <c r="B4649" t="s">
        <v>4665</v>
      </c>
      <c r="C4649">
        <v>214</v>
      </c>
      <c r="D4649">
        <v>154</v>
      </c>
      <c r="E4649" t="s">
        <v>21</v>
      </c>
    </row>
    <row r="4650" spans="1:5" x14ac:dyDescent="0.35">
      <c r="A4650" t="s">
        <v>4413</v>
      </c>
      <c r="B4650" t="s">
        <v>4666</v>
      </c>
      <c r="C4650">
        <v>469</v>
      </c>
      <c r="D4650">
        <v>235</v>
      </c>
      <c r="E4650" t="s">
        <v>7</v>
      </c>
    </row>
    <row r="4651" spans="1:5" x14ac:dyDescent="0.35">
      <c r="A4651" t="s">
        <v>4413</v>
      </c>
      <c r="B4651" t="s">
        <v>4667</v>
      </c>
      <c r="C4651">
        <v>380</v>
      </c>
      <c r="D4651">
        <v>168</v>
      </c>
      <c r="E4651" t="s">
        <v>9</v>
      </c>
    </row>
    <row r="4652" spans="1:5" x14ac:dyDescent="0.35">
      <c r="A4652" t="s">
        <v>4413</v>
      </c>
      <c r="B4652" t="s">
        <v>4668</v>
      </c>
      <c r="C4652">
        <v>381</v>
      </c>
      <c r="D4652">
        <v>279</v>
      </c>
      <c r="E4652" t="s">
        <v>17</v>
      </c>
    </row>
    <row r="4653" spans="1:5" x14ac:dyDescent="0.35">
      <c r="A4653" t="s">
        <v>4413</v>
      </c>
      <c r="B4653" t="s">
        <v>4669</v>
      </c>
      <c r="C4653">
        <v>474</v>
      </c>
      <c r="D4653">
        <v>287</v>
      </c>
      <c r="E4653" t="s">
        <v>7</v>
      </c>
    </row>
    <row r="4654" spans="1:5" x14ac:dyDescent="0.35">
      <c r="A4654" t="s">
        <v>4413</v>
      </c>
      <c r="B4654" t="s">
        <v>4670</v>
      </c>
      <c r="C4654">
        <v>385</v>
      </c>
      <c r="D4654">
        <v>350</v>
      </c>
      <c r="E4654" t="s">
        <v>17</v>
      </c>
    </row>
    <row r="4655" spans="1:5" x14ac:dyDescent="0.35">
      <c r="A4655" t="s">
        <v>4413</v>
      </c>
      <c r="B4655" t="s">
        <v>4671</v>
      </c>
      <c r="C4655">
        <v>466</v>
      </c>
      <c r="D4655">
        <v>453</v>
      </c>
      <c r="E4655" t="s">
        <v>7</v>
      </c>
    </row>
    <row r="4656" spans="1:5" x14ac:dyDescent="0.35">
      <c r="A4656" t="s">
        <v>4413</v>
      </c>
      <c r="B4656" t="s">
        <v>4672</v>
      </c>
      <c r="C4656">
        <v>437</v>
      </c>
      <c r="D4656">
        <v>434</v>
      </c>
      <c r="E4656" t="s">
        <v>7</v>
      </c>
    </row>
    <row r="4657" spans="1:5" x14ac:dyDescent="0.35">
      <c r="A4657" t="s">
        <v>4413</v>
      </c>
      <c r="B4657" t="s">
        <v>4673</v>
      </c>
      <c r="C4657">
        <v>419</v>
      </c>
      <c r="D4657">
        <v>335</v>
      </c>
      <c r="E4657" t="s">
        <v>17</v>
      </c>
    </row>
    <row r="4658" spans="1:5" x14ac:dyDescent="0.35">
      <c r="A4658" t="s">
        <v>4413</v>
      </c>
      <c r="B4658" t="s">
        <v>4674</v>
      </c>
      <c r="C4658">
        <v>475</v>
      </c>
      <c r="D4658">
        <v>376</v>
      </c>
      <c r="E4658" t="s">
        <v>21</v>
      </c>
    </row>
    <row r="4659" spans="1:5" x14ac:dyDescent="0.35">
      <c r="A4659" t="s">
        <v>4413</v>
      </c>
      <c r="B4659" t="s">
        <v>4675</v>
      </c>
      <c r="C4659">
        <v>465</v>
      </c>
      <c r="D4659">
        <v>374</v>
      </c>
      <c r="E4659" t="s">
        <v>9</v>
      </c>
    </row>
    <row r="4660" spans="1:5" x14ac:dyDescent="0.35">
      <c r="A4660" t="s">
        <v>4413</v>
      </c>
      <c r="B4660" t="s">
        <v>4676</v>
      </c>
      <c r="C4660">
        <v>422</v>
      </c>
      <c r="D4660">
        <v>374</v>
      </c>
      <c r="E4660" t="s">
        <v>7</v>
      </c>
    </row>
    <row r="4661" spans="1:5" x14ac:dyDescent="0.35">
      <c r="A4661" t="s">
        <v>4413</v>
      </c>
      <c r="B4661" t="s">
        <v>4677</v>
      </c>
      <c r="C4661">
        <v>350</v>
      </c>
      <c r="D4661">
        <v>193</v>
      </c>
      <c r="E4661" t="s">
        <v>21</v>
      </c>
    </row>
    <row r="4662" spans="1:5" x14ac:dyDescent="0.35">
      <c r="A4662" t="s">
        <v>4413</v>
      </c>
      <c r="B4662" t="s">
        <v>4678</v>
      </c>
      <c r="C4662">
        <v>480</v>
      </c>
      <c r="D4662">
        <v>458</v>
      </c>
      <c r="E4662" t="s">
        <v>9</v>
      </c>
    </row>
    <row r="4663" spans="1:5" x14ac:dyDescent="0.35">
      <c r="A4663" t="s">
        <v>4413</v>
      </c>
      <c r="B4663" t="s">
        <v>4679</v>
      </c>
      <c r="C4663">
        <v>392</v>
      </c>
      <c r="D4663">
        <v>231</v>
      </c>
      <c r="E4663" t="s">
        <v>21</v>
      </c>
    </row>
    <row r="4664" spans="1:5" x14ac:dyDescent="0.35">
      <c r="A4664" t="s">
        <v>4413</v>
      </c>
      <c r="B4664" t="s">
        <v>4680</v>
      </c>
      <c r="C4664">
        <v>281</v>
      </c>
      <c r="D4664">
        <v>230</v>
      </c>
      <c r="E4664" t="s">
        <v>15</v>
      </c>
    </row>
    <row r="4665" spans="1:5" x14ac:dyDescent="0.35">
      <c r="A4665" t="s">
        <v>4413</v>
      </c>
      <c r="B4665" t="s">
        <v>4681</v>
      </c>
      <c r="C4665">
        <v>293</v>
      </c>
      <c r="D4665">
        <v>286</v>
      </c>
      <c r="E4665" t="s">
        <v>17</v>
      </c>
    </row>
    <row r="4666" spans="1:5" x14ac:dyDescent="0.35">
      <c r="A4666" t="s">
        <v>4413</v>
      </c>
      <c r="B4666" t="s">
        <v>4682</v>
      </c>
      <c r="C4666">
        <v>485</v>
      </c>
      <c r="D4666">
        <v>403</v>
      </c>
      <c r="E4666" t="s">
        <v>9</v>
      </c>
    </row>
    <row r="4667" spans="1:5" x14ac:dyDescent="0.35">
      <c r="A4667" t="s">
        <v>4413</v>
      </c>
      <c r="B4667" t="s">
        <v>4683</v>
      </c>
      <c r="C4667">
        <v>500</v>
      </c>
      <c r="D4667">
        <v>479</v>
      </c>
      <c r="E4667" t="s">
        <v>9</v>
      </c>
    </row>
    <row r="4668" spans="1:5" x14ac:dyDescent="0.35">
      <c r="A4668" t="s">
        <v>4413</v>
      </c>
      <c r="B4668" t="s">
        <v>4684</v>
      </c>
      <c r="C4668">
        <v>303</v>
      </c>
      <c r="D4668">
        <v>259</v>
      </c>
      <c r="E4668" t="s">
        <v>21</v>
      </c>
    </row>
    <row r="4669" spans="1:5" x14ac:dyDescent="0.35">
      <c r="A4669" t="s">
        <v>4413</v>
      </c>
      <c r="B4669" t="s">
        <v>4685</v>
      </c>
      <c r="C4669">
        <v>409</v>
      </c>
      <c r="D4669">
        <v>270</v>
      </c>
      <c r="E4669" t="s">
        <v>11</v>
      </c>
    </row>
    <row r="4670" spans="1:5" x14ac:dyDescent="0.35">
      <c r="A4670" t="s">
        <v>4413</v>
      </c>
      <c r="B4670" t="s">
        <v>4686</v>
      </c>
      <c r="C4670">
        <v>326</v>
      </c>
      <c r="D4670">
        <v>316</v>
      </c>
      <c r="E4670" t="s">
        <v>33</v>
      </c>
    </row>
    <row r="4671" spans="1:5" x14ac:dyDescent="0.35">
      <c r="A4671" t="s">
        <v>4413</v>
      </c>
      <c r="B4671" t="s">
        <v>4687</v>
      </c>
      <c r="C4671">
        <v>255</v>
      </c>
      <c r="D4671">
        <v>218</v>
      </c>
      <c r="E4671" t="s">
        <v>9</v>
      </c>
    </row>
    <row r="4672" spans="1:5" x14ac:dyDescent="0.35">
      <c r="A4672" t="s">
        <v>4413</v>
      </c>
      <c r="B4672" t="s">
        <v>4688</v>
      </c>
      <c r="C4672">
        <v>369</v>
      </c>
      <c r="D4672">
        <v>356</v>
      </c>
      <c r="E4672" t="s">
        <v>7</v>
      </c>
    </row>
    <row r="4673" spans="1:5" x14ac:dyDescent="0.35">
      <c r="A4673" t="s">
        <v>4413</v>
      </c>
      <c r="B4673" t="s">
        <v>4689</v>
      </c>
      <c r="C4673">
        <v>442</v>
      </c>
      <c r="D4673">
        <v>327</v>
      </c>
      <c r="E4673" t="s">
        <v>9</v>
      </c>
    </row>
    <row r="4674" spans="1:5" x14ac:dyDescent="0.35">
      <c r="A4674" t="s">
        <v>4413</v>
      </c>
      <c r="B4674" t="s">
        <v>4690</v>
      </c>
      <c r="C4674">
        <v>318</v>
      </c>
      <c r="D4674">
        <v>300</v>
      </c>
      <c r="E4674" t="s">
        <v>11</v>
      </c>
    </row>
    <row r="4675" spans="1:5" x14ac:dyDescent="0.35">
      <c r="A4675" t="s">
        <v>4413</v>
      </c>
      <c r="B4675" t="s">
        <v>4691</v>
      </c>
      <c r="C4675">
        <v>327</v>
      </c>
      <c r="D4675">
        <v>297</v>
      </c>
      <c r="E4675" t="s">
        <v>9</v>
      </c>
    </row>
    <row r="4676" spans="1:5" x14ac:dyDescent="0.35">
      <c r="A4676" t="s">
        <v>4413</v>
      </c>
      <c r="B4676" t="s">
        <v>4692</v>
      </c>
      <c r="C4676">
        <v>481</v>
      </c>
      <c r="D4676">
        <v>349</v>
      </c>
      <c r="E4676" t="s">
        <v>15</v>
      </c>
    </row>
    <row r="4677" spans="1:5" x14ac:dyDescent="0.35">
      <c r="A4677" t="s">
        <v>4413</v>
      </c>
      <c r="B4677" t="s">
        <v>4693</v>
      </c>
      <c r="C4677">
        <v>464</v>
      </c>
      <c r="D4677">
        <v>407</v>
      </c>
      <c r="E4677" t="s">
        <v>7</v>
      </c>
    </row>
    <row r="4678" spans="1:5" x14ac:dyDescent="0.35">
      <c r="A4678" t="s">
        <v>4413</v>
      </c>
      <c r="B4678" t="s">
        <v>4694</v>
      </c>
      <c r="C4678">
        <v>449</v>
      </c>
      <c r="D4678">
        <v>253</v>
      </c>
      <c r="E4678" t="s">
        <v>21</v>
      </c>
    </row>
    <row r="4679" spans="1:5" x14ac:dyDescent="0.35">
      <c r="A4679" t="s">
        <v>4413</v>
      </c>
      <c r="B4679" t="s">
        <v>4695</v>
      </c>
      <c r="C4679">
        <v>367</v>
      </c>
      <c r="D4679">
        <v>201</v>
      </c>
      <c r="E4679" t="s">
        <v>9</v>
      </c>
    </row>
    <row r="4680" spans="1:5" x14ac:dyDescent="0.35">
      <c r="A4680" t="s">
        <v>4413</v>
      </c>
      <c r="B4680" t="s">
        <v>4696</v>
      </c>
      <c r="C4680">
        <v>445</v>
      </c>
      <c r="D4680">
        <v>150</v>
      </c>
      <c r="E4680" t="s">
        <v>21</v>
      </c>
    </row>
    <row r="4681" spans="1:5" x14ac:dyDescent="0.35">
      <c r="A4681" t="s">
        <v>4413</v>
      </c>
      <c r="B4681" t="s">
        <v>4697</v>
      </c>
      <c r="C4681">
        <v>348</v>
      </c>
      <c r="D4681">
        <v>230</v>
      </c>
      <c r="E4681" t="s">
        <v>9</v>
      </c>
    </row>
    <row r="4682" spans="1:5" x14ac:dyDescent="0.35">
      <c r="A4682" t="s">
        <v>4413</v>
      </c>
      <c r="B4682" t="s">
        <v>4698</v>
      </c>
      <c r="C4682">
        <v>311</v>
      </c>
      <c r="D4682">
        <v>153</v>
      </c>
      <c r="E4682" t="s">
        <v>33</v>
      </c>
    </row>
    <row r="4683" spans="1:5" x14ac:dyDescent="0.35">
      <c r="A4683" t="s">
        <v>4413</v>
      </c>
      <c r="B4683" t="s">
        <v>4699</v>
      </c>
      <c r="C4683">
        <v>465</v>
      </c>
      <c r="D4683">
        <v>179</v>
      </c>
      <c r="E4683" t="s">
        <v>7</v>
      </c>
    </row>
    <row r="4684" spans="1:5" x14ac:dyDescent="0.35">
      <c r="A4684" t="s">
        <v>4413</v>
      </c>
      <c r="B4684" t="s">
        <v>4700</v>
      </c>
      <c r="C4684">
        <v>473</v>
      </c>
      <c r="D4684">
        <v>340</v>
      </c>
      <c r="E4684" t="s">
        <v>21</v>
      </c>
    </row>
    <row r="4685" spans="1:5" x14ac:dyDescent="0.35">
      <c r="A4685" t="s">
        <v>4413</v>
      </c>
      <c r="B4685" t="s">
        <v>4701</v>
      </c>
      <c r="C4685">
        <v>366</v>
      </c>
      <c r="D4685">
        <v>156</v>
      </c>
      <c r="E4685" t="s">
        <v>21</v>
      </c>
    </row>
    <row r="4686" spans="1:5" x14ac:dyDescent="0.35">
      <c r="A4686" t="s">
        <v>4413</v>
      </c>
      <c r="B4686" t="s">
        <v>4702</v>
      </c>
      <c r="C4686">
        <v>376</v>
      </c>
      <c r="D4686">
        <v>263</v>
      </c>
      <c r="E4686" t="s">
        <v>33</v>
      </c>
    </row>
    <row r="4687" spans="1:5" x14ac:dyDescent="0.35">
      <c r="A4687" t="s">
        <v>4413</v>
      </c>
      <c r="B4687" t="s">
        <v>4703</v>
      </c>
      <c r="C4687">
        <v>436</v>
      </c>
      <c r="D4687">
        <v>249</v>
      </c>
      <c r="E4687" t="s">
        <v>17</v>
      </c>
    </row>
    <row r="4688" spans="1:5" x14ac:dyDescent="0.35">
      <c r="A4688" t="s">
        <v>4413</v>
      </c>
      <c r="B4688" t="s">
        <v>4704</v>
      </c>
      <c r="C4688">
        <v>257</v>
      </c>
      <c r="D4688">
        <v>211</v>
      </c>
      <c r="E4688" t="s">
        <v>17</v>
      </c>
    </row>
    <row r="4689" spans="1:5" x14ac:dyDescent="0.35">
      <c r="A4689" t="s">
        <v>4413</v>
      </c>
      <c r="B4689" t="s">
        <v>4705</v>
      </c>
      <c r="C4689">
        <v>373</v>
      </c>
      <c r="D4689">
        <v>169</v>
      </c>
      <c r="E4689" t="s">
        <v>21</v>
      </c>
    </row>
    <row r="4690" spans="1:5" x14ac:dyDescent="0.35">
      <c r="A4690" t="s">
        <v>4413</v>
      </c>
      <c r="B4690" t="s">
        <v>4706</v>
      </c>
      <c r="C4690">
        <v>323</v>
      </c>
      <c r="D4690">
        <v>283</v>
      </c>
      <c r="E4690" t="s">
        <v>21</v>
      </c>
    </row>
    <row r="4691" spans="1:5" x14ac:dyDescent="0.35">
      <c r="A4691" t="s">
        <v>4413</v>
      </c>
      <c r="B4691" t="s">
        <v>4707</v>
      </c>
      <c r="C4691">
        <v>422</v>
      </c>
      <c r="D4691">
        <v>376</v>
      </c>
      <c r="E4691" t="s">
        <v>21</v>
      </c>
    </row>
    <row r="4692" spans="1:5" x14ac:dyDescent="0.35">
      <c r="A4692" t="s">
        <v>4413</v>
      </c>
      <c r="B4692" t="s">
        <v>4708</v>
      </c>
      <c r="C4692">
        <v>476</v>
      </c>
      <c r="D4692">
        <v>472</v>
      </c>
      <c r="E4692" t="s">
        <v>7</v>
      </c>
    </row>
    <row r="4693" spans="1:5" x14ac:dyDescent="0.35">
      <c r="A4693" t="s">
        <v>4413</v>
      </c>
      <c r="B4693" t="s">
        <v>4709</v>
      </c>
      <c r="C4693">
        <v>355</v>
      </c>
      <c r="D4693">
        <v>296</v>
      </c>
      <c r="E4693" t="s">
        <v>33</v>
      </c>
    </row>
    <row r="4694" spans="1:5" x14ac:dyDescent="0.35">
      <c r="A4694" t="s">
        <v>4413</v>
      </c>
      <c r="B4694" t="s">
        <v>4710</v>
      </c>
      <c r="C4694">
        <v>391</v>
      </c>
      <c r="D4694">
        <v>364</v>
      </c>
      <c r="E4694" t="s">
        <v>9</v>
      </c>
    </row>
    <row r="4695" spans="1:5" x14ac:dyDescent="0.35">
      <c r="A4695" t="s">
        <v>4413</v>
      </c>
      <c r="B4695" t="s">
        <v>4711</v>
      </c>
      <c r="C4695">
        <v>364</v>
      </c>
      <c r="D4695">
        <v>354</v>
      </c>
      <c r="E4695" t="s">
        <v>7</v>
      </c>
    </row>
    <row r="4696" spans="1:5" x14ac:dyDescent="0.35">
      <c r="A4696" t="s">
        <v>4413</v>
      </c>
      <c r="B4696" t="s">
        <v>4712</v>
      </c>
      <c r="C4696">
        <v>359</v>
      </c>
      <c r="D4696">
        <v>277</v>
      </c>
      <c r="E4696" t="s">
        <v>33</v>
      </c>
    </row>
    <row r="4697" spans="1:5" x14ac:dyDescent="0.35">
      <c r="A4697" t="s">
        <v>4413</v>
      </c>
      <c r="B4697" t="s">
        <v>4713</v>
      </c>
      <c r="C4697">
        <v>404</v>
      </c>
      <c r="D4697">
        <v>295</v>
      </c>
      <c r="E4697" t="s">
        <v>7</v>
      </c>
    </row>
    <row r="4698" spans="1:5" x14ac:dyDescent="0.35">
      <c r="A4698" t="s">
        <v>4413</v>
      </c>
      <c r="B4698" t="s">
        <v>4714</v>
      </c>
      <c r="C4698">
        <v>445</v>
      </c>
      <c r="D4698">
        <v>270</v>
      </c>
      <c r="E4698" t="s">
        <v>21</v>
      </c>
    </row>
    <row r="4699" spans="1:5" x14ac:dyDescent="0.35">
      <c r="A4699" t="s">
        <v>4413</v>
      </c>
      <c r="B4699" t="s">
        <v>4715</v>
      </c>
      <c r="C4699">
        <v>300</v>
      </c>
      <c r="D4699">
        <v>152</v>
      </c>
      <c r="E4699" t="s">
        <v>33</v>
      </c>
    </row>
    <row r="4700" spans="1:5" x14ac:dyDescent="0.35">
      <c r="A4700" t="s">
        <v>4413</v>
      </c>
      <c r="B4700" t="s">
        <v>4716</v>
      </c>
      <c r="C4700">
        <v>366</v>
      </c>
      <c r="D4700">
        <v>190</v>
      </c>
      <c r="E4700" t="s">
        <v>33</v>
      </c>
    </row>
    <row r="4701" spans="1:5" x14ac:dyDescent="0.35">
      <c r="A4701" t="s">
        <v>4413</v>
      </c>
      <c r="B4701" t="s">
        <v>4717</v>
      </c>
      <c r="C4701">
        <v>460</v>
      </c>
      <c r="D4701">
        <v>379</v>
      </c>
      <c r="E4701" t="s">
        <v>7</v>
      </c>
    </row>
    <row r="4702" spans="1:5" x14ac:dyDescent="0.35">
      <c r="A4702" t="s">
        <v>4413</v>
      </c>
      <c r="B4702" t="s">
        <v>4718</v>
      </c>
      <c r="C4702">
        <v>428</v>
      </c>
      <c r="D4702">
        <v>226</v>
      </c>
      <c r="E4702" t="s">
        <v>21</v>
      </c>
    </row>
    <row r="4703" spans="1:5" x14ac:dyDescent="0.35">
      <c r="A4703" t="s">
        <v>4413</v>
      </c>
      <c r="B4703" t="s">
        <v>4719</v>
      </c>
      <c r="C4703">
        <v>178</v>
      </c>
      <c r="D4703">
        <v>170</v>
      </c>
      <c r="E4703" t="s">
        <v>17</v>
      </c>
    </row>
    <row r="4704" spans="1:5" x14ac:dyDescent="0.35">
      <c r="A4704" t="s">
        <v>4413</v>
      </c>
      <c r="B4704" t="s">
        <v>4720</v>
      </c>
      <c r="C4704">
        <v>489</v>
      </c>
      <c r="D4704">
        <v>465</v>
      </c>
      <c r="E4704" t="s">
        <v>9</v>
      </c>
    </row>
    <row r="4705" spans="1:5" x14ac:dyDescent="0.35">
      <c r="A4705" t="s">
        <v>4413</v>
      </c>
      <c r="B4705" t="s">
        <v>4721</v>
      </c>
      <c r="C4705">
        <v>367</v>
      </c>
      <c r="D4705">
        <v>277</v>
      </c>
      <c r="E4705" t="s">
        <v>17</v>
      </c>
    </row>
    <row r="4706" spans="1:5" x14ac:dyDescent="0.35">
      <c r="A4706" t="s">
        <v>4413</v>
      </c>
      <c r="B4706" t="s">
        <v>4722</v>
      </c>
      <c r="C4706">
        <v>497</v>
      </c>
      <c r="D4706">
        <v>362</v>
      </c>
      <c r="E4706" t="s">
        <v>9</v>
      </c>
    </row>
    <row r="4707" spans="1:5" x14ac:dyDescent="0.35">
      <c r="A4707" t="s">
        <v>4413</v>
      </c>
      <c r="B4707" t="s">
        <v>4723</v>
      </c>
      <c r="C4707">
        <v>417</v>
      </c>
      <c r="D4707">
        <v>336</v>
      </c>
      <c r="E4707" t="s">
        <v>33</v>
      </c>
    </row>
    <row r="4708" spans="1:5" x14ac:dyDescent="0.35">
      <c r="A4708" t="s">
        <v>4413</v>
      </c>
      <c r="B4708" t="s">
        <v>4724</v>
      </c>
      <c r="C4708">
        <v>390</v>
      </c>
      <c r="D4708">
        <v>317</v>
      </c>
      <c r="E4708" t="s">
        <v>33</v>
      </c>
    </row>
    <row r="4709" spans="1:5" x14ac:dyDescent="0.35">
      <c r="A4709" t="s">
        <v>4413</v>
      </c>
      <c r="B4709" t="s">
        <v>4725</v>
      </c>
      <c r="C4709">
        <v>480</v>
      </c>
      <c r="D4709">
        <v>464</v>
      </c>
      <c r="E4709" t="s">
        <v>7</v>
      </c>
    </row>
    <row r="4710" spans="1:5" x14ac:dyDescent="0.35">
      <c r="A4710" t="s">
        <v>4413</v>
      </c>
      <c r="B4710" t="s">
        <v>4726</v>
      </c>
      <c r="C4710">
        <v>210</v>
      </c>
      <c r="D4710">
        <v>157</v>
      </c>
      <c r="E4710" t="s">
        <v>7</v>
      </c>
    </row>
    <row r="4711" spans="1:5" x14ac:dyDescent="0.35">
      <c r="A4711" t="s">
        <v>4413</v>
      </c>
      <c r="B4711" t="s">
        <v>4727</v>
      </c>
      <c r="C4711">
        <v>473</v>
      </c>
      <c r="D4711">
        <v>453</v>
      </c>
      <c r="E4711" t="s">
        <v>21</v>
      </c>
    </row>
    <row r="4712" spans="1:5" x14ac:dyDescent="0.35">
      <c r="A4712" t="s">
        <v>4413</v>
      </c>
      <c r="B4712" t="s">
        <v>4728</v>
      </c>
      <c r="C4712">
        <v>322</v>
      </c>
      <c r="D4712">
        <v>264</v>
      </c>
      <c r="E4712" t="s">
        <v>33</v>
      </c>
    </row>
    <row r="4713" spans="1:5" x14ac:dyDescent="0.35">
      <c r="A4713" t="s">
        <v>4413</v>
      </c>
      <c r="B4713" t="s">
        <v>4729</v>
      </c>
      <c r="C4713">
        <v>484</v>
      </c>
      <c r="D4713">
        <v>479</v>
      </c>
      <c r="E4713" t="s">
        <v>7</v>
      </c>
    </row>
    <row r="4714" spans="1:5" x14ac:dyDescent="0.35">
      <c r="A4714" t="s">
        <v>4413</v>
      </c>
      <c r="B4714" t="s">
        <v>4730</v>
      </c>
      <c r="C4714">
        <v>479</v>
      </c>
      <c r="D4714">
        <v>319</v>
      </c>
      <c r="E4714" t="s">
        <v>17</v>
      </c>
    </row>
    <row r="4715" spans="1:5" x14ac:dyDescent="0.35">
      <c r="A4715" t="s">
        <v>4413</v>
      </c>
      <c r="B4715" t="s">
        <v>4731</v>
      </c>
      <c r="C4715">
        <v>467</v>
      </c>
      <c r="D4715">
        <v>443</v>
      </c>
      <c r="E4715" t="s">
        <v>7</v>
      </c>
    </row>
    <row r="4716" spans="1:5" x14ac:dyDescent="0.35">
      <c r="A4716" t="s">
        <v>4413</v>
      </c>
      <c r="B4716" t="s">
        <v>4732</v>
      </c>
      <c r="C4716">
        <v>352</v>
      </c>
      <c r="D4716">
        <v>348</v>
      </c>
      <c r="E4716" t="s">
        <v>33</v>
      </c>
    </row>
    <row r="4717" spans="1:5" x14ac:dyDescent="0.35">
      <c r="A4717" t="s">
        <v>4413</v>
      </c>
      <c r="B4717" t="s">
        <v>4733</v>
      </c>
      <c r="C4717">
        <v>474</v>
      </c>
      <c r="D4717">
        <v>452</v>
      </c>
      <c r="E4717" t="s">
        <v>7</v>
      </c>
    </row>
    <row r="4718" spans="1:5" x14ac:dyDescent="0.35">
      <c r="A4718" t="s">
        <v>4413</v>
      </c>
      <c r="B4718" t="s">
        <v>4734</v>
      </c>
      <c r="C4718">
        <v>448</v>
      </c>
      <c r="D4718">
        <v>435</v>
      </c>
      <c r="E4718" t="s">
        <v>9</v>
      </c>
    </row>
    <row r="4719" spans="1:5" x14ac:dyDescent="0.35">
      <c r="A4719" t="s">
        <v>4413</v>
      </c>
      <c r="B4719" t="s">
        <v>4735</v>
      </c>
      <c r="C4719">
        <v>418</v>
      </c>
      <c r="D4719">
        <v>415</v>
      </c>
      <c r="E4719" t="s">
        <v>21</v>
      </c>
    </row>
    <row r="4720" spans="1:5" x14ac:dyDescent="0.35">
      <c r="A4720" t="s">
        <v>4413</v>
      </c>
      <c r="B4720" t="s">
        <v>4736</v>
      </c>
      <c r="C4720">
        <v>259</v>
      </c>
      <c r="D4720">
        <v>194</v>
      </c>
      <c r="E4720" t="s">
        <v>33</v>
      </c>
    </row>
    <row r="4721" spans="1:5" x14ac:dyDescent="0.35">
      <c r="A4721" t="s">
        <v>4413</v>
      </c>
      <c r="B4721" t="s">
        <v>4737</v>
      </c>
      <c r="C4721">
        <v>472</v>
      </c>
      <c r="D4721">
        <v>433</v>
      </c>
      <c r="E4721" t="s">
        <v>9</v>
      </c>
    </row>
    <row r="4722" spans="1:5" x14ac:dyDescent="0.35">
      <c r="A4722" t="s">
        <v>4413</v>
      </c>
      <c r="B4722" t="s">
        <v>4738</v>
      </c>
      <c r="C4722">
        <v>339</v>
      </c>
      <c r="D4722">
        <v>181</v>
      </c>
      <c r="E4722" t="s">
        <v>21</v>
      </c>
    </row>
    <row r="4723" spans="1:5" x14ac:dyDescent="0.35">
      <c r="A4723" t="s">
        <v>4413</v>
      </c>
      <c r="B4723" t="s">
        <v>4739</v>
      </c>
      <c r="C4723">
        <v>484</v>
      </c>
      <c r="D4723">
        <v>334</v>
      </c>
      <c r="E4723" t="s">
        <v>15</v>
      </c>
    </row>
    <row r="4724" spans="1:5" x14ac:dyDescent="0.35">
      <c r="A4724" t="s">
        <v>4413</v>
      </c>
      <c r="B4724" t="s">
        <v>4740</v>
      </c>
      <c r="C4724">
        <v>341</v>
      </c>
      <c r="D4724">
        <v>338</v>
      </c>
      <c r="E4724" t="s">
        <v>7</v>
      </c>
    </row>
    <row r="4725" spans="1:5" x14ac:dyDescent="0.35">
      <c r="A4725" t="s">
        <v>4413</v>
      </c>
      <c r="B4725" t="s">
        <v>4741</v>
      </c>
      <c r="C4725">
        <v>484</v>
      </c>
      <c r="D4725">
        <v>470</v>
      </c>
      <c r="E4725" t="s">
        <v>7</v>
      </c>
    </row>
    <row r="4726" spans="1:5" x14ac:dyDescent="0.35">
      <c r="A4726" t="s">
        <v>4413</v>
      </c>
      <c r="B4726" t="s">
        <v>4742</v>
      </c>
      <c r="C4726">
        <v>465</v>
      </c>
      <c r="D4726">
        <v>413</v>
      </c>
      <c r="E4726" t="s">
        <v>7</v>
      </c>
    </row>
    <row r="4727" spans="1:5" x14ac:dyDescent="0.35">
      <c r="A4727" t="s">
        <v>4413</v>
      </c>
      <c r="B4727" t="s">
        <v>4743</v>
      </c>
      <c r="C4727">
        <v>465</v>
      </c>
      <c r="D4727">
        <v>302</v>
      </c>
      <c r="E4727" t="s">
        <v>21</v>
      </c>
    </row>
    <row r="4728" spans="1:5" x14ac:dyDescent="0.35">
      <c r="A4728" t="s">
        <v>4413</v>
      </c>
      <c r="B4728" t="s">
        <v>4744</v>
      </c>
      <c r="C4728">
        <v>251</v>
      </c>
      <c r="D4728">
        <v>197</v>
      </c>
      <c r="E4728" t="s">
        <v>9</v>
      </c>
    </row>
    <row r="4729" spans="1:5" x14ac:dyDescent="0.35">
      <c r="A4729" t="s">
        <v>4413</v>
      </c>
      <c r="B4729" t="s">
        <v>4745</v>
      </c>
      <c r="C4729">
        <v>394</v>
      </c>
      <c r="D4729">
        <v>291</v>
      </c>
      <c r="E4729" t="s">
        <v>15</v>
      </c>
    </row>
    <row r="4730" spans="1:5" x14ac:dyDescent="0.35">
      <c r="A4730" t="s">
        <v>4413</v>
      </c>
      <c r="B4730" t="s">
        <v>4746</v>
      </c>
      <c r="C4730">
        <v>495</v>
      </c>
      <c r="D4730">
        <v>477</v>
      </c>
      <c r="E4730" t="s">
        <v>21</v>
      </c>
    </row>
    <row r="4731" spans="1:5" x14ac:dyDescent="0.35">
      <c r="A4731" t="s">
        <v>4413</v>
      </c>
      <c r="B4731" t="s">
        <v>4747</v>
      </c>
      <c r="C4731">
        <v>343</v>
      </c>
      <c r="D4731">
        <v>323</v>
      </c>
      <c r="E4731" t="s">
        <v>15</v>
      </c>
    </row>
    <row r="4732" spans="1:5" x14ac:dyDescent="0.35">
      <c r="A4732" t="s">
        <v>4413</v>
      </c>
      <c r="B4732" t="s">
        <v>4748</v>
      </c>
      <c r="C4732">
        <v>465</v>
      </c>
      <c r="D4732">
        <v>207</v>
      </c>
      <c r="E4732" t="s">
        <v>15</v>
      </c>
    </row>
    <row r="4733" spans="1:5" x14ac:dyDescent="0.35">
      <c r="A4733" t="s">
        <v>4413</v>
      </c>
      <c r="B4733" t="s">
        <v>4749</v>
      </c>
      <c r="C4733">
        <v>473</v>
      </c>
      <c r="D4733">
        <v>445</v>
      </c>
      <c r="E4733" t="s">
        <v>7</v>
      </c>
    </row>
    <row r="4734" spans="1:5" x14ac:dyDescent="0.35">
      <c r="A4734" t="s">
        <v>4413</v>
      </c>
      <c r="B4734" t="s">
        <v>4750</v>
      </c>
      <c r="C4734">
        <v>467</v>
      </c>
      <c r="D4734">
        <v>454</v>
      </c>
      <c r="E4734" t="s">
        <v>7</v>
      </c>
    </row>
    <row r="4735" spans="1:5" x14ac:dyDescent="0.35">
      <c r="A4735" t="s">
        <v>4413</v>
      </c>
      <c r="B4735" t="s">
        <v>4751</v>
      </c>
      <c r="C4735">
        <v>457</v>
      </c>
      <c r="D4735">
        <v>215</v>
      </c>
      <c r="E4735" t="s">
        <v>11</v>
      </c>
    </row>
    <row r="4736" spans="1:5" x14ac:dyDescent="0.35">
      <c r="A4736" t="s">
        <v>4413</v>
      </c>
      <c r="B4736" t="s">
        <v>4752</v>
      </c>
      <c r="C4736">
        <v>470</v>
      </c>
      <c r="D4736">
        <v>466</v>
      </c>
      <c r="E4736" t="s">
        <v>9</v>
      </c>
    </row>
    <row r="4737" spans="1:5" x14ac:dyDescent="0.35">
      <c r="A4737" t="s">
        <v>4413</v>
      </c>
      <c r="B4737" t="s">
        <v>4753</v>
      </c>
      <c r="C4737">
        <v>492</v>
      </c>
      <c r="D4737">
        <v>345</v>
      </c>
      <c r="E4737" t="s">
        <v>9</v>
      </c>
    </row>
    <row r="4738" spans="1:5" x14ac:dyDescent="0.35">
      <c r="A4738" t="s">
        <v>4413</v>
      </c>
      <c r="B4738" t="s">
        <v>4754</v>
      </c>
      <c r="C4738">
        <v>488</v>
      </c>
      <c r="D4738">
        <v>480</v>
      </c>
      <c r="E4738" t="s">
        <v>9</v>
      </c>
    </row>
    <row r="4739" spans="1:5" x14ac:dyDescent="0.35">
      <c r="A4739" t="s">
        <v>4413</v>
      </c>
      <c r="B4739" t="s">
        <v>4755</v>
      </c>
      <c r="C4739">
        <v>420</v>
      </c>
      <c r="D4739">
        <v>385</v>
      </c>
      <c r="E4739" t="s">
        <v>21</v>
      </c>
    </row>
    <row r="4740" spans="1:5" x14ac:dyDescent="0.35">
      <c r="A4740" t="s">
        <v>4413</v>
      </c>
      <c r="B4740" t="s">
        <v>4756</v>
      </c>
      <c r="C4740">
        <v>458</v>
      </c>
      <c r="D4740">
        <v>306</v>
      </c>
      <c r="E4740" t="s">
        <v>11</v>
      </c>
    </row>
    <row r="4741" spans="1:5" x14ac:dyDescent="0.35">
      <c r="A4741" t="s">
        <v>4413</v>
      </c>
      <c r="B4741" t="s">
        <v>4757</v>
      </c>
      <c r="C4741">
        <v>471</v>
      </c>
      <c r="D4741">
        <v>222</v>
      </c>
      <c r="E4741" t="s">
        <v>33</v>
      </c>
    </row>
    <row r="4742" spans="1:5" x14ac:dyDescent="0.35">
      <c r="A4742" t="s">
        <v>4413</v>
      </c>
      <c r="B4742" t="s">
        <v>4758</v>
      </c>
      <c r="C4742">
        <v>387</v>
      </c>
      <c r="D4742">
        <v>165</v>
      </c>
      <c r="E4742" t="s">
        <v>17</v>
      </c>
    </row>
    <row r="4743" spans="1:5" x14ac:dyDescent="0.35">
      <c r="A4743" t="s">
        <v>4413</v>
      </c>
      <c r="B4743" t="s">
        <v>4759</v>
      </c>
      <c r="C4743">
        <v>309</v>
      </c>
      <c r="D4743">
        <v>172</v>
      </c>
      <c r="E4743" t="s">
        <v>17</v>
      </c>
    </row>
    <row r="4744" spans="1:5" x14ac:dyDescent="0.35">
      <c r="A4744" t="s">
        <v>4413</v>
      </c>
      <c r="B4744" t="s">
        <v>4760</v>
      </c>
      <c r="C4744">
        <v>377</v>
      </c>
      <c r="D4744">
        <v>360</v>
      </c>
      <c r="E4744" t="s">
        <v>21</v>
      </c>
    </row>
    <row r="4745" spans="1:5" x14ac:dyDescent="0.35">
      <c r="A4745" t="s">
        <v>4413</v>
      </c>
      <c r="B4745" t="s">
        <v>4761</v>
      </c>
      <c r="C4745">
        <v>468</v>
      </c>
      <c r="D4745">
        <v>210</v>
      </c>
      <c r="E4745" t="s">
        <v>33</v>
      </c>
    </row>
    <row r="4746" spans="1:5" x14ac:dyDescent="0.35">
      <c r="A4746" t="s">
        <v>4413</v>
      </c>
      <c r="B4746" t="s">
        <v>4762</v>
      </c>
      <c r="C4746">
        <v>343</v>
      </c>
      <c r="D4746">
        <v>331</v>
      </c>
      <c r="E4746" t="s">
        <v>9</v>
      </c>
    </row>
    <row r="4747" spans="1:5" x14ac:dyDescent="0.35">
      <c r="A4747" t="s">
        <v>4413</v>
      </c>
      <c r="B4747" t="s">
        <v>4763</v>
      </c>
      <c r="C4747">
        <v>415</v>
      </c>
      <c r="D4747">
        <v>346</v>
      </c>
      <c r="E4747" t="s">
        <v>17</v>
      </c>
    </row>
    <row r="4748" spans="1:5" x14ac:dyDescent="0.35">
      <c r="A4748" t="s">
        <v>4413</v>
      </c>
      <c r="B4748" t="s">
        <v>4764</v>
      </c>
      <c r="C4748">
        <v>417</v>
      </c>
      <c r="D4748">
        <v>359</v>
      </c>
      <c r="E4748" t="s">
        <v>21</v>
      </c>
    </row>
    <row r="4749" spans="1:5" x14ac:dyDescent="0.35">
      <c r="A4749" t="s">
        <v>4413</v>
      </c>
      <c r="B4749" t="s">
        <v>4765</v>
      </c>
      <c r="C4749">
        <v>451</v>
      </c>
      <c r="D4749">
        <v>315</v>
      </c>
      <c r="E4749" t="s">
        <v>21</v>
      </c>
    </row>
    <row r="4750" spans="1:5" x14ac:dyDescent="0.35">
      <c r="A4750" t="s">
        <v>4413</v>
      </c>
      <c r="B4750" t="s">
        <v>4766</v>
      </c>
      <c r="C4750">
        <v>474</v>
      </c>
      <c r="D4750">
        <v>459</v>
      </c>
      <c r="E4750" t="s">
        <v>9</v>
      </c>
    </row>
    <row r="4751" spans="1:5" x14ac:dyDescent="0.35">
      <c r="A4751" t="s">
        <v>4413</v>
      </c>
      <c r="B4751" t="s">
        <v>4767</v>
      </c>
      <c r="C4751">
        <v>304</v>
      </c>
      <c r="D4751">
        <v>249</v>
      </c>
      <c r="E4751" t="s">
        <v>21</v>
      </c>
    </row>
    <row r="4752" spans="1:5" x14ac:dyDescent="0.35">
      <c r="A4752" t="s">
        <v>4413</v>
      </c>
      <c r="B4752" t="s">
        <v>4768</v>
      </c>
      <c r="C4752">
        <v>472</v>
      </c>
      <c r="D4752">
        <v>403</v>
      </c>
      <c r="E4752" t="s">
        <v>9</v>
      </c>
    </row>
    <row r="4753" spans="1:5" x14ac:dyDescent="0.35">
      <c r="A4753" t="s">
        <v>4413</v>
      </c>
      <c r="B4753" t="s">
        <v>4769</v>
      </c>
      <c r="C4753">
        <v>459</v>
      </c>
      <c r="D4753">
        <v>457</v>
      </c>
      <c r="E4753" t="s">
        <v>21</v>
      </c>
    </row>
    <row r="4754" spans="1:5" x14ac:dyDescent="0.35">
      <c r="A4754" t="s">
        <v>4413</v>
      </c>
      <c r="B4754" t="s">
        <v>4770</v>
      </c>
      <c r="C4754">
        <v>321</v>
      </c>
      <c r="D4754">
        <v>287</v>
      </c>
      <c r="E4754" t="s">
        <v>33</v>
      </c>
    </row>
    <row r="4755" spans="1:5" x14ac:dyDescent="0.35">
      <c r="A4755" t="s">
        <v>4413</v>
      </c>
      <c r="B4755" t="s">
        <v>4771</v>
      </c>
      <c r="C4755">
        <v>396</v>
      </c>
      <c r="D4755">
        <v>336</v>
      </c>
      <c r="E4755" t="s">
        <v>33</v>
      </c>
    </row>
    <row r="4756" spans="1:5" x14ac:dyDescent="0.35">
      <c r="A4756" t="s">
        <v>4413</v>
      </c>
      <c r="B4756" t="s">
        <v>4772</v>
      </c>
      <c r="C4756">
        <v>456</v>
      </c>
      <c r="D4756">
        <v>202</v>
      </c>
      <c r="E4756" t="s">
        <v>9</v>
      </c>
    </row>
    <row r="4757" spans="1:5" x14ac:dyDescent="0.35">
      <c r="A4757" t="s">
        <v>4413</v>
      </c>
      <c r="B4757" t="s">
        <v>4773</v>
      </c>
      <c r="C4757">
        <v>421</v>
      </c>
      <c r="D4757">
        <v>313</v>
      </c>
      <c r="E4757" t="s">
        <v>17</v>
      </c>
    </row>
    <row r="4758" spans="1:5" x14ac:dyDescent="0.35">
      <c r="A4758" t="s">
        <v>4413</v>
      </c>
      <c r="B4758" t="s">
        <v>4774</v>
      </c>
      <c r="C4758">
        <v>452</v>
      </c>
      <c r="D4758">
        <v>428</v>
      </c>
      <c r="E4758" t="s">
        <v>9</v>
      </c>
    </row>
    <row r="4759" spans="1:5" x14ac:dyDescent="0.35">
      <c r="A4759" t="s">
        <v>4413</v>
      </c>
      <c r="B4759" t="s">
        <v>4775</v>
      </c>
      <c r="C4759">
        <v>483</v>
      </c>
      <c r="D4759">
        <v>476</v>
      </c>
      <c r="E4759" t="s">
        <v>21</v>
      </c>
    </row>
    <row r="4760" spans="1:5" x14ac:dyDescent="0.35">
      <c r="A4760" t="s">
        <v>4413</v>
      </c>
      <c r="B4760" t="s">
        <v>4776</v>
      </c>
      <c r="C4760">
        <v>433</v>
      </c>
      <c r="D4760">
        <v>360</v>
      </c>
      <c r="E4760" t="s">
        <v>9</v>
      </c>
    </row>
    <row r="4761" spans="1:5" x14ac:dyDescent="0.35">
      <c r="A4761" t="s">
        <v>4413</v>
      </c>
      <c r="B4761" t="s">
        <v>4777</v>
      </c>
      <c r="C4761">
        <v>336</v>
      </c>
      <c r="D4761">
        <v>171</v>
      </c>
      <c r="E4761" t="s">
        <v>9</v>
      </c>
    </row>
    <row r="4762" spans="1:5" x14ac:dyDescent="0.35">
      <c r="A4762" t="s">
        <v>4413</v>
      </c>
      <c r="B4762" t="s">
        <v>4778</v>
      </c>
      <c r="C4762">
        <v>350</v>
      </c>
      <c r="D4762">
        <v>184</v>
      </c>
      <c r="E4762" t="s">
        <v>7</v>
      </c>
    </row>
    <row r="4763" spans="1:5" x14ac:dyDescent="0.35">
      <c r="A4763" t="s">
        <v>4413</v>
      </c>
      <c r="B4763" t="s">
        <v>4779</v>
      </c>
      <c r="C4763">
        <v>500</v>
      </c>
      <c r="D4763">
        <v>334</v>
      </c>
      <c r="E4763" t="s">
        <v>21</v>
      </c>
    </row>
    <row r="4764" spans="1:5" x14ac:dyDescent="0.35">
      <c r="A4764" t="s">
        <v>4413</v>
      </c>
      <c r="B4764" t="s">
        <v>4780</v>
      </c>
      <c r="C4764">
        <v>402</v>
      </c>
      <c r="D4764">
        <v>361</v>
      </c>
      <c r="E4764" t="s">
        <v>21</v>
      </c>
    </row>
    <row r="4765" spans="1:5" x14ac:dyDescent="0.35">
      <c r="A4765" t="s">
        <v>4413</v>
      </c>
      <c r="B4765" t="s">
        <v>4781</v>
      </c>
      <c r="C4765">
        <v>492</v>
      </c>
      <c r="D4765">
        <v>253</v>
      </c>
      <c r="E4765" t="s">
        <v>11</v>
      </c>
    </row>
    <row r="4766" spans="1:5" x14ac:dyDescent="0.35">
      <c r="A4766" t="s">
        <v>4413</v>
      </c>
      <c r="B4766" t="s">
        <v>4782</v>
      </c>
      <c r="C4766">
        <v>444</v>
      </c>
      <c r="D4766">
        <v>250</v>
      </c>
      <c r="E4766" t="s">
        <v>33</v>
      </c>
    </row>
    <row r="4767" spans="1:5" x14ac:dyDescent="0.35">
      <c r="A4767" t="s">
        <v>4413</v>
      </c>
      <c r="B4767" t="s">
        <v>4783</v>
      </c>
      <c r="C4767">
        <v>458</v>
      </c>
      <c r="D4767">
        <v>452</v>
      </c>
      <c r="E4767" t="s">
        <v>7</v>
      </c>
    </row>
    <row r="4768" spans="1:5" x14ac:dyDescent="0.35">
      <c r="A4768" t="s">
        <v>4413</v>
      </c>
      <c r="B4768" t="s">
        <v>4784</v>
      </c>
      <c r="C4768">
        <v>499</v>
      </c>
      <c r="D4768">
        <v>305</v>
      </c>
      <c r="E4768" t="s">
        <v>21</v>
      </c>
    </row>
    <row r="4769" spans="1:5" x14ac:dyDescent="0.35">
      <c r="A4769" t="s">
        <v>4413</v>
      </c>
      <c r="B4769" t="s">
        <v>4785</v>
      </c>
      <c r="C4769">
        <v>418</v>
      </c>
      <c r="D4769">
        <v>417</v>
      </c>
      <c r="E4769" t="s">
        <v>7</v>
      </c>
    </row>
    <row r="4770" spans="1:5" x14ac:dyDescent="0.35">
      <c r="A4770" t="s">
        <v>4413</v>
      </c>
      <c r="B4770" t="s">
        <v>4786</v>
      </c>
      <c r="C4770">
        <v>323</v>
      </c>
      <c r="D4770">
        <v>164</v>
      </c>
      <c r="E4770" t="s">
        <v>7</v>
      </c>
    </row>
    <row r="4771" spans="1:5" x14ac:dyDescent="0.35">
      <c r="A4771" t="s">
        <v>4413</v>
      </c>
      <c r="B4771" t="s">
        <v>4787</v>
      </c>
      <c r="C4771">
        <v>442</v>
      </c>
      <c r="D4771">
        <v>185</v>
      </c>
      <c r="E4771" t="s">
        <v>9</v>
      </c>
    </row>
    <row r="4772" spans="1:5" x14ac:dyDescent="0.35">
      <c r="A4772" t="s">
        <v>4413</v>
      </c>
      <c r="B4772" t="s">
        <v>4788</v>
      </c>
      <c r="C4772">
        <v>450</v>
      </c>
      <c r="D4772">
        <v>258</v>
      </c>
      <c r="E4772" t="s">
        <v>11</v>
      </c>
    </row>
    <row r="4773" spans="1:5" x14ac:dyDescent="0.35">
      <c r="A4773" t="s">
        <v>4413</v>
      </c>
      <c r="B4773" t="s">
        <v>4789</v>
      </c>
      <c r="C4773">
        <v>499</v>
      </c>
      <c r="D4773">
        <v>401</v>
      </c>
      <c r="E4773" t="s">
        <v>9</v>
      </c>
    </row>
    <row r="4774" spans="1:5" x14ac:dyDescent="0.35">
      <c r="A4774" t="s">
        <v>4413</v>
      </c>
      <c r="B4774" t="s">
        <v>4790</v>
      </c>
      <c r="C4774">
        <v>412</v>
      </c>
      <c r="D4774">
        <v>366</v>
      </c>
      <c r="E4774" t="s">
        <v>21</v>
      </c>
    </row>
    <row r="4775" spans="1:5" x14ac:dyDescent="0.35">
      <c r="A4775" t="s">
        <v>4413</v>
      </c>
      <c r="B4775" t="s">
        <v>4791</v>
      </c>
      <c r="C4775">
        <v>249</v>
      </c>
      <c r="D4775">
        <v>186</v>
      </c>
      <c r="E4775" t="s">
        <v>9</v>
      </c>
    </row>
    <row r="4776" spans="1:5" x14ac:dyDescent="0.35">
      <c r="A4776" t="s">
        <v>4413</v>
      </c>
      <c r="B4776" t="s">
        <v>4792</v>
      </c>
      <c r="C4776">
        <v>337</v>
      </c>
      <c r="D4776">
        <v>239</v>
      </c>
      <c r="E4776" t="s">
        <v>7</v>
      </c>
    </row>
    <row r="4777" spans="1:5" x14ac:dyDescent="0.35">
      <c r="A4777" t="s">
        <v>4413</v>
      </c>
      <c r="B4777" t="s">
        <v>4793</v>
      </c>
      <c r="C4777">
        <v>350</v>
      </c>
      <c r="D4777">
        <v>316</v>
      </c>
      <c r="E4777" t="s">
        <v>7</v>
      </c>
    </row>
    <row r="4778" spans="1:5" x14ac:dyDescent="0.35">
      <c r="A4778" t="s">
        <v>4413</v>
      </c>
      <c r="B4778" t="s">
        <v>4794</v>
      </c>
      <c r="C4778">
        <v>471</v>
      </c>
      <c r="D4778">
        <v>299</v>
      </c>
      <c r="E4778" t="s">
        <v>17</v>
      </c>
    </row>
    <row r="4779" spans="1:5" x14ac:dyDescent="0.35">
      <c r="A4779" t="s">
        <v>4413</v>
      </c>
      <c r="B4779" t="s">
        <v>4795</v>
      </c>
      <c r="C4779">
        <v>363</v>
      </c>
      <c r="D4779">
        <v>329</v>
      </c>
      <c r="E4779" t="s">
        <v>17</v>
      </c>
    </row>
    <row r="4780" spans="1:5" x14ac:dyDescent="0.35">
      <c r="A4780" t="s">
        <v>4413</v>
      </c>
      <c r="B4780" t="s">
        <v>4796</v>
      </c>
      <c r="C4780">
        <v>372</v>
      </c>
      <c r="D4780">
        <v>359</v>
      </c>
      <c r="E4780" t="s">
        <v>21</v>
      </c>
    </row>
    <row r="4781" spans="1:5" x14ac:dyDescent="0.35">
      <c r="A4781" t="s">
        <v>4413</v>
      </c>
      <c r="B4781" t="s">
        <v>4797</v>
      </c>
      <c r="C4781">
        <v>388</v>
      </c>
      <c r="D4781">
        <v>154</v>
      </c>
      <c r="E4781" t="s">
        <v>33</v>
      </c>
    </row>
    <row r="4782" spans="1:5" x14ac:dyDescent="0.35">
      <c r="A4782" t="s">
        <v>4413</v>
      </c>
      <c r="B4782" t="s">
        <v>4798</v>
      </c>
      <c r="C4782">
        <v>433</v>
      </c>
      <c r="D4782">
        <v>382</v>
      </c>
      <c r="E4782" t="s">
        <v>21</v>
      </c>
    </row>
    <row r="4783" spans="1:5" x14ac:dyDescent="0.35">
      <c r="A4783" t="s">
        <v>4413</v>
      </c>
      <c r="B4783" t="s">
        <v>4799</v>
      </c>
      <c r="C4783">
        <v>495</v>
      </c>
      <c r="D4783">
        <v>300</v>
      </c>
      <c r="E4783" t="s">
        <v>11</v>
      </c>
    </row>
    <row r="4784" spans="1:5" x14ac:dyDescent="0.35">
      <c r="A4784" t="s">
        <v>4413</v>
      </c>
      <c r="B4784" t="s">
        <v>4800</v>
      </c>
      <c r="C4784">
        <v>441</v>
      </c>
      <c r="D4784">
        <v>387</v>
      </c>
      <c r="E4784" t="s">
        <v>7</v>
      </c>
    </row>
    <row r="4785" spans="1:5" x14ac:dyDescent="0.35">
      <c r="A4785" t="s">
        <v>4413</v>
      </c>
      <c r="B4785" t="s">
        <v>4801</v>
      </c>
      <c r="C4785">
        <v>466</v>
      </c>
      <c r="D4785">
        <v>408</v>
      </c>
      <c r="E4785" t="s">
        <v>7</v>
      </c>
    </row>
    <row r="4786" spans="1:5" x14ac:dyDescent="0.35">
      <c r="A4786" t="s">
        <v>4413</v>
      </c>
      <c r="B4786" t="s">
        <v>4802</v>
      </c>
      <c r="C4786">
        <v>409</v>
      </c>
      <c r="D4786">
        <v>185</v>
      </c>
      <c r="E4786" t="s">
        <v>17</v>
      </c>
    </row>
    <row r="4787" spans="1:5" x14ac:dyDescent="0.35">
      <c r="A4787" t="s">
        <v>4413</v>
      </c>
      <c r="B4787" t="s">
        <v>4803</v>
      </c>
      <c r="C4787">
        <v>437</v>
      </c>
      <c r="D4787">
        <v>301</v>
      </c>
      <c r="E4787" t="s">
        <v>17</v>
      </c>
    </row>
    <row r="4788" spans="1:5" x14ac:dyDescent="0.35">
      <c r="A4788" t="s">
        <v>4413</v>
      </c>
      <c r="B4788" t="s">
        <v>4804</v>
      </c>
      <c r="C4788">
        <v>420</v>
      </c>
      <c r="D4788">
        <v>207</v>
      </c>
      <c r="E4788" t="s">
        <v>11</v>
      </c>
    </row>
    <row r="4789" spans="1:5" x14ac:dyDescent="0.35">
      <c r="A4789" t="s">
        <v>4413</v>
      </c>
      <c r="B4789" t="s">
        <v>4805</v>
      </c>
      <c r="C4789">
        <v>404</v>
      </c>
      <c r="D4789">
        <v>308</v>
      </c>
      <c r="E4789" t="s">
        <v>9</v>
      </c>
    </row>
    <row r="4790" spans="1:5" x14ac:dyDescent="0.35">
      <c r="A4790" t="s">
        <v>4413</v>
      </c>
      <c r="B4790" t="s">
        <v>4806</v>
      </c>
      <c r="C4790">
        <v>458</v>
      </c>
      <c r="D4790">
        <v>427</v>
      </c>
      <c r="E4790" t="s">
        <v>21</v>
      </c>
    </row>
    <row r="4791" spans="1:5" x14ac:dyDescent="0.35">
      <c r="A4791" t="s">
        <v>4413</v>
      </c>
      <c r="B4791" t="s">
        <v>4807</v>
      </c>
      <c r="C4791">
        <v>387</v>
      </c>
      <c r="D4791">
        <v>190</v>
      </c>
      <c r="E4791" t="s">
        <v>9</v>
      </c>
    </row>
    <row r="4792" spans="1:5" x14ac:dyDescent="0.35">
      <c r="A4792" t="s">
        <v>4413</v>
      </c>
      <c r="B4792" t="s">
        <v>4808</v>
      </c>
      <c r="C4792">
        <v>447</v>
      </c>
      <c r="D4792">
        <v>360</v>
      </c>
      <c r="E4792" t="s">
        <v>21</v>
      </c>
    </row>
    <row r="4793" spans="1:5" x14ac:dyDescent="0.35">
      <c r="A4793" t="s">
        <v>4413</v>
      </c>
      <c r="B4793" t="s">
        <v>4809</v>
      </c>
      <c r="C4793">
        <v>427</v>
      </c>
      <c r="D4793">
        <v>345</v>
      </c>
      <c r="E4793" t="s">
        <v>21</v>
      </c>
    </row>
    <row r="4794" spans="1:5" x14ac:dyDescent="0.35">
      <c r="A4794" t="s">
        <v>4413</v>
      </c>
      <c r="B4794" t="s">
        <v>4810</v>
      </c>
      <c r="C4794">
        <v>333</v>
      </c>
      <c r="D4794">
        <v>184</v>
      </c>
      <c r="E4794" t="s">
        <v>15</v>
      </c>
    </row>
    <row r="4795" spans="1:5" x14ac:dyDescent="0.35">
      <c r="A4795" t="s">
        <v>4413</v>
      </c>
      <c r="B4795" t="s">
        <v>4811</v>
      </c>
      <c r="C4795">
        <v>354</v>
      </c>
      <c r="D4795">
        <v>264</v>
      </c>
      <c r="E4795" t="s">
        <v>7</v>
      </c>
    </row>
    <row r="4796" spans="1:5" x14ac:dyDescent="0.35">
      <c r="A4796" t="s">
        <v>4413</v>
      </c>
      <c r="B4796" t="s">
        <v>4812</v>
      </c>
      <c r="C4796">
        <v>445</v>
      </c>
      <c r="D4796">
        <v>365</v>
      </c>
      <c r="E4796" t="s">
        <v>9</v>
      </c>
    </row>
    <row r="4797" spans="1:5" x14ac:dyDescent="0.35">
      <c r="A4797" t="s">
        <v>4413</v>
      </c>
      <c r="B4797" t="s">
        <v>4813</v>
      </c>
      <c r="C4797">
        <v>442</v>
      </c>
      <c r="D4797">
        <v>394</v>
      </c>
      <c r="E4797" t="s">
        <v>21</v>
      </c>
    </row>
    <row r="4798" spans="1:5" x14ac:dyDescent="0.35">
      <c r="A4798" t="s">
        <v>4413</v>
      </c>
      <c r="B4798" t="s">
        <v>4814</v>
      </c>
      <c r="C4798">
        <v>468</v>
      </c>
      <c r="D4798">
        <v>343</v>
      </c>
      <c r="E4798" t="s">
        <v>7</v>
      </c>
    </row>
    <row r="4799" spans="1:5" x14ac:dyDescent="0.35">
      <c r="A4799" t="s">
        <v>4413</v>
      </c>
      <c r="B4799" t="s">
        <v>4815</v>
      </c>
      <c r="C4799">
        <v>326</v>
      </c>
      <c r="D4799">
        <v>286</v>
      </c>
      <c r="E4799" t="s">
        <v>15</v>
      </c>
    </row>
    <row r="4800" spans="1:5" x14ac:dyDescent="0.35">
      <c r="A4800" t="s">
        <v>4413</v>
      </c>
      <c r="B4800" t="s">
        <v>4816</v>
      </c>
      <c r="C4800">
        <v>475</v>
      </c>
      <c r="D4800">
        <v>244</v>
      </c>
      <c r="E4800" t="s">
        <v>33</v>
      </c>
    </row>
    <row r="4801" spans="1:5" x14ac:dyDescent="0.35">
      <c r="A4801" t="s">
        <v>4413</v>
      </c>
      <c r="B4801" t="s">
        <v>4817</v>
      </c>
      <c r="C4801">
        <v>487</v>
      </c>
      <c r="D4801">
        <v>185</v>
      </c>
      <c r="E4801" t="s">
        <v>33</v>
      </c>
    </row>
    <row r="4802" spans="1:5" x14ac:dyDescent="0.35">
      <c r="A4802" t="s">
        <v>4413</v>
      </c>
      <c r="B4802" t="s">
        <v>4818</v>
      </c>
      <c r="C4802">
        <v>419</v>
      </c>
      <c r="D4802">
        <v>381</v>
      </c>
      <c r="E4802" t="s">
        <v>21</v>
      </c>
    </row>
    <row r="4803" spans="1:5" x14ac:dyDescent="0.35">
      <c r="A4803" t="s">
        <v>4413</v>
      </c>
      <c r="B4803" t="s">
        <v>4819</v>
      </c>
      <c r="C4803">
        <v>497</v>
      </c>
      <c r="D4803">
        <v>451</v>
      </c>
      <c r="E4803" t="s">
        <v>21</v>
      </c>
    </row>
    <row r="4804" spans="1:5" x14ac:dyDescent="0.35">
      <c r="A4804" t="s">
        <v>4413</v>
      </c>
      <c r="B4804" t="s">
        <v>3736</v>
      </c>
      <c r="C4804">
        <v>487</v>
      </c>
      <c r="D4804">
        <v>381</v>
      </c>
      <c r="E4804" t="s">
        <v>7</v>
      </c>
    </row>
    <row r="4805" spans="1:5" x14ac:dyDescent="0.35">
      <c r="A4805" t="s">
        <v>4413</v>
      </c>
      <c r="B4805" t="s">
        <v>3737</v>
      </c>
      <c r="C4805">
        <v>489</v>
      </c>
      <c r="D4805">
        <v>379</v>
      </c>
      <c r="E4805" t="s">
        <v>21</v>
      </c>
    </row>
    <row r="4806" spans="1:5" x14ac:dyDescent="0.35">
      <c r="A4806" t="s">
        <v>4413</v>
      </c>
      <c r="B4806" t="s">
        <v>3738</v>
      </c>
      <c r="C4806">
        <v>454</v>
      </c>
      <c r="D4806">
        <v>206</v>
      </c>
      <c r="E4806" t="s">
        <v>33</v>
      </c>
    </row>
    <row r="4807" spans="1:5" x14ac:dyDescent="0.35">
      <c r="A4807" t="s">
        <v>4413</v>
      </c>
      <c r="B4807" t="s">
        <v>3739</v>
      </c>
      <c r="C4807">
        <v>393</v>
      </c>
      <c r="D4807">
        <v>223</v>
      </c>
      <c r="E4807" t="s">
        <v>21</v>
      </c>
    </row>
    <row r="4808" spans="1:5" x14ac:dyDescent="0.35">
      <c r="A4808" t="s">
        <v>4413</v>
      </c>
      <c r="B4808" t="s">
        <v>3740</v>
      </c>
      <c r="C4808">
        <v>487</v>
      </c>
      <c r="D4808">
        <v>473</v>
      </c>
      <c r="E4808" t="s">
        <v>9</v>
      </c>
    </row>
    <row r="4809" spans="1:5" x14ac:dyDescent="0.35">
      <c r="A4809" t="s">
        <v>4413</v>
      </c>
      <c r="B4809" t="s">
        <v>3741</v>
      </c>
      <c r="C4809">
        <v>410</v>
      </c>
      <c r="D4809">
        <v>400</v>
      </c>
      <c r="E4809" t="s">
        <v>9</v>
      </c>
    </row>
    <row r="4810" spans="1:5" x14ac:dyDescent="0.35">
      <c r="A4810" t="s">
        <v>4413</v>
      </c>
      <c r="B4810" t="s">
        <v>3742</v>
      </c>
      <c r="C4810">
        <v>484</v>
      </c>
      <c r="D4810">
        <v>443</v>
      </c>
      <c r="E4810" t="s">
        <v>21</v>
      </c>
    </row>
    <row r="4811" spans="1:5" x14ac:dyDescent="0.35">
      <c r="A4811" t="s">
        <v>4413</v>
      </c>
      <c r="B4811" t="s">
        <v>4820</v>
      </c>
      <c r="C4811">
        <v>447</v>
      </c>
      <c r="D4811">
        <v>296</v>
      </c>
      <c r="E4811" t="s">
        <v>15</v>
      </c>
    </row>
    <row r="4812" spans="1:5" x14ac:dyDescent="0.35">
      <c r="A4812" t="s">
        <v>4413</v>
      </c>
      <c r="B4812" t="s">
        <v>4821</v>
      </c>
      <c r="C4812">
        <v>473</v>
      </c>
      <c r="D4812">
        <v>310</v>
      </c>
      <c r="E4812" t="s">
        <v>15</v>
      </c>
    </row>
    <row r="4813" spans="1:5" x14ac:dyDescent="0.35">
      <c r="A4813" t="s">
        <v>4413</v>
      </c>
      <c r="B4813" t="s">
        <v>4822</v>
      </c>
      <c r="C4813">
        <v>453</v>
      </c>
      <c r="D4813">
        <v>319</v>
      </c>
      <c r="E4813" t="s">
        <v>11</v>
      </c>
    </row>
    <row r="4814" spans="1:5" x14ac:dyDescent="0.35">
      <c r="A4814" t="s">
        <v>4413</v>
      </c>
      <c r="B4814" t="s">
        <v>4823</v>
      </c>
      <c r="C4814">
        <v>491</v>
      </c>
      <c r="D4814">
        <v>468</v>
      </c>
      <c r="E4814" t="s">
        <v>21</v>
      </c>
    </row>
    <row r="4815" spans="1:5" x14ac:dyDescent="0.35">
      <c r="A4815" t="s">
        <v>4413</v>
      </c>
      <c r="B4815" t="s">
        <v>4824</v>
      </c>
      <c r="C4815">
        <v>460</v>
      </c>
      <c r="D4815">
        <v>330</v>
      </c>
      <c r="E4815" t="s">
        <v>17</v>
      </c>
    </row>
    <row r="4816" spans="1:5" x14ac:dyDescent="0.35">
      <c r="A4816" t="s">
        <v>4413</v>
      </c>
      <c r="B4816" t="s">
        <v>4825</v>
      </c>
      <c r="C4816">
        <v>230</v>
      </c>
      <c r="D4816">
        <v>193</v>
      </c>
      <c r="E4816" t="s">
        <v>9</v>
      </c>
    </row>
    <row r="4817" spans="1:5" x14ac:dyDescent="0.35">
      <c r="A4817" t="s">
        <v>4413</v>
      </c>
      <c r="B4817" t="s">
        <v>4826</v>
      </c>
      <c r="C4817">
        <v>478</v>
      </c>
      <c r="D4817">
        <v>352</v>
      </c>
      <c r="E4817" t="s">
        <v>7</v>
      </c>
    </row>
    <row r="4818" spans="1:5" x14ac:dyDescent="0.35">
      <c r="A4818" t="s">
        <v>4413</v>
      </c>
      <c r="B4818" t="s">
        <v>4827</v>
      </c>
      <c r="C4818">
        <v>469</v>
      </c>
      <c r="D4818">
        <v>467</v>
      </c>
      <c r="E4818" t="s">
        <v>7</v>
      </c>
    </row>
    <row r="4819" spans="1:5" x14ac:dyDescent="0.35">
      <c r="A4819" t="s">
        <v>4413</v>
      </c>
      <c r="B4819" t="s">
        <v>4828</v>
      </c>
      <c r="C4819">
        <v>480</v>
      </c>
      <c r="D4819">
        <v>480</v>
      </c>
      <c r="E4819" t="s">
        <v>7</v>
      </c>
    </row>
    <row r="4820" spans="1:5" x14ac:dyDescent="0.35">
      <c r="A4820" t="s">
        <v>4413</v>
      </c>
      <c r="B4820" t="s">
        <v>4829</v>
      </c>
      <c r="C4820">
        <v>492</v>
      </c>
      <c r="D4820">
        <v>442</v>
      </c>
      <c r="E4820" t="s">
        <v>9</v>
      </c>
    </row>
    <row r="4821" spans="1:5" x14ac:dyDescent="0.35">
      <c r="A4821" t="s">
        <v>4413</v>
      </c>
      <c r="B4821" t="s">
        <v>4830</v>
      </c>
      <c r="C4821">
        <v>478</v>
      </c>
      <c r="D4821">
        <v>468</v>
      </c>
      <c r="E4821" t="s">
        <v>21</v>
      </c>
    </row>
    <row r="4822" spans="1:5" x14ac:dyDescent="0.35">
      <c r="A4822" t="s">
        <v>4413</v>
      </c>
      <c r="B4822" t="s">
        <v>4831</v>
      </c>
      <c r="C4822">
        <v>300</v>
      </c>
      <c r="D4822">
        <v>299</v>
      </c>
      <c r="E4822" t="s">
        <v>11</v>
      </c>
    </row>
    <row r="4823" spans="1:5" x14ac:dyDescent="0.35">
      <c r="A4823" t="s">
        <v>4413</v>
      </c>
      <c r="B4823" t="s">
        <v>4832</v>
      </c>
      <c r="C4823">
        <v>450</v>
      </c>
      <c r="D4823">
        <v>246</v>
      </c>
      <c r="E4823" t="s">
        <v>9</v>
      </c>
    </row>
    <row r="4824" spans="1:5" x14ac:dyDescent="0.35">
      <c r="A4824" t="s">
        <v>4413</v>
      </c>
      <c r="B4824" t="s">
        <v>4833</v>
      </c>
      <c r="C4824">
        <v>318</v>
      </c>
      <c r="D4824">
        <v>248</v>
      </c>
      <c r="E4824" t="s">
        <v>11</v>
      </c>
    </row>
    <row r="4825" spans="1:5" x14ac:dyDescent="0.35">
      <c r="A4825" t="s">
        <v>4413</v>
      </c>
      <c r="B4825" t="s">
        <v>4834</v>
      </c>
      <c r="C4825">
        <v>426</v>
      </c>
      <c r="D4825">
        <v>378</v>
      </c>
      <c r="E4825" t="s">
        <v>21</v>
      </c>
    </row>
    <row r="4826" spans="1:5" x14ac:dyDescent="0.35">
      <c r="A4826" t="s">
        <v>4413</v>
      </c>
      <c r="B4826" t="s">
        <v>4835</v>
      </c>
      <c r="C4826">
        <v>285</v>
      </c>
      <c r="D4826">
        <v>265</v>
      </c>
      <c r="E4826" t="s">
        <v>15</v>
      </c>
    </row>
    <row r="4827" spans="1:5" x14ac:dyDescent="0.35">
      <c r="A4827" t="s">
        <v>4413</v>
      </c>
      <c r="B4827" t="s">
        <v>4836</v>
      </c>
      <c r="C4827">
        <v>460</v>
      </c>
      <c r="D4827">
        <v>399</v>
      </c>
      <c r="E4827" t="s">
        <v>21</v>
      </c>
    </row>
    <row r="4828" spans="1:5" x14ac:dyDescent="0.35">
      <c r="A4828" t="s">
        <v>4413</v>
      </c>
      <c r="B4828" t="s">
        <v>4837</v>
      </c>
      <c r="C4828">
        <v>437</v>
      </c>
      <c r="D4828">
        <v>436</v>
      </c>
      <c r="E4828" t="s">
        <v>9</v>
      </c>
    </row>
    <row r="4829" spans="1:5" x14ac:dyDescent="0.35">
      <c r="A4829" t="s">
        <v>4413</v>
      </c>
      <c r="B4829" t="s">
        <v>4838</v>
      </c>
      <c r="C4829">
        <v>489</v>
      </c>
      <c r="D4829">
        <v>410</v>
      </c>
      <c r="E4829" t="s">
        <v>21</v>
      </c>
    </row>
    <row r="4830" spans="1:5" x14ac:dyDescent="0.35">
      <c r="A4830" t="s">
        <v>4413</v>
      </c>
      <c r="B4830" t="s">
        <v>4839</v>
      </c>
      <c r="C4830">
        <v>491</v>
      </c>
      <c r="D4830">
        <v>237</v>
      </c>
      <c r="E4830" t="s">
        <v>17</v>
      </c>
    </row>
    <row r="4831" spans="1:5" x14ac:dyDescent="0.35">
      <c r="A4831" t="s">
        <v>4413</v>
      </c>
      <c r="B4831" t="s">
        <v>4840</v>
      </c>
      <c r="C4831">
        <v>444</v>
      </c>
      <c r="D4831">
        <v>393</v>
      </c>
      <c r="E4831" t="s">
        <v>21</v>
      </c>
    </row>
    <row r="4832" spans="1:5" x14ac:dyDescent="0.35">
      <c r="A4832" t="s">
        <v>4413</v>
      </c>
      <c r="B4832" t="s">
        <v>4841</v>
      </c>
      <c r="C4832">
        <v>349</v>
      </c>
      <c r="D4832">
        <v>279</v>
      </c>
      <c r="E4832" t="s">
        <v>11</v>
      </c>
    </row>
    <row r="4833" spans="1:5" x14ac:dyDescent="0.35">
      <c r="A4833" t="s">
        <v>4413</v>
      </c>
      <c r="B4833" t="s">
        <v>4842</v>
      </c>
      <c r="C4833">
        <v>417</v>
      </c>
      <c r="D4833">
        <v>377</v>
      </c>
      <c r="E4833" t="s">
        <v>7</v>
      </c>
    </row>
    <row r="4834" spans="1:5" x14ac:dyDescent="0.35">
      <c r="A4834" t="s">
        <v>4413</v>
      </c>
      <c r="B4834" t="s">
        <v>4843</v>
      </c>
      <c r="C4834">
        <v>453</v>
      </c>
      <c r="D4834">
        <v>402</v>
      </c>
      <c r="E4834" t="s">
        <v>7</v>
      </c>
    </row>
    <row r="4835" spans="1:5" x14ac:dyDescent="0.35">
      <c r="A4835" t="s">
        <v>4413</v>
      </c>
      <c r="B4835" t="s">
        <v>4844</v>
      </c>
      <c r="C4835">
        <v>286</v>
      </c>
      <c r="D4835">
        <v>254</v>
      </c>
      <c r="E4835" t="s">
        <v>11</v>
      </c>
    </row>
    <row r="4836" spans="1:5" x14ac:dyDescent="0.35">
      <c r="A4836" t="s">
        <v>4413</v>
      </c>
      <c r="B4836" t="s">
        <v>4845</v>
      </c>
      <c r="C4836">
        <v>424</v>
      </c>
      <c r="D4836">
        <v>282</v>
      </c>
      <c r="E4836" t="s">
        <v>21</v>
      </c>
    </row>
    <row r="4837" spans="1:5" x14ac:dyDescent="0.35">
      <c r="A4837" t="s">
        <v>4413</v>
      </c>
      <c r="B4837" t="s">
        <v>4846</v>
      </c>
      <c r="C4837">
        <v>426</v>
      </c>
      <c r="D4837">
        <v>186</v>
      </c>
      <c r="E4837" t="s">
        <v>17</v>
      </c>
    </row>
    <row r="4838" spans="1:5" x14ac:dyDescent="0.35">
      <c r="A4838" t="s">
        <v>4413</v>
      </c>
      <c r="B4838" t="s">
        <v>4847</v>
      </c>
      <c r="C4838">
        <v>484</v>
      </c>
      <c r="D4838">
        <v>371</v>
      </c>
      <c r="E4838" t="s">
        <v>21</v>
      </c>
    </row>
    <row r="4839" spans="1:5" x14ac:dyDescent="0.35">
      <c r="A4839" t="s">
        <v>4413</v>
      </c>
      <c r="B4839" t="s">
        <v>4848</v>
      </c>
      <c r="C4839">
        <v>394</v>
      </c>
      <c r="D4839">
        <v>317</v>
      </c>
      <c r="E4839" t="s">
        <v>9</v>
      </c>
    </row>
    <row r="4840" spans="1:5" x14ac:dyDescent="0.35">
      <c r="A4840" t="s">
        <v>4413</v>
      </c>
      <c r="B4840" t="s">
        <v>4849</v>
      </c>
      <c r="C4840">
        <v>449</v>
      </c>
      <c r="D4840">
        <v>283</v>
      </c>
      <c r="E4840" t="s">
        <v>17</v>
      </c>
    </row>
    <row r="4841" spans="1:5" x14ac:dyDescent="0.35">
      <c r="A4841" t="s">
        <v>4413</v>
      </c>
      <c r="B4841" t="s">
        <v>4850</v>
      </c>
      <c r="C4841">
        <v>419</v>
      </c>
      <c r="D4841">
        <v>248</v>
      </c>
      <c r="E4841" t="s">
        <v>9</v>
      </c>
    </row>
    <row r="4842" spans="1:5" x14ac:dyDescent="0.35">
      <c r="A4842" t="s">
        <v>4413</v>
      </c>
      <c r="B4842" t="s">
        <v>4851</v>
      </c>
      <c r="C4842">
        <v>325</v>
      </c>
      <c r="D4842">
        <v>286</v>
      </c>
      <c r="E4842" t="s">
        <v>9</v>
      </c>
    </row>
    <row r="4843" spans="1:5" x14ac:dyDescent="0.35">
      <c r="A4843" t="s">
        <v>4413</v>
      </c>
      <c r="B4843" t="s">
        <v>4852</v>
      </c>
      <c r="C4843">
        <v>284</v>
      </c>
      <c r="D4843">
        <v>275</v>
      </c>
      <c r="E4843" t="s">
        <v>33</v>
      </c>
    </row>
    <row r="4844" spans="1:5" x14ac:dyDescent="0.35">
      <c r="A4844" t="s">
        <v>4413</v>
      </c>
      <c r="B4844" t="s">
        <v>4853</v>
      </c>
      <c r="C4844">
        <v>404</v>
      </c>
      <c r="D4844">
        <v>386</v>
      </c>
      <c r="E4844" t="s">
        <v>7</v>
      </c>
    </row>
    <row r="4845" spans="1:5" x14ac:dyDescent="0.35">
      <c r="A4845" t="s">
        <v>4413</v>
      </c>
      <c r="B4845" t="s">
        <v>4854</v>
      </c>
      <c r="C4845">
        <v>401</v>
      </c>
      <c r="D4845">
        <v>170</v>
      </c>
      <c r="E4845" t="s">
        <v>9</v>
      </c>
    </row>
    <row r="4846" spans="1:5" x14ac:dyDescent="0.35">
      <c r="A4846" t="s">
        <v>4413</v>
      </c>
      <c r="B4846" t="s">
        <v>4855</v>
      </c>
      <c r="C4846">
        <v>344</v>
      </c>
      <c r="D4846">
        <v>246</v>
      </c>
      <c r="E4846" t="s">
        <v>17</v>
      </c>
    </row>
    <row r="4847" spans="1:5" x14ac:dyDescent="0.35">
      <c r="A4847" t="s">
        <v>4413</v>
      </c>
      <c r="B4847" t="s">
        <v>4856</v>
      </c>
      <c r="C4847">
        <v>253</v>
      </c>
      <c r="D4847">
        <v>203</v>
      </c>
      <c r="E4847" t="s">
        <v>33</v>
      </c>
    </row>
    <row r="4848" spans="1:5" x14ac:dyDescent="0.35">
      <c r="A4848" t="s">
        <v>4413</v>
      </c>
      <c r="B4848" t="s">
        <v>4857</v>
      </c>
      <c r="C4848">
        <v>466</v>
      </c>
      <c r="D4848">
        <v>396</v>
      </c>
      <c r="E4848" t="s">
        <v>7</v>
      </c>
    </row>
    <row r="4849" spans="1:5" x14ac:dyDescent="0.35">
      <c r="A4849" t="s">
        <v>4413</v>
      </c>
      <c r="B4849" t="s">
        <v>4858</v>
      </c>
      <c r="C4849">
        <v>174</v>
      </c>
      <c r="D4849">
        <v>165</v>
      </c>
      <c r="E4849" t="s">
        <v>21</v>
      </c>
    </row>
    <row r="4850" spans="1:5" x14ac:dyDescent="0.35">
      <c r="A4850" t="s">
        <v>4413</v>
      </c>
      <c r="B4850" t="s">
        <v>4859</v>
      </c>
      <c r="C4850">
        <v>328</v>
      </c>
      <c r="D4850">
        <v>249</v>
      </c>
      <c r="E4850" t="s">
        <v>33</v>
      </c>
    </row>
    <row r="4851" spans="1:5" x14ac:dyDescent="0.35">
      <c r="A4851" t="s">
        <v>4413</v>
      </c>
      <c r="B4851" t="s">
        <v>4860</v>
      </c>
      <c r="C4851">
        <v>420</v>
      </c>
      <c r="D4851">
        <v>283</v>
      </c>
      <c r="E4851" t="s">
        <v>9</v>
      </c>
    </row>
    <row r="4852" spans="1:5" x14ac:dyDescent="0.35">
      <c r="A4852" t="s">
        <v>4413</v>
      </c>
      <c r="B4852" t="s">
        <v>4861</v>
      </c>
      <c r="C4852">
        <v>399</v>
      </c>
      <c r="D4852">
        <v>395</v>
      </c>
      <c r="E4852" t="s">
        <v>21</v>
      </c>
    </row>
    <row r="4853" spans="1:5" x14ac:dyDescent="0.35">
      <c r="A4853" t="s">
        <v>4413</v>
      </c>
      <c r="B4853" t="s">
        <v>4862</v>
      </c>
      <c r="C4853">
        <v>439</v>
      </c>
      <c r="D4853">
        <v>405</v>
      </c>
      <c r="E4853" t="s">
        <v>7</v>
      </c>
    </row>
    <row r="4854" spans="1:5" x14ac:dyDescent="0.35">
      <c r="A4854" t="s">
        <v>4413</v>
      </c>
      <c r="B4854" t="s">
        <v>4863</v>
      </c>
      <c r="C4854">
        <v>492</v>
      </c>
      <c r="D4854">
        <v>358</v>
      </c>
      <c r="E4854" t="s">
        <v>7</v>
      </c>
    </row>
    <row r="4855" spans="1:5" x14ac:dyDescent="0.35">
      <c r="A4855" t="s">
        <v>4413</v>
      </c>
      <c r="B4855" t="s">
        <v>4864</v>
      </c>
      <c r="C4855">
        <v>444</v>
      </c>
      <c r="D4855">
        <v>407</v>
      </c>
      <c r="E4855" t="s">
        <v>21</v>
      </c>
    </row>
    <row r="4856" spans="1:5" x14ac:dyDescent="0.35">
      <c r="A4856" t="s">
        <v>4413</v>
      </c>
      <c r="B4856" t="s">
        <v>4865</v>
      </c>
      <c r="C4856">
        <v>486</v>
      </c>
      <c r="D4856">
        <v>349</v>
      </c>
      <c r="E4856" t="s">
        <v>7</v>
      </c>
    </row>
    <row r="4857" spans="1:5" x14ac:dyDescent="0.35">
      <c r="A4857" t="s">
        <v>4413</v>
      </c>
      <c r="B4857" t="s">
        <v>4866</v>
      </c>
      <c r="C4857">
        <v>367</v>
      </c>
      <c r="D4857">
        <v>311</v>
      </c>
      <c r="E4857" t="s">
        <v>7</v>
      </c>
    </row>
    <row r="4858" spans="1:5" x14ac:dyDescent="0.35">
      <c r="A4858" t="s">
        <v>4413</v>
      </c>
      <c r="B4858" t="s">
        <v>4867</v>
      </c>
      <c r="C4858">
        <v>461</v>
      </c>
      <c r="D4858">
        <v>407</v>
      </c>
      <c r="E4858" t="s">
        <v>21</v>
      </c>
    </row>
    <row r="4859" spans="1:5" x14ac:dyDescent="0.35">
      <c r="A4859" t="s">
        <v>4413</v>
      </c>
      <c r="B4859" t="s">
        <v>4868</v>
      </c>
      <c r="C4859">
        <v>439</v>
      </c>
      <c r="D4859">
        <v>224</v>
      </c>
      <c r="E4859" t="s">
        <v>7</v>
      </c>
    </row>
    <row r="4860" spans="1:5" x14ac:dyDescent="0.35">
      <c r="A4860" t="s">
        <v>4413</v>
      </c>
      <c r="B4860" t="s">
        <v>4869</v>
      </c>
      <c r="C4860">
        <v>457</v>
      </c>
      <c r="D4860">
        <v>410</v>
      </c>
      <c r="E4860" t="s">
        <v>9</v>
      </c>
    </row>
    <row r="4861" spans="1:5" x14ac:dyDescent="0.35">
      <c r="A4861" t="s">
        <v>4413</v>
      </c>
      <c r="B4861" t="s">
        <v>4870</v>
      </c>
      <c r="C4861">
        <v>471</v>
      </c>
      <c r="D4861">
        <v>256</v>
      </c>
      <c r="E4861" t="s">
        <v>17</v>
      </c>
    </row>
    <row r="4862" spans="1:5" x14ac:dyDescent="0.35">
      <c r="A4862" t="s">
        <v>4413</v>
      </c>
      <c r="B4862" t="s">
        <v>4871</v>
      </c>
      <c r="C4862">
        <v>268</v>
      </c>
      <c r="D4862">
        <v>168</v>
      </c>
      <c r="E4862" t="s">
        <v>33</v>
      </c>
    </row>
    <row r="4863" spans="1:5" x14ac:dyDescent="0.35">
      <c r="A4863" t="s">
        <v>4413</v>
      </c>
      <c r="B4863" t="s">
        <v>4872</v>
      </c>
      <c r="C4863">
        <v>317</v>
      </c>
      <c r="D4863">
        <v>263</v>
      </c>
      <c r="E4863" t="s">
        <v>9</v>
      </c>
    </row>
    <row r="4864" spans="1:5" x14ac:dyDescent="0.35">
      <c r="A4864" t="s">
        <v>4413</v>
      </c>
      <c r="B4864" t="s">
        <v>4873</v>
      </c>
      <c r="C4864">
        <v>419</v>
      </c>
      <c r="D4864">
        <v>190</v>
      </c>
      <c r="E4864" t="s">
        <v>7</v>
      </c>
    </row>
    <row r="4865" spans="1:5" x14ac:dyDescent="0.35">
      <c r="A4865" t="s">
        <v>4413</v>
      </c>
      <c r="B4865" t="s">
        <v>4874</v>
      </c>
      <c r="C4865">
        <v>364</v>
      </c>
      <c r="D4865">
        <v>353</v>
      </c>
      <c r="E4865" t="s">
        <v>9</v>
      </c>
    </row>
    <row r="4866" spans="1:5" x14ac:dyDescent="0.35">
      <c r="A4866" t="s">
        <v>4413</v>
      </c>
      <c r="B4866" t="s">
        <v>4875</v>
      </c>
      <c r="C4866">
        <v>469</v>
      </c>
      <c r="D4866">
        <v>423</v>
      </c>
      <c r="E4866" t="s">
        <v>7</v>
      </c>
    </row>
    <row r="4867" spans="1:5" x14ac:dyDescent="0.35">
      <c r="A4867" t="s">
        <v>4413</v>
      </c>
      <c r="B4867" t="s">
        <v>4876</v>
      </c>
      <c r="C4867">
        <v>438</v>
      </c>
      <c r="D4867">
        <v>392</v>
      </c>
      <c r="E4867" t="s">
        <v>21</v>
      </c>
    </row>
    <row r="4868" spans="1:5" x14ac:dyDescent="0.35">
      <c r="A4868" t="s">
        <v>4413</v>
      </c>
      <c r="B4868" t="s">
        <v>4877</v>
      </c>
      <c r="C4868">
        <v>468</v>
      </c>
      <c r="D4868">
        <v>390</v>
      </c>
      <c r="E4868" t="s">
        <v>9</v>
      </c>
    </row>
    <row r="4869" spans="1:5" x14ac:dyDescent="0.35">
      <c r="A4869" t="s">
        <v>4413</v>
      </c>
      <c r="B4869" t="s">
        <v>4878</v>
      </c>
      <c r="C4869">
        <v>456</v>
      </c>
      <c r="D4869">
        <v>376</v>
      </c>
      <c r="E4869" t="s">
        <v>9</v>
      </c>
    </row>
    <row r="4870" spans="1:5" x14ac:dyDescent="0.35">
      <c r="A4870" t="s">
        <v>4413</v>
      </c>
      <c r="B4870" t="s">
        <v>4879</v>
      </c>
      <c r="C4870">
        <v>471</v>
      </c>
      <c r="D4870">
        <v>199</v>
      </c>
      <c r="E4870" t="s">
        <v>9</v>
      </c>
    </row>
    <row r="4871" spans="1:5" x14ac:dyDescent="0.35">
      <c r="A4871" t="s">
        <v>4413</v>
      </c>
      <c r="B4871" t="s">
        <v>4880</v>
      </c>
      <c r="C4871">
        <v>353</v>
      </c>
      <c r="D4871">
        <v>294</v>
      </c>
      <c r="E4871" t="s">
        <v>7</v>
      </c>
    </row>
    <row r="4872" spans="1:5" x14ac:dyDescent="0.35">
      <c r="A4872" t="s">
        <v>4413</v>
      </c>
      <c r="B4872" t="s">
        <v>4881</v>
      </c>
      <c r="C4872">
        <v>322</v>
      </c>
      <c r="D4872">
        <v>225</v>
      </c>
      <c r="E4872" t="s">
        <v>11</v>
      </c>
    </row>
    <row r="4873" spans="1:5" x14ac:dyDescent="0.35">
      <c r="A4873" t="s">
        <v>4413</v>
      </c>
      <c r="B4873" t="s">
        <v>4882</v>
      </c>
      <c r="C4873">
        <v>430</v>
      </c>
      <c r="D4873">
        <v>386</v>
      </c>
      <c r="E4873" t="s">
        <v>7</v>
      </c>
    </row>
    <row r="4874" spans="1:5" x14ac:dyDescent="0.35">
      <c r="A4874" t="s">
        <v>4413</v>
      </c>
      <c r="B4874" t="s">
        <v>4883</v>
      </c>
      <c r="C4874">
        <v>412</v>
      </c>
      <c r="D4874">
        <v>355</v>
      </c>
      <c r="E4874" t="s">
        <v>7</v>
      </c>
    </row>
    <row r="4875" spans="1:5" x14ac:dyDescent="0.35">
      <c r="A4875" t="s">
        <v>4413</v>
      </c>
      <c r="B4875" t="s">
        <v>4884</v>
      </c>
      <c r="C4875">
        <v>329</v>
      </c>
      <c r="D4875">
        <v>277</v>
      </c>
      <c r="E4875" t="s">
        <v>15</v>
      </c>
    </row>
    <row r="4876" spans="1:5" x14ac:dyDescent="0.35">
      <c r="A4876" t="s">
        <v>4413</v>
      </c>
      <c r="B4876" t="s">
        <v>4885</v>
      </c>
      <c r="C4876">
        <v>498</v>
      </c>
      <c r="D4876">
        <v>150</v>
      </c>
      <c r="E4876" t="s">
        <v>7</v>
      </c>
    </row>
    <row r="4877" spans="1:5" x14ac:dyDescent="0.35">
      <c r="A4877" t="s">
        <v>4413</v>
      </c>
      <c r="B4877" t="s">
        <v>4886</v>
      </c>
      <c r="C4877">
        <v>466</v>
      </c>
      <c r="D4877">
        <v>302</v>
      </c>
      <c r="E4877" t="s">
        <v>11</v>
      </c>
    </row>
    <row r="4878" spans="1:5" x14ac:dyDescent="0.35">
      <c r="A4878" t="s">
        <v>4413</v>
      </c>
      <c r="B4878" t="s">
        <v>4887</v>
      </c>
      <c r="C4878">
        <v>499</v>
      </c>
      <c r="D4878">
        <v>462</v>
      </c>
      <c r="E4878" t="s">
        <v>9</v>
      </c>
    </row>
    <row r="4879" spans="1:5" x14ac:dyDescent="0.35">
      <c r="A4879" t="s">
        <v>4413</v>
      </c>
      <c r="B4879" t="s">
        <v>4888</v>
      </c>
      <c r="C4879">
        <v>486</v>
      </c>
      <c r="D4879">
        <v>430</v>
      </c>
      <c r="E4879" t="s">
        <v>9</v>
      </c>
    </row>
    <row r="4880" spans="1:5" x14ac:dyDescent="0.35">
      <c r="A4880" t="s">
        <v>4413</v>
      </c>
      <c r="B4880" t="s">
        <v>4889</v>
      </c>
      <c r="C4880">
        <v>482</v>
      </c>
      <c r="D4880">
        <v>427</v>
      </c>
      <c r="E4880" t="s">
        <v>21</v>
      </c>
    </row>
    <row r="4881" spans="1:5" x14ac:dyDescent="0.35">
      <c r="A4881" t="s">
        <v>4413</v>
      </c>
      <c r="B4881" t="s">
        <v>4890</v>
      </c>
      <c r="C4881">
        <v>490</v>
      </c>
      <c r="D4881">
        <v>426</v>
      </c>
      <c r="E4881" t="s">
        <v>21</v>
      </c>
    </row>
    <row r="4882" spans="1:5" x14ac:dyDescent="0.35">
      <c r="A4882" t="s">
        <v>4413</v>
      </c>
      <c r="B4882" t="s">
        <v>4891</v>
      </c>
      <c r="C4882">
        <v>457</v>
      </c>
      <c r="D4882">
        <v>438</v>
      </c>
      <c r="E4882" t="s">
        <v>21</v>
      </c>
    </row>
    <row r="4883" spans="1:5" x14ac:dyDescent="0.35">
      <c r="A4883" t="s">
        <v>4413</v>
      </c>
      <c r="B4883" t="s">
        <v>4892</v>
      </c>
      <c r="C4883">
        <v>263</v>
      </c>
      <c r="D4883">
        <v>178</v>
      </c>
      <c r="E4883" t="s">
        <v>33</v>
      </c>
    </row>
    <row r="4884" spans="1:5" x14ac:dyDescent="0.35">
      <c r="A4884" t="s">
        <v>4413</v>
      </c>
      <c r="B4884" t="s">
        <v>4893</v>
      </c>
      <c r="C4884">
        <v>459</v>
      </c>
      <c r="D4884">
        <v>392</v>
      </c>
      <c r="E4884" t="s">
        <v>21</v>
      </c>
    </row>
    <row r="4885" spans="1:5" x14ac:dyDescent="0.35">
      <c r="A4885" t="s">
        <v>4413</v>
      </c>
      <c r="B4885" t="s">
        <v>4894</v>
      </c>
      <c r="C4885">
        <v>489</v>
      </c>
      <c r="D4885">
        <v>467</v>
      </c>
      <c r="E4885" t="s">
        <v>21</v>
      </c>
    </row>
    <row r="4886" spans="1:5" x14ac:dyDescent="0.35">
      <c r="A4886" t="s">
        <v>4413</v>
      </c>
      <c r="B4886" t="s">
        <v>4895</v>
      </c>
      <c r="C4886">
        <v>434</v>
      </c>
      <c r="D4886">
        <v>350</v>
      </c>
      <c r="E4886" t="s">
        <v>33</v>
      </c>
    </row>
    <row r="4887" spans="1:5" x14ac:dyDescent="0.35">
      <c r="A4887" t="s">
        <v>4413</v>
      </c>
      <c r="B4887" t="s">
        <v>4896</v>
      </c>
      <c r="C4887">
        <v>386</v>
      </c>
      <c r="D4887">
        <v>365</v>
      </c>
      <c r="E4887" t="s">
        <v>21</v>
      </c>
    </row>
    <row r="4888" spans="1:5" x14ac:dyDescent="0.35">
      <c r="A4888" t="s">
        <v>4413</v>
      </c>
      <c r="B4888" t="s">
        <v>4897</v>
      </c>
      <c r="C4888">
        <v>495</v>
      </c>
      <c r="D4888">
        <v>429</v>
      </c>
      <c r="E4888" t="s">
        <v>9</v>
      </c>
    </row>
    <row r="4889" spans="1:5" x14ac:dyDescent="0.35">
      <c r="A4889" t="s">
        <v>4413</v>
      </c>
      <c r="B4889" t="s">
        <v>4898</v>
      </c>
      <c r="C4889">
        <v>444</v>
      </c>
      <c r="D4889">
        <v>362</v>
      </c>
      <c r="E4889" t="s">
        <v>7</v>
      </c>
    </row>
    <row r="4890" spans="1:5" x14ac:dyDescent="0.35">
      <c r="A4890" t="s">
        <v>4413</v>
      </c>
      <c r="B4890" t="s">
        <v>4899</v>
      </c>
      <c r="C4890">
        <v>301</v>
      </c>
      <c r="D4890">
        <v>258</v>
      </c>
      <c r="E4890" t="s">
        <v>33</v>
      </c>
    </row>
    <row r="4891" spans="1:5" x14ac:dyDescent="0.35">
      <c r="A4891" t="s">
        <v>4413</v>
      </c>
      <c r="B4891" t="s">
        <v>4900</v>
      </c>
      <c r="C4891">
        <v>395</v>
      </c>
      <c r="D4891">
        <v>319</v>
      </c>
      <c r="E4891" t="s">
        <v>21</v>
      </c>
    </row>
    <row r="4892" spans="1:5" x14ac:dyDescent="0.35">
      <c r="A4892" t="s">
        <v>4413</v>
      </c>
      <c r="B4892" t="s">
        <v>4901</v>
      </c>
      <c r="C4892">
        <v>361</v>
      </c>
      <c r="D4892">
        <v>357</v>
      </c>
      <c r="E4892" t="s">
        <v>21</v>
      </c>
    </row>
    <row r="4893" spans="1:5" x14ac:dyDescent="0.35">
      <c r="A4893" t="s">
        <v>4413</v>
      </c>
      <c r="B4893" t="s">
        <v>4902</v>
      </c>
      <c r="C4893">
        <v>385</v>
      </c>
      <c r="D4893">
        <v>344</v>
      </c>
      <c r="E4893" t="s">
        <v>21</v>
      </c>
    </row>
    <row r="4894" spans="1:5" x14ac:dyDescent="0.35">
      <c r="A4894" t="s">
        <v>4413</v>
      </c>
      <c r="B4894" t="s">
        <v>4903</v>
      </c>
      <c r="C4894">
        <v>481</v>
      </c>
      <c r="D4894">
        <v>300</v>
      </c>
      <c r="E4894" t="s">
        <v>7</v>
      </c>
    </row>
    <row r="4895" spans="1:5" x14ac:dyDescent="0.35">
      <c r="A4895" t="s">
        <v>4413</v>
      </c>
      <c r="B4895" t="s">
        <v>4904</v>
      </c>
      <c r="C4895">
        <v>449</v>
      </c>
      <c r="D4895">
        <v>401</v>
      </c>
      <c r="E4895" t="s">
        <v>9</v>
      </c>
    </row>
    <row r="4896" spans="1:5" x14ac:dyDescent="0.35">
      <c r="A4896" t="s">
        <v>4413</v>
      </c>
      <c r="B4896" t="s">
        <v>4905</v>
      </c>
      <c r="C4896">
        <v>473</v>
      </c>
      <c r="D4896">
        <v>470</v>
      </c>
      <c r="E4896" t="s">
        <v>9</v>
      </c>
    </row>
    <row r="4897" spans="1:5" x14ac:dyDescent="0.35">
      <c r="A4897" t="s">
        <v>4413</v>
      </c>
      <c r="B4897" t="s">
        <v>4906</v>
      </c>
      <c r="C4897">
        <v>489</v>
      </c>
      <c r="D4897">
        <v>406</v>
      </c>
      <c r="E4897" t="s">
        <v>7</v>
      </c>
    </row>
    <row r="4898" spans="1:5" x14ac:dyDescent="0.35">
      <c r="A4898" t="s">
        <v>4413</v>
      </c>
      <c r="B4898" t="s">
        <v>4907</v>
      </c>
      <c r="C4898">
        <v>497</v>
      </c>
      <c r="D4898">
        <v>231</v>
      </c>
      <c r="E4898" t="s">
        <v>15</v>
      </c>
    </row>
    <row r="4899" spans="1:5" x14ac:dyDescent="0.35">
      <c r="A4899" t="s">
        <v>4413</v>
      </c>
      <c r="B4899" t="s">
        <v>4908</v>
      </c>
      <c r="C4899">
        <v>275</v>
      </c>
      <c r="D4899">
        <v>236</v>
      </c>
      <c r="E4899" t="s">
        <v>17</v>
      </c>
    </row>
    <row r="4900" spans="1:5" x14ac:dyDescent="0.35">
      <c r="A4900" t="s">
        <v>4413</v>
      </c>
      <c r="B4900" t="s">
        <v>4909</v>
      </c>
      <c r="C4900">
        <v>290</v>
      </c>
      <c r="D4900">
        <v>179</v>
      </c>
      <c r="E4900" t="s">
        <v>7</v>
      </c>
    </row>
    <row r="4901" spans="1:5" x14ac:dyDescent="0.35">
      <c r="A4901" t="s">
        <v>4413</v>
      </c>
      <c r="B4901" t="s">
        <v>4910</v>
      </c>
      <c r="C4901">
        <v>470</v>
      </c>
      <c r="D4901">
        <v>431</v>
      </c>
      <c r="E4901" t="s">
        <v>9</v>
      </c>
    </row>
    <row r="4902" spans="1:5" x14ac:dyDescent="0.35">
      <c r="A4902" t="s">
        <v>4413</v>
      </c>
      <c r="B4902" t="s">
        <v>4911</v>
      </c>
      <c r="C4902">
        <v>309</v>
      </c>
      <c r="D4902">
        <v>198</v>
      </c>
      <c r="E4902" t="s">
        <v>15</v>
      </c>
    </row>
    <row r="4903" spans="1:5" x14ac:dyDescent="0.35">
      <c r="A4903" t="s">
        <v>4413</v>
      </c>
      <c r="B4903" t="s">
        <v>4912</v>
      </c>
      <c r="C4903">
        <v>468</v>
      </c>
      <c r="D4903">
        <v>225</v>
      </c>
      <c r="E4903" t="s">
        <v>21</v>
      </c>
    </row>
    <row r="4904" spans="1:5" x14ac:dyDescent="0.35">
      <c r="A4904" t="s">
        <v>4413</v>
      </c>
      <c r="B4904" t="s">
        <v>4913</v>
      </c>
      <c r="C4904">
        <v>257</v>
      </c>
      <c r="D4904">
        <v>235</v>
      </c>
      <c r="E4904" t="s">
        <v>11</v>
      </c>
    </row>
    <row r="4905" spans="1:5" x14ac:dyDescent="0.35">
      <c r="A4905" t="s">
        <v>4413</v>
      </c>
      <c r="B4905" t="s">
        <v>4914</v>
      </c>
      <c r="C4905">
        <v>488</v>
      </c>
      <c r="D4905">
        <v>307</v>
      </c>
      <c r="E4905" t="s">
        <v>15</v>
      </c>
    </row>
    <row r="4906" spans="1:5" x14ac:dyDescent="0.35">
      <c r="A4906" t="s">
        <v>4413</v>
      </c>
      <c r="B4906" t="s">
        <v>4915</v>
      </c>
      <c r="C4906">
        <v>391</v>
      </c>
      <c r="D4906">
        <v>327</v>
      </c>
      <c r="E4906" t="s">
        <v>15</v>
      </c>
    </row>
    <row r="4907" spans="1:5" x14ac:dyDescent="0.35">
      <c r="A4907" t="s">
        <v>4413</v>
      </c>
      <c r="B4907" t="s">
        <v>4916</v>
      </c>
      <c r="C4907">
        <v>267</v>
      </c>
      <c r="D4907">
        <v>241</v>
      </c>
      <c r="E4907" t="s">
        <v>7</v>
      </c>
    </row>
    <row r="4908" spans="1:5" x14ac:dyDescent="0.35">
      <c r="A4908" t="s">
        <v>4413</v>
      </c>
      <c r="B4908" t="s">
        <v>4917</v>
      </c>
      <c r="C4908">
        <v>451</v>
      </c>
      <c r="D4908">
        <v>253</v>
      </c>
      <c r="E4908" t="s">
        <v>33</v>
      </c>
    </row>
    <row r="4909" spans="1:5" x14ac:dyDescent="0.35">
      <c r="A4909" t="s">
        <v>4918</v>
      </c>
      <c r="B4909" t="s">
        <v>4919</v>
      </c>
      <c r="C4909">
        <v>185</v>
      </c>
      <c r="D4909">
        <v>44</v>
      </c>
      <c r="E4909" t="s">
        <v>17</v>
      </c>
    </row>
    <row r="4910" spans="1:5" x14ac:dyDescent="0.35">
      <c r="A4910" t="s">
        <v>4918</v>
      </c>
      <c r="B4910" t="s">
        <v>4920</v>
      </c>
      <c r="C4910">
        <v>271</v>
      </c>
      <c r="D4910">
        <v>37</v>
      </c>
      <c r="E4910" t="s">
        <v>17</v>
      </c>
    </row>
    <row r="4911" spans="1:5" x14ac:dyDescent="0.35">
      <c r="A4911" t="s">
        <v>4918</v>
      </c>
      <c r="B4911" t="s">
        <v>4921</v>
      </c>
      <c r="C4911">
        <v>241</v>
      </c>
      <c r="D4911">
        <v>116</v>
      </c>
      <c r="E4911" t="s">
        <v>11</v>
      </c>
    </row>
    <row r="4912" spans="1:5" x14ac:dyDescent="0.35">
      <c r="A4912" t="s">
        <v>4918</v>
      </c>
      <c r="B4912" t="s">
        <v>4922</v>
      </c>
      <c r="C4912">
        <v>177</v>
      </c>
      <c r="D4912">
        <v>99</v>
      </c>
      <c r="E4912" t="s">
        <v>9</v>
      </c>
    </row>
    <row r="4913" spans="1:5" x14ac:dyDescent="0.35">
      <c r="A4913" t="s">
        <v>4918</v>
      </c>
      <c r="B4913" t="s">
        <v>4923</v>
      </c>
      <c r="C4913">
        <v>243</v>
      </c>
      <c r="D4913">
        <v>135</v>
      </c>
      <c r="E4913" t="s">
        <v>33</v>
      </c>
    </row>
    <row r="4914" spans="1:5" x14ac:dyDescent="0.35">
      <c r="A4914" t="s">
        <v>4918</v>
      </c>
      <c r="B4914" t="s">
        <v>4924</v>
      </c>
      <c r="C4914">
        <v>207</v>
      </c>
      <c r="D4914">
        <v>168</v>
      </c>
      <c r="E4914" t="s">
        <v>33</v>
      </c>
    </row>
    <row r="4915" spans="1:5" x14ac:dyDescent="0.35">
      <c r="A4915" t="s">
        <v>4918</v>
      </c>
      <c r="B4915" t="s">
        <v>4925</v>
      </c>
      <c r="C4915">
        <v>272</v>
      </c>
      <c r="D4915">
        <v>132</v>
      </c>
      <c r="E4915" t="s">
        <v>7</v>
      </c>
    </row>
    <row r="4916" spans="1:5" x14ac:dyDescent="0.35">
      <c r="A4916" t="s">
        <v>4918</v>
      </c>
      <c r="B4916" t="s">
        <v>4926</v>
      </c>
      <c r="C4916">
        <v>161</v>
      </c>
      <c r="D4916">
        <v>53</v>
      </c>
      <c r="E4916" t="s">
        <v>9</v>
      </c>
    </row>
    <row r="4917" spans="1:5" x14ac:dyDescent="0.35">
      <c r="A4917" t="s">
        <v>4918</v>
      </c>
      <c r="B4917" t="s">
        <v>4927</v>
      </c>
      <c r="C4917">
        <v>161</v>
      </c>
      <c r="D4917">
        <v>143</v>
      </c>
      <c r="E4917" t="s">
        <v>33</v>
      </c>
    </row>
    <row r="4918" spans="1:5" x14ac:dyDescent="0.35">
      <c r="A4918" t="s">
        <v>4918</v>
      </c>
      <c r="B4918" t="s">
        <v>4928</v>
      </c>
      <c r="C4918">
        <v>158</v>
      </c>
      <c r="D4918">
        <v>79</v>
      </c>
      <c r="E4918" t="s">
        <v>15</v>
      </c>
    </row>
    <row r="4919" spans="1:5" x14ac:dyDescent="0.35">
      <c r="A4919" t="s">
        <v>4918</v>
      </c>
      <c r="B4919" t="s">
        <v>4929</v>
      </c>
      <c r="C4919">
        <v>158</v>
      </c>
      <c r="D4919">
        <v>125</v>
      </c>
      <c r="E4919" t="s">
        <v>21</v>
      </c>
    </row>
    <row r="4920" spans="1:5" x14ac:dyDescent="0.35">
      <c r="A4920" t="s">
        <v>4918</v>
      </c>
      <c r="B4920" t="s">
        <v>4930</v>
      </c>
      <c r="C4920">
        <v>263</v>
      </c>
      <c r="D4920">
        <v>105</v>
      </c>
      <c r="E4920" t="s">
        <v>7</v>
      </c>
    </row>
    <row r="4921" spans="1:5" x14ac:dyDescent="0.35">
      <c r="A4921" t="s">
        <v>4918</v>
      </c>
      <c r="B4921" t="s">
        <v>4931</v>
      </c>
      <c r="C4921">
        <v>187</v>
      </c>
      <c r="D4921">
        <v>102</v>
      </c>
      <c r="E4921" t="s">
        <v>17</v>
      </c>
    </row>
    <row r="4922" spans="1:5" x14ac:dyDescent="0.35">
      <c r="A4922" t="s">
        <v>4918</v>
      </c>
      <c r="B4922" t="s">
        <v>4932</v>
      </c>
      <c r="C4922">
        <v>295</v>
      </c>
      <c r="D4922">
        <v>42</v>
      </c>
      <c r="E4922" t="s">
        <v>9</v>
      </c>
    </row>
    <row r="4923" spans="1:5" x14ac:dyDescent="0.35">
      <c r="A4923" t="s">
        <v>4918</v>
      </c>
      <c r="B4923" t="s">
        <v>4933</v>
      </c>
      <c r="C4923">
        <v>242</v>
      </c>
      <c r="D4923">
        <v>180</v>
      </c>
      <c r="E4923" t="s">
        <v>7</v>
      </c>
    </row>
    <row r="4924" spans="1:5" x14ac:dyDescent="0.35">
      <c r="A4924" t="s">
        <v>4918</v>
      </c>
      <c r="B4924" t="s">
        <v>4934</v>
      </c>
      <c r="C4924">
        <v>253</v>
      </c>
      <c r="D4924">
        <v>184</v>
      </c>
      <c r="E4924" t="s">
        <v>33</v>
      </c>
    </row>
    <row r="4925" spans="1:5" x14ac:dyDescent="0.35">
      <c r="A4925" t="s">
        <v>4918</v>
      </c>
      <c r="B4925" t="s">
        <v>4935</v>
      </c>
      <c r="C4925">
        <v>307</v>
      </c>
      <c r="D4925">
        <v>184</v>
      </c>
      <c r="E4925" t="s">
        <v>21</v>
      </c>
    </row>
    <row r="4926" spans="1:5" x14ac:dyDescent="0.35">
      <c r="A4926" t="s">
        <v>4918</v>
      </c>
      <c r="B4926" t="s">
        <v>4936</v>
      </c>
      <c r="C4926">
        <v>82</v>
      </c>
      <c r="D4926">
        <v>60</v>
      </c>
      <c r="E4926" t="s">
        <v>7</v>
      </c>
    </row>
    <row r="4927" spans="1:5" x14ac:dyDescent="0.35">
      <c r="A4927" t="s">
        <v>4918</v>
      </c>
      <c r="B4927" t="s">
        <v>4937</v>
      </c>
      <c r="C4927">
        <v>253</v>
      </c>
      <c r="D4927">
        <v>68</v>
      </c>
      <c r="E4927" t="s">
        <v>11</v>
      </c>
    </row>
    <row r="4928" spans="1:5" x14ac:dyDescent="0.35">
      <c r="A4928" t="s">
        <v>4918</v>
      </c>
      <c r="B4928" t="s">
        <v>4938</v>
      </c>
      <c r="C4928">
        <v>156</v>
      </c>
      <c r="D4928">
        <v>148</v>
      </c>
      <c r="E4928" t="s">
        <v>33</v>
      </c>
    </row>
    <row r="4929" spans="1:5" x14ac:dyDescent="0.35">
      <c r="A4929" t="s">
        <v>4918</v>
      </c>
      <c r="B4929" t="s">
        <v>4939</v>
      </c>
      <c r="C4929">
        <v>265</v>
      </c>
      <c r="D4929">
        <v>140</v>
      </c>
      <c r="E4929" t="s">
        <v>33</v>
      </c>
    </row>
    <row r="4930" spans="1:5" x14ac:dyDescent="0.35">
      <c r="A4930" t="s">
        <v>4918</v>
      </c>
      <c r="B4930" t="s">
        <v>4940</v>
      </c>
      <c r="C4930">
        <v>171</v>
      </c>
      <c r="D4930">
        <v>85</v>
      </c>
      <c r="E4930" t="s">
        <v>33</v>
      </c>
    </row>
    <row r="4931" spans="1:5" x14ac:dyDescent="0.35">
      <c r="A4931" t="s">
        <v>4918</v>
      </c>
      <c r="B4931" t="s">
        <v>4941</v>
      </c>
      <c r="C4931">
        <v>305</v>
      </c>
      <c r="D4931">
        <v>68</v>
      </c>
      <c r="E4931" t="s">
        <v>15</v>
      </c>
    </row>
    <row r="4932" spans="1:5" x14ac:dyDescent="0.35">
      <c r="A4932" t="s">
        <v>4918</v>
      </c>
      <c r="B4932" t="s">
        <v>4942</v>
      </c>
      <c r="C4932">
        <v>306</v>
      </c>
      <c r="D4932">
        <v>161</v>
      </c>
      <c r="E4932" t="s">
        <v>33</v>
      </c>
    </row>
    <row r="4933" spans="1:5" x14ac:dyDescent="0.35">
      <c r="A4933" t="s">
        <v>4918</v>
      </c>
      <c r="B4933" t="s">
        <v>4943</v>
      </c>
      <c r="C4933">
        <v>158</v>
      </c>
      <c r="D4933">
        <v>125</v>
      </c>
      <c r="E4933" t="s">
        <v>21</v>
      </c>
    </row>
    <row r="4934" spans="1:5" x14ac:dyDescent="0.35">
      <c r="A4934" t="s">
        <v>4918</v>
      </c>
      <c r="B4934" t="s">
        <v>4944</v>
      </c>
      <c r="C4934">
        <v>198</v>
      </c>
      <c r="D4934">
        <v>148</v>
      </c>
      <c r="E4934" t="s">
        <v>9</v>
      </c>
    </row>
    <row r="4935" spans="1:5" x14ac:dyDescent="0.35">
      <c r="A4935" t="s">
        <v>4918</v>
      </c>
      <c r="B4935" t="s">
        <v>4945</v>
      </c>
      <c r="C4935">
        <v>298</v>
      </c>
      <c r="D4935">
        <v>143</v>
      </c>
      <c r="E4935" t="s">
        <v>7</v>
      </c>
    </row>
    <row r="4936" spans="1:5" x14ac:dyDescent="0.35">
      <c r="A4936" t="s">
        <v>4918</v>
      </c>
      <c r="B4936" t="s">
        <v>4946</v>
      </c>
      <c r="C4936">
        <v>127</v>
      </c>
      <c r="D4936">
        <v>53</v>
      </c>
      <c r="E4936" t="s">
        <v>11</v>
      </c>
    </row>
    <row r="4937" spans="1:5" x14ac:dyDescent="0.35">
      <c r="A4937" t="s">
        <v>4918</v>
      </c>
      <c r="B4937" t="s">
        <v>4947</v>
      </c>
      <c r="C4937">
        <v>224</v>
      </c>
      <c r="D4937">
        <v>110</v>
      </c>
      <c r="E4937" t="s">
        <v>15</v>
      </c>
    </row>
    <row r="4938" spans="1:5" x14ac:dyDescent="0.35">
      <c r="A4938" t="s">
        <v>4918</v>
      </c>
      <c r="B4938" t="s">
        <v>4948</v>
      </c>
      <c r="C4938">
        <v>166</v>
      </c>
      <c r="D4938">
        <v>141</v>
      </c>
      <c r="E4938" t="s">
        <v>7</v>
      </c>
    </row>
    <row r="4939" spans="1:5" x14ac:dyDescent="0.35">
      <c r="A4939" t="s">
        <v>4918</v>
      </c>
      <c r="B4939" t="s">
        <v>4949</v>
      </c>
      <c r="C4939">
        <v>309</v>
      </c>
      <c r="D4939">
        <v>184</v>
      </c>
      <c r="E4939" t="s">
        <v>21</v>
      </c>
    </row>
    <row r="4940" spans="1:5" x14ac:dyDescent="0.35">
      <c r="A4940" t="s">
        <v>4918</v>
      </c>
      <c r="B4940" t="s">
        <v>4950</v>
      </c>
      <c r="C4940">
        <v>287</v>
      </c>
      <c r="D4940">
        <v>133</v>
      </c>
      <c r="E4940" t="s">
        <v>9</v>
      </c>
    </row>
    <row r="4941" spans="1:5" x14ac:dyDescent="0.35">
      <c r="A4941" t="s">
        <v>4918</v>
      </c>
      <c r="B4941" t="s">
        <v>4951</v>
      </c>
      <c r="C4941">
        <v>124</v>
      </c>
      <c r="D4941">
        <v>80</v>
      </c>
      <c r="E4941" t="s">
        <v>17</v>
      </c>
    </row>
    <row r="4942" spans="1:5" x14ac:dyDescent="0.35">
      <c r="A4942" t="s">
        <v>4918</v>
      </c>
      <c r="B4942" t="s">
        <v>4952</v>
      </c>
      <c r="C4942">
        <v>270</v>
      </c>
      <c r="D4942">
        <v>143</v>
      </c>
      <c r="E4942" t="s">
        <v>7</v>
      </c>
    </row>
    <row r="4943" spans="1:5" x14ac:dyDescent="0.35">
      <c r="A4943" t="s">
        <v>4918</v>
      </c>
      <c r="B4943" t="s">
        <v>4953</v>
      </c>
      <c r="C4943">
        <v>238</v>
      </c>
      <c r="D4943">
        <v>103</v>
      </c>
      <c r="E4943" t="s">
        <v>15</v>
      </c>
    </row>
    <row r="4944" spans="1:5" x14ac:dyDescent="0.35">
      <c r="A4944" t="s">
        <v>4918</v>
      </c>
      <c r="B4944" t="s">
        <v>4954</v>
      </c>
      <c r="C4944">
        <v>193</v>
      </c>
      <c r="D4944">
        <v>128</v>
      </c>
      <c r="E4944" t="s">
        <v>15</v>
      </c>
    </row>
    <row r="4945" spans="1:5" x14ac:dyDescent="0.35">
      <c r="A4945" t="s">
        <v>4918</v>
      </c>
      <c r="B4945" t="s">
        <v>4955</v>
      </c>
      <c r="C4945">
        <v>182</v>
      </c>
      <c r="D4945">
        <v>141</v>
      </c>
      <c r="E4945" t="s">
        <v>9</v>
      </c>
    </row>
    <row r="4946" spans="1:5" x14ac:dyDescent="0.35">
      <c r="A4946" t="s">
        <v>4918</v>
      </c>
      <c r="B4946" t="s">
        <v>4956</v>
      </c>
      <c r="C4946">
        <v>144</v>
      </c>
      <c r="D4946">
        <v>128</v>
      </c>
      <c r="E4946" t="s">
        <v>15</v>
      </c>
    </row>
    <row r="4947" spans="1:5" x14ac:dyDescent="0.35">
      <c r="A4947" t="s">
        <v>4918</v>
      </c>
      <c r="B4947" t="s">
        <v>4957</v>
      </c>
      <c r="C4947">
        <v>149</v>
      </c>
      <c r="D4947">
        <v>119</v>
      </c>
      <c r="E4947" t="s">
        <v>9</v>
      </c>
    </row>
    <row r="4948" spans="1:5" x14ac:dyDescent="0.35">
      <c r="A4948" t="s">
        <v>4918</v>
      </c>
      <c r="B4948" t="s">
        <v>4958</v>
      </c>
      <c r="C4948">
        <v>284</v>
      </c>
      <c r="D4948">
        <v>68</v>
      </c>
      <c r="E4948" t="s">
        <v>15</v>
      </c>
    </row>
    <row r="4949" spans="1:5" x14ac:dyDescent="0.35">
      <c r="A4949" t="s">
        <v>4918</v>
      </c>
      <c r="B4949" t="s">
        <v>4959</v>
      </c>
      <c r="C4949">
        <v>186</v>
      </c>
      <c r="D4949">
        <v>98</v>
      </c>
      <c r="E4949" t="s">
        <v>11</v>
      </c>
    </row>
    <row r="4950" spans="1:5" x14ac:dyDescent="0.35">
      <c r="A4950" t="s">
        <v>4918</v>
      </c>
      <c r="B4950" t="s">
        <v>4960</v>
      </c>
      <c r="C4950">
        <v>254</v>
      </c>
      <c r="D4950">
        <v>179</v>
      </c>
      <c r="E4950" t="s">
        <v>33</v>
      </c>
    </row>
    <row r="4951" spans="1:5" x14ac:dyDescent="0.35">
      <c r="A4951" t="s">
        <v>4918</v>
      </c>
      <c r="B4951" t="s">
        <v>4961</v>
      </c>
      <c r="C4951">
        <v>130</v>
      </c>
      <c r="D4951">
        <v>95</v>
      </c>
      <c r="E4951" t="s">
        <v>17</v>
      </c>
    </row>
    <row r="4952" spans="1:5" x14ac:dyDescent="0.35">
      <c r="A4952" t="s">
        <v>4918</v>
      </c>
      <c r="B4952" t="s">
        <v>4962</v>
      </c>
      <c r="C4952">
        <v>265</v>
      </c>
      <c r="D4952">
        <v>190</v>
      </c>
      <c r="E4952" t="s">
        <v>33</v>
      </c>
    </row>
    <row r="4953" spans="1:5" x14ac:dyDescent="0.35">
      <c r="A4953" t="s">
        <v>4918</v>
      </c>
      <c r="B4953" t="s">
        <v>4963</v>
      </c>
      <c r="C4953">
        <v>147</v>
      </c>
      <c r="D4953">
        <v>73</v>
      </c>
      <c r="E4953" t="s">
        <v>9</v>
      </c>
    </row>
    <row r="4954" spans="1:5" x14ac:dyDescent="0.35">
      <c r="A4954" t="s">
        <v>4918</v>
      </c>
      <c r="B4954" t="s">
        <v>4964</v>
      </c>
      <c r="C4954">
        <v>109</v>
      </c>
      <c r="D4954">
        <v>90</v>
      </c>
      <c r="E4954" t="s">
        <v>21</v>
      </c>
    </row>
    <row r="4955" spans="1:5" x14ac:dyDescent="0.35">
      <c r="A4955" t="s">
        <v>4918</v>
      </c>
      <c r="B4955" t="s">
        <v>4965</v>
      </c>
      <c r="C4955">
        <v>135</v>
      </c>
      <c r="D4955">
        <v>93</v>
      </c>
      <c r="E4955" t="s">
        <v>17</v>
      </c>
    </row>
    <row r="4956" spans="1:5" x14ac:dyDescent="0.35">
      <c r="A4956" t="s">
        <v>4918</v>
      </c>
      <c r="B4956" t="s">
        <v>4966</v>
      </c>
      <c r="C4956">
        <v>264</v>
      </c>
      <c r="D4956">
        <v>163</v>
      </c>
      <c r="E4956" t="s">
        <v>15</v>
      </c>
    </row>
    <row r="4957" spans="1:5" x14ac:dyDescent="0.35">
      <c r="A4957" t="s">
        <v>4918</v>
      </c>
      <c r="B4957" t="s">
        <v>4967</v>
      </c>
      <c r="C4957">
        <v>292</v>
      </c>
      <c r="D4957">
        <v>63</v>
      </c>
      <c r="E4957" t="s">
        <v>15</v>
      </c>
    </row>
    <row r="4958" spans="1:5" x14ac:dyDescent="0.35">
      <c r="A4958" t="s">
        <v>4918</v>
      </c>
      <c r="B4958" t="s">
        <v>4968</v>
      </c>
      <c r="C4958">
        <v>253</v>
      </c>
      <c r="D4958">
        <v>182</v>
      </c>
      <c r="E4958" t="s">
        <v>7</v>
      </c>
    </row>
    <row r="4959" spans="1:5" x14ac:dyDescent="0.35">
      <c r="A4959" t="s">
        <v>4918</v>
      </c>
      <c r="B4959" t="s">
        <v>4969</v>
      </c>
      <c r="C4959">
        <v>146</v>
      </c>
      <c r="D4959">
        <v>99</v>
      </c>
      <c r="E4959" t="s">
        <v>15</v>
      </c>
    </row>
    <row r="4960" spans="1:5" x14ac:dyDescent="0.35">
      <c r="A4960" t="s">
        <v>4918</v>
      </c>
      <c r="B4960" t="s">
        <v>4970</v>
      </c>
      <c r="C4960">
        <v>247</v>
      </c>
      <c r="D4960">
        <v>114</v>
      </c>
      <c r="E4960" t="s">
        <v>21</v>
      </c>
    </row>
    <row r="4961" spans="1:5" x14ac:dyDescent="0.35">
      <c r="A4961" t="s">
        <v>4918</v>
      </c>
      <c r="B4961" t="s">
        <v>4971</v>
      </c>
      <c r="C4961">
        <v>132</v>
      </c>
      <c r="D4961">
        <v>93</v>
      </c>
      <c r="E4961" t="s">
        <v>21</v>
      </c>
    </row>
    <row r="4962" spans="1:5" x14ac:dyDescent="0.35">
      <c r="A4962" t="s">
        <v>4918</v>
      </c>
      <c r="B4962" t="s">
        <v>4972</v>
      </c>
      <c r="C4962">
        <v>149</v>
      </c>
      <c r="D4962">
        <v>55</v>
      </c>
      <c r="E4962" t="s">
        <v>17</v>
      </c>
    </row>
    <row r="4963" spans="1:5" x14ac:dyDescent="0.35">
      <c r="A4963" t="s">
        <v>4918</v>
      </c>
      <c r="B4963" t="s">
        <v>4973</v>
      </c>
      <c r="C4963">
        <v>196</v>
      </c>
      <c r="D4963">
        <v>166</v>
      </c>
      <c r="E4963" t="s">
        <v>11</v>
      </c>
    </row>
    <row r="4964" spans="1:5" x14ac:dyDescent="0.35">
      <c r="A4964" t="s">
        <v>4918</v>
      </c>
      <c r="B4964" t="s">
        <v>4974</v>
      </c>
      <c r="C4964">
        <v>221</v>
      </c>
      <c r="D4964">
        <v>62</v>
      </c>
      <c r="E4964" t="s">
        <v>7</v>
      </c>
    </row>
    <row r="4965" spans="1:5" x14ac:dyDescent="0.35">
      <c r="A4965" t="s">
        <v>4918</v>
      </c>
      <c r="B4965" t="s">
        <v>4975</v>
      </c>
      <c r="C4965">
        <v>253</v>
      </c>
      <c r="D4965">
        <v>110</v>
      </c>
      <c r="E4965" t="s">
        <v>21</v>
      </c>
    </row>
    <row r="4966" spans="1:5" x14ac:dyDescent="0.35">
      <c r="A4966" t="s">
        <v>4918</v>
      </c>
      <c r="B4966" t="s">
        <v>4976</v>
      </c>
      <c r="C4966">
        <v>206</v>
      </c>
      <c r="D4966">
        <v>150</v>
      </c>
      <c r="E4966" t="s">
        <v>7</v>
      </c>
    </row>
    <row r="4967" spans="1:5" x14ac:dyDescent="0.35">
      <c r="A4967" t="s">
        <v>4918</v>
      </c>
      <c r="B4967" t="s">
        <v>4977</v>
      </c>
      <c r="C4967">
        <v>171</v>
      </c>
      <c r="D4967">
        <v>85</v>
      </c>
      <c r="E4967" t="s">
        <v>9</v>
      </c>
    </row>
    <row r="4968" spans="1:5" x14ac:dyDescent="0.35">
      <c r="A4968" t="s">
        <v>4918</v>
      </c>
      <c r="B4968" t="s">
        <v>4978</v>
      </c>
      <c r="C4968">
        <v>139</v>
      </c>
      <c r="D4968">
        <v>106</v>
      </c>
      <c r="E4968" t="s">
        <v>17</v>
      </c>
    </row>
    <row r="4969" spans="1:5" x14ac:dyDescent="0.35">
      <c r="A4969" t="s">
        <v>4918</v>
      </c>
      <c r="B4969" t="s">
        <v>4979</v>
      </c>
      <c r="C4969">
        <v>313</v>
      </c>
      <c r="D4969">
        <v>180</v>
      </c>
      <c r="E4969" t="s">
        <v>9</v>
      </c>
    </row>
    <row r="4970" spans="1:5" x14ac:dyDescent="0.35">
      <c r="A4970" t="s">
        <v>4918</v>
      </c>
      <c r="B4970" t="s">
        <v>4980</v>
      </c>
      <c r="C4970">
        <v>259</v>
      </c>
      <c r="D4970">
        <v>152</v>
      </c>
      <c r="E4970" t="s">
        <v>11</v>
      </c>
    </row>
    <row r="4971" spans="1:5" x14ac:dyDescent="0.35">
      <c r="A4971" t="s">
        <v>4918</v>
      </c>
      <c r="B4971" t="s">
        <v>4981</v>
      </c>
      <c r="C4971">
        <v>293</v>
      </c>
      <c r="D4971">
        <v>188</v>
      </c>
      <c r="E4971" t="s">
        <v>9</v>
      </c>
    </row>
    <row r="4972" spans="1:5" x14ac:dyDescent="0.35">
      <c r="A4972" t="s">
        <v>4918</v>
      </c>
      <c r="B4972" t="s">
        <v>4982</v>
      </c>
      <c r="C4972">
        <v>207</v>
      </c>
      <c r="D4972">
        <v>177</v>
      </c>
      <c r="E4972" t="s">
        <v>17</v>
      </c>
    </row>
    <row r="4973" spans="1:5" x14ac:dyDescent="0.35">
      <c r="A4973" t="s">
        <v>4918</v>
      </c>
      <c r="B4973" t="s">
        <v>4983</v>
      </c>
      <c r="C4973">
        <v>231</v>
      </c>
      <c r="D4973">
        <v>78</v>
      </c>
      <c r="E4973" t="s">
        <v>11</v>
      </c>
    </row>
    <row r="4974" spans="1:5" x14ac:dyDescent="0.35">
      <c r="A4974" t="s">
        <v>4918</v>
      </c>
      <c r="B4974" t="s">
        <v>4984</v>
      </c>
      <c r="C4974">
        <v>283</v>
      </c>
      <c r="D4974">
        <v>48</v>
      </c>
      <c r="E4974" t="s">
        <v>15</v>
      </c>
    </row>
    <row r="4975" spans="1:5" x14ac:dyDescent="0.35">
      <c r="A4975" t="s">
        <v>4918</v>
      </c>
      <c r="B4975" t="s">
        <v>4985</v>
      </c>
      <c r="C4975">
        <v>246</v>
      </c>
      <c r="D4975">
        <v>154</v>
      </c>
      <c r="E4975" t="s">
        <v>21</v>
      </c>
    </row>
    <row r="4976" spans="1:5" x14ac:dyDescent="0.35">
      <c r="A4976" t="s">
        <v>4918</v>
      </c>
      <c r="B4976" t="s">
        <v>4986</v>
      </c>
      <c r="C4976">
        <v>193</v>
      </c>
      <c r="D4976">
        <v>72</v>
      </c>
      <c r="E4976" t="s">
        <v>7</v>
      </c>
    </row>
    <row r="4977" spans="1:5" x14ac:dyDescent="0.35">
      <c r="A4977" t="s">
        <v>4918</v>
      </c>
      <c r="B4977" t="s">
        <v>4987</v>
      </c>
      <c r="C4977">
        <v>293</v>
      </c>
      <c r="D4977">
        <v>69</v>
      </c>
      <c r="E4977" t="s">
        <v>9</v>
      </c>
    </row>
    <row r="4978" spans="1:5" x14ac:dyDescent="0.35">
      <c r="A4978" t="s">
        <v>4918</v>
      </c>
      <c r="B4978" t="s">
        <v>4988</v>
      </c>
      <c r="C4978">
        <v>182</v>
      </c>
      <c r="D4978">
        <v>158</v>
      </c>
      <c r="E4978" t="s">
        <v>21</v>
      </c>
    </row>
    <row r="4979" spans="1:5" x14ac:dyDescent="0.35">
      <c r="A4979" t="s">
        <v>4918</v>
      </c>
      <c r="B4979" t="s">
        <v>4989</v>
      </c>
      <c r="C4979">
        <v>316</v>
      </c>
      <c r="D4979">
        <v>67</v>
      </c>
      <c r="E4979" t="s">
        <v>15</v>
      </c>
    </row>
    <row r="4980" spans="1:5" x14ac:dyDescent="0.35">
      <c r="A4980" t="s">
        <v>4918</v>
      </c>
      <c r="B4980" t="s">
        <v>4990</v>
      </c>
      <c r="C4980">
        <v>178</v>
      </c>
      <c r="D4980">
        <v>32</v>
      </c>
      <c r="E4980" t="s">
        <v>11</v>
      </c>
    </row>
    <row r="4981" spans="1:5" x14ac:dyDescent="0.35">
      <c r="A4981" t="s">
        <v>4918</v>
      </c>
      <c r="B4981" t="s">
        <v>4991</v>
      </c>
      <c r="C4981">
        <v>229</v>
      </c>
      <c r="D4981">
        <v>35</v>
      </c>
      <c r="E4981" t="s">
        <v>21</v>
      </c>
    </row>
    <row r="4982" spans="1:5" x14ac:dyDescent="0.35">
      <c r="A4982" t="s">
        <v>4918</v>
      </c>
      <c r="B4982" t="s">
        <v>4992</v>
      </c>
      <c r="C4982">
        <v>292</v>
      </c>
      <c r="D4982">
        <v>49</v>
      </c>
      <c r="E4982" t="s">
        <v>33</v>
      </c>
    </row>
    <row r="4983" spans="1:5" x14ac:dyDescent="0.35">
      <c r="A4983" t="s">
        <v>4918</v>
      </c>
      <c r="B4983" t="s">
        <v>4993</v>
      </c>
      <c r="C4983">
        <v>194</v>
      </c>
      <c r="D4983">
        <v>183</v>
      </c>
      <c r="E4983" t="s">
        <v>11</v>
      </c>
    </row>
    <row r="4984" spans="1:5" x14ac:dyDescent="0.35">
      <c r="A4984" t="s">
        <v>4918</v>
      </c>
      <c r="B4984" t="s">
        <v>4994</v>
      </c>
      <c r="C4984">
        <v>276</v>
      </c>
      <c r="D4984">
        <v>110</v>
      </c>
      <c r="E4984" t="s">
        <v>33</v>
      </c>
    </row>
    <row r="4985" spans="1:5" x14ac:dyDescent="0.35">
      <c r="A4985" t="s">
        <v>4918</v>
      </c>
      <c r="B4985" t="s">
        <v>4995</v>
      </c>
      <c r="C4985">
        <v>149</v>
      </c>
      <c r="D4985">
        <v>133</v>
      </c>
      <c r="E4985" t="s">
        <v>15</v>
      </c>
    </row>
    <row r="4986" spans="1:5" x14ac:dyDescent="0.35">
      <c r="A4986" t="s">
        <v>4918</v>
      </c>
      <c r="B4986" t="s">
        <v>4996</v>
      </c>
      <c r="C4986">
        <v>302</v>
      </c>
      <c r="D4986">
        <v>96</v>
      </c>
      <c r="E4986" t="s">
        <v>15</v>
      </c>
    </row>
    <row r="4987" spans="1:5" x14ac:dyDescent="0.35">
      <c r="A4987" t="s">
        <v>4918</v>
      </c>
      <c r="B4987" t="s">
        <v>4997</v>
      </c>
      <c r="C4987">
        <v>297</v>
      </c>
      <c r="D4987">
        <v>180</v>
      </c>
      <c r="E4987" t="s">
        <v>11</v>
      </c>
    </row>
    <row r="4988" spans="1:5" x14ac:dyDescent="0.35">
      <c r="A4988" t="s">
        <v>4918</v>
      </c>
      <c r="B4988" t="s">
        <v>4998</v>
      </c>
      <c r="C4988">
        <v>103</v>
      </c>
      <c r="D4988">
        <v>81</v>
      </c>
      <c r="E4988" t="s">
        <v>11</v>
      </c>
    </row>
    <row r="4989" spans="1:5" x14ac:dyDescent="0.35">
      <c r="A4989" t="s">
        <v>4918</v>
      </c>
      <c r="B4989" t="s">
        <v>4999</v>
      </c>
      <c r="C4989">
        <v>251</v>
      </c>
      <c r="D4989">
        <v>69</v>
      </c>
      <c r="E4989" t="s">
        <v>15</v>
      </c>
    </row>
    <row r="4990" spans="1:5" x14ac:dyDescent="0.35">
      <c r="A4990" t="s">
        <v>4918</v>
      </c>
      <c r="B4990" t="s">
        <v>5000</v>
      </c>
      <c r="C4990">
        <v>245</v>
      </c>
      <c r="D4990">
        <v>117</v>
      </c>
      <c r="E4990" t="s">
        <v>9</v>
      </c>
    </row>
    <row r="4991" spans="1:5" x14ac:dyDescent="0.35">
      <c r="A4991" t="s">
        <v>4918</v>
      </c>
      <c r="B4991" t="s">
        <v>5001</v>
      </c>
      <c r="C4991">
        <v>248</v>
      </c>
      <c r="D4991">
        <v>179</v>
      </c>
      <c r="E4991" t="s">
        <v>7</v>
      </c>
    </row>
    <row r="4992" spans="1:5" x14ac:dyDescent="0.35">
      <c r="A4992" t="s">
        <v>4918</v>
      </c>
      <c r="B4992" t="s">
        <v>5002</v>
      </c>
      <c r="C4992">
        <v>184</v>
      </c>
      <c r="D4992">
        <v>39</v>
      </c>
      <c r="E4992" t="s">
        <v>17</v>
      </c>
    </row>
    <row r="4993" spans="1:5" x14ac:dyDescent="0.35">
      <c r="A4993" t="s">
        <v>4918</v>
      </c>
      <c r="B4993" t="s">
        <v>5003</v>
      </c>
      <c r="C4993">
        <v>109</v>
      </c>
      <c r="D4993">
        <v>59</v>
      </c>
      <c r="E4993" t="s">
        <v>21</v>
      </c>
    </row>
    <row r="4994" spans="1:5" x14ac:dyDescent="0.35">
      <c r="A4994" t="s">
        <v>4918</v>
      </c>
      <c r="B4994" t="s">
        <v>5004</v>
      </c>
      <c r="C4994">
        <v>226</v>
      </c>
      <c r="D4994">
        <v>70</v>
      </c>
      <c r="E4994" t="s">
        <v>33</v>
      </c>
    </row>
    <row r="4995" spans="1:5" x14ac:dyDescent="0.35">
      <c r="A4995" t="s">
        <v>4918</v>
      </c>
      <c r="B4995" t="s">
        <v>5005</v>
      </c>
      <c r="C4995">
        <v>311</v>
      </c>
      <c r="D4995">
        <v>118</v>
      </c>
      <c r="E4995" t="s">
        <v>7</v>
      </c>
    </row>
    <row r="4996" spans="1:5" x14ac:dyDescent="0.35">
      <c r="A4996" t="s">
        <v>4918</v>
      </c>
      <c r="B4996" t="s">
        <v>5006</v>
      </c>
      <c r="C4996">
        <v>274</v>
      </c>
      <c r="D4996">
        <v>91</v>
      </c>
      <c r="E4996" t="s">
        <v>21</v>
      </c>
    </row>
    <row r="4997" spans="1:5" x14ac:dyDescent="0.35">
      <c r="A4997" t="s">
        <v>4918</v>
      </c>
      <c r="B4997" t="s">
        <v>5007</v>
      </c>
      <c r="C4997">
        <v>308</v>
      </c>
      <c r="D4997">
        <v>161</v>
      </c>
      <c r="E4997" t="s">
        <v>33</v>
      </c>
    </row>
    <row r="4998" spans="1:5" x14ac:dyDescent="0.35">
      <c r="A4998" t="s">
        <v>4918</v>
      </c>
      <c r="B4998" t="s">
        <v>5008</v>
      </c>
      <c r="C4998">
        <v>315</v>
      </c>
      <c r="D4998">
        <v>99</v>
      </c>
      <c r="E4998" t="s">
        <v>15</v>
      </c>
    </row>
    <row r="4999" spans="1:5" x14ac:dyDescent="0.35">
      <c r="A4999" t="s">
        <v>4918</v>
      </c>
      <c r="B4999" t="s">
        <v>5009</v>
      </c>
      <c r="C4999">
        <v>223</v>
      </c>
      <c r="D4999">
        <v>162</v>
      </c>
      <c r="E4999" t="s">
        <v>15</v>
      </c>
    </row>
    <row r="5000" spans="1:5" x14ac:dyDescent="0.35">
      <c r="A5000" t="s">
        <v>4918</v>
      </c>
      <c r="B5000" t="s">
        <v>5010</v>
      </c>
      <c r="C5000">
        <v>210</v>
      </c>
      <c r="D5000">
        <v>130</v>
      </c>
      <c r="E5000" t="s">
        <v>9</v>
      </c>
    </row>
    <row r="5001" spans="1:5" x14ac:dyDescent="0.35">
      <c r="A5001" t="s">
        <v>4918</v>
      </c>
      <c r="B5001" t="s">
        <v>5011</v>
      </c>
      <c r="C5001">
        <v>207</v>
      </c>
      <c r="D5001">
        <v>99</v>
      </c>
      <c r="E5001" t="s">
        <v>11</v>
      </c>
    </row>
    <row r="5002" spans="1:5" x14ac:dyDescent="0.35">
      <c r="A5002" t="s">
        <v>4918</v>
      </c>
      <c r="B5002" t="s">
        <v>5012</v>
      </c>
      <c r="C5002">
        <v>161</v>
      </c>
      <c r="D5002">
        <v>36</v>
      </c>
      <c r="E5002" t="s">
        <v>7</v>
      </c>
    </row>
    <row r="5003" spans="1:5" x14ac:dyDescent="0.35">
      <c r="A5003" t="s">
        <v>4918</v>
      </c>
      <c r="B5003" t="s">
        <v>5013</v>
      </c>
      <c r="C5003">
        <v>309</v>
      </c>
      <c r="D5003">
        <v>143</v>
      </c>
      <c r="E5003" t="s">
        <v>9</v>
      </c>
    </row>
    <row r="5004" spans="1:5" x14ac:dyDescent="0.35">
      <c r="A5004" t="s">
        <v>4918</v>
      </c>
      <c r="B5004" t="s">
        <v>5014</v>
      </c>
      <c r="C5004">
        <v>203</v>
      </c>
      <c r="D5004">
        <v>88</v>
      </c>
      <c r="E5004" t="s">
        <v>11</v>
      </c>
    </row>
    <row r="5005" spans="1:5" x14ac:dyDescent="0.35">
      <c r="A5005" t="s">
        <v>4918</v>
      </c>
      <c r="B5005" t="s">
        <v>5015</v>
      </c>
      <c r="C5005">
        <v>305</v>
      </c>
      <c r="D5005">
        <v>168</v>
      </c>
      <c r="E5005" t="s">
        <v>15</v>
      </c>
    </row>
    <row r="5006" spans="1:5" x14ac:dyDescent="0.35">
      <c r="A5006" t="s">
        <v>4918</v>
      </c>
      <c r="B5006" t="s">
        <v>5016</v>
      </c>
      <c r="C5006">
        <v>255</v>
      </c>
      <c r="D5006">
        <v>189</v>
      </c>
      <c r="E5006" t="s">
        <v>21</v>
      </c>
    </row>
    <row r="5007" spans="1:5" x14ac:dyDescent="0.35">
      <c r="A5007" t="s">
        <v>4918</v>
      </c>
      <c r="B5007" t="s">
        <v>5017</v>
      </c>
      <c r="C5007">
        <v>203</v>
      </c>
      <c r="D5007">
        <v>146</v>
      </c>
      <c r="E5007" t="s">
        <v>15</v>
      </c>
    </row>
    <row r="5008" spans="1:5" x14ac:dyDescent="0.35">
      <c r="A5008" t="s">
        <v>4918</v>
      </c>
      <c r="B5008" t="s">
        <v>5018</v>
      </c>
      <c r="C5008">
        <v>219</v>
      </c>
      <c r="D5008">
        <v>129</v>
      </c>
      <c r="E5008" t="s">
        <v>7</v>
      </c>
    </row>
    <row r="5009" spans="1:5" x14ac:dyDescent="0.35">
      <c r="A5009" t="s">
        <v>4918</v>
      </c>
      <c r="B5009" t="s">
        <v>5019</v>
      </c>
      <c r="C5009">
        <v>281</v>
      </c>
      <c r="D5009">
        <v>43</v>
      </c>
      <c r="E5009" t="s">
        <v>17</v>
      </c>
    </row>
    <row r="5010" spans="1:5" x14ac:dyDescent="0.35">
      <c r="A5010" t="s">
        <v>4918</v>
      </c>
      <c r="B5010" t="s">
        <v>5020</v>
      </c>
      <c r="C5010">
        <v>180</v>
      </c>
      <c r="D5010">
        <v>154</v>
      </c>
      <c r="E5010" t="s">
        <v>9</v>
      </c>
    </row>
    <row r="5011" spans="1:5" x14ac:dyDescent="0.35">
      <c r="A5011" t="s">
        <v>4918</v>
      </c>
      <c r="B5011" t="s">
        <v>5021</v>
      </c>
      <c r="C5011">
        <v>159</v>
      </c>
      <c r="D5011">
        <v>130</v>
      </c>
      <c r="E5011" t="s">
        <v>17</v>
      </c>
    </row>
    <row r="5012" spans="1:5" x14ac:dyDescent="0.35">
      <c r="A5012" t="s">
        <v>4918</v>
      </c>
      <c r="B5012" t="s">
        <v>5022</v>
      </c>
      <c r="C5012">
        <v>154</v>
      </c>
      <c r="D5012">
        <v>148</v>
      </c>
      <c r="E5012" t="s">
        <v>17</v>
      </c>
    </row>
    <row r="5013" spans="1:5" x14ac:dyDescent="0.35">
      <c r="A5013" t="s">
        <v>4918</v>
      </c>
      <c r="B5013" t="s">
        <v>5023</v>
      </c>
      <c r="C5013">
        <v>122</v>
      </c>
      <c r="D5013">
        <v>40</v>
      </c>
      <c r="E5013" t="s">
        <v>11</v>
      </c>
    </row>
    <row r="5014" spans="1:5" x14ac:dyDescent="0.35">
      <c r="A5014" t="s">
        <v>4918</v>
      </c>
      <c r="B5014" t="s">
        <v>5024</v>
      </c>
      <c r="C5014">
        <v>262</v>
      </c>
      <c r="D5014">
        <v>180</v>
      </c>
      <c r="E5014" t="s">
        <v>15</v>
      </c>
    </row>
    <row r="5015" spans="1:5" x14ac:dyDescent="0.35">
      <c r="A5015" t="s">
        <v>4918</v>
      </c>
      <c r="B5015" t="s">
        <v>5025</v>
      </c>
      <c r="C5015">
        <v>91</v>
      </c>
      <c r="D5015">
        <v>36</v>
      </c>
      <c r="E5015" t="s">
        <v>11</v>
      </c>
    </row>
    <row r="5016" spans="1:5" x14ac:dyDescent="0.35">
      <c r="A5016" t="s">
        <v>4918</v>
      </c>
      <c r="B5016" t="s">
        <v>5026</v>
      </c>
      <c r="C5016">
        <v>192</v>
      </c>
      <c r="D5016">
        <v>188</v>
      </c>
      <c r="E5016" t="s">
        <v>9</v>
      </c>
    </row>
    <row r="5017" spans="1:5" x14ac:dyDescent="0.35">
      <c r="A5017" t="s">
        <v>4918</v>
      </c>
      <c r="B5017" t="s">
        <v>5027</v>
      </c>
      <c r="C5017">
        <v>162</v>
      </c>
      <c r="D5017">
        <v>115</v>
      </c>
      <c r="E5017" t="s">
        <v>9</v>
      </c>
    </row>
    <row r="5018" spans="1:5" x14ac:dyDescent="0.35">
      <c r="A5018" t="s">
        <v>4918</v>
      </c>
      <c r="B5018" t="s">
        <v>5028</v>
      </c>
      <c r="C5018">
        <v>303</v>
      </c>
      <c r="D5018">
        <v>90</v>
      </c>
      <c r="E5018" t="s">
        <v>33</v>
      </c>
    </row>
    <row r="5019" spans="1:5" x14ac:dyDescent="0.35">
      <c r="A5019" t="s">
        <v>4918</v>
      </c>
      <c r="B5019" t="s">
        <v>5029</v>
      </c>
      <c r="C5019">
        <v>143</v>
      </c>
      <c r="D5019">
        <v>62</v>
      </c>
      <c r="E5019" t="s">
        <v>15</v>
      </c>
    </row>
    <row r="5020" spans="1:5" x14ac:dyDescent="0.35">
      <c r="A5020" t="s">
        <v>4918</v>
      </c>
      <c r="B5020" t="s">
        <v>5030</v>
      </c>
      <c r="C5020">
        <v>129</v>
      </c>
      <c r="D5020">
        <v>94</v>
      </c>
      <c r="E5020" t="s">
        <v>33</v>
      </c>
    </row>
    <row r="5021" spans="1:5" x14ac:dyDescent="0.35">
      <c r="A5021" t="s">
        <v>4918</v>
      </c>
      <c r="B5021" t="s">
        <v>5031</v>
      </c>
      <c r="C5021">
        <v>262</v>
      </c>
      <c r="D5021">
        <v>187</v>
      </c>
      <c r="E5021" t="s">
        <v>7</v>
      </c>
    </row>
    <row r="5022" spans="1:5" x14ac:dyDescent="0.35">
      <c r="A5022" t="s">
        <v>4918</v>
      </c>
      <c r="B5022" t="s">
        <v>5032</v>
      </c>
      <c r="C5022">
        <v>311</v>
      </c>
      <c r="D5022">
        <v>181</v>
      </c>
      <c r="E5022" t="s">
        <v>7</v>
      </c>
    </row>
    <row r="5023" spans="1:5" x14ac:dyDescent="0.35">
      <c r="A5023" t="s">
        <v>4918</v>
      </c>
      <c r="B5023" t="s">
        <v>5033</v>
      </c>
      <c r="C5023">
        <v>255</v>
      </c>
      <c r="D5023">
        <v>155</v>
      </c>
      <c r="E5023" t="s">
        <v>7</v>
      </c>
    </row>
    <row r="5024" spans="1:5" x14ac:dyDescent="0.35">
      <c r="A5024" t="s">
        <v>4918</v>
      </c>
      <c r="B5024" t="s">
        <v>5034</v>
      </c>
      <c r="C5024">
        <v>190</v>
      </c>
      <c r="D5024">
        <v>54</v>
      </c>
      <c r="E5024" t="s">
        <v>11</v>
      </c>
    </row>
    <row r="5025" spans="1:5" x14ac:dyDescent="0.35">
      <c r="A5025" t="s">
        <v>4918</v>
      </c>
      <c r="B5025" t="s">
        <v>5035</v>
      </c>
      <c r="C5025">
        <v>170</v>
      </c>
      <c r="D5025">
        <v>36</v>
      </c>
      <c r="E5025" t="s">
        <v>21</v>
      </c>
    </row>
    <row r="5026" spans="1:5" x14ac:dyDescent="0.35">
      <c r="A5026" t="s">
        <v>4918</v>
      </c>
      <c r="B5026" t="s">
        <v>5036</v>
      </c>
      <c r="C5026">
        <v>313</v>
      </c>
      <c r="D5026">
        <v>130</v>
      </c>
      <c r="E5026" t="s">
        <v>11</v>
      </c>
    </row>
    <row r="5027" spans="1:5" x14ac:dyDescent="0.35">
      <c r="A5027" t="s">
        <v>4918</v>
      </c>
      <c r="B5027" t="s">
        <v>5037</v>
      </c>
      <c r="C5027">
        <v>185</v>
      </c>
      <c r="D5027">
        <v>115</v>
      </c>
      <c r="E5027" t="s">
        <v>7</v>
      </c>
    </row>
    <row r="5028" spans="1:5" x14ac:dyDescent="0.35">
      <c r="A5028" t="s">
        <v>4918</v>
      </c>
      <c r="B5028" t="s">
        <v>5038</v>
      </c>
      <c r="C5028">
        <v>296</v>
      </c>
      <c r="D5028">
        <v>188</v>
      </c>
      <c r="E5028" t="s">
        <v>15</v>
      </c>
    </row>
    <row r="5029" spans="1:5" x14ac:dyDescent="0.35">
      <c r="A5029" t="s">
        <v>4918</v>
      </c>
      <c r="B5029" t="s">
        <v>5039</v>
      </c>
      <c r="C5029">
        <v>201</v>
      </c>
      <c r="D5029">
        <v>150</v>
      </c>
      <c r="E5029" t="s">
        <v>7</v>
      </c>
    </row>
    <row r="5030" spans="1:5" x14ac:dyDescent="0.35">
      <c r="A5030" t="s">
        <v>4918</v>
      </c>
      <c r="B5030" t="s">
        <v>5040</v>
      </c>
      <c r="C5030">
        <v>110</v>
      </c>
      <c r="D5030">
        <v>42</v>
      </c>
      <c r="E5030" t="s">
        <v>17</v>
      </c>
    </row>
    <row r="5031" spans="1:5" x14ac:dyDescent="0.35">
      <c r="A5031" t="s">
        <v>4918</v>
      </c>
      <c r="B5031" t="s">
        <v>5041</v>
      </c>
      <c r="C5031">
        <v>154</v>
      </c>
      <c r="D5031">
        <v>149</v>
      </c>
      <c r="E5031" t="s">
        <v>11</v>
      </c>
    </row>
    <row r="5032" spans="1:5" x14ac:dyDescent="0.35">
      <c r="A5032" t="s">
        <v>4918</v>
      </c>
      <c r="B5032" t="s">
        <v>5042</v>
      </c>
      <c r="C5032">
        <v>83</v>
      </c>
      <c r="D5032">
        <v>37</v>
      </c>
      <c r="E5032" t="s">
        <v>17</v>
      </c>
    </row>
    <row r="5033" spans="1:5" x14ac:dyDescent="0.35">
      <c r="A5033" t="s">
        <v>4918</v>
      </c>
      <c r="B5033" t="s">
        <v>5043</v>
      </c>
      <c r="C5033">
        <v>269</v>
      </c>
      <c r="D5033">
        <v>145</v>
      </c>
      <c r="E5033" t="s">
        <v>9</v>
      </c>
    </row>
    <row r="5034" spans="1:5" x14ac:dyDescent="0.35">
      <c r="A5034" t="s">
        <v>4918</v>
      </c>
      <c r="B5034" t="s">
        <v>5044</v>
      </c>
      <c r="C5034">
        <v>102</v>
      </c>
      <c r="D5034">
        <v>65</v>
      </c>
      <c r="E5034" t="s">
        <v>15</v>
      </c>
    </row>
    <row r="5035" spans="1:5" x14ac:dyDescent="0.35">
      <c r="A5035" t="s">
        <v>4918</v>
      </c>
      <c r="B5035" t="s">
        <v>5045</v>
      </c>
      <c r="C5035">
        <v>160</v>
      </c>
      <c r="D5035">
        <v>43</v>
      </c>
      <c r="E5035" t="s">
        <v>21</v>
      </c>
    </row>
    <row r="5036" spans="1:5" x14ac:dyDescent="0.35">
      <c r="A5036" t="s">
        <v>4918</v>
      </c>
      <c r="B5036" t="s">
        <v>5046</v>
      </c>
      <c r="C5036">
        <v>165</v>
      </c>
      <c r="D5036">
        <v>69</v>
      </c>
      <c r="E5036" t="s">
        <v>11</v>
      </c>
    </row>
    <row r="5037" spans="1:5" x14ac:dyDescent="0.35">
      <c r="A5037" t="s">
        <v>4918</v>
      </c>
      <c r="B5037" t="s">
        <v>5047</v>
      </c>
      <c r="C5037">
        <v>227</v>
      </c>
      <c r="D5037">
        <v>125</v>
      </c>
      <c r="E5037" t="s">
        <v>17</v>
      </c>
    </row>
    <row r="5038" spans="1:5" x14ac:dyDescent="0.35">
      <c r="A5038" t="s">
        <v>4918</v>
      </c>
      <c r="B5038" t="s">
        <v>5048</v>
      </c>
      <c r="C5038">
        <v>72</v>
      </c>
      <c r="D5038">
        <v>35</v>
      </c>
      <c r="E5038" t="s">
        <v>21</v>
      </c>
    </row>
    <row r="5039" spans="1:5" x14ac:dyDescent="0.35">
      <c r="A5039" t="s">
        <v>4918</v>
      </c>
      <c r="B5039" t="s">
        <v>5049</v>
      </c>
      <c r="C5039">
        <v>179</v>
      </c>
      <c r="D5039">
        <v>44</v>
      </c>
      <c r="E5039" t="s">
        <v>9</v>
      </c>
    </row>
    <row r="5040" spans="1:5" x14ac:dyDescent="0.35">
      <c r="A5040" t="s">
        <v>4918</v>
      </c>
      <c r="B5040" t="s">
        <v>5050</v>
      </c>
      <c r="C5040">
        <v>300</v>
      </c>
      <c r="D5040">
        <v>52</v>
      </c>
      <c r="E5040" t="s">
        <v>17</v>
      </c>
    </row>
    <row r="5041" spans="1:5" x14ac:dyDescent="0.35">
      <c r="A5041" t="s">
        <v>4918</v>
      </c>
      <c r="B5041" t="s">
        <v>5051</v>
      </c>
      <c r="C5041">
        <v>312</v>
      </c>
      <c r="D5041">
        <v>77</v>
      </c>
      <c r="E5041" t="s">
        <v>15</v>
      </c>
    </row>
    <row r="5042" spans="1:5" x14ac:dyDescent="0.35">
      <c r="A5042" t="s">
        <v>4918</v>
      </c>
      <c r="B5042" t="s">
        <v>5052</v>
      </c>
      <c r="C5042">
        <v>291</v>
      </c>
      <c r="D5042">
        <v>49</v>
      </c>
      <c r="E5042" t="s">
        <v>15</v>
      </c>
    </row>
    <row r="5043" spans="1:5" x14ac:dyDescent="0.35">
      <c r="A5043" t="s">
        <v>4918</v>
      </c>
      <c r="B5043" t="s">
        <v>5053</v>
      </c>
      <c r="C5043">
        <v>221</v>
      </c>
      <c r="D5043">
        <v>175</v>
      </c>
      <c r="E5043" t="s">
        <v>17</v>
      </c>
    </row>
    <row r="5044" spans="1:5" x14ac:dyDescent="0.35">
      <c r="A5044" t="s">
        <v>4918</v>
      </c>
      <c r="B5044" t="s">
        <v>5054</v>
      </c>
      <c r="C5044">
        <v>248</v>
      </c>
      <c r="D5044">
        <v>128</v>
      </c>
      <c r="E5044" t="s">
        <v>9</v>
      </c>
    </row>
    <row r="5045" spans="1:5" x14ac:dyDescent="0.35">
      <c r="A5045" t="s">
        <v>4918</v>
      </c>
      <c r="B5045" t="s">
        <v>5055</v>
      </c>
      <c r="C5045">
        <v>305</v>
      </c>
      <c r="D5045">
        <v>186</v>
      </c>
      <c r="E5045" t="s">
        <v>9</v>
      </c>
    </row>
    <row r="5046" spans="1:5" x14ac:dyDescent="0.35">
      <c r="A5046" t="s">
        <v>4918</v>
      </c>
      <c r="B5046" t="s">
        <v>5056</v>
      </c>
      <c r="C5046">
        <v>251</v>
      </c>
      <c r="D5046">
        <v>173</v>
      </c>
      <c r="E5046" t="s">
        <v>7</v>
      </c>
    </row>
    <row r="5047" spans="1:5" x14ac:dyDescent="0.35">
      <c r="A5047" t="s">
        <v>4918</v>
      </c>
      <c r="B5047" t="s">
        <v>5057</v>
      </c>
      <c r="C5047">
        <v>274</v>
      </c>
      <c r="D5047">
        <v>158</v>
      </c>
      <c r="E5047" t="s">
        <v>21</v>
      </c>
    </row>
    <row r="5048" spans="1:5" x14ac:dyDescent="0.35">
      <c r="A5048" t="s">
        <v>4918</v>
      </c>
      <c r="B5048" t="s">
        <v>5058</v>
      </c>
      <c r="C5048">
        <v>207</v>
      </c>
      <c r="D5048">
        <v>156</v>
      </c>
      <c r="E5048" t="s">
        <v>33</v>
      </c>
    </row>
    <row r="5049" spans="1:5" x14ac:dyDescent="0.35">
      <c r="A5049" t="s">
        <v>4918</v>
      </c>
      <c r="B5049" t="s">
        <v>5059</v>
      </c>
      <c r="C5049">
        <v>207</v>
      </c>
      <c r="D5049">
        <v>123</v>
      </c>
      <c r="E5049" t="s">
        <v>7</v>
      </c>
    </row>
    <row r="5050" spans="1:5" x14ac:dyDescent="0.35">
      <c r="A5050" t="s">
        <v>4918</v>
      </c>
      <c r="B5050" t="s">
        <v>5060</v>
      </c>
      <c r="C5050">
        <v>298</v>
      </c>
      <c r="D5050">
        <v>37</v>
      </c>
      <c r="E5050" t="s">
        <v>33</v>
      </c>
    </row>
    <row r="5051" spans="1:5" x14ac:dyDescent="0.35">
      <c r="A5051" t="s">
        <v>4918</v>
      </c>
      <c r="B5051" t="s">
        <v>5061</v>
      </c>
      <c r="C5051">
        <v>241</v>
      </c>
      <c r="D5051">
        <v>122</v>
      </c>
      <c r="E5051" t="s">
        <v>15</v>
      </c>
    </row>
    <row r="5052" spans="1:5" x14ac:dyDescent="0.35">
      <c r="A5052" t="s">
        <v>4918</v>
      </c>
      <c r="B5052" t="s">
        <v>5062</v>
      </c>
      <c r="C5052">
        <v>265</v>
      </c>
      <c r="D5052">
        <v>168</v>
      </c>
      <c r="E5052" t="s">
        <v>7</v>
      </c>
    </row>
    <row r="5053" spans="1:5" x14ac:dyDescent="0.35">
      <c r="A5053" t="s">
        <v>4918</v>
      </c>
      <c r="B5053" t="s">
        <v>5063</v>
      </c>
      <c r="C5053">
        <v>218</v>
      </c>
      <c r="D5053">
        <v>64</v>
      </c>
      <c r="E5053" t="s">
        <v>15</v>
      </c>
    </row>
    <row r="5054" spans="1:5" x14ac:dyDescent="0.35">
      <c r="A5054" t="s">
        <v>4918</v>
      </c>
      <c r="B5054" t="s">
        <v>5064</v>
      </c>
      <c r="C5054">
        <v>145</v>
      </c>
      <c r="D5054">
        <v>101</v>
      </c>
      <c r="E5054" t="s">
        <v>17</v>
      </c>
    </row>
    <row r="5055" spans="1:5" x14ac:dyDescent="0.35">
      <c r="A5055" t="s">
        <v>4918</v>
      </c>
      <c r="B5055" t="s">
        <v>5065</v>
      </c>
      <c r="C5055">
        <v>308</v>
      </c>
      <c r="D5055">
        <v>87</v>
      </c>
      <c r="E5055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BAA5-EB27-4586-AC6A-96E2FBEAE7DB}">
  <sheetPr codeName="Sheet2"/>
  <dimension ref="A1:Q5056"/>
  <sheetViews>
    <sheetView topLeftCell="A5032" zoomScale="96" workbookViewId="0">
      <selection activeCell="B1" sqref="B1"/>
    </sheetView>
  </sheetViews>
  <sheetFormatPr defaultRowHeight="14.5" x14ac:dyDescent="0.35"/>
  <cols>
    <col min="1" max="1" width="24.7265625" bestFit="1" customWidth="1"/>
    <col min="2" max="2" width="43" bestFit="1" customWidth="1"/>
    <col min="3" max="3" width="18.6328125" bestFit="1" customWidth="1"/>
    <col min="4" max="4" width="13.08984375" bestFit="1" customWidth="1"/>
    <col min="5" max="5" width="24.7265625" bestFit="1" customWidth="1"/>
    <col min="6" max="6" width="15.90625" bestFit="1" customWidth="1"/>
    <col min="7" max="7" width="10.54296875" bestFit="1" customWidth="1"/>
    <col min="8" max="8" width="14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5066</v>
      </c>
      <c r="G1" t="s">
        <v>5067</v>
      </c>
      <c r="H1" t="s">
        <v>5094</v>
      </c>
    </row>
    <row r="2" spans="1:8" x14ac:dyDescent="0.35">
      <c r="A2" t="s">
        <v>5</v>
      </c>
      <c r="B2" t="s">
        <v>6</v>
      </c>
      <c r="C2">
        <v>272</v>
      </c>
      <c r="D2">
        <v>190</v>
      </c>
      <c r="E2" t="s">
        <v>7</v>
      </c>
      <c r="F2">
        <f>tbl_AQI[[#This Row],[Most AQI Reached]]-tbl_AQI[[#This Row],[Current AQI]]</f>
        <v>82</v>
      </c>
      <c r="G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">
        <f>RANK(tbl_AQI[[#This Row],[Current AQI]], tbl_AQI[Current AQI], 0)</f>
        <v>1355</v>
      </c>
    </row>
    <row r="3" spans="1:8" x14ac:dyDescent="0.35">
      <c r="A3" t="s">
        <v>5</v>
      </c>
      <c r="B3" t="s">
        <v>8</v>
      </c>
      <c r="C3">
        <v>280</v>
      </c>
      <c r="D3">
        <v>155</v>
      </c>
      <c r="E3" t="s">
        <v>9</v>
      </c>
      <c r="F3">
        <f>tbl_AQI[[#This Row],[Most AQI Reached]]-tbl_AQI[[#This Row],[Current AQI]]</f>
        <v>125</v>
      </c>
      <c r="G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">
        <f>RANK(tbl_AQI[[#This Row],[Current AQI]], tbl_AQI[Current AQI], 0)</f>
        <v>2275</v>
      </c>
    </row>
    <row r="4" spans="1:8" x14ac:dyDescent="0.35">
      <c r="A4" t="s">
        <v>5</v>
      </c>
      <c r="B4" t="s">
        <v>10</v>
      </c>
      <c r="C4">
        <v>258</v>
      </c>
      <c r="D4">
        <v>64</v>
      </c>
      <c r="E4" t="s">
        <v>11</v>
      </c>
      <c r="F4">
        <f>tbl_AQI[[#This Row],[Most AQI Reached]]-tbl_AQI[[#This Row],[Current AQI]]</f>
        <v>194</v>
      </c>
      <c r="G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">
        <f>RANK(tbl_AQI[[#This Row],[Current AQI]], tbl_AQI[Current AQI], 0)</f>
        <v>4293</v>
      </c>
    </row>
    <row r="5" spans="1:8" x14ac:dyDescent="0.35">
      <c r="A5" t="s">
        <v>5</v>
      </c>
      <c r="B5" t="s">
        <v>12</v>
      </c>
      <c r="C5">
        <v>133</v>
      </c>
      <c r="D5">
        <v>120</v>
      </c>
      <c r="E5" t="s">
        <v>11</v>
      </c>
      <c r="F5">
        <f>tbl_AQI[[#This Row],[Most AQI Reached]]-tbl_AQI[[#This Row],[Current AQI]]</f>
        <v>13</v>
      </c>
      <c r="G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">
        <f>RANK(tbl_AQI[[#This Row],[Current AQI]], tbl_AQI[Current AQI], 0)</f>
        <v>3066</v>
      </c>
    </row>
    <row r="6" spans="1:8" x14ac:dyDescent="0.35">
      <c r="A6" t="s">
        <v>5</v>
      </c>
      <c r="B6" t="s">
        <v>13</v>
      </c>
      <c r="C6">
        <v>221</v>
      </c>
      <c r="D6">
        <v>57</v>
      </c>
      <c r="E6" t="s">
        <v>9</v>
      </c>
      <c r="F6">
        <f>tbl_AQI[[#This Row],[Most AQI Reached]]-tbl_AQI[[#This Row],[Current AQI]]</f>
        <v>164</v>
      </c>
      <c r="G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6">
        <f>RANK(tbl_AQI[[#This Row],[Current AQI]], tbl_AQI[Current AQI], 0)</f>
        <v>4452</v>
      </c>
    </row>
    <row r="7" spans="1:8" x14ac:dyDescent="0.35">
      <c r="A7" t="s">
        <v>5</v>
      </c>
      <c r="B7" t="s">
        <v>14</v>
      </c>
      <c r="C7">
        <v>224</v>
      </c>
      <c r="D7">
        <v>39</v>
      </c>
      <c r="E7" t="s">
        <v>15</v>
      </c>
      <c r="F7">
        <f>tbl_AQI[[#This Row],[Most AQI Reached]]-tbl_AQI[[#This Row],[Current AQI]]</f>
        <v>185</v>
      </c>
      <c r="G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">
        <f>RANK(tbl_AQI[[#This Row],[Current AQI]], tbl_AQI[Current AQI], 0)</f>
        <v>4829</v>
      </c>
    </row>
    <row r="8" spans="1:8" x14ac:dyDescent="0.35">
      <c r="A8" t="s">
        <v>5</v>
      </c>
      <c r="B8" t="s">
        <v>16</v>
      </c>
      <c r="C8">
        <v>81</v>
      </c>
      <c r="D8">
        <v>34</v>
      </c>
      <c r="E8" t="s">
        <v>17</v>
      </c>
      <c r="F8">
        <f>tbl_AQI[[#This Row],[Most AQI Reached]]-tbl_AQI[[#This Row],[Current AQI]]</f>
        <v>47</v>
      </c>
      <c r="G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">
        <f>RANK(tbl_AQI[[#This Row],[Current AQI]], tbl_AQI[Current AQI], 0)</f>
        <v>4944</v>
      </c>
    </row>
    <row r="9" spans="1:8" x14ac:dyDescent="0.35">
      <c r="A9" t="s">
        <v>5</v>
      </c>
      <c r="B9" t="s">
        <v>18</v>
      </c>
      <c r="C9">
        <v>211</v>
      </c>
      <c r="D9">
        <v>57</v>
      </c>
      <c r="E9" t="s">
        <v>9</v>
      </c>
      <c r="F9">
        <f>tbl_AQI[[#This Row],[Most AQI Reached]]-tbl_AQI[[#This Row],[Current AQI]]</f>
        <v>154</v>
      </c>
      <c r="G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">
        <f>RANK(tbl_AQI[[#This Row],[Current AQI]], tbl_AQI[Current AQI], 0)</f>
        <v>4452</v>
      </c>
    </row>
    <row r="10" spans="1:8" x14ac:dyDescent="0.35">
      <c r="A10" t="s">
        <v>5</v>
      </c>
      <c r="B10" t="s">
        <v>19</v>
      </c>
      <c r="C10">
        <v>91</v>
      </c>
      <c r="D10">
        <v>58</v>
      </c>
      <c r="E10" t="s">
        <v>17</v>
      </c>
      <c r="F10">
        <f>tbl_AQI[[#This Row],[Most AQI Reached]]-tbl_AQI[[#This Row],[Current AQI]]</f>
        <v>33</v>
      </c>
      <c r="G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">
        <f>RANK(tbl_AQI[[#This Row],[Current AQI]], tbl_AQI[Current AQI], 0)</f>
        <v>4431</v>
      </c>
    </row>
    <row r="11" spans="1:8" x14ac:dyDescent="0.35">
      <c r="A11" t="s">
        <v>5</v>
      </c>
      <c r="B11" t="s">
        <v>20</v>
      </c>
      <c r="C11">
        <v>226</v>
      </c>
      <c r="D11">
        <v>164</v>
      </c>
      <c r="E11" t="s">
        <v>21</v>
      </c>
      <c r="F11">
        <f>tbl_AQI[[#This Row],[Most AQI Reached]]-tbl_AQI[[#This Row],[Current AQI]]</f>
        <v>62</v>
      </c>
      <c r="G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">
        <f>RANK(tbl_AQI[[#This Row],[Current AQI]], tbl_AQI[Current AQI], 0)</f>
        <v>2049</v>
      </c>
    </row>
    <row r="12" spans="1:8" x14ac:dyDescent="0.35">
      <c r="A12" t="s">
        <v>5</v>
      </c>
      <c r="B12" t="s">
        <v>22</v>
      </c>
      <c r="C12">
        <v>219</v>
      </c>
      <c r="D12">
        <v>70</v>
      </c>
      <c r="E12" t="s">
        <v>7</v>
      </c>
      <c r="F12">
        <f>tbl_AQI[[#This Row],[Most AQI Reached]]-tbl_AQI[[#This Row],[Current AQI]]</f>
        <v>149</v>
      </c>
      <c r="G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">
        <f>RANK(tbl_AQI[[#This Row],[Current AQI]], tbl_AQI[Current AQI], 0)</f>
        <v>4153</v>
      </c>
    </row>
    <row r="13" spans="1:8" x14ac:dyDescent="0.35">
      <c r="A13" t="s">
        <v>5</v>
      </c>
      <c r="B13" t="s">
        <v>23</v>
      </c>
      <c r="C13">
        <v>254</v>
      </c>
      <c r="D13">
        <v>133</v>
      </c>
      <c r="E13" t="s">
        <v>15</v>
      </c>
      <c r="F13">
        <f>tbl_AQI[[#This Row],[Most AQI Reached]]-tbl_AQI[[#This Row],[Current AQI]]</f>
        <v>121</v>
      </c>
      <c r="G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">
        <f>RANK(tbl_AQI[[#This Row],[Current AQI]], tbl_AQI[Current AQI], 0)</f>
        <v>2758</v>
      </c>
    </row>
    <row r="14" spans="1:8" x14ac:dyDescent="0.35">
      <c r="A14" t="s">
        <v>5</v>
      </c>
      <c r="B14" t="s">
        <v>24</v>
      </c>
      <c r="C14">
        <v>237</v>
      </c>
      <c r="D14">
        <v>152</v>
      </c>
      <c r="E14" t="s">
        <v>9</v>
      </c>
      <c r="F14">
        <f>tbl_AQI[[#This Row],[Most AQI Reached]]-tbl_AQI[[#This Row],[Current AQI]]</f>
        <v>85</v>
      </c>
      <c r="G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">
        <f>RANK(tbl_AQI[[#This Row],[Current AQI]], tbl_AQI[Current AQI], 0)</f>
        <v>2349</v>
      </c>
    </row>
    <row r="15" spans="1:8" x14ac:dyDescent="0.35">
      <c r="A15" t="s">
        <v>5</v>
      </c>
      <c r="B15" t="s">
        <v>25</v>
      </c>
      <c r="C15">
        <v>78</v>
      </c>
      <c r="D15">
        <v>64</v>
      </c>
      <c r="E15" t="s">
        <v>21</v>
      </c>
      <c r="F15">
        <f>tbl_AQI[[#This Row],[Most AQI Reached]]-tbl_AQI[[#This Row],[Current AQI]]</f>
        <v>14</v>
      </c>
      <c r="G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5">
        <f>RANK(tbl_AQI[[#This Row],[Current AQI]], tbl_AQI[Current AQI], 0)</f>
        <v>4293</v>
      </c>
    </row>
    <row r="16" spans="1:8" x14ac:dyDescent="0.35">
      <c r="A16" t="s">
        <v>5</v>
      </c>
      <c r="B16" t="s">
        <v>26</v>
      </c>
      <c r="C16">
        <v>227</v>
      </c>
      <c r="D16">
        <v>144</v>
      </c>
      <c r="E16" t="s">
        <v>21</v>
      </c>
      <c r="F16">
        <f>tbl_AQI[[#This Row],[Most AQI Reached]]-tbl_AQI[[#This Row],[Current AQI]]</f>
        <v>83</v>
      </c>
      <c r="G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">
        <f>RANK(tbl_AQI[[#This Row],[Current AQI]], tbl_AQI[Current AQI], 0)</f>
        <v>2550</v>
      </c>
    </row>
    <row r="17" spans="1:8" x14ac:dyDescent="0.35">
      <c r="A17" t="s">
        <v>5</v>
      </c>
      <c r="B17" t="s">
        <v>27</v>
      </c>
      <c r="C17">
        <v>84</v>
      </c>
      <c r="D17">
        <v>62</v>
      </c>
      <c r="E17" t="s">
        <v>17</v>
      </c>
      <c r="F17">
        <f>tbl_AQI[[#This Row],[Most AQI Reached]]-tbl_AQI[[#This Row],[Current AQI]]</f>
        <v>22</v>
      </c>
      <c r="G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">
        <f>RANK(tbl_AQI[[#This Row],[Current AQI]], tbl_AQI[Current AQI], 0)</f>
        <v>4343</v>
      </c>
    </row>
    <row r="18" spans="1:8" x14ac:dyDescent="0.35">
      <c r="A18" t="s">
        <v>5</v>
      </c>
      <c r="B18" t="s">
        <v>28</v>
      </c>
      <c r="C18">
        <v>94</v>
      </c>
      <c r="D18">
        <v>45</v>
      </c>
      <c r="E18" t="s">
        <v>15</v>
      </c>
      <c r="F18">
        <f>tbl_AQI[[#This Row],[Most AQI Reached]]-tbl_AQI[[#This Row],[Current AQI]]</f>
        <v>49</v>
      </c>
      <c r="G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">
        <f>RANK(tbl_AQI[[#This Row],[Current AQI]], tbl_AQI[Current AQI], 0)</f>
        <v>4702</v>
      </c>
    </row>
    <row r="19" spans="1:8" x14ac:dyDescent="0.35">
      <c r="A19" t="s">
        <v>5</v>
      </c>
      <c r="B19" t="s">
        <v>29</v>
      </c>
      <c r="C19">
        <v>289</v>
      </c>
      <c r="D19">
        <v>181</v>
      </c>
      <c r="E19" t="s">
        <v>11</v>
      </c>
      <c r="F19">
        <f>tbl_AQI[[#This Row],[Most AQI Reached]]-tbl_AQI[[#This Row],[Current AQI]]</f>
        <v>108</v>
      </c>
      <c r="G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">
        <f>RANK(tbl_AQI[[#This Row],[Current AQI]], tbl_AQI[Current AQI], 0)</f>
        <v>1609</v>
      </c>
    </row>
    <row r="20" spans="1:8" x14ac:dyDescent="0.35">
      <c r="A20" t="s">
        <v>5</v>
      </c>
      <c r="B20" t="s">
        <v>30</v>
      </c>
      <c r="C20">
        <v>247</v>
      </c>
      <c r="D20">
        <v>164</v>
      </c>
      <c r="E20" t="s">
        <v>17</v>
      </c>
      <c r="F20">
        <f>tbl_AQI[[#This Row],[Most AQI Reached]]-tbl_AQI[[#This Row],[Current AQI]]</f>
        <v>83</v>
      </c>
      <c r="G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">
        <f>RANK(tbl_AQI[[#This Row],[Current AQI]], tbl_AQI[Current AQI], 0)</f>
        <v>2049</v>
      </c>
    </row>
    <row r="21" spans="1:8" x14ac:dyDescent="0.35">
      <c r="A21" t="s">
        <v>5</v>
      </c>
      <c r="B21" t="s">
        <v>31</v>
      </c>
      <c r="C21">
        <v>168</v>
      </c>
      <c r="D21">
        <v>163</v>
      </c>
      <c r="E21" t="s">
        <v>17</v>
      </c>
      <c r="F21">
        <f>tbl_AQI[[#This Row],[Most AQI Reached]]-tbl_AQI[[#This Row],[Current AQI]]</f>
        <v>5</v>
      </c>
      <c r="G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">
        <f>RANK(tbl_AQI[[#This Row],[Current AQI]], tbl_AQI[Current AQI], 0)</f>
        <v>2075</v>
      </c>
    </row>
    <row r="22" spans="1:8" x14ac:dyDescent="0.35">
      <c r="A22" t="s">
        <v>5</v>
      </c>
      <c r="B22" t="s">
        <v>32</v>
      </c>
      <c r="C22">
        <v>291</v>
      </c>
      <c r="D22">
        <v>93</v>
      </c>
      <c r="E22" t="s">
        <v>33</v>
      </c>
      <c r="F22">
        <f>tbl_AQI[[#This Row],[Most AQI Reached]]-tbl_AQI[[#This Row],[Current AQI]]</f>
        <v>198</v>
      </c>
      <c r="G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">
        <f>RANK(tbl_AQI[[#This Row],[Current AQI]], tbl_AQI[Current AQI], 0)</f>
        <v>3678</v>
      </c>
    </row>
    <row r="23" spans="1:8" x14ac:dyDescent="0.35">
      <c r="A23" t="s">
        <v>5</v>
      </c>
      <c r="B23" t="s">
        <v>34</v>
      </c>
      <c r="C23">
        <v>263</v>
      </c>
      <c r="D23">
        <v>85</v>
      </c>
      <c r="E23" t="s">
        <v>21</v>
      </c>
      <c r="F23">
        <f>tbl_AQI[[#This Row],[Most AQI Reached]]-tbl_AQI[[#This Row],[Current AQI]]</f>
        <v>178</v>
      </c>
      <c r="G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">
        <f>RANK(tbl_AQI[[#This Row],[Current AQI]], tbl_AQI[Current AQI], 0)</f>
        <v>3852</v>
      </c>
    </row>
    <row r="24" spans="1:8" x14ac:dyDescent="0.35">
      <c r="A24" t="s">
        <v>5</v>
      </c>
      <c r="B24" t="s">
        <v>35</v>
      </c>
      <c r="C24">
        <v>142</v>
      </c>
      <c r="D24">
        <v>129</v>
      </c>
      <c r="E24" t="s">
        <v>17</v>
      </c>
      <c r="F24">
        <f>tbl_AQI[[#This Row],[Most AQI Reached]]-tbl_AQI[[#This Row],[Current AQI]]</f>
        <v>13</v>
      </c>
      <c r="G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">
        <f>RANK(tbl_AQI[[#This Row],[Current AQI]], tbl_AQI[Current AQI], 0)</f>
        <v>2852</v>
      </c>
    </row>
    <row r="25" spans="1:8" x14ac:dyDescent="0.35">
      <c r="A25" t="s">
        <v>5</v>
      </c>
      <c r="B25" t="s">
        <v>36</v>
      </c>
      <c r="C25">
        <v>241</v>
      </c>
      <c r="D25">
        <v>123</v>
      </c>
      <c r="E25" t="s">
        <v>17</v>
      </c>
      <c r="F25">
        <f>tbl_AQI[[#This Row],[Most AQI Reached]]-tbl_AQI[[#This Row],[Current AQI]]</f>
        <v>118</v>
      </c>
      <c r="G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">
        <f>RANK(tbl_AQI[[#This Row],[Current AQI]], tbl_AQI[Current AQI], 0)</f>
        <v>2983</v>
      </c>
    </row>
    <row r="26" spans="1:8" x14ac:dyDescent="0.35">
      <c r="A26" t="s">
        <v>5</v>
      </c>
      <c r="B26" t="s">
        <v>37</v>
      </c>
      <c r="C26">
        <v>296</v>
      </c>
      <c r="D26">
        <v>134</v>
      </c>
      <c r="E26" t="s">
        <v>17</v>
      </c>
      <c r="F26">
        <f>tbl_AQI[[#This Row],[Most AQI Reached]]-tbl_AQI[[#This Row],[Current AQI]]</f>
        <v>162</v>
      </c>
      <c r="G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">
        <f>RANK(tbl_AQI[[#This Row],[Current AQI]], tbl_AQI[Current AQI], 0)</f>
        <v>2740</v>
      </c>
    </row>
    <row r="27" spans="1:8" x14ac:dyDescent="0.35">
      <c r="A27" t="s">
        <v>5</v>
      </c>
      <c r="B27" t="s">
        <v>38</v>
      </c>
      <c r="C27">
        <v>298</v>
      </c>
      <c r="D27">
        <v>47</v>
      </c>
      <c r="E27" t="s">
        <v>21</v>
      </c>
      <c r="F27">
        <f>tbl_AQI[[#This Row],[Most AQI Reached]]-tbl_AQI[[#This Row],[Current AQI]]</f>
        <v>251</v>
      </c>
      <c r="G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">
        <f>RANK(tbl_AQI[[#This Row],[Current AQI]], tbl_AQI[Current AQI], 0)</f>
        <v>4656</v>
      </c>
    </row>
    <row r="28" spans="1:8" x14ac:dyDescent="0.35">
      <c r="A28" t="s">
        <v>5</v>
      </c>
      <c r="B28" t="s">
        <v>39</v>
      </c>
      <c r="C28">
        <v>150</v>
      </c>
      <c r="D28">
        <v>132</v>
      </c>
      <c r="E28" t="s">
        <v>15</v>
      </c>
      <c r="F28">
        <f>tbl_AQI[[#This Row],[Most AQI Reached]]-tbl_AQI[[#This Row],[Current AQI]]</f>
        <v>18</v>
      </c>
      <c r="G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">
        <f>RANK(tbl_AQI[[#This Row],[Current AQI]], tbl_AQI[Current AQI], 0)</f>
        <v>2792</v>
      </c>
    </row>
    <row r="29" spans="1:8" x14ac:dyDescent="0.35">
      <c r="A29" t="s">
        <v>5</v>
      </c>
      <c r="B29" t="s">
        <v>40</v>
      </c>
      <c r="C29">
        <v>150</v>
      </c>
      <c r="D29">
        <v>148</v>
      </c>
      <c r="E29" t="s">
        <v>7</v>
      </c>
      <c r="F29">
        <f>tbl_AQI[[#This Row],[Most AQI Reached]]-tbl_AQI[[#This Row],[Current AQI]]</f>
        <v>2</v>
      </c>
      <c r="G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">
        <f>RANK(tbl_AQI[[#This Row],[Current AQI]], tbl_AQI[Current AQI], 0)</f>
        <v>2446</v>
      </c>
    </row>
    <row r="30" spans="1:8" x14ac:dyDescent="0.35">
      <c r="A30" t="s">
        <v>5</v>
      </c>
      <c r="B30" t="s">
        <v>41</v>
      </c>
      <c r="C30">
        <v>315</v>
      </c>
      <c r="D30">
        <v>163</v>
      </c>
      <c r="E30" t="s">
        <v>21</v>
      </c>
      <c r="F30">
        <f>tbl_AQI[[#This Row],[Most AQI Reached]]-tbl_AQI[[#This Row],[Current AQI]]</f>
        <v>152</v>
      </c>
      <c r="G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">
        <f>RANK(tbl_AQI[[#This Row],[Current AQI]], tbl_AQI[Current AQI], 0)</f>
        <v>2075</v>
      </c>
    </row>
    <row r="31" spans="1:8" x14ac:dyDescent="0.35">
      <c r="A31" t="s">
        <v>5</v>
      </c>
      <c r="B31" t="s">
        <v>42</v>
      </c>
      <c r="C31">
        <v>249</v>
      </c>
      <c r="D31">
        <v>183</v>
      </c>
      <c r="E31" t="s">
        <v>9</v>
      </c>
      <c r="F31">
        <f>tbl_AQI[[#This Row],[Most AQI Reached]]-tbl_AQI[[#This Row],[Current AQI]]</f>
        <v>66</v>
      </c>
      <c r="G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">
        <f>RANK(tbl_AQI[[#This Row],[Current AQI]], tbl_AQI[Current AQI], 0)</f>
        <v>1572</v>
      </c>
    </row>
    <row r="32" spans="1:8" x14ac:dyDescent="0.35">
      <c r="A32" t="s">
        <v>5</v>
      </c>
      <c r="B32" t="s">
        <v>43</v>
      </c>
      <c r="C32">
        <v>135</v>
      </c>
      <c r="D32">
        <v>110</v>
      </c>
      <c r="E32" t="s">
        <v>9</v>
      </c>
      <c r="F32">
        <f>tbl_AQI[[#This Row],[Most AQI Reached]]-tbl_AQI[[#This Row],[Current AQI]]</f>
        <v>25</v>
      </c>
      <c r="G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">
        <f>RANK(tbl_AQI[[#This Row],[Current AQI]], tbl_AQI[Current AQI], 0)</f>
        <v>3302</v>
      </c>
    </row>
    <row r="33" spans="1:8" x14ac:dyDescent="0.35">
      <c r="A33" t="s">
        <v>5</v>
      </c>
      <c r="B33" t="s">
        <v>44</v>
      </c>
      <c r="C33">
        <v>206</v>
      </c>
      <c r="D33">
        <v>56</v>
      </c>
      <c r="E33" t="s">
        <v>11</v>
      </c>
      <c r="F33">
        <f>tbl_AQI[[#This Row],[Most AQI Reached]]-tbl_AQI[[#This Row],[Current AQI]]</f>
        <v>150</v>
      </c>
      <c r="G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">
        <f>RANK(tbl_AQI[[#This Row],[Current AQI]], tbl_AQI[Current AQI], 0)</f>
        <v>4474</v>
      </c>
    </row>
    <row r="34" spans="1:8" x14ac:dyDescent="0.35">
      <c r="A34" t="s">
        <v>5</v>
      </c>
      <c r="B34" t="s">
        <v>45</v>
      </c>
      <c r="C34">
        <v>69</v>
      </c>
      <c r="D34">
        <v>38</v>
      </c>
      <c r="E34" t="s">
        <v>15</v>
      </c>
      <c r="F34">
        <f>tbl_AQI[[#This Row],[Most AQI Reached]]-tbl_AQI[[#This Row],[Current AQI]]</f>
        <v>31</v>
      </c>
      <c r="G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4">
        <f>RANK(tbl_AQI[[#This Row],[Current AQI]], tbl_AQI[Current AQI], 0)</f>
        <v>4845</v>
      </c>
    </row>
    <row r="35" spans="1:8" x14ac:dyDescent="0.35">
      <c r="A35" t="s">
        <v>5</v>
      </c>
      <c r="B35" t="s">
        <v>46</v>
      </c>
      <c r="C35">
        <v>200</v>
      </c>
      <c r="D35">
        <v>169</v>
      </c>
      <c r="E35" t="s">
        <v>15</v>
      </c>
      <c r="F35">
        <f>tbl_AQI[[#This Row],[Most AQI Reached]]-tbl_AQI[[#This Row],[Current AQI]]</f>
        <v>31</v>
      </c>
      <c r="G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">
        <f>RANK(tbl_AQI[[#This Row],[Current AQI]], tbl_AQI[Current AQI], 0)</f>
        <v>1925</v>
      </c>
    </row>
    <row r="36" spans="1:8" x14ac:dyDescent="0.35">
      <c r="A36" t="s">
        <v>5</v>
      </c>
      <c r="B36" t="s">
        <v>47</v>
      </c>
      <c r="C36">
        <v>315</v>
      </c>
      <c r="D36">
        <v>182</v>
      </c>
      <c r="E36" t="s">
        <v>21</v>
      </c>
      <c r="F36">
        <f>tbl_AQI[[#This Row],[Most AQI Reached]]-tbl_AQI[[#This Row],[Current AQI]]</f>
        <v>133</v>
      </c>
      <c r="G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">
        <f>RANK(tbl_AQI[[#This Row],[Current AQI]], tbl_AQI[Current AQI], 0)</f>
        <v>1593</v>
      </c>
    </row>
    <row r="37" spans="1:8" x14ac:dyDescent="0.35">
      <c r="A37" t="s">
        <v>5</v>
      </c>
      <c r="B37" t="s">
        <v>48</v>
      </c>
      <c r="C37">
        <v>259</v>
      </c>
      <c r="D37">
        <v>176</v>
      </c>
      <c r="E37" t="s">
        <v>11</v>
      </c>
      <c r="F37">
        <f>tbl_AQI[[#This Row],[Most AQI Reached]]-tbl_AQI[[#This Row],[Current AQI]]</f>
        <v>83</v>
      </c>
      <c r="G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">
        <f>RANK(tbl_AQI[[#This Row],[Current AQI]], tbl_AQI[Current AQI], 0)</f>
        <v>1754</v>
      </c>
    </row>
    <row r="38" spans="1:8" x14ac:dyDescent="0.35">
      <c r="A38" t="s">
        <v>5</v>
      </c>
      <c r="B38" t="s">
        <v>49</v>
      </c>
      <c r="C38">
        <v>159</v>
      </c>
      <c r="D38">
        <v>60</v>
      </c>
      <c r="E38" t="s">
        <v>17</v>
      </c>
      <c r="F38">
        <f>tbl_AQI[[#This Row],[Most AQI Reached]]-tbl_AQI[[#This Row],[Current AQI]]</f>
        <v>99</v>
      </c>
      <c r="G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">
        <f>RANK(tbl_AQI[[#This Row],[Current AQI]], tbl_AQI[Current AQI], 0)</f>
        <v>4390</v>
      </c>
    </row>
    <row r="39" spans="1:8" x14ac:dyDescent="0.35">
      <c r="A39" t="s">
        <v>5</v>
      </c>
      <c r="B39" t="s">
        <v>50</v>
      </c>
      <c r="C39">
        <v>129</v>
      </c>
      <c r="D39">
        <v>111</v>
      </c>
      <c r="E39" t="s">
        <v>9</v>
      </c>
      <c r="F39">
        <f>tbl_AQI[[#This Row],[Most AQI Reached]]-tbl_AQI[[#This Row],[Current AQI]]</f>
        <v>18</v>
      </c>
      <c r="G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">
        <f>RANK(tbl_AQI[[#This Row],[Current AQI]], tbl_AQI[Current AQI], 0)</f>
        <v>3285</v>
      </c>
    </row>
    <row r="40" spans="1:8" x14ac:dyDescent="0.35">
      <c r="A40" t="s">
        <v>5</v>
      </c>
      <c r="B40" t="s">
        <v>51</v>
      </c>
      <c r="C40">
        <v>182</v>
      </c>
      <c r="D40">
        <v>108</v>
      </c>
      <c r="E40" t="s">
        <v>17</v>
      </c>
      <c r="F40">
        <f>tbl_AQI[[#This Row],[Most AQI Reached]]-tbl_AQI[[#This Row],[Current AQI]]</f>
        <v>74</v>
      </c>
      <c r="G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">
        <f>RANK(tbl_AQI[[#This Row],[Current AQI]], tbl_AQI[Current AQI], 0)</f>
        <v>3362</v>
      </c>
    </row>
    <row r="41" spans="1:8" x14ac:dyDescent="0.35">
      <c r="A41" t="s">
        <v>5</v>
      </c>
      <c r="B41" t="s">
        <v>52</v>
      </c>
      <c r="C41">
        <v>127</v>
      </c>
      <c r="D41">
        <v>74</v>
      </c>
      <c r="E41" t="s">
        <v>21</v>
      </c>
      <c r="F41">
        <f>tbl_AQI[[#This Row],[Most AQI Reached]]-tbl_AQI[[#This Row],[Current AQI]]</f>
        <v>53</v>
      </c>
      <c r="G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">
        <f>RANK(tbl_AQI[[#This Row],[Current AQI]], tbl_AQI[Current AQI], 0)</f>
        <v>4064</v>
      </c>
    </row>
    <row r="42" spans="1:8" x14ac:dyDescent="0.35">
      <c r="A42" t="s">
        <v>5</v>
      </c>
      <c r="B42" t="s">
        <v>53</v>
      </c>
      <c r="C42">
        <v>273</v>
      </c>
      <c r="D42">
        <v>110</v>
      </c>
      <c r="E42" t="s">
        <v>7</v>
      </c>
      <c r="F42">
        <f>tbl_AQI[[#This Row],[Most AQI Reached]]-tbl_AQI[[#This Row],[Current AQI]]</f>
        <v>163</v>
      </c>
      <c r="G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">
        <f>RANK(tbl_AQI[[#This Row],[Current AQI]], tbl_AQI[Current AQI], 0)</f>
        <v>3302</v>
      </c>
    </row>
    <row r="43" spans="1:8" x14ac:dyDescent="0.35">
      <c r="A43" t="s">
        <v>5</v>
      </c>
      <c r="B43" t="s">
        <v>54</v>
      </c>
      <c r="C43">
        <v>199</v>
      </c>
      <c r="D43">
        <v>165</v>
      </c>
      <c r="E43" t="s">
        <v>7</v>
      </c>
      <c r="F43">
        <f>tbl_AQI[[#This Row],[Most AQI Reached]]-tbl_AQI[[#This Row],[Current AQI]]</f>
        <v>34</v>
      </c>
      <c r="G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">
        <f>RANK(tbl_AQI[[#This Row],[Current AQI]], tbl_AQI[Current AQI], 0)</f>
        <v>2028</v>
      </c>
    </row>
    <row r="44" spans="1:8" x14ac:dyDescent="0.35">
      <c r="A44" t="s">
        <v>5</v>
      </c>
      <c r="B44" t="s">
        <v>55</v>
      </c>
      <c r="C44">
        <v>288</v>
      </c>
      <c r="D44">
        <v>75</v>
      </c>
      <c r="E44" t="s">
        <v>17</v>
      </c>
      <c r="F44">
        <f>tbl_AQI[[#This Row],[Most AQI Reached]]-tbl_AQI[[#This Row],[Current AQI]]</f>
        <v>213</v>
      </c>
      <c r="G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4">
        <f>RANK(tbl_AQI[[#This Row],[Current AQI]], tbl_AQI[Current AQI], 0)</f>
        <v>4041</v>
      </c>
    </row>
    <row r="45" spans="1:8" x14ac:dyDescent="0.35">
      <c r="A45" t="s">
        <v>5</v>
      </c>
      <c r="B45" t="s">
        <v>56</v>
      </c>
      <c r="C45">
        <v>302</v>
      </c>
      <c r="D45">
        <v>75</v>
      </c>
      <c r="E45" t="s">
        <v>17</v>
      </c>
      <c r="F45">
        <f>tbl_AQI[[#This Row],[Most AQI Reached]]-tbl_AQI[[#This Row],[Current AQI]]</f>
        <v>227</v>
      </c>
      <c r="G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5">
        <f>RANK(tbl_AQI[[#This Row],[Current AQI]], tbl_AQI[Current AQI], 0)</f>
        <v>4041</v>
      </c>
    </row>
    <row r="46" spans="1:8" x14ac:dyDescent="0.35">
      <c r="A46" t="s">
        <v>5</v>
      </c>
      <c r="B46" t="s">
        <v>57</v>
      </c>
      <c r="C46">
        <v>202</v>
      </c>
      <c r="D46">
        <v>67</v>
      </c>
      <c r="E46" t="s">
        <v>15</v>
      </c>
      <c r="F46">
        <f>tbl_AQI[[#This Row],[Most AQI Reached]]-tbl_AQI[[#This Row],[Current AQI]]</f>
        <v>135</v>
      </c>
      <c r="G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6">
        <f>RANK(tbl_AQI[[#This Row],[Current AQI]], tbl_AQI[Current AQI], 0)</f>
        <v>4225</v>
      </c>
    </row>
    <row r="47" spans="1:8" x14ac:dyDescent="0.35">
      <c r="A47" t="s">
        <v>5</v>
      </c>
      <c r="B47" t="s">
        <v>58</v>
      </c>
      <c r="C47">
        <v>316</v>
      </c>
      <c r="D47">
        <v>38</v>
      </c>
      <c r="E47" t="s">
        <v>9</v>
      </c>
      <c r="F47">
        <f>tbl_AQI[[#This Row],[Most AQI Reached]]-tbl_AQI[[#This Row],[Current AQI]]</f>
        <v>278</v>
      </c>
      <c r="G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7">
        <f>RANK(tbl_AQI[[#This Row],[Current AQI]], tbl_AQI[Current AQI], 0)</f>
        <v>4845</v>
      </c>
    </row>
    <row r="48" spans="1:8" x14ac:dyDescent="0.35">
      <c r="A48" t="s">
        <v>5</v>
      </c>
      <c r="B48" t="s">
        <v>59</v>
      </c>
      <c r="C48">
        <v>227</v>
      </c>
      <c r="D48">
        <v>32</v>
      </c>
      <c r="E48" t="s">
        <v>15</v>
      </c>
      <c r="F48">
        <f>tbl_AQI[[#This Row],[Most AQI Reached]]-tbl_AQI[[#This Row],[Current AQI]]</f>
        <v>195</v>
      </c>
      <c r="G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">
        <f>RANK(tbl_AQI[[#This Row],[Current AQI]], tbl_AQI[Current AQI], 0)</f>
        <v>4983</v>
      </c>
    </row>
    <row r="49" spans="1:8" x14ac:dyDescent="0.35">
      <c r="A49" t="s">
        <v>5</v>
      </c>
      <c r="B49" t="s">
        <v>60</v>
      </c>
      <c r="C49">
        <v>302</v>
      </c>
      <c r="D49">
        <v>188</v>
      </c>
      <c r="E49" t="s">
        <v>21</v>
      </c>
      <c r="F49">
        <f>tbl_AQI[[#This Row],[Most AQI Reached]]-tbl_AQI[[#This Row],[Current AQI]]</f>
        <v>114</v>
      </c>
      <c r="G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">
        <f>RANK(tbl_AQI[[#This Row],[Current AQI]], tbl_AQI[Current AQI], 0)</f>
        <v>1423</v>
      </c>
    </row>
    <row r="50" spans="1:8" x14ac:dyDescent="0.35">
      <c r="A50" t="s">
        <v>5</v>
      </c>
      <c r="B50" t="s">
        <v>61</v>
      </c>
      <c r="C50">
        <v>192</v>
      </c>
      <c r="D50">
        <v>143</v>
      </c>
      <c r="E50" t="s">
        <v>7</v>
      </c>
      <c r="F50">
        <f>tbl_AQI[[#This Row],[Most AQI Reached]]-tbl_AQI[[#This Row],[Current AQI]]</f>
        <v>49</v>
      </c>
      <c r="G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">
        <f>RANK(tbl_AQI[[#This Row],[Current AQI]], tbl_AQI[Current AQI], 0)</f>
        <v>2567</v>
      </c>
    </row>
    <row r="51" spans="1:8" x14ac:dyDescent="0.35">
      <c r="A51" t="s">
        <v>5</v>
      </c>
      <c r="B51" t="s">
        <v>62</v>
      </c>
      <c r="C51">
        <v>187</v>
      </c>
      <c r="D51">
        <v>50</v>
      </c>
      <c r="E51" t="s">
        <v>11</v>
      </c>
      <c r="F51">
        <f>tbl_AQI[[#This Row],[Most AQI Reached]]-tbl_AQI[[#This Row],[Current AQI]]</f>
        <v>137</v>
      </c>
      <c r="G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1">
        <f>RANK(tbl_AQI[[#This Row],[Current AQI]], tbl_AQI[Current AQI], 0)</f>
        <v>4596</v>
      </c>
    </row>
    <row r="52" spans="1:8" x14ac:dyDescent="0.35">
      <c r="A52" t="s">
        <v>5</v>
      </c>
      <c r="B52" t="s">
        <v>63</v>
      </c>
      <c r="C52">
        <v>282</v>
      </c>
      <c r="D52">
        <v>108</v>
      </c>
      <c r="E52" t="s">
        <v>9</v>
      </c>
      <c r="F52">
        <f>tbl_AQI[[#This Row],[Most AQI Reached]]-tbl_AQI[[#This Row],[Current AQI]]</f>
        <v>174</v>
      </c>
      <c r="G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2">
        <f>RANK(tbl_AQI[[#This Row],[Current AQI]], tbl_AQI[Current AQI], 0)</f>
        <v>3362</v>
      </c>
    </row>
    <row r="53" spans="1:8" x14ac:dyDescent="0.35">
      <c r="A53" t="s">
        <v>5</v>
      </c>
      <c r="B53" t="s">
        <v>64</v>
      </c>
      <c r="C53">
        <v>289</v>
      </c>
      <c r="D53">
        <v>118</v>
      </c>
      <c r="E53" t="s">
        <v>21</v>
      </c>
      <c r="F53">
        <f>tbl_AQI[[#This Row],[Most AQI Reached]]-tbl_AQI[[#This Row],[Current AQI]]</f>
        <v>171</v>
      </c>
      <c r="G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3">
        <f>RANK(tbl_AQI[[#This Row],[Current AQI]], tbl_AQI[Current AQI], 0)</f>
        <v>3122</v>
      </c>
    </row>
    <row r="54" spans="1:8" x14ac:dyDescent="0.35">
      <c r="A54" t="s">
        <v>5</v>
      </c>
      <c r="B54" t="s">
        <v>65</v>
      </c>
      <c r="C54">
        <v>149</v>
      </c>
      <c r="D54">
        <v>55</v>
      </c>
      <c r="E54" t="s">
        <v>33</v>
      </c>
      <c r="F54">
        <f>tbl_AQI[[#This Row],[Most AQI Reached]]-tbl_AQI[[#This Row],[Current AQI]]</f>
        <v>94</v>
      </c>
      <c r="G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4">
        <f>RANK(tbl_AQI[[#This Row],[Current AQI]], tbl_AQI[Current AQI], 0)</f>
        <v>4497</v>
      </c>
    </row>
    <row r="55" spans="1:8" x14ac:dyDescent="0.35">
      <c r="A55" t="s">
        <v>5</v>
      </c>
      <c r="B55" t="s">
        <v>66</v>
      </c>
      <c r="C55">
        <v>80</v>
      </c>
      <c r="D55">
        <v>68</v>
      </c>
      <c r="E55" t="s">
        <v>11</v>
      </c>
      <c r="F55">
        <f>tbl_AQI[[#This Row],[Most AQI Reached]]-tbl_AQI[[#This Row],[Current AQI]]</f>
        <v>12</v>
      </c>
      <c r="G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5">
        <f>RANK(tbl_AQI[[#This Row],[Current AQI]], tbl_AQI[Current AQI], 0)</f>
        <v>4204</v>
      </c>
    </row>
    <row r="56" spans="1:8" x14ac:dyDescent="0.35">
      <c r="A56" t="s">
        <v>5</v>
      </c>
      <c r="B56" t="s">
        <v>67</v>
      </c>
      <c r="C56">
        <v>266</v>
      </c>
      <c r="D56">
        <v>51</v>
      </c>
      <c r="E56" t="s">
        <v>15</v>
      </c>
      <c r="F56">
        <f>tbl_AQI[[#This Row],[Most AQI Reached]]-tbl_AQI[[#This Row],[Current AQI]]</f>
        <v>215</v>
      </c>
      <c r="G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6">
        <f>RANK(tbl_AQI[[#This Row],[Current AQI]], tbl_AQI[Current AQI], 0)</f>
        <v>4578</v>
      </c>
    </row>
    <row r="57" spans="1:8" x14ac:dyDescent="0.35">
      <c r="A57" t="s">
        <v>5</v>
      </c>
      <c r="B57" t="s">
        <v>68</v>
      </c>
      <c r="C57">
        <v>131</v>
      </c>
      <c r="D57">
        <v>121</v>
      </c>
      <c r="E57" t="s">
        <v>21</v>
      </c>
      <c r="F57">
        <f>tbl_AQI[[#This Row],[Most AQI Reached]]-tbl_AQI[[#This Row],[Current AQI]]</f>
        <v>10</v>
      </c>
      <c r="G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7">
        <f>RANK(tbl_AQI[[#This Row],[Current AQI]], tbl_AQI[Current AQI], 0)</f>
        <v>3037</v>
      </c>
    </row>
    <row r="58" spans="1:8" x14ac:dyDescent="0.35">
      <c r="A58" t="s">
        <v>5</v>
      </c>
      <c r="B58" t="s">
        <v>69</v>
      </c>
      <c r="C58">
        <v>223</v>
      </c>
      <c r="D58">
        <v>72</v>
      </c>
      <c r="E58" t="s">
        <v>9</v>
      </c>
      <c r="F58">
        <f>tbl_AQI[[#This Row],[Most AQI Reached]]-tbl_AQI[[#This Row],[Current AQI]]</f>
        <v>151</v>
      </c>
      <c r="G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8">
        <f>RANK(tbl_AQI[[#This Row],[Current AQI]], tbl_AQI[Current AQI], 0)</f>
        <v>4100</v>
      </c>
    </row>
    <row r="59" spans="1:8" x14ac:dyDescent="0.35">
      <c r="A59" t="s">
        <v>5</v>
      </c>
      <c r="B59" t="s">
        <v>70</v>
      </c>
      <c r="C59">
        <v>226</v>
      </c>
      <c r="D59">
        <v>160</v>
      </c>
      <c r="E59" t="s">
        <v>15</v>
      </c>
      <c r="F59">
        <f>tbl_AQI[[#This Row],[Most AQI Reached]]-tbl_AQI[[#This Row],[Current AQI]]</f>
        <v>66</v>
      </c>
      <c r="G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9">
        <f>RANK(tbl_AQI[[#This Row],[Current AQI]], tbl_AQI[Current AQI], 0)</f>
        <v>2154</v>
      </c>
    </row>
    <row r="60" spans="1:8" x14ac:dyDescent="0.35">
      <c r="A60" t="s">
        <v>5</v>
      </c>
      <c r="B60" t="s">
        <v>71</v>
      </c>
      <c r="C60">
        <v>85</v>
      </c>
      <c r="D60">
        <v>84</v>
      </c>
      <c r="E60" t="s">
        <v>15</v>
      </c>
      <c r="F60">
        <f>tbl_AQI[[#This Row],[Most AQI Reached]]-tbl_AQI[[#This Row],[Current AQI]]</f>
        <v>1</v>
      </c>
      <c r="G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60">
        <f>RANK(tbl_AQI[[#This Row],[Current AQI]], tbl_AQI[Current AQI], 0)</f>
        <v>3872</v>
      </c>
    </row>
    <row r="61" spans="1:8" x14ac:dyDescent="0.35">
      <c r="A61" t="s">
        <v>5</v>
      </c>
      <c r="B61" t="s">
        <v>72</v>
      </c>
      <c r="C61">
        <v>142</v>
      </c>
      <c r="D61">
        <v>93</v>
      </c>
      <c r="E61" t="s">
        <v>33</v>
      </c>
      <c r="F61">
        <f>tbl_AQI[[#This Row],[Most AQI Reached]]-tbl_AQI[[#This Row],[Current AQI]]</f>
        <v>49</v>
      </c>
      <c r="G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61">
        <f>RANK(tbl_AQI[[#This Row],[Current AQI]], tbl_AQI[Current AQI], 0)</f>
        <v>3678</v>
      </c>
    </row>
    <row r="62" spans="1:8" x14ac:dyDescent="0.35">
      <c r="A62" t="s">
        <v>5</v>
      </c>
      <c r="B62" t="s">
        <v>73</v>
      </c>
      <c r="C62">
        <v>116</v>
      </c>
      <c r="D62">
        <v>110</v>
      </c>
      <c r="E62" t="s">
        <v>21</v>
      </c>
      <c r="F62">
        <f>tbl_AQI[[#This Row],[Most AQI Reached]]-tbl_AQI[[#This Row],[Current AQI]]</f>
        <v>6</v>
      </c>
      <c r="G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2">
        <f>RANK(tbl_AQI[[#This Row],[Current AQI]], tbl_AQI[Current AQI], 0)</f>
        <v>3302</v>
      </c>
    </row>
    <row r="63" spans="1:8" x14ac:dyDescent="0.35">
      <c r="A63" t="s">
        <v>5</v>
      </c>
      <c r="B63" t="s">
        <v>74</v>
      </c>
      <c r="C63">
        <v>281</v>
      </c>
      <c r="D63">
        <v>156</v>
      </c>
      <c r="E63" t="s">
        <v>7</v>
      </c>
      <c r="F63">
        <f>tbl_AQI[[#This Row],[Most AQI Reached]]-tbl_AQI[[#This Row],[Current AQI]]</f>
        <v>125</v>
      </c>
      <c r="G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3">
        <f>RANK(tbl_AQI[[#This Row],[Current AQI]], tbl_AQI[Current AQI], 0)</f>
        <v>2251</v>
      </c>
    </row>
    <row r="64" spans="1:8" x14ac:dyDescent="0.35">
      <c r="A64" t="s">
        <v>5</v>
      </c>
      <c r="B64" t="s">
        <v>75</v>
      </c>
      <c r="C64">
        <v>138</v>
      </c>
      <c r="D64">
        <v>136</v>
      </c>
      <c r="E64" t="s">
        <v>17</v>
      </c>
      <c r="F64">
        <f>tbl_AQI[[#This Row],[Most AQI Reached]]-tbl_AQI[[#This Row],[Current AQI]]</f>
        <v>2</v>
      </c>
      <c r="G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4">
        <f>RANK(tbl_AQI[[#This Row],[Current AQI]], tbl_AQI[Current AQI], 0)</f>
        <v>2692</v>
      </c>
    </row>
    <row r="65" spans="1:8" x14ac:dyDescent="0.35">
      <c r="A65" t="s">
        <v>5</v>
      </c>
      <c r="B65" t="s">
        <v>76</v>
      </c>
      <c r="C65">
        <v>313</v>
      </c>
      <c r="D65">
        <v>40</v>
      </c>
      <c r="E65" t="s">
        <v>7</v>
      </c>
      <c r="F65">
        <f>tbl_AQI[[#This Row],[Most AQI Reached]]-tbl_AQI[[#This Row],[Current AQI]]</f>
        <v>273</v>
      </c>
      <c r="G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65">
        <f>RANK(tbl_AQI[[#This Row],[Current AQI]], tbl_AQI[Current AQI], 0)</f>
        <v>4808</v>
      </c>
    </row>
    <row r="66" spans="1:8" x14ac:dyDescent="0.35">
      <c r="A66" t="s">
        <v>5</v>
      </c>
      <c r="B66" t="s">
        <v>77</v>
      </c>
      <c r="C66">
        <v>277</v>
      </c>
      <c r="D66">
        <v>93</v>
      </c>
      <c r="E66" t="s">
        <v>9</v>
      </c>
      <c r="F66">
        <f>tbl_AQI[[#This Row],[Most AQI Reached]]-tbl_AQI[[#This Row],[Current AQI]]</f>
        <v>184</v>
      </c>
      <c r="G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66">
        <f>RANK(tbl_AQI[[#This Row],[Current AQI]], tbl_AQI[Current AQI], 0)</f>
        <v>3678</v>
      </c>
    </row>
    <row r="67" spans="1:8" x14ac:dyDescent="0.35">
      <c r="A67" t="s">
        <v>5</v>
      </c>
      <c r="B67" t="s">
        <v>78</v>
      </c>
      <c r="C67">
        <v>131</v>
      </c>
      <c r="D67">
        <v>79</v>
      </c>
      <c r="E67" t="s">
        <v>17</v>
      </c>
      <c r="F67">
        <f>tbl_AQI[[#This Row],[Most AQI Reached]]-tbl_AQI[[#This Row],[Current AQI]]</f>
        <v>52</v>
      </c>
      <c r="G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67">
        <f>RANK(tbl_AQI[[#This Row],[Current AQI]], tbl_AQI[Current AQI], 0)</f>
        <v>3967</v>
      </c>
    </row>
    <row r="68" spans="1:8" x14ac:dyDescent="0.35">
      <c r="A68" t="s">
        <v>5</v>
      </c>
      <c r="B68" t="s">
        <v>79</v>
      </c>
      <c r="C68">
        <v>320</v>
      </c>
      <c r="D68">
        <v>135</v>
      </c>
      <c r="E68" t="s">
        <v>7</v>
      </c>
      <c r="F68">
        <f>tbl_AQI[[#This Row],[Most AQI Reached]]-tbl_AQI[[#This Row],[Current AQI]]</f>
        <v>185</v>
      </c>
      <c r="G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8">
        <f>RANK(tbl_AQI[[#This Row],[Current AQI]], tbl_AQI[Current AQI], 0)</f>
        <v>2714</v>
      </c>
    </row>
    <row r="69" spans="1:8" x14ac:dyDescent="0.35">
      <c r="A69" t="s">
        <v>5</v>
      </c>
      <c r="B69" t="s">
        <v>80</v>
      </c>
      <c r="C69">
        <v>186</v>
      </c>
      <c r="D69">
        <v>39</v>
      </c>
      <c r="E69" t="s">
        <v>15</v>
      </c>
      <c r="F69">
        <f>tbl_AQI[[#This Row],[Most AQI Reached]]-tbl_AQI[[#This Row],[Current AQI]]</f>
        <v>147</v>
      </c>
      <c r="G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69">
        <f>RANK(tbl_AQI[[#This Row],[Current AQI]], tbl_AQI[Current AQI], 0)</f>
        <v>4829</v>
      </c>
    </row>
    <row r="70" spans="1:8" x14ac:dyDescent="0.35">
      <c r="A70" t="s">
        <v>5</v>
      </c>
      <c r="B70" t="s">
        <v>81</v>
      </c>
      <c r="C70">
        <v>83</v>
      </c>
      <c r="D70">
        <v>83</v>
      </c>
      <c r="E70" t="s">
        <v>11</v>
      </c>
      <c r="F70">
        <f>tbl_AQI[[#This Row],[Most AQI Reached]]-tbl_AQI[[#This Row],[Current AQI]]</f>
        <v>0</v>
      </c>
      <c r="G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0">
        <f>RANK(tbl_AQI[[#This Row],[Current AQI]], tbl_AQI[Current AQI], 0)</f>
        <v>3892</v>
      </c>
    </row>
    <row r="71" spans="1:8" x14ac:dyDescent="0.35">
      <c r="A71" t="s">
        <v>5</v>
      </c>
      <c r="B71" t="s">
        <v>82</v>
      </c>
      <c r="C71">
        <v>238</v>
      </c>
      <c r="D71">
        <v>49</v>
      </c>
      <c r="E71" t="s">
        <v>17</v>
      </c>
      <c r="F71">
        <f>tbl_AQI[[#This Row],[Most AQI Reached]]-tbl_AQI[[#This Row],[Current AQI]]</f>
        <v>189</v>
      </c>
      <c r="G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1">
        <f>RANK(tbl_AQI[[#This Row],[Current AQI]], tbl_AQI[Current AQI], 0)</f>
        <v>4614</v>
      </c>
    </row>
    <row r="72" spans="1:8" x14ac:dyDescent="0.35">
      <c r="A72" t="s">
        <v>5</v>
      </c>
      <c r="B72" t="s">
        <v>83</v>
      </c>
      <c r="C72">
        <v>292</v>
      </c>
      <c r="D72">
        <v>112</v>
      </c>
      <c r="E72" t="s">
        <v>7</v>
      </c>
      <c r="F72">
        <f>tbl_AQI[[#This Row],[Most AQI Reached]]-tbl_AQI[[#This Row],[Current AQI]]</f>
        <v>180</v>
      </c>
      <c r="G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2">
        <f>RANK(tbl_AQI[[#This Row],[Current AQI]], tbl_AQI[Current AQI], 0)</f>
        <v>3267</v>
      </c>
    </row>
    <row r="73" spans="1:8" x14ac:dyDescent="0.35">
      <c r="A73" t="s">
        <v>5</v>
      </c>
      <c r="B73" t="s">
        <v>84</v>
      </c>
      <c r="C73">
        <v>188</v>
      </c>
      <c r="D73">
        <v>175</v>
      </c>
      <c r="E73" t="s">
        <v>21</v>
      </c>
      <c r="F73">
        <f>tbl_AQI[[#This Row],[Most AQI Reached]]-tbl_AQI[[#This Row],[Current AQI]]</f>
        <v>13</v>
      </c>
      <c r="G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3">
        <f>RANK(tbl_AQI[[#This Row],[Current AQI]], tbl_AQI[Current AQI], 0)</f>
        <v>1780</v>
      </c>
    </row>
    <row r="74" spans="1:8" x14ac:dyDescent="0.35">
      <c r="A74" t="s">
        <v>5</v>
      </c>
      <c r="B74" t="s">
        <v>85</v>
      </c>
      <c r="C74">
        <v>270</v>
      </c>
      <c r="D74">
        <v>65</v>
      </c>
      <c r="E74" t="s">
        <v>15</v>
      </c>
      <c r="F74">
        <f>tbl_AQI[[#This Row],[Most AQI Reached]]-tbl_AQI[[#This Row],[Current AQI]]</f>
        <v>205</v>
      </c>
      <c r="G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4">
        <f>RANK(tbl_AQI[[#This Row],[Current AQI]], tbl_AQI[Current AQI], 0)</f>
        <v>4267</v>
      </c>
    </row>
    <row r="75" spans="1:8" x14ac:dyDescent="0.35">
      <c r="A75" t="s">
        <v>5</v>
      </c>
      <c r="B75" t="s">
        <v>86</v>
      </c>
      <c r="C75">
        <v>238</v>
      </c>
      <c r="D75">
        <v>41</v>
      </c>
      <c r="E75" t="s">
        <v>21</v>
      </c>
      <c r="F75">
        <f>tbl_AQI[[#This Row],[Most AQI Reached]]-tbl_AQI[[#This Row],[Current AQI]]</f>
        <v>197</v>
      </c>
      <c r="G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5">
        <f>RANK(tbl_AQI[[#This Row],[Current AQI]], tbl_AQI[Current AQI], 0)</f>
        <v>4789</v>
      </c>
    </row>
    <row r="76" spans="1:8" x14ac:dyDescent="0.35">
      <c r="A76" t="s">
        <v>5</v>
      </c>
      <c r="B76" t="s">
        <v>87</v>
      </c>
      <c r="C76">
        <v>178</v>
      </c>
      <c r="D76">
        <v>156</v>
      </c>
      <c r="E76" t="s">
        <v>7</v>
      </c>
      <c r="F76">
        <f>tbl_AQI[[#This Row],[Most AQI Reached]]-tbl_AQI[[#This Row],[Current AQI]]</f>
        <v>22</v>
      </c>
      <c r="G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6">
        <f>RANK(tbl_AQI[[#This Row],[Current AQI]], tbl_AQI[Current AQI], 0)</f>
        <v>2251</v>
      </c>
    </row>
    <row r="77" spans="1:8" x14ac:dyDescent="0.35">
      <c r="A77" t="s">
        <v>5</v>
      </c>
      <c r="B77" t="s">
        <v>88</v>
      </c>
      <c r="C77">
        <v>221</v>
      </c>
      <c r="D77">
        <v>155</v>
      </c>
      <c r="E77" t="s">
        <v>7</v>
      </c>
      <c r="F77">
        <f>tbl_AQI[[#This Row],[Most AQI Reached]]-tbl_AQI[[#This Row],[Current AQI]]</f>
        <v>66</v>
      </c>
      <c r="G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7">
        <f>RANK(tbl_AQI[[#This Row],[Current AQI]], tbl_AQI[Current AQI], 0)</f>
        <v>2275</v>
      </c>
    </row>
    <row r="78" spans="1:8" x14ac:dyDescent="0.35">
      <c r="A78" t="s">
        <v>5</v>
      </c>
      <c r="B78" t="s">
        <v>89</v>
      </c>
      <c r="C78">
        <v>304</v>
      </c>
      <c r="D78">
        <v>48</v>
      </c>
      <c r="E78" t="s">
        <v>11</v>
      </c>
      <c r="F78">
        <f>tbl_AQI[[#This Row],[Most AQI Reached]]-tbl_AQI[[#This Row],[Current AQI]]</f>
        <v>256</v>
      </c>
      <c r="G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8">
        <f>RANK(tbl_AQI[[#This Row],[Current AQI]], tbl_AQI[Current AQI], 0)</f>
        <v>4638</v>
      </c>
    </row>
    <row r="79" spans="1:8" x14ac:dyDescent="0.35">
      <c r="A79" t="s">
        <v>5</v>
      </c>
      <c r="B79" t="s">
        <v>90</v>
      </c>
      <c r="C79">
        <v>238</v>
      </c>
      <c r="D79">
        <v>175</v>
      </c>
      <c r="E79" t="s">
        <v>15</v>
      </c>
      <c r="F79">
        <f>tbl_AQI[[#This Row],[Most AQI Reached]]-tbl_AQI[[#This Row],[Current AQI]]</f>
        <v>63</v>
      </c>
      <c r="G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9">
        <f>RANK(tbl_AQI[[#This Row],[Current AQI]], tbl_AQI[Current AQI], 0)</f>
        <v>1780</v>
      </c>
    </row>
    <row r="80" spans="1:8" x14ac:dyDescent="0.35">
      <c r="A80" t="s">
        <v>5</v>
      </c>
      <c r="B80" t="s">
        <v>91</v>
      </c>
      <c r="C80">
        <v>113</v>
      </c>
      <c r="D80">
        <v>95</v>
      </c>
      <c r="E80" t="s">
        <v>7</v>
      </c>
      <c r="F80">
        <f>tbl_AQI[[#This Row],[Most AQI Reached]]-tbl_AQI[[#This Row],[Current AQI]]</f>
        <v>18</v>
      </c>
      <c r="G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0">
        <f>RANK(tbl_AQI[[#This Row],[Current AQI]], tbl_AQI[Current AQI], 0)</f>
        <v>3634</v>
      </c>
    </row>
    <row r="81" spans="1:8" x14ac:dyDescent="0.35">
      <c r="A81" t="s">
        <v>5</v>
      </c>
      <c r="B81" t="s">
        <v>92</v>
      </c>
      <c r="C81">
        <v>261</v>
      </c>
      <c r="D81">
        <v>140</v>
      </c>
      <c r="E81" t="s">
        <v>33</v>
      </c>
      <c r="F81">
        <f>tbl_AQI[[#This Row],[Most AQI Reached]]-tbl_AQI[[#This Row],[Current AQI]]</f>
        <v>121</v>
      </c>
      <c r="G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1">
        <f>RANK(tbl_AQI[[#This Row],[Current AQI]], tbl_AQI[Current AQI], 0)</f>
        <v>2627</v>
      </c>
    </row>
    <row r="82" spans="1:8" x14ac:dyDescent="0.35">
      <c r="A82" t="s">
        <v>5</v>
      </c>
      <c r="B82" t="s">
        <v>93</v>
      </c>
      <c r="C82">
        <v>192</v>
      </c>
      <c r="D82">
        <v>189</v>
      </c>
      <c r="E82" t="s">
        <v>17</v>
      </c>
      <c r="F82">
        <f>tbl_AQI[[#This Row],[Most AQI Reached]]-tbl_AQI[[#This Row],[Current AQI]]</f>
        <v>3</v>
      </c>
      <c r="G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2">
        <f>RANK(tbl_AQI[[#This Row],[Current AQI]], tbl_AQI[Current AQI], 0)</f>
        <v>1395</v>
      </c>
    </row>
    <row r="83" spans="1:8" x14ac:dyDescent="0.35">
      <c r="A83" t="s">
        <v>5</v>
      </c>
      <c r="B83" t="s">
        <v>94</v>
      </c>
      <c r="C83">
        <v>300</v>
      </c>
      <c r="D83">
        <v>118</v>
      </c>
      <c r="E83" t="s">
        <v>21</v>
      </c>
      <c r="F83">
        <f>tbl_AQI[[#This Row],[Most AQI Reached]]-tbl_AQI[[#This Row],[Current AQI]]</f>
        <v>182</v>
      </c>
      <c r="G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3">
        <f>RANK(tbl_AQI[[#This Row],[Current AQI]], tbl_AQI[Current AQI], 0)</f>
        <v>3122</v>
      </c>
    </row>
    <row r="84" spans="1:8" x14ac:dyDescent="0.35">
      <c r="A84" t="s">
        <v>5</v>
      </c>
      <c r="B84" t="s">
        <v>95</v>
      </c>
      <c r="C84">
        <v>229</v>
      </c>
      <c r="D84">
        <v>79</v>
      </c>
      <c r="E84" t="s">
        <v>33</v>
      </c>
      <c r="F84">
        <f>tbl_AQI[[#This Row],[Most AQI Reached]]-tbl_AQI[[#This Row],[Current AQI]]</f>
        <v>150</v>
      </c>
      <c r="G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4">
        <f>RANK(tbl_AQI[[#This Row],[Current AQI]], tbl_AQI[Current AQI], 0)</f>
        <v>3967</v>
      </c>
    </row>
    <row r="85" spans="1:8" x14ac:dyDescent="0.35">
      <c r="A85" t="s">
        <v>5</v>
      </c>
      <c r="B85" t="s">
        <v>96</v>
      </c>
      <c r="C85">
        <v>222</v>
      </c>
      <c r="D85">
        <v>104</v>
      </c>
      <c r="E85" t="s">
        <v>15</v>
      </c>
      <c r="F85">
        <f>tbl_AQI[[#This Row],[Most AQI Reached]]-tbl_AQI[[#This Row],[Current AQI]]</f>
        <v>118</v>
      </c>
      <c r="G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5">
        <f>RANK(tbl_AQI[[#This Row],[Current AQI]], tbl_AQI[Current AQI], 0)</f>
        <v>3454</v>
      </c>
    </row>
    <row r="86" spans="1:8" x14ac:dyDescent="0.35">
      <c r="A86" t="s">
        <v>5</v>
      </c>
      <c r="B86" t="s">
        <v>97</v>
      </c>
      <c r="C86">
        <v>266</v>
      </c>
      <c r="D86">
        <v>173</v>
      </c>
      <c r="E86" t="s">
        <v>15</v>
      </c>
      <c r="F86">
        <f>tbl_AQI[[#This Row],[Most AQI Reached]]-tbl_AQI[[#This Row],[Current AQI]]</f>
        <v>93</v>
      </c>
      <c r="G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6">
        <f>RANK(tbl_AQI[[#This Row],[Current AQI]], tbl_AQI[Current AQI], 0)</f>
        <v>1826</v>
      </c>
    </row>
    <row r="87" spans="1:8" x14ac:dyDescent="0.35">
      <c r="A87" t="s">
        <v>5</v>
      </c>
      <c r="B87" t="s">
        <v>98</v>
      </c>
      <c r="C87">
        <v>135</v>
      </c>
      <c r="D87">
        <v>80</v>
      </c>
      <c r="E87" t="s">
        <v>17</v>
      </c>
      <c r="F87">
        <f>tbl_AQI[[#This Row],[Most AQI Reached]]-tbl_AQI[[#This Row],[Current AQI]]</f>
        <v>55</v>
      </c>
      <c r="G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7">
        <f>RANK(tbl_AQI[[#This Row],[Current AQI]], tbl_AQI[Current AQI], 0)</f>
        <v>3948</v>
      </c>
    </row>
    <row r="88" spans="1:8" x14ac:dyDescent="0.35">
      <c r="A88" t="s">
        <v>5</v>
      </c>
      <c r="B88" t="s">
        <v>99</v>
      </c>
      <c r="C88">
        <v>166</v>
      </c>
      <c r="D88">
        <v>155</v>
      </c>
      <c r="E88" t="s">
        <v>7</v>
      </c>
      <c r="F88">
        <f>tbl_AQI[[#This Row],[Most AQI Reached]]-tbl_AQI[[#This Row],[Current AQI]]</f>
        <v>11</v>
      </c>
      <c r="G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8">
        <f>RANK(tbl_AQI[[#This Row],[Current AQI]], tbl_AQI[Current AQI], 0)</f>
        <v>2275</v>
      </c>
    </row>
    <row r="89" spans="1:8" x14ac:dyDescent="0.35">
      <c r="A89" t="s">
        <v>5</v>
      </c>
      <c r="B89" t="s">
        <v>100</v>
      </c>
      <c r="C89">
        <v>156</v>
      </c>
      <c r="D89">
        <v>84</v>
      </c>
      <c r="E89" t="s">
        <v>17</v>
      </c>
      <c r="F89">
        <f>tbl_AQI[[#This Row],[Most AQI Reached]]-tbl_AQI[[#This Row],[Current AQI]]</f>
        <v>72</v>
      </c>
      <c r="G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9">
        <f>RANK(tbl_AQI[[#This Row],[Current AQI]], tbl_AQI[Current AQI], 0)</f>
        <v>3872</v>
      </c>
    </row>
    <row r="90" spans="1:8" x14ac:dyDescent="0.35">
      <c r="A90" t="s">
        <v>5</v>
      </c>
      <c r="B90" t="s">
        <v>101</v>
      </c>
      <c r="C90">
        <v>257</v>
      </c>
      <c r="D90">
        <v>179</v>
      </c>
      <c r="E90" t="s">
        <v>7</v>
      </c>
      <c r="F90">
        <f>tbl_AQI[[#This Row],[Most AQI Reached]]-tbl_AQI[[#This Row],[Current AQI]]</f>
        <v>78</v>
      </c>
      <c r="G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0">
        <f>RANK(tbl_AQI[[#This Row],[Current AQI]], tbl_AQI[Current AQI], 0)</f>
        <v>1667</v>
      </c>
    </row>
    <row r="91" spans="1:8" x14ac:dyDescent="0.35">
      <c r="A91" t="s">
        <v>5</v>
      </c>
      <c r="B91" t="s">
        <v>102</v>
      </c>
      <c r="C91">
        <v>133</v>
      </c>
      <c r="D91">
        <v>48</v>
      </c>
      <c r="E91" t="s">
        <v>15</v>
      </c>
      <c r="F91">
        <f>tbl_AQI[[#This Row],[Most AQI Reached]]-tbl_AQI[[#This Row],[Current AQI]]</f>
        <v>85</v>
      </c>
      <c r="G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1">
        <f>RANK(tbl_AQI[[#This Row],[Current AQI]], tbl_AQI[Current AQI], 0)</f>
        <v>4638</v>
      </c>
    </row>
    <row r="92" spans="1:8" x14ac:dyDescent="0.35">
      <c r="A92" t="s">
        <v>5</v>
      </c>
      <c r="B92" t="s">
        <v>103</v>
      </c>
      <c r="C92">
        <v>177</v>
      </c>
      <c r="D92">
        <v>145</v>
      </c>
      <c r="E92" t="s">
        <v>17</v>
      </c>
      <c r="F92">
        <f>tbl_AQI[[#This Row],[Most AQI Reached]]-tbl_AQI[[#This Row],[Current AQI]]</f>
        <v>32</v>
      </c>
      <c r="G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2">
        <f>RANK(tbl_AQI[[#This Row],[Current AQI]], tbl_AQI[Current AQI], 0)</f>
        <v>2526</v>
      </c>
    </row>
    <row r="93" spans="1:8" x14ac:dyDescent="0.35">
      <c r="A93" t="s">
        <v>104</v>
      </c>
      <c r="B93" t="s">
        <v>210</v>
      </c>
      <c r="C93">
        <v>290</v>
      </c>
      <c r="D93">
        <v>166</v>
      </c>
      <c r="E93" t="s">
        <v>11</v>
      </c>
      <c r="F93">
        <f>tbl_AQI[[#This Row],[Most AQI Reached]]-tbl_AQI[[#This Row],[Current AQI]]</f>
        <v>124</v>
      </c>
      <c r="G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">
        <f>RANK(tbl_AQI[[#This Row],[Current AQI]], tbl_AQI[Current AQI], 0)</f>
        <v>2007</v>
      </c>
    </row>
    <row r="94" spans="1:8" x14ac:dyDescent="0.35">
      <c r="A94" t="s">
        <v>104</v>
      </c>
      <c r="B94" t="s">
        <v>211</v>
      </c>
      <c r="C94">
        <v>223</v>
      </c>
      <c r="D94">
        <v>83</v>
      </c>
      <c r="E94" t="s">
        <v>17</v>
      </c>
      <c r="F94">
        <f>tbl_AQI[[#This Row],[Most AQI Reached]]-tbl_AQI[[#This Row],[Current AQI]]</f>
        <v>140</v>
      </c>
      <c r="G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4">
        <f>RANK(tbl_AQI[[#This Row],[Current AQI]], tbl_AQI[Current AQI], 0)</f>
        <v>3892</v>
      </c>
    </row>
    <row r="95" spans="1:8" x14ac:dyDescent="0.35">
      <c r="A95" t="s">
        <v>104</v>
      </c>
      <c r="B95" t="s">
        <v>212</v>
      </c>
      <c r="C95">
        <v>130</v>
      </c>
      <c r="D95">
        <v>101</v>
      </c>
      <c r="E95" t="s">
        <v>7</v>
      </c>
      <c r="F95">
        <f>tbl_AQI[[#This Row],[Most AQI Reached]]-tbl_AQI[[#This Row],[Current AQI]]</f>
        <v>29</v>
      </c>
      <c r="G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5">
        <f>RANK(tbl_AQI[[#This Row],[Current AQI]], tbl_AQI[Current AQI], 0)</f>
        <v>3515</v>
      </c>
    </row>
    <row r="96" spans="1:8" x14ac:dyDescent="0.35">
      <c r="A96" t="s">
        <v>104</v>
      </c>
      <c r="B96" t="s">
        <v>213</v>
      </c>
      <c r="C96">
        <v>131</v>
      </c>
      <c r="D96">
        <v>64</v>
      </c>
      <c r="E96" t="s">
        <v>17</v>
      </c>
      <c r="F96">
        <f>tbl_AQI[[#This Row],[Most AQI Reached]]-tbl_AQI[[#This Row],[Current AQI]]</f>
        <v>67</v>
      </c>
      <c r="G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6">
        <f>RANK(tbl_AQI[[#This Row],[Current AQI]], tbl_AQI[Current AQI], 0)</f>
        <v>4293</v>
      </c>
    </row>
    <row r="97" spans="1:8" x14ac:dyDescent="0.35">
      <c r="A97" t="s">
        <v>104</v>
      </c>
      <c r="B97" t="s">
        <v>214</v>
      </c>
      <c r="C97">
        <v>294</v>
      </c>
      <c r="D97">
        <v>121</v>
      </c>
      <c r="E97" t="s">
        <v>33</v>
      </c>
      <c r="F97">
        <f>tbl_AQI[[#This Row],[Most AQI Reached]]-tbl_AQI[[#This Row],[Current AQI]]</f>
        <v>173</v>
      </c>
      <c r="G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7">
        <f>RANK(tbl_AQI[[#This Row],[Current AQI]], tbl_AQI[Current AQI], 0)</f>
        <v>3037</v>
      </c>
    </row>
    <row r="98" spans="1:8" x14ac:dyDescent="0.35">
      <c r="A98" t="s">
        <v>104</v>
      </c>
      <c r="B98" t="s">
        <v>215</v>
      </c>
      <c r="C98">
        <v>196</v>
      </c>
      <c r="D98">
        <v>121</v>
      </c>
      <c r="E98" t="s">
        <v>21</v>
      </c>
      <c r="F98">
        <f>tbl_AQI[[#This Row],[Most AQI Reached]]-tbl_AQI[[#This Row],[Current AQI]]</f>
        <v>75</v>
      </c>
      <c r="G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8">
        <f>RANK(tbl_AQI[[#This Row],[Current AQI]], tbl_AQI[Current AQI], 0)</f>
        <v>3037</v>
      </c>
    </row>
    <row r="99" spans="1:8" x14ac:dyDescent="0.35">
      <c r="A99" t="s">
        <v>104</v>
      </c>
      <c r="B99" t="s">
        <v>216</v>
      </c>
      <c r="C99">
        <v>121</v>
      </c>
      <c r="D99">
        <v>33</v>
      </c>
      <c r="E99" t="s">
        <v>17</v>
      </c>
      <c r="F99">
        <f>tbl_AQI[[#This Row],[Most AQI Reached]]-tbl_AQI[[#This Row],[Current AQI]]</f>
        <v>88</v>
      </c>
      <c r="G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9">
        <f>RANK(tbl_AQI[[#This Row],[Current AQI]], tbl_AQI[Current AQI], 0)</f>
        <v>4964</v>
      </c>
    </row>
    <row r="100" spans="1:8" x14ac:dyDescent="0.35">
      <c r="A100" t="s">
        <v>104</v>
      </c>
      <c r="B100" t="s">
        <v>231</v>
      </c>
      <c r="C100">
        <v>275</v>
      </c>
      <c r="D100">
        <v>50</v>
      </c>
      <c r="E100" t="s">
        <v>33</v>
      </c>
      <c r="F100">
        <f>tbl_AQI[[#This Row],[Most AQI Reached]]-tbl_AQI[[#This Row],[Current AQI]]</f>
        <v>225</v>
      </c>
      <c r="G1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0">
        <f>RANK(tbl_AQI[[#This Row],[Current AQI]], tbl_AQI[Current AQI], 0)</f>
        <v>4596</v>
      </c>
    </row>
    <row r="101" spans="1:8" x14ac:dyDescent="0.35">
      <c r="A101" t="s">
        <v>104</v>
      </c>
      <c r="B101" t="s">
        <v>232</v>
      </c>
      <c r="C101">
        <v>311</v>
      </c>
      <c r="D101">
        <v>36</v>
      </c>
      <c r="E101" t="s">
        <v>33</v>
      </c>
      <c r="F101">
        <f>tbl_AQI[[#This Row],[Most AQI Reached]]-tbl_AQI[[#This Row],[Current AQI]]</f>
        <v>275</v>
      </c>
      <c r="G1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1">
        <f>RANK(tbl_AQI[[#This Row],[Current AQI]], tbl_AQI[Current AQI], 0)</f>
        <v>4893</v>
      </c>
    </row>
    <row r="102" spans="1:8" x14ac:dyDescent="0.35">
      <c r="A102" t="s">
        <v>104</v>
      </c>
      <c r="B102" t="s">
        <v>233</v>
      </c>
      <c r="C102">
        <v>260</v>
      </c>
      <c r="D102">
        <v>99</v>
      </c>
      <c r="E102" t="s">
        <v>17</v>
      </c>
      <c r="F102">
        <f>tbl_AQI[[#This Row],[Most AQI Reached]]-tbl_AQI[[#This Row],[Current AQI]]</f>
        <v>161</v>
      </c>
      <c r="G1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2">
        <f>RANK(tbl_AQI[[#This Row],[Current AQI]], tbl_AQI[Current AQI], 0)</f>
        <v>3553</v>
      </c>
    </row>
    <row r="103" spans="1:8" x14ac:dyDescent="0.35">
      <c r="A103" t="s">
        <v>104</v>
      </c>
      <c r="B103" t="s">
        <v>234</v>
      </c>
      <c r="C103">
        <v>124</v>
      </c>
      <c r="D103">
        <v>90</v>
      </c>
      <c r="E103" t="s">
        <v>11</v>
      </c>
      <c r="F103">
        <f>tbl_AQI[[#This Row],[Most AQI Reached]]-tbl_AQI[[#This Row],[Current AQI]]</f>
        <v>34</v>
      </c>
      <c r="G1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3">
        <f>RANK(tbl_AQI[[#This Row],[Current AQI]], tbl_AQI[Current AQI], 0)</f>
        <v>3750</v>
      </c>
    </row>
    <row r="104" spans="1:8" x14ac:dyDescent="0.35">
      <c r="A104" t="s">
        <v>104</v>
      </c>
      <c r="B104" t="s">
        <v>235</v>
      </c>
      <c r="C104">
        <v>201</v>
      </c>
      <c r="D104">
        <v>159</v>
      </c>
      <c r="E104" t="s">
        <v>17</v>
      </c>
      <c r="F104">
        <f>tbl_AQI[[#This Row],[Most AQI Reached]]-tbl_AQI[[#This Row],[Current AQI]]</f>
        <v>42</v>
      </c>
      <c r="G1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4">
        <f>RANK(tbl_AQI[[#This Row],[Current AQI]], tbl_AQI[Current AQI], 0)</f>
        <v>2183</v>
      </c>
    </row>
    <row r="105" spans="1:8" x14ac:dyDescent="0.35">
      <c r="A105" t="s">
        <v>104</v>
      </c>
      <c r="B105" t="s">
        <v>236</v>
      </c>
      <c r="C105">
        <v>277</v>
      </c>
      <c r="D105">
        <v>97</v>
      </c>
      <c r="E105" t="s">
        <v>33</v>
      </c>
      <c r="F105">
        <f>tbl_AQI[[#This Row],[Most AQI Reached]]-tbl_AQI[[#This Row],[Current AQI]]</f>
        <v>180</v>
      </c>
      <c r="G1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5">
        <f>RANK(tbl_AQI[[#This Row],[Current AQI]], tbl_AQI[Current AQI], 0)</f>
        <v>3593</v>
      </c>
    </row>
    <row r="106" spans="1:8" x14ac:dyDescent="0.35">
      <c r="A106" t="s">
        <v>104</v>
      </c>
      <c r="B106" t="s">
        <v>237</v>
      </c>
      <c r="C106">
        <v>222</v>
      </c>
      <c r="D106">
        <v>44</v>
      </c>
      <c r="E106" t="s">
        <v>21</v>
      </c>
      <c r="F106">
        <f>tbl_AQI[[#This Row],[Most AQI Reached]]-tbl_AQI[[#This Row],[Current AQI]]</f>
        <v>178</v>
      </c>
      <c r="G1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6">
        <f>RANK(tbl_AQI[[#This Row],[Current AQI]], tbl_AQI[Current AQI], 0)</f>
        <v>4732</v>
      </c>
    </row>
    <row r="107" spans="1:8" x14ac:dyDescent="0.35">
      <c r="A107" t="s">
        <v>104</v>
      </c>
      <c r="B107" t="s">
        <v>203</v>
      </c>
      <c r="C107">
        <v>224</v>
      </c>
      <c r="D107">
        <v>140</v>
      </c>
      <c r="E107" t="s">
        <v>7</v>
      </c>
      <c r="F107">
        <f>tbl_AQI[[#This Row],[Most AQI Reached]]-tbl_AQI[[#This Row],[Current AQI]]</f>
        <v>84</v>
      </c>
      <c r="G1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">
        <f>RANK(tbl_AQI[[#This Row],[Current AQI]], tbl_AQI[Current AQI], 0)</f>
        <v>2627</v>
      </c>
    </row>
    <row r="108" spans="1:8" x14ac:dyDescent="0.35">
      <c r="A108" t="s">
        <v>104</v>
      </c>
      <c r="B108" t="s">
        <v>204</v>
      </c>
      <c r="C108">
        <v>285</v>
      </c>
      <c r="D108">
        <v>81</v>
      </c>
      <c r="E108" t="s">
        <v>21</v>
      </c>
      <c r="F108">
        <f>tbl_AQI[[#This Row],[Most AQI Reached]]-tbl_AQI[[#This Row],[Current AQI]]</f>
        <v>204</v>
      </c>
      <c r="G1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8">
        <f>RANK(tbl_AQI[[#This Row],[Current AQI]], tbl_AQI[Current AQI], 0)</f>
        <v>3923</v>
      </c>
    </row>
    <row r="109" spans="1:8" x14ac:dyDescent="0.35">
      <c r="A109" t="s">
        <v>104</v>
      </c>
      <c r="B109" t="s">
        <v>205</v>
      </c>
      <c r="C109">
        <v>284</v>
      </c>
      <c r="D109">
        <v>62</v>
      </c>
      <c r="E109" t="s">
        <v>9</v>
      </c>
      <c r="F109">
        <f>tbl_AQI[[#This Row],[Most AQI Reached]]-tbl_AQI[[#This Row],[Current AQI]]</f>
        <v>222</v>
      </c>
      <c r="G1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9">
        <f>RANK(tbl_AQI[[#This Row],[Current AQI]], tbl_AQI[Current AQI], 0)</f>
        <v>4343</v>
      </c>
    </row>
    <row r="110" spans="1:8" x14ac:dyDescent="0.35">
      <c r="A110" t="s">
        <v>104</v>
      </c>
      <c r="B110" t="s">
        <v>206</v>
      </c>
      <c r="C110">
        <v>296</v>
      </c>
      <c r="D110">
        <v>186</v>
      </c>
      <c r="E110" t="s">
        <v>9</v>
      </c>
      <c r="F110">
        <f>tbl_AQI[[#This Row],[Most AQI Reached]]-tbl_AQI[[#This Row],[Current AQI]]</f>
        <v>110</v>
      </c>
      <c r="G1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0">
        <f>RANK(tbl_AQI[[#This Row],[Current AQI]], tbl_AQI[Current AQI], 0)</f>
        <v>1478</v>
      </c>
    </row>
    <row r="111" spans="1:8" x14ac:dyDescent="0.35">
      <c r="A111" t="s">
        <v>104</v>
      </c>
      <c r="B111" t="s">
        <v>207</v>
      </c>
      <c r="C111">
        <v>101</v>
      </c>
      <c r="D111">
        <v>35</v>
      </c>
      <c r="E111" t="s">
        <v>17</v>
      </c>
      <c r="F111">
        <f>tbl_AQI[[#This Row],[Most AQI Reached]]-tbl_AQI[[#This Row],[Current AQI]]</f>
        <v>66</v>
      </c>
      <c r="G1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1">
        <f>RANK(tbl_AQI[[#This Row],[Current AQI]], tbl_AQI[Current AQI], 0)</f>
        <v>4916</v>
      </c>
    </row>
    <row r="112" spans="1:8" x14ac:dyDescent="0.35">
      <c r="A112" t="s">
        <v>104</v>
      </c>
      <c r="B112" t="s">
        <v>208</v>
      </c>
      <c r="C112">
        <v>317</v>
      </c>
      <c r="D112">
        <v>149</v>
      </c>
      <c r="E112" t="s">
        <v>7</v>
      </c>
      <c r="F112">
        <f>tbl_AQI[[#This Row],[Most AQI Reached]]-tbl_AQI[[#This Row],[Current AQI]]</f>
        <v>168</v>
      </c>
      <c r="G1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2">
        <f>RANK(tbl_AQI[[#This Row],[Current AQI]], tbl_AQI[Current AQI], 0)</f>
        <v>2426</v>
      </c>
    </row>
    <row r="113" spans="1:8" x14ac:dyDescent="0.35">
      <c r="A113" t="s">
        <v>104</v>
      </c>
      <c r="B113" t="s">
        <v>209</v>
      </c>
      <c r="C113">
        <v>196</v>
      </c>
      <c r="D113">
        <v>157</v>
      </c>
      <c r="E113" t="s">
        <v>11</v>
      </c>
      <c r="F113">
        <f>tbl_AQI[[#This Row],[Most AQI Reached]]-tbl_AQI[[#This Row],[Current AQI]]</f>
        <v>39</v>
      </c>
      <c r="G1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3">
        <f>RANK(tbl_AQI[[#This Row],[Current AQI]], tbl_AQI[Current AQI], 0)</f>
        <v>2239</v>
      </c>
    </row>
    <row r="114" spans="1:8" x14ac:dyDescent="0.35">
      <c r="A114" t="s">
        <v>104</v>
      </c>
      <c r="B114" t="s">
        <v>119</v>
      </c>
      <c r="C114">
        <v>68</v>
      </c>
      <c r="D114">
        <v>61</v>
      </c>
      <c r="E114" t="s">
        <v>11</v>
      </c>
      <c r="F114">
        <f>tbl_AQI[[#This Row],[Most AQI Reached]]-tbl_AQI[[#This Row],[Current AQI]]</f>
        <v>7</v>
      </c>
      <c r="G1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4">
        <f>RANK(tbl_AQI[[#This Row],[Current AQI]], tbl_AQI[Current AQI], 0)</f>
        <v>4368</v>
      </c>
    </row>
    <row r="115" spans="1:8" x14ac:dyDescent="0.35">
      <c r="A115" t="s">
        <v>104</v>
      </c>
      <c r="B115" t="s">
        <v>120</v>
      </c>
      <c r="C115">
        <v>236</v>
      </c>
      <c r="D115">
        <v>163</v>
      </c>
      <c r="E115" t="s">
        <v>21</v>
      </c>
      <c r="F115">
        <f>tbl_AQI[[#This Row],[Most AQI Reached]]-tbl_AQI[[#This Row],[Current AQI]]</f>
        <v>73</v>
      </c>
      <c r="G1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5">
        <f>RANK(tbl_AQI[[#This Row],[Current AQI]], tbl_AQI[Current AQI], 0)</f>
        <v>2075</v>
      </c>
    </row>
    <row r="116" spans="1:8" x14ac:dyDescent="0.35">
      <c r="A116" t="s">
        <v>104</v>
      </c>
      <c r="B116" t="s">
        <v>121</v>
      </c>
      <c r="C116">
        <v>292</v>
      </c>
      <c r="D116">
        <v>54</v>
      </c>
      <c r="E116" t="s">
        <v>21</v>
      </c>
      <c r="F116">
        <f>tbl_AQI[[#This Row],[Most AQI Reached]]-tbl_AQI[[#This Row],[Current AQI]]</f>
        <v>238</v>
      </c>
      <c r="G1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6">
        <f>RANK(tbl_AQI[[#This Row],[Current AQI]], tbl_AQI[Current AQI], 0)</f>
        <v>4523</v>
      </c>
    </row>
    <row r="117" spans="1:8" x14ac:dyDescent="0.35">
      <c r="A117" t="s">
        <v>104</v>
      </c>
      <c r="B117" t="s">
        <v>122</v>
      </c>
      <c r="C117">
        <v>207</v>
      </c>
      <c r="D117">
        <v>46</v>
      </c>
      <c r="E117" t="s">
        <v>7</v>
      </c>
      <c r="F117">
        <f>tbl_AQI[[#This Row],[Most AQI Reached]]-tbl_AQI[[#This Row],[Current AQI]]</f>
        <v>161</v>
      </c>
      <c r="G1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7">
        <f>RANK(tbl_AQI[[#This Row],[Current AQI]], tbl_AQI[Current AQI], 0)</f>
        <v>4680</v>
      </c>
    </row>
    <row r="118" spans="1:8" x14ac:dyDescent="0.35">
      <c r="A118" t="s">
        <v>104</v>
      </c>
      <c r="B118" t="s">
        <v>123</v>
      </c>
      <c r="C118">
        <v>118</v>
      </c>
      <c r="D118">
        <v>104</v>
      </c>
      <c r="E118" t="s">
        <v>17</v>
      </c>
      <c r="F118">
        <f>tbl_AQI[[#This Row],[Most AQI Reached]]-tbl_AQI[[#This Row],[Current AQI]]</f>
        <v>14</v>
      </c>
      <c r="G1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8">
        <f>RANK(tbl_AQI[[#This Row],[Current AQI]], tbl_AQI[Current AQI], 0)</f>
        <v>3454</v>
      </c>
    </row>
    <row r="119" spans="1:8" x14ac:dyDescent="0.35">
      <c r="A119" t="s">
        <v>104</v>
      </c>
      <c r="B119" t="s">
        <v>124</v>
      </c>
      <c r="C119">
        <v>162</v>
      </c>
      <c r="D119">
        <v>129</v>
      </c>
      <c r="E119" t="s">
        <v>7</v>
      </c>
      <c r="F119">
        <f>tbl_AQI[[#This Row],[Most AQI Reached]]-tbl_AQI[[#This Row],[Current AQI]]</f>
        <v>33</v>
      </c>
      <c r="G1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">
        <f>RANK(tbl_AQI[[#This Row],[Current AQI]], tbl_AQI[Current AQI], 0)</f>
        <v>2852</v>
      </c>
    </row>
    <row r="120" spans="1:8" x14ac:dyDescent="0.35">
      <c r="A120" t="s">
        <v>104</v>
      </c>
      <c r="B120" t="s">
        <v>125</v>
      </c>
      <c r="C120">
        <v>244</v>
      </c>
      <c r="D120">
        <v>93</v>
      </c>
      <c r="E120" t="s">
        <v>9</v>
      </c>
      <c r="F120">
        <f>tbl_AQI[[#This Row],[Most AQI Reached]]-tbl_AQI[[#This Row],[Current AQI]]</f>
        <v>151</v>
      </c>
      <c r="G1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0">
        <f>RANK(tbl_AQI[[#This Row],[Current AQI]], tbl_AQI[Current AQI], 0)</f>
        <v>3678</v>
      </c>
    </row>
    <row r="121" spans="1:8" x14ac:dyDescent="0.35">
      <c r="A121" t="s">
        <v>104</v>
      </c>
      <c r="B121" t="s">
        <v>168</v>
      </c>
      <c r="C121">
        <v>237</v>
      </c>
      <c r="D121">
        <v>169</v>
      </c>
      <c r="E121" t="s">
        <v>9</v>
      </c>
      <c r="F121">
        <f>tbl_AQI[[#This Row],[Most AQI Reached]]-tbl_AQI[[#This Row],[Current AQI]]</f>
        <v>68</v>
      </c>
      <c r="G1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">
        <f>RANK(tbl_AQI[[#This Row],[Current AQI]], tbl_AQI[Current AQI], 0)</f>
        <v>1925</v>
      </c>
    </row>
    <row r="122" spans="1:8" x14ac:dyDescent="0.35">
      <c r="A122" t="s">
        <v>104</v>
      </c>
      <c r="B122" t="s">
        <v>169</v>
      </c>
      <c r="C122">
        <v>258</v>
      </c>
      <c r="D122">
        <v>92</v>
      </c>
      <c r="E122" t="s">
        <v>11</v>
      </c>
      <c r="F122">
        <f>tbl_AQI[[#This Row],[Most AQI Reached]]-tbl_AQI[[#This Row],[Current AQI]]</f>
        <v>166</v>
      </c>
      <c r="G1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2">
        <f>RANK(tbl_AQI[[#This Row],[Current AQI]], tbl_AQI[Current AQI], 0)</f>
        <v>3706</v>
      </c>
    </row>
    <row r="123" spans="1:8" x14ac:dyDescent="0.35">
      <c r="A123" t="s">
        <v>104</v>
      </c>
      <c r="B123" t="s">
        <v>170</v>
      </c>
      <c r="C123">
        <v>229</v>
      </c>
      <c r="D123">
        <v>190</v>
      </c>
      <c r="E123" t="s">
        <v>15</v>
      </c>
      <c r="F123">
        <f>tbl_AQI[[#This Row],[Most AQI Reached]]-tbl_AQI[[#This Row],[Current AQI]]</f>
        <v>39</v>
      </c>
      <c r="G1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3">
        <f>RANK(tbl_AQI[[#This Row],[Current AQI]], tbl_AQI[Current AQI], 0)</f>
        <v>1355</v>
      </c>
    </row>
    <row r="124" spans="1:8" x14ac:dyDescent="0.35">
      <c r="A124" t="s">
        <v>104</v>
      </c>
      <c r="B124" t="s">
        <v>171</v>
      </c>
      <c r="C124">
        <v>243</v>
      </c>
      <c r="D124">
        <v>181</v>
      </c>
      <c r="E124" t="s">
        <v>7</v>
      </c>
      <c r="F124">
        <f>tbl_AQI[[#This Row],[Most AQI Reached]]-tbl_AQI[[#This Row],[Current AQI]]</f>
        <v>62</v>
      </c>
      <c r="G1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">
        <f>RANK(tbl_AQI[[#This Row],[Current AQI]], tbl_AQI[Current AQI], 0)</f>
        <v>1609</v>
      </c>
    </row>
    <row r="125" spans="1:8" x14ac:dyDescent="0.35">
      <c r="A125" t="s">
        <v>104</v>
      </c>
      <c r="B125" t="s">
        <v>172</v>
      </c>
      <c r="C125">
        <v>232</v>
      </c>
      <c r="D125">
        <v>106</v>
      </c>
      <c r="E125" t="s">
        <v>15</v>
      </c>
      <c r="F125">
        <f>tbl_AQI[[#This Row],[Most AQI Reached]]-tbl_AQI[[#This Row],[Current AQI]]</f>
        <v>126</v>
      </c>
      <c r="G1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5">
        <f>RANK(tbl_AQI[[#This Row],[Current AQI]], tbl_AQI[Current AQI], 0)</f>
        <v>3413</v>
      </c>
    </row>
    <row r="126" spans="1:8" x14ac:dyDescent="0.35">
      <c r="A126" t="s">
        <v>104</v>
      </c>
      <c r="B126" t="s">
        <v>173</v>
      </c>
      <c r="C126">
        <v>306</v>
      </c>
      <c r="D126">
        <v>190</v>
      </c>
      <c r="E126" t="s">
        <v>7</v>
      </c>
      <c r="F126">
        <f>tbl_AQI[[#This Row],[Most AQI Reached]]-tbl_AQI[[#This Row],[Current AQI]]</f>
        <v>116</v>
      </c>
      <c r="G1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6">
        <f>RANK(tbl_AQI[[#This Row],[Current AQI]], tbl_AQI[Current AQI], 0)</f>
        <v>1355</v>
      </c>
    </row>
    <row r="127" spans="1:8" x14ac:dyDescent="0.35">
      <c r="A127" t="s">
        <v>104</v>
      </c>
      <c r="B127" t="s">
        <v>174</v>
      </c>
      <c r="C127">
        <v>277</v>
      </c>
      <c r="D127">
        <v>163</v>
      </c>
      <c r="E127" t="s">
        <v>17</v>
      </c>
      <c r="F127">
        <f>tbl_AQI[[#This Row],[Most AQI Reached]]-tbl_AQI[[#This Row],[Current AQI]]</f>
        <v>114</v>
      </c>
      <c r="G1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7">
        <f>RANK(tbl_AQI[[#This Row],[Current AQI]], tbl_AQI[Current AQI], 0)</f>
        <v>2075</v>
      </c>
    </row>
    <row r="128" spans="1:8" x14ac:dyDescent="0.35">
      <c r="A128" t="s">
        <v>104</v>
      </c>
      <c r="B128" t="s">
        <v>140</v>
      </c>
      <c r="C128">
        <v>179</v>
      </c>
      <c r="D128">
        <v>32</v>
      </c>
      <c r="E128" t="s">
        <v>21</v>
      </c>
      <c r="F128">
        <f>tbl_AQI[[#This Row],[Most AQI Reached]]-tbl_AQI[[#This Row],[Current AQI]]</f>
        <v>147</v>
      </c>
      <c r="G1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28">
        <f>RANK(tbl_AQI[[#This Row],[Current AQI]], tbl_AQI[Current AQI], 0)</f>
        <v>4983</v>
      </c>
    </row>
    <row r="129" spans="1:8" x14ac:dyDescent="0.35">
      <c r="A129" t="s">
        <v>104</v>
      </c>
      <c r="B129" t="s">
        <v>141</v>
      </c>
      <c r="C129">
        <v>201</v>
      </c>
      <c r="D129">
        <v>74</v>
      </c>
      <c r="E129" t="s">
        <v>21</v>
      </c>
      <c r="F129">
        <f>tbl_AQI[[#This Row],[Most AQI Reached]]-tbl_AQI[[#This Row],[Current AQI]]</f>
        <v>127</v>
      </c>
      <c r="G1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9">
        <f>RANK(tbl_AQI[[#This Row],[Current AQI]], tbl_AQI[Current AQI], 0)</f>
        <v>4064</v>
      </c>
    </row>
    <row r="130" spans="1:8" x14ac:dyDescent="0.35">
      <c r="A130" t="s">
        <v>104</v>
      </c>
      <c r="B130" t="s">
        <v>142</v>
      </c>
      <c r="C130">
        <v>265</v>
      </c>
      <c r="D130">
        <v>148</v>
      </c>
      <c r="E130" t="s">
        <v>9</v>
      </c>
      <c r="F130">
        <f>tbl_AQI[[#This Row],[Most AQI Reached]]-tbl_AQI[[#This Row],[Current AQI]]</f>
        <v>117</v>
      </c>
      <c r="G1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0">
        <f>RANK(tbl_AQI[[#This Row],[Current AQI]], tbl_AQI[Current AQI], 0)</f>
        <v>2446</v>
      </c>
    </row>
    <row r="131" spans="1:8" x14ac:dyDescent="0.35">
      <c r="A131" t="s">
        <v>104</v>
      </c>
      <c r="B131" t="s">
        <v>143</v>
      </c>
      <c r="C131">
        <v>317</v>
      </c>
      <c r="D131">
        <v>116</v>
      </c>
      <c r="E131" t="s">
        <v>33</v>
      </c>
      <c r="F131">
        <f>tbl_AQI[[#This Row],[Most AQI Reached]]-tbl_AQI[[#This Row],[Current AQI]]</f>
        <v>201</v>
      </c>
      <c r="G1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1">
        <f>RANK(tbl_AQI[[#This Row],[Current AQI]], tbl_AQI[Current AQI], 0)</f>
        <v>3173</v>
      </c>
    </row>
    <row r="132" spans="1:8" x14ac:dyDescent="0.35">
      <c r="A132" t="s">
        <v>104</v>
      </c>
      <c r="B132" t="s">
        <v>144</v>
      </c>
      <c r="C132">
        <v>118</v>
      </c>
      <c r="D132">
        <v>53</v>
      </c>
      <c r="E132" t="s">
        <v>33</v>
      </c>
      <c r="F132">
        <f>tbl_AQI[[#This Row],[Most AQI Reached]]-tbl_AQI[[#This Row],[Current AQI]]</f>
        <v>65</v>
      </c>
      <c r="G1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32">
        <f>RANK(tbl_AQI[[#This Row],[Current AQI]], tbl_AQI[Current AQI], 0)</f>
        <v>4544</v>
      </c>
    </row>
    <row r="133" spans="1:8" x14ac:dyDescent="0.35">
      <c r="A133" t="s">
        <v>104</v>
      </c>
      <c r="B133" t="s">
        <v>145</v>
      </c>
      <c r="C133">
        <v>154</v>
      </c>
      <c r="D133">
        <v>35</v>
      </c>
      <c r="E133" t="s">
        <v>15</v>
      </c>
      <c r="F133">
        <f>tbl_AQI[[#This Row],[Most AQI Reached]]-tbl_AQI[[#This Row],[Current AQI]]</f>
        <v>119</v>
      </c>
      <c r="G1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33">
        <f>RANK(tbl_AQI[[#This Row],[Current AQI]], tbl_AQI[Current AQI], 0)</f>
        <v>4916</v>
      </c>
    </row>
    <row r="134" spans="1:8" x14ac:dyDescent="0.35">
      <c r="A134" t="s">
        <v>104</v>
      </c>
      <c r="B134" t="s">
        <v>146</v>
      </c>
      <c r="C134">
        <v>83</v>
      </c>
      <c r="D134">
        <v>61</v>
      </c>
      <c r="E134" t="s">
        <v>21</v>
      </c>
      <c r="F134">
        <f>tbl_AQI[[#This Row],[Most AQI Reached]]-tbl_AQI[[#This Row],[Current AQI]]</f>
        <v>22</v>
      </c>
      <c r="G1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34">
        <f>RANK(tbl_AQI[[#This Row],[Current AQI]], tbl_AQI[Current AQI], 0)</f>
        <v>4368</v>
      </c>
    </row>
    <row r="135" spans="1:8" x14ac:dyDescent="0.35">
      <c r="A135" t="s">
        <v>104</v>
      </c>
      <c r="B135" t="s">
        <v>133</v>
      </c>
      <c r="C135">
        <v>305</v>
      </c>
      <c r="D135">
        <v>170</v>
      </c>
      <c r="E135" t="s">
        <v>33</v>
      </c>
      <c r="F135">
        <f>tbl_AQI[[#This Row],[Most AQI Reached]]-tbl_AQI[[#This Row],[Current AQI]]</f>
        <v>135</v>
      </c>
      <c r="G1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5">
        <f>RANK(tbl_AQI[[#This Row],[Current AQI]], tbl_AQI[Current AQI], 0)</f>
        <v>1898</v>
      </c>
    </row>
    <row r="136" spans="1:8" x14ac:dyDescent="0.35">
      <c r="A136" t="s">
        <v>104</v>
      </c>
      <c r="B136" t="s">
        <v>134</v>
      </c>
      <c r="C136">
        <v>254</v>
      </c>
      <c r="D136">
        <v>119</v>
      </c>
      <c r="E136" t="s">
        <v>21</v>
      </c>
      <c r="F136">
        <f>tbl_AQI[[#This Row],[Most AQI Reached]]-tbl_AQI[[#This Row],[Current AQI]]</f>
        <v>135</v>
      </c>
      <c r="G1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6">
        <f>RANK(tbl_AQI[[#This Row],[Current AQI]], tbl_AQI[Current AQI], 0)</f>
        <v>3093</v>
      </c>
    </row>
    <row r="137" spans="1:8" x14ac:dyDescent="0.35">
      <c r="A137" t="s">
        <v>104</v>
      </c>
      <c r="B137" t="s">
        <v>135</v>
      </c>
      <c r="C137">
        <v>142</v>
      </c>
      <c r="D137">
        <v>109</v>
      </c>
      <c r="E137" t="s">
        <v>33</v>
      </c>
      <c r="F137">
        <f>tbl_AQI[[#This Row],[Most AQI Reached]]-tbl_AQI[[#This Row],[Current AQI]]</f>
        <v>33</v>
      </c>
      <c r="G1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7">
        <f>RANK(tbl_AQI[[#This Row],[Current AQI]], tbl_AQI[Current AQI], 0)</f>
        <v>3338</v>
      </c>
    </row>
    <row r="138" spans="1:8" x14ac:dyDescent="0.35">
      <c r="A138" t="s">
        <v>104</v>
      </c>
      <c r="B138" t="s">
        <v>136</v>
      </c>
      <c r="C138">
        <v>123</v>
      </c>
      <c r="D138">
        <v>99</v>
      </c>
      <c r="E138" t="s">
        <v>15</v>
      </c>
      <c r="F138">
        <f>tbl_AQI[[#This Row],[Most AQI Reached]]-tbl_AQI[[#This Row],[Current AQI]]</f>
        <v>24</v>
      </c>
      <c r="G1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38">
        <f>RANK(tbl_AQI[[#This Row],[Current AQI]], tbl_AQI[Current AQI], 0)</f>
        <v>3553</v>
      </c>
    </row>
    <row r="139" spans="1:8" x14ac:dyDescent="0.35">
      <c r="A139" t="s">
        <v>104</v>
      </c>
      <c r="B139" t="s">
        <v>137</v>
      </c>
      <c r="C139">
        <v>177</v>
      </c>
      <c r="D139">
        <v>133</v>
      </c>
      <c r="E139" t="s">
        <v>33</v>
      </c>
      <c r="F139">
        <f>tbl_AQI[[#This Row],[Most AQI Reached]]-tbl_AQI[[#This Row],[Current AQI]]</f>
        <v>44</v>
      </c>
      <c r="G1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9">
        <f>RANK(tbl_AQI[[#This Row],[Current AQI]], tbl_AQI[Current AQI], 0)</f>
        <v>2758</v>
      </c>
    </row>
    <row r="140" spans="1:8" x14ac:dyDescent="0.35">
      <c r="A140" t="s">
        <v>104</v>
      </c>
      <c r="B140" t="s">
        <v>138</v>
      </c>
      <c r="C140">
        <v>316</v>
      </c>
      <c r="D140">
        <v>70</v>
      </c>
      <c r="E140" t="s">
        <v>7</v>
      </c>
      <c r="F140">
        <f>tbl_AQI[[#This Row],[Most AQI Reached]]-tbl_AQI[[#This Row],[Current AQI]]</f>
        <v>246</v>
      </c>
      <c r="G1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0">
        <f>RANK(tbl_AQI[[#This Row],[Current AQI]], tbl_AQI[Current AQI], 0)</f>
        <v>4153</v>
      </c>
    </row>
    <row r="141" spans="1:8" x14ac:dyDescent="0.35">
      <c r="A141" t="s">
        <v>104</v>
      </c>
      <c r="B141" t="s">
        <v>139</v>
      </c>
      <c r="C141">
        <v>239</v>
      </c>
      <c r="D141">
        <v>48</v>
      </c>
      <c r="E141" t="s">
        <v>11</v>
      </c>
      <c r="F141">
        <f>tbl_AQI[[#This Row],[Most AQI Reached]]-tbl_AQI[[#This Row],[Current AQI]]</f>
        <v>191</v>
      </c>
      <c r="G1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1">
        <f>RANK(tbl_AQI[[#This Row],[Current AQI]], tbl_AQI[Current AQI], 0)</f>
        <v>4638</v>
      </c>
    </row>
    <row r="142" spans="1:8" x14ac:dyDescent="0.35">
      <c r="A142" t="s">
        <v>104</v>
      </c>
      <c r="B142" t="s">
        <v>217</v>
      </c>
      <c r="C142">
        <v>201</v>
      </c>
      <c r="D142">
        <v>59</v>
      </c>
      <c r="E142" t="s">
        <v>15</v>
      </c>
      <c r="F142">
        <f>tbl_AQI[[#This Row],[Most AQI Reached]]-tbl_AQI[[#This Row],[Current AQI]]</f>
        <v>142</v>
      </c>
      <c r="G1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2">
        <f>RANK(tbl_AQI[[#This Row],[Current AQI]], tbl_AQI[Current AQI], 0)</f>
        <v>4416</v>
      </c>
    </row>
    <row r="143" spans="1:8" x14ac:dyDescent="0.35">
      <c r="A143" t="s">
        <v>104</v>
      </c>
      <c r="B143" t="s">
        <v>218</v>
      </c>
      <c r="C143">
        <v>258</v>
      </c>
      <c r="D143">
        <v>155</v>
      </c>
      <c r="E143" t="s">
        <v>17</v>
      </c>
      <c r="F143">
        <f>tbl_AQI[[#This Row],[Most AQI Reached]]-tbl_AQI[[#This Row],[Current AQI]]</f>
        <v>103</v>
      </c>
      <c r="G1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3">
        <f>RANK(tbl_AQI[[#This Row],[Current AQI]], tbl_AQI[Current AQI], 0)</f>
        <v>2275</v>
      </c>
    </row>
    <row r="144" spans="1:8" x14ac:dyDescent="0.35">
      <c r="A144" t="s">
        <v>104</v>
      </c>
      <c r="B144" t="s">
        <v>219</v>
      </c>
      <c r="C144">
        <v>210</v>
      </c>
      <c r="D144">
        <v>46</v>
      </c>
      <c r="E144" t="s">
        <v>17</v>
      </c>
      <c r="F144">
        <f>tbl_AQI[[#This Row],[Most AQI Reached]]-tbl_AQI[[#This Row],[Current AQI]]</f>
        <v>164</v>
      </c>
      <c r="G1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4">
        <f>RANK(tbl_AQI[[#This Row],[Current AQI]], tbl_AQI[Current AQI], 0)</f>
        <v>4680</v>
      </c>
    </row>
    <row r="145" spans="1:8" x14ac:dyDescent="0.35">
      <c r="A145" t="s">
        <v>104</v>
      </c>
      <c r="B145" t="s">
        <v>220</v>
      </c>
      <c r="C145">
        <v>303</v>
      </c>
      <c r="D145">
        <v>137</v>
      </c>
      <c r="E145" t="s">
        <v>21</v>
      </c>
      <c r="F145">
        <f>tbl_AQI[[#This Row],[Most AQI Reached]]-tbl_AQI[[#This Row],[Current AQI]]</f>
        <v>166</v>
      </c>
      <c r="G1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5">
        <f>RANK(tbl_AQI[[#This Row],[Current AQI]], tbl_AQI[Current AQI], 0)</f>
        <v>2677</v>
      </c>
    </row>
    <row r="146" spans="1:8" x14ac:dyDescent="0.35">
      <c r="A146" t="s">
        <v>104</v>
      </c>
      <c r="B146" t="s">
        <v>221</v>
      </c>
      <c r="C146">
        <v>265</v>
      </c>
      <c r="D146">
        <v>141</v>
      </c>
      <c r="E146" t="s">
        <v>11</v>
      </c>
      <c r="F146">
        <f>tbl_AQI[[#This Row],[Most AQI Reached]]-tbl_AQI[[#This Row],[Current AQI]]</f>
        <v>124</v>
      </c>
      <c r="G1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">
        <f>RANK(tbl_AQI[[#This Row],[Current AQI]], tbl_AQI[Current AQI], 0)</f>
        <v>2609</v>
      </c>
    </row>
    <row r="147" spans="1:8" x14ac:dyDescent="0.35">
      <c r="A147" t="s">
        <v>104</v>
      </c>
      <c r="B147" t="s">
        <v>222</v>
      </c>
      <c r="C147">
        <v>279</v>
      </c>
      <c r="D147">
        <v>174</v>
      </c>
      <c r="E147" t="s">
        <v>33</v>
      </c>
      <c r="F147">
        <f>tbl_AQI[[#This Row],[Most AQI Reached]]-tbl_AQI[[#This Row],[Current AQI]]</f>
        <v>105</v>
      </c>
      <c r="G1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">
        <f>RANK(tbl_AQI[[#This Row],[Current AQI]], tbl_AQI[Current AQI], 0)</f>
        <v>1803</v>
      </c>
    </row>
    <row r="148" spans="1:8" x14ac:dyDescent="0.35">
      <c r="A148" t="s">
        <v>104</v>
      </c>
      <c r="B148" t="s">
        <v>223</v>
      </c>
      <c r="C148">
        <v>268</v>
      </c>
      <c r="D148">
        <v>157</v>
      </c>
      <c r="E148" t="s">
        <v>33</v>
      </c>
      <c r="F148">
        <f>tbl_AQI[[#This Row],[Most AQI Reached]]-tbl_AQI[[#This Row],[Current AQI]]</f>
        <v>111</v>
      </c>
      <c r="G1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8">
        <f>RANK(tbl_AQI[[#This Row],[Current AQI]], tbl_AQI[Current AQI], 0)</f>
        <v>2239</v>
      </c>
    </row>
    <row r="149" spans="1:8" x14ac:dyDescent="0.35">
      <c r="A149" t="s">
        <v>104</v>
      </c>
      <c r="B149" t="s">
        <v>245</v>
      </c>
      <c r="C149">
        <v>208</v>
      </c>
      <c r="D149">
        <v>121</v>
      </c>
      <c r="E149" t="s">
        <v>11</v>
      </c>
      <c r="F149">
        <f>tbl_AQI[[#This Row],[Most AQI Reached]]-tbl_AQI[[#This Row],[Current AQI]]</f>
        <v>87</v>
      </c>
      <c r="G1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">
        <f>RANK(tbl_AQI[[#This Row],[Current AQI]], tbl_AQI[Current AQI], 0)</f>
        <v>3037</v>
      </c>
    </row>
    <row r="150" spans="1:8" x14ac:dyDescent="0.35">
      <c r="A150" t="s">
        <v>104</v>
      </c>
      <c r="B150" t="s">
        <v>246</v>
      </c>
      <c r="C150">
        <v>289</v>
      </c>
      <c r="D150">
        <v>155</v>
      </c>
      <c r="E150" t="s">
        <v>15</v>
      </c>
      <c r="F150">
        <f>tbl_AQI[[#This Row],[Most AQI Reached]]-tbl_AQI[[#This Row],[Current AQI]]</f>
        <v>134</v>
      </c>
      <c r="G1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">
        <f>RANK(tbl_AQI[[#This Row],[Current AQI]], tbl_AQI[Current AQI], 0)</f>
        <v>2275</v>
      </c>
    </row>
    <row r="151" spans="1:8" x14ac:dyDescent="0.35">
      <c r="A151" t="s">
        <v>104</v>
      </c>
      <c r="B151" t="s">
        <v>247</v>
      </c>
      <c r="C151">
        <v>305</v>
      </c>
      <c r="D151">
        <v>102</v>
      </c>
      <c r="E151" t="s">
        <v>11</v>
      </c>
      <c r="F151">
        <f>tbl_AQI[[#This Row],[Most AQI Reached]]-tbl_AQI[[#This Row],[Current AQI]]</f>
        <v>203</v>
      </c>
      <c r="G1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1">
        <f>RANK(tbl_AQI[[#This Row],[Current AQI]], tbl_AQI[Current AQI], 0)</f>
        <v>3493</v>
      </c>
    </row>
    <row r="152" spans="1:8" x14ac:dyDescent="0.35">
      <c r="A152" t="s">
        <v>104</v>
      </c>
      <c r="B152" t="s">
        <v>248</v>
      </c>
      <c r="C152">
        <v>287</v>
      </c>
      <c r="D152">
        <v>158</v>
      </c>
      <c r="E152" t="s">
        <v>7</v>
      </c>
      <c r="F152">
        <f>tbl_AQI[[#This Row],[Most AQI Reached]]-tbl_AQI[[#This Row],[Current AQI]]</f>
        <v>129</v>
      </c>
      <c r="G1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2">
        <f>RANK(tbl_AQI[[#This Row],[Current AQI]], tbl_AQI[Current AQI], 0)</f>
        <v>2207</v>
      </c>
    </row>
    <row r="153" spans="1:8" x14ac:dyDescent="0.35">
      <c r="A153" t="s">
        <v>104</v>
      </c>
      <c r="B153" t="s">
        <v>249</v>
      </c>
      <c r="C153">
        <v>216</v>
      </c>
      <c r="D153">
        <v>103</v>
      </c>
      <c r="E153" t="s">
        <v>33</v>
      </c>
      <c r="F153">
        <f>tbl_AQI[[#This Row],[Most AQI Reached]]-tbl_AQI[[#This Row],[Current AQI]]</f>
        <v>113</v>
      </c>
      <c r="G1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3">
        <f>RANK(tbl_AQI[[#This Row],[Current AQI]], tbl_AQI[Current AQI], 0)</f>
        <v>3474</v>
      </c>
    </row>
    <row r="154" spans="1:8" x14ac:dyDescent="0.35">
      <c r="A154" t="s">
        <v>104</v>
      </c>
      <c r="B154" t="s">
        <v>250</v>
      </c>
      <c r="C154">
        <v>285</v>
      </c>
      <c r="D154">
        <v>76</v>
      </c>
      <c r="E154" t="s">
        <v>33</v>
      </c>
      <c r="F154">
        <f>tbl_AQI[[#This Row],[Most AQI Reached]]-tbl_AQI[[#This Row],[Current AQI]]</f>
        <v>209</v>
      </c>
      <c r="G1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54">
        <f>RANK(tbl_AQI[[#This Row],[Current AQI]], tbl_AQI[Current AQI], 0)</f>
        <v>4023</v>
      </c>
    </row>
    <row r="155" spans="1:8" x14ac:dyDescent="0.35">
      <c r="A155" t="s">
        <v>104</v>
      </c>
      <c r="B155" t="s">
        <v>251</v>
      </c>
      <c r="C155">
        <v>69</v>
      </c>
      <c r="D155">
        <v>33</v>
      </c>
      <c r="E155" t="s">
        <v>17</v>
      </c>
      <c r="F155">
        <f>tbl_AQI[[#This Row],[Most AQI Reached]]-tbl_AQI[[#This Row],[Current AQI]]</f>
        <v>36</v>
      </c>
      <c r="G1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55">
        <f>RANK(tbl_AQI[[#This Row],[Current AQI]], tbl_AQI[Current AQI], 0)</f>
        <v>4964</v>
      </c>
    </row>
    <row r="156" spans="1:8" x14ac:dyDescent="0.35">
      <c r="A156" t="s">
        <v>104</v>
      </c>
      <c r="B156" t="s">
        <v>196</v>
      </c>
      <c r="C156">
        <v>283</v>
      </c>
      <c r="D156">
        <v>139</v>
      </c>
      <c r="E156" t="s">
        <v>9</v>
      </c>
      <c r="F156">
        <f>tbl_AQI[[#This Row],[Most AQI Reached]]-tbl_AQI[[#This Row],[Current AQI]]</f>
        <v>144</v>
      </c>
      <c r="G1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6">
        <f>RANK(tbl_AQI[[#This Row],[Current AQI]], tbl_AQI[Current AQI], 0)</f>
        <v>2647</v>
      </c>
    </row>
    <row r="157" spans="1:8" x14ac:dyDescent="0.35">
      <c r="A157" t="s">
        <v>104</v>
      </c>
      <c r="B157" t="s">
        <v>197</v>
      </c>
      <c r="C157">
        <v>272</v>
      </c>
      <c r="D157">
        <v>43</v>
      </c>
      <c r="E157" t="s">
        <v>7</v>
      </c>
      <c r="F157">
        <f>tbl_AQI[[#This Row],[Most AQI Reached]]-tbl_AQI[[#This Row],[Current AQI]]</f>
        <v>229</v>
      </c>
      <c r="G1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57">
        <f>RANK(tbl_AQI[[#This Row],[Current AQI]], tbl_AQI[Current AQI], 0)</f>
        <v>4752</v>
      </c>
    </row>
    <row r="158" spans="1:8" x14ac:dyDescent="0.35">
      <c r="A158" t="s">
        <v>104</v>
      </c>
      <c r="B158" t="s">
        <v>198</v>
      </c>
      <c r="C158">
        <v>91</v>
      </c>
      <c r="D158">
        <v>35</v>
      </c>
      <c r="E158" t="s">
        <v>15</v>
      </c>
      <c r="F158">
        <f>tbl_AQI[[#This Row],[Most AQI Reached]]-tbl_AQI[[#This Row],[Current AQI]]</f>
        <v>56</v>
      </c>
      <c r="G1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58">
        <f>RANK(tbl_AQI[[#This Row],[Current AQI]], tbl_AQI[Current AQI], 0)</f>
        <v>4916</v>
      </c>
    </row>
    <row r="159" spans="1:8" x14ac:dyDescent="0.35">
      <c r="A159" t="s">
        <v>104</v>
      </c>
      <c r="B159" t="s">
        <v>199</v>
      </c>
      <c r="C159">
        <v>238</v>
      </c>
      <c r="D159">
        <v>122</v>
      </c>
      <c r="E159" t="s">
        <v>7</v>
      </c>
      <c r="F159">
        <f>tbl_AQI[[#This Row],[Most AQI Reached]]-tbl_AQI[[#This Row],[Current AQI]]</f>
        <v>116</v>
      </c>
      <c r="G1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9">
        <f>RANK(tbl_AQI[[#This Row],[Current AQI]], tbl_AQI[Current AQI], 0)</f>
        <v>3013</v>
      </c>
    </row>
    <row r="160" spans="1:8" x14ac:dyDescent="0.35">
      <c r="A160" t="s">
        <v>104</v>
      </c>
      <c r="B160" t="s">
        <v>200</v>
      </c>
      <c r="C160">
        <v>197</v>
      </c>
      <c r="D160">
        <v>163</v>
      </c>
      <c r="E160" t="s">
        <v>15</v>
      </c>
      <c r="F160">
        <f>tbl_AQI[[#This Row],[Most AQI Reached]]-tbl_AQI[[#This Row],[Current AQI]]</f>
        <v>34</v>
      </c>
      <c r="G1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0">
        <f>RANK(tbl_AQI[[#This Row],[Current AQI]], tbl_AQI[Current AQI], 0)</f>
        <v>2075</v>
      </c>
    </row>
    <row r="161" spans="1:8" x14ac:dyDescent="0.35">
      <c r="A161" t="s">
        <v>104</v>
      </c>
      <c r="B161" t="s">
        <v>201</v>
      </c>
      <c r="C161">
        <v>208</v>
      </c>
      <c r="D161">
        <v>104</v>
      </c>
      <c r="E161" t="s">
        <v>21</v>
      </c>
      <c r="F161">
        <f>tbl_AQI[[#This Row],[Most AQI Reached]]-tbl_AQI[[#This Row],[Current AQI]]</f>
        <v>104</v>
      </c>
      <c r="G1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1">
        <f>RANK(tbl_AQI[[#This Row],[Current AQI]], tbl_AQI[Current AQI], 0)</f>
        <v>3454</v>
      </c>
    </row>
    <row r="162" spans="1:8" x14ac:dyDescent="0.35">
      <c r="A162" t="s">
        <v>104</v>
      </c>
      <c r="B162" t="s">
        <v>202</v>
      </c>
      <c r="C162">
        <v>298</v>
      </c>
      <c r="D162">
        <v>117</v>
      </c>
      <c r="E162" t="s">
        <v>9</v>
      </c>
      <c r="F162">
        <f>tbl_AQI[[#This Row],[Most AQI Reached]]-tbl_AQI[[#This Row],[Current AQI]]</f>
        <v>181</v>
      </c>
      <c r="G1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2">
        <f>RANK(tbl_AQI[[#This Row],[Current AQI]], tbl_AQI[Current AQI], 0)</f>
        <v>3144</v>
      </c>
    </row>
    <row r="163" spans="1:8" x14ac:dyDescent="0.35">
      <c r="A163" t="s">
        <v>104</v>
      </c>
      <c r="B163" t="s">
        <v>189</v>
      </c>
      <c r="C163">
        <v>293</v>
      </c>
      <c r="D163">
        <v>155</v>
      </c>
      <c r="E163" t="s">
        <v>33</v>
      </c>
      <c r="F163">
        <f>tbl_AQI[[#This Row],[Most AQI Reached]]-tbl_AQI[[#This Row],[Current AQI]]</f>
        <v>138</v>
      </c>
      <c r="G1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3">
        <f>RANK(tbl_AQI[[#This Row],[Current AQI]], tbl_AQI[Current AQI], 0)</f>
        <v>2275</v>
      </c>
    </row>
    <row r="164" spans="1:8" x14ac:dyDescent="0.35">
      <c r="A164" t="s">
        <v>104</v>
      </c>
      <c r="B164" t="s">
        <v>190</v>
      </c>
      <c r="C164">
        <v>241</v>
      </c>
      <c r="D164">
        <v>106</v>
      </c>
      <c r="E164" t="s">
        <v>33</v>
      </c>
      <c r="F164">
        <f>tbl_AQI[[#This Row],[Most AQI Reached]]-tbl_AQI[[#This Row],[Current AQI]]</f>
        <v>135</v>
      </c>
      <c r="G1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4">
        <f>RANK(tbl_AQI[[#This Row],[Current AQI]], tbl_AQI[Current AQI], 0)</f>
        <v>3413</v>
      </c>
    </row>
    <row r="165" spans="1:8" x14ac:dyDescent="0.35">
      <c r="A165" t="s">
        <v>104</v>
      </c>
      <c r="B165" t="s">
        <v>191</v>
      </c>
      <c r="C165">
        <v>272</v>
      </c>
      <c r="D165">
        <v>169</v>
      </c>
      <c r="E165" t="s">
        <v>9</v>
      </c>
      <c r="F165">
        <f>tbl_AQI[[#This Row],[Most AQI Reached]]-tbl_AQI[[#This Row],[Current AQI]]</f>
        <v>103</v>
      </c>
      <c r="G1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5">
        <f>RANK(tbl_AQI[[#This Row],[Current AQI]], tbl_AQI[Current AQI], 0)</f>
        <v>1925</v>
      </c>
    </row>
    <row r="166" spans="1:8" x14ac:dyDescent="0.35">
      <c r="A166" t="s">
        <v>104</v>
      </c>
      <c r="B166" t="s">
        <v>192</v>
      </c>
      <c r="C166">
        <v>83</v>
      </c>
      <c r="D166">
        <v>34</v>
      </c>
      <c r="E166" t="s">
        <v>9</v>
      </c>
      <c r="F166">
        <f>tbl_AQI[[#This Row],[Most AQI Reached]]-tbl_AQI[[#This Row],[Current AQI]]</f>
        <v>49</v>
      </c>
      <c r="G1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66">
        <f>RANK(tbl_AQI[[#This Row],[Current AQI]], tbl_AQI[Current AQI], 0)</f>
        <v>4944</v>
      </c>
    </row>
    <row r="167" spans="1:8" x14ac:dyDescent="0.35">
      <c r="A167" t="s">
        <v>104</v>
      </c>
      <c r="B167" t="s">
        <v>193</v>
      </c>
      <c r="C167">
        <v>183</v>
      </c>
      <c r="D167">
        <v>120</v>
      </c>
      <c r="E167" t="s">
        <v>21</v>
      </c>
      <c r="F167">
        <f>tbl_AQI[[#This Row],[Most AQI Reached]]-tbl_AQI[[#This Row],[Current AQI]]</f>
        <v>63</v>
      </c>
      <c r="G1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7">
        <f>RANK(tbl_AQI[[#This Row],[Current AQI]], tbl_AQI[Current AQI], 0)</f>
        <v>3066</v>
      </c>
    </row>
    <row r="168" spans="1:8" x14ac:dyDescent="0.35">
      <c r="A168" t="s">
        <v>104</v>
      </c>
      <c r="B168" t="s">
        <v>194</v>
      </c>
      <c r="C168">
        <v>320</v>
      </c>
      <c r="D168">
        <v>166</v>
      </c>
      <c r="E168" t="s">
        <v>33</v>
      </c>
      <c r="F168">
        <f>tbl_AQI[[#This Row],[Most AQI Reached]]-tbl_AQI[[#This Row],[Current AQI]]</f>
        <v>154</v>
      </c>
      <c r="G1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">
        <f>RANK(tbl_AQI[[#This Row],[Current AQI]], tbl_AQI[Current AQI], 0)</f>
        <v>2007</v>
      </c>
    </row>
    <row r="169" spans="1:8" x14ac:dyDescent="0.35">
      <c r="A169" t="s">
        <v>104</v>
      </c>
      <c r="B169" t="s">
        <v>195</v>
      </c>
      <c r="C169">
        <v>162</v>
      </c>
      <c r="D169">
        <v>53</v>
      </c>
      <c r="E169" t="s">
        <v>7</v>
      </c>
      <c r="F169">
        <f>tbl_AQI[[#This Row],[Most AQI Reached]]-tbl_AQI[[#This Row],[Current AQI]]</f>
        <v>109</v>
      </c>
      <c r="G1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69">
        <f>RANK(tbl_AQI[[#This Row],[Current AQI]], tbl_AQI[Current AQI], 0)</f>
        <v>4544</v>
      </c>
    </row>
    <row r="170" spans="1:8" x14ac:dyDescent="0.35">
      <c r="A170" t="s">
        <v>104</v>
      </c>
      <c r="B170" t="s">
        <v>147</v>
      </c>
      <c r="C170">
        <v>267</v>
      </c>
      <c r="D170">
        <v>153</v>
      </c>
      <c r="E170" t="s">
        <v>11</v>
      </c>
      <c r="F170">
        <f>tbl_AQI[[#This Row],[Most AQI Reached]]-tbl_AQI[[#This Row],[Current AQI]]</f>
        <v>114</v>
      </c>
      <c r="G1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">
        <f>RANK(tbl_AQI[[#This Row],[Current AQI]], tbl_AQI[Current AQI], 0)</f>
        <v>2329</v>
      </c>
    </row>
    <row r="171" spans="1:8" x14ac:dyDescent="0.35">
      <c r="A171" t="s">
        <v>104</v>
      </c>
      <c r="B171" t="s">
        <v>148</v>
      </c>
      <c r="C171">
        <v>172</v>
      </c>
      <c r="D171">
        <v>106</v>
      </c>
      <c r="E171" t="s">
        <v>9</v>
      </c>
      <c r="F171">
        <f>tbl_AQI[[#This Row],[Most AQI Reached]]-tbl_AQI[[#This Row],[Current AQI]]</f>
        <v>66</v>
      </c>
      <c r="G1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1">
        <f>RANK(tbl_AQI[[#This Row],[Current AQI]], tbl_AQI[Current AQI], 0)</f>
        <v>3413</v>
      </c>
    </row>
    <row r="172" spans="1:8" x14ac:dyDescent="0.35">
      <c r="A172" t="s">
        <v>104</v>
      </c>
      <c r="B172" t="s">
        <v>149</v>
      </c>
      <c r="C172">
        <v>231</v>
      </c>
      <c r="D172">
        <v>35</v>
      </c>
      <c r="E172" t="s">
        <v>17</v>
      </c>
      <c r="F172">
        <f>tbl_AQI[[#This Row],[Most AQI Reached]]-tbl_AQI[[#This Row],[Current AQI]]</f>
        <v>196</v>
      </c>
      <c r="G1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2">
        <f>RANK(tbl_AQI[[#This Row],[Current AQI]], tbl_AQI[Current AQI], 0)</f>
        <v>4916</v>
      </c>
    </row>
    <row r="173" spans="1:8" x14ac:dyDescent="0.35">
      <c r="A173" t="s">
        <v>104</v>
      </c>
      <c r="B173" t="s">
        <v>150</v>
      </c>
      <c r="C173">
        <v>234</v>
      </c>
      <c r="D173">
        <v>125</v>
      </c>
      <c r="E173" t="s">
        <v>17</v>
      </c>
      <c r="F173">
        <f>tbl_AQI[[#This Row],[Most AQI Reached]]-tbl_AQI[[#This Row],[Current AQI]]</f>
        <v>109</v>
      </c>
      <c r="G1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3">
        <f>RANK(tbl_AQI[[#This Row],[Current AQI]], tbl_AQI[Current AQI], 0)</f>
        <v>2951</v>
      </c>
    </row>
    <row r="174" spans="1:8" x14ac:dyDescent="0.35">
      <c r="A174" t="s">
        <v>104</v>
      </c>
      <c r="B174" t="s">
        <v>151</v>
      </c>
      <c r="C174">
        <v>302</v>
      </c>
      <c r="D174">
        <v>127</v>
      </c>
      <c r="E174" t="s">
        <v>33</v>
      </c>
      <c r="F174">
        <f>tbl_AQI[[#This Row],[Most AQI Reached]]-tbl_AQI[[#This Row],[Current AQI]]</f>
        <v>175</v>
      </c>
      <c r="G1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4">
        <f>RANK(tbl_AQI[[#This Row],[Current AQI]], tbl_AQI[Current AQI], 0)</f>
        <v>2909</v>
      </c>
    </row>
    <row r="175" spans="1:8" x14ac:dyDescent="0.35">
      <c r="A175" t="s">
        <v>104</v>
      </c>
      <c r="B175" t="s">
        <v>152</v>
      </c>
      <c r="C175">
        <v>280</v>
      </c>
      <c r="D175">
        <v>122</v>
      </c>
      <c r="E175" t="s">
        <v>9</v>
      </c>
      <c r="F175">
        <f>tbl_AQI[[#This Row],[Most AQI Reached]]-tbl_AQI[[#This Row],[Current AQI]]</f>
        <v>158</v>
      </c>
      <c r="G1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">
        <f>RANK(tbl_AQI[[#This Row],[Current AQI]], tbl_AQI[Current AQI], 0)</f>
        <v>3013</v>
      </c>
    </row>
    <row r="176" spans="1:8" x14ac:dyDescent="0.35">
      <c r="A176" t="s">
        <v>104</v>
      </c>
      <c r="B176" t="s">
        <v>153</v>
      </c>
      <c r="C176">
        <v>201</v>
      </c>
      <c r="D176">
        <v>105</v>
      </c>
      <c r="E176" t="s">
        <v>9</v>
      </c>
      <c r="F176">
        <f>tbl_AQI[[#This Row],[Most AQI Reached]]-tbl_AQI[[#This Row],[Current AQI]]</f>
        <v>96</v>
      </c>
      <c r="G1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6">
        <f>RANK(tbl_AQI[[#This Row],[Current AQI]], tbl_AQI[Current AQI], 0)</f>
        <v>3436</v>
      </c>
    </row>
    <row r="177" spans="1:8" x14ac:dyDescent="0.35">
      <c r="A177" t="s">
        <v>104</v>
      </c>
      <c r="B177" t="s">
        <v>224</v>
      </c>
      <c r="C177">
        <v>262</v>
      </c>
      <c r="D177">
        <v>120</v>
      </c>
      <c r="E177" t="s">
        <v>11</v>
      </c>
      <c r="F177">
        <f>tbl_AQI[[#This Row],[Most AQI Reached]]-tbl_AQI[[#This Row],[Current AQI]]</f>
        <v>142</v>
      </c>
      <c r="G1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7">
        <f>RANK(tbl_AQI[[#This Row],[Current AQI]], tbl_AQI[Current AQI], 0)</f>
        <v>3066</v>
      </c>
    </row>
    <row r="178" spans="1:8" x14ac:dyDescent="0.35">
      <c r="A178" t="s">
        <v>104</v>
      </c>
      <c r="B178" t="s">
        <v>225</v>
      </c>
      <c r="C178">
        <v>208</v>
      </c>
      <c r="D178">
        <v>187</v>
      </c>
      <c r="E178" t="s">
        <v>17</v>
      </c>
      <c r="F178">
        <f>tbl_AQI[[#This Row],[Most AQI Reached]]-tbl_AQI[[#This Row],[Current AQI]]</f>
        <v>21</v>
      </c>
      <c r="G1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">
        <f>RANK(tbl_AQI[[#This Row],[Current AQI]], tbl_AQI[Current AQI], 0)</f>
        <v>1455</v>
      </c>
    </row>
    <row r="179" spans="1:8" x14ac:dyDescent="0.35">
      <c r="A179" t="s">
        <v>104</v>
      </c>
      <c r="B179" t="s">
        <v>226</v>
      </c>
      <c r="C179">
        <v>248</v>
      </c>
      <c r="D179">
        <v>127</v>
      </c>
      <c r="E179" t="s">
        <v>7</v>
      </c>
      <c r="F179">
        <f>tbl_AQI[[#This Row],[Most AQI Reached]]-tbl_AQI[[#This Row],[Current AQI]]</f>
        <v>121</v>
      </c>
      <c r="G1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">
        <f>RANK(tbl_AQI[[#This Row],[Current AQI]], tbl_AQI[Current AQI], 0)</f>
        <v>2909</v>
      </c>
    </row>
    <row r="180" spans="1:8" x14ac:dyDescent="0.35">
      <c r="A180" t="s">
        <v>104</v>
      </c>
      <c r="B180" t="s">
        <v>227</v>
      </c>
      <c r="C180">
        <v>219</v>
      </c>
      <c r="D180">
        <v>124</v>
      </c>
      <c r="E180" t="s">
        <v>21</v>
      </c>
      <c r="F180">
        <f>tbl_AQI[[#This Row],[Most AQI Reached]]-tbl_AQI[[#This Row],[Current AQI]]</f>
        <v>95</v>
      </c>
      <c r="G1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">
        <f>RANK(tbl_AQI[[#This Row],[Current AQI]], tbl_AQI[Current AQI], 0)</f>
        <v>2971</v>
      </c>
    </row>
    <row r="181" spans="1:8" x14ac:dyDescent="0.35">
      <c r="A181" t="s">
        <v>104</v>
      </c>
      <c r="B181" t="s">
        <v>228</v>
      </c>
      <c r="C181">
        <v>181</v>
      </c>
      <c r="D181">
        <v>93</v>
      </c>
      <c r="E181" t="s">
        <v>9</v>
      </c>
      <c r="F181">
        <f>tbl_AQI[[#This Row],[Most AQI Reached]]-tbl_AQI[[#This Row],[Current AQI]]</f>
        <v>88</v>
      </c>
      <c r="G1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1">
        <f>RANK(tbl_AQI[[#This Row],[Current AQI]], tbl_AQI[Current AQI], 0)</f>
        <v>3678</v>
      </c>
    </row>
    <row r="182" spans="1:8" x14ac:dyDescent="0.35">
      <c r="A182" t="s">
        <v>104</v>
      </c>
      <c r="B182" t="s">
        <v>229</v>
      </c>
      <c r="C182">
        <v>217</v>
      </c>
      <c r="D182">
        <v>180</v>
      </c>
      <c r="E182" t="s">
        <v>15</v>
      </c>
      <c r="F182">
        <f>tbl_AQI[[#This Row],[Most AQI Reached]]-tbl_AQI[[#This Row],[Current AQI]]</f>
        <v>37</v>
      </c>
      <c r="G1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">
        <f>RANK(tbl_AQI[[#This Row],[Current AQI]], tbl_AQI[Current AQI], 0)</f>
        <v>1635</v>
      </c>
    </row>
    <row r="183" spans="1:8" x14ac:dyDescent="0.35">
      <c r="A183" t="s">
        <v>104</v>
      </c>
      <c r="B183" t="s">
        <v>230</v>
      </c>
      <c r="C183">
        <v>159</v>
      </c>
      <c r="D183">
        <v>112</v>
      </c>
      <c r="E183" t="s">
        <v>15</v>
      </c>
      <c r="F183">
        <f>tbl_AQI[[#This Row],[Most AQI Reached]]-tbl_AQI[[#This Row],[Current AQI]]</f>
        <v>47</v>
      </c>
      <c r="G1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3">
        <f>RANK(tbl_AQI[[#This Row],[Current AQI]], tbl_AQI[Current AQI], 0)</f>
        <v>3267</v>
      </c>
    </row>
    <row r="184" spans="1:8" x14ac:dyDescent="0.35">
      <c r="A184" t="s">
        <v>104</v>
      </c>
      <c r="B184" t="s">
        <v>126</v>
      </c>
      <c r="C184">
        <v>245</v>
      </c>
      <c r="D184">
        <v>145</v>
      </c>
      <c r="E184" t="s">
        <v>7</v>
      </c>
      <c r="F184">
        <f>tbl_AQI[[#This Row],[Most AQI Reached]]-tbl_AQI[[#This Row],[Current AQI]]</f>
        <v>100</v>
      </c>
      <c r="G1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">
        <f>RANK(tbl_AQI[[#This Row],[Current AQI]], tbl_AQI[Current AQI], 0)</f>
        <v>2526</v>
      </c>
    </row>
    <row r="185" spans="1:8" x14ac:dyDescent="0.35">
      <c r="A185" t="s">
        <v>104</v>
      </c>
      <c r="B185" t="s">
        <v>127</v>
      </c>
      <c r="C185">
        <v>319</v>
      </c>
      <c r="D185">
        <v>147</v>
      </c>
      <c r="E185" t="s">
        <v>17</v>
      </c>
      <c r="F185">
        <f>tbl_AQI[[#This Row],[Most AQI Reached]]-tbl_AQI[[#This Row],[Current AQI]]</f>
        <v>172</v>
      </c>
      <c r="G1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5">
        <f>RANK(tbl_AQI[[#This Row],[Current AQI]], tbl_AQI[Current AQI], 0)</f>
        <v>2478</v>
      </c>
    </row>
    <row r="186" spans="1:8" x14ac:dyDescent="0.35">
      <c r="A186" t="s">
        <v>104</v>
      </c>
      <c r="B186" t="s">
        <v>128</v>
      </c>
      <c r="C186">
        <v>297</v>
      </c>
      <c r="D186">
        <v>188</v>
      </c>
      <c r="E186" t="s">
        <v>33</v>
      </c>
      <c r="F186">
        <f>tbl_AQI[[#This Row],[Most AQI Reached]]-tbl_AQI[[#This Row],[Current AQI]]</f>
        <v>109</v>
      </c>
      <c r="G1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6">
        <f>RANK(tbl_AQI[[#This Row],[Current AQI]], tbl_AQI[Current AQI], 0)</f>
        <v>1423</v>
      </c>
    </row>
    <row r="187" spans="1:8" x14ac:dyDescent="0.35">
      <c r="A187" t="s">
        <v>104</v>
      </c>
      <c r="B187" t="s">
        <v>129</v>
      </c>
      <c r="C187">
        <v>281</v>
      </c>
      <c r="D187">
        <v>134</v>
      </c>
      <c r="E187" t="s">
        <v>9</v>
      </c>
      <c r="F187">
        <f>tbl_AQI[[#This Row],[Most AQI Reached]]-tbl_AQI[[#This Row],[Current AQI]]</f>
        <v>147</v>
      </c>
      <c r="G1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7">
        <f>RANK(tbl_AQI[[#This Row],[Current AQI]], tbl_AQI[Current AQI], 0)</f>
        <v>2740</v>
      </c>
    </row>
    <row r="188" spans="1:8" x14ac:dyDescent="0.35">
      <c r="A188" t="s">
        <v>104</v>
      </c>
      <c r="B188" t="s">
        <v>130</v>
      </c>
      <c r="C188">
        <v>106</v>
      </c>
      <c r="D188">
        <v>37</v>
      </c>
      <c r="E188" t="s">
        <v>33</v>
      </c>
      <c r="F188">
        <f>tbl_AQI[[#This Row],[Most AQI Reached]]-tbl_AQI[[#This Row],[Current AQI]]</f>
        <v>69</v>
      </c>
      <c r="G1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8">
        <f>RANK(tbl_AQI[[#This Row],[Current AQI]], tbl_AQI[Current AQI], 0)</f>
        <v>4863</v>
      </c>
    </row>
    <row r="189" spans="1:8" x14ac:dyDescent="0.35">
      <c r="A189" t="s">
        <v>104</v>
      </c>
      <c r="B189" t="s">
        <v>131</v>
      </c>
      <c r="C189">
        <v>254</v>
      </c>
      <c r="D189">
        <v>148</v>
      </c>
      <c r="E189" t="s">
        <v>33</v>
      </c>
      <c r="F189">
        <f>tbl_AQI[[#This Row],[Most AQI Reached]]-tbl_AQI[[#This Row],[Current AQI]]</f>
        <v>106</v>
      </c>
      <c r="G1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9">
        <f>RANK(tbl_AQI[[#This Row],[Current AQI]], tbl_AQI[Current AQI], 0)</f>
        <v>2446</v>
      </c>
    </row>
    <row r="190" spans="1:8" x14ac:dyDescent="0.35">
      <c r="A190" t="s">
        <v>104</v>
      </c>
      <c r="B190" t="s">
        <v>132</v>
      </c>
      <c r="C190">
        <v>203</v>
      </c>
      <c r="D190">
        <v>53</v>
      </c>
      <c r="E190" t="s">
        <v>9</v>
      </c>
      <c r="F190">
        <f>tbl_AQI[[#This Row],[Most AQI Reached]]-tbl_AQI[[#This Row],[Current AQI]]</f>
        <v>150</v>
      </c>
      <c r="G1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0">
        <f>RANK(tbl_AQI[[#This Row],[Current AQI]], tbl_AQI[Current AQI], 0)</f>
        <v>4544</v>
      </c>
    </row>
    <row r="191" spans="1:8" x14ac:dyDescent="0.35">
      <c r="A191" t="s">
        <v>104</v>
      </c>
      <c r="B191" t="s">
        <v>175</v>
      </c>
      <c r="C191">
        <v>319</v>
      </c>
      <c r="D191">
        <v>115</v>
      </c>
      <c r="E191" t="s">
        <v>7</v>
      </c>
      <c r="F191">
        <f>tbl_AQI[[#This Row],[Most AQI Reached]]-tbl_AQI[[#This Row],[Current AQI]]</f>
        <v>204</v>
      </c>
      <c r="G1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1">
        <f>RANK(tbl_AQI[[#This Row],[Current AQI]], tbl_AQI[Current AQI], 0)</f>
        <v>3206</v>
      </c>
    </row>
    <row r="192" spans="1:8" x14ac:dyDescent="0.35">
      <c r="A192" t="s">
        <v>104</v>
      </c>
      <c r="B192" t="s">
        <v>176</v>
      </c>
      <c r="C192">
        <v>294</v>
      </c>
      <c r="D192">
        <v>186</v>
      </c>
      <c r="E192" t="s">
        <v>17</v>
      </c>
      <c r="F192">
        <f>tbl_AQI[[#This Row],[Most AQI Reached]]-tbl_AQI[[#This Row],[Current AQI]]</f>
        <v>108</v>
      </c>
      <c r="G1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2">
        <f>RANK(tbl_AQI[[#This Row],[Current AQI]], tbl_AQI[Current AQI], 0)</f>
        <v>1478</v>
      </c>
    </row>
    <row r="193" spans="1:8" x14ac:dyDescent="0.35">
      <c r="A193" t="s">
        <v>104</v>
      </c>
      <c r="B193" t="s">
        <v>177</v>
      </c>
      <c r="C193">
        <v>291</v>
      </c>
      <c r="D193">
        <v>166</v>
      </c>
      <c r="E193" t="s">
        <v>17</v>
      </c>
      <c r="F193">
        <f>tbl_AQI[[#This Row],[Most AQI Reached]]-tbl_AQI[[#This Row],[Current AQI]]</f>
        <v>125</v>
      </c>
      <c r="G1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3">
        <f>RANK(tbl_AQI[[#This Row],[Current AQI]], tbl_AQI[Current AQI], 0)</f>
        <v>2007</v>
      </c>
    </row>
    <row r="194" spans="1:8" x14ac:dyDescent="0.35">
      <c r="A194" t="s">
        <v>104</v>
      </c>
      <c r="B194" t="s">
        <v>178</v>
      </c>
      <c r="C194">
        <v>220</v>
      </c>
      <c r="D194">
        <v>111</v>
      </c>
      <c r="E194" t="s">
        <v>15</v>
      </c>
      <c r="F194">
        <f>tbl_AQI[[#This Row],[Most AQI Reached]]-tbl_AQI[[#This Row],[Current AQI]]</f>
        <v>109</v>
      </c>
      <c r="G1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4">
        <f>RANK(tbl_AQI[[#This Row],[Current AQI]], tbl_AQI[Current AQI], 0)</f>
        <v>3285</v>
      </c>
    </row>
    <row r="195" spans="1:8" x14ac:dyDescent="0.35">
      <c r="A195" t="s">
        <v>104</v>
      </c>
      <c r="B195" t="s">
        <v>179</v>
      </c>
      <c r="C195">
        <v>200</v>
      </c>
      <c r="D195">
        <v>134</v>
      </c>
      <c r="E195" t="s">
        <v>7</v>
      </c>
      <c r="F195">
        <f>tbl_AQI[[#This Row],[Most AQI Reached]]-tbl_AQI[[#This Row],[Current AQI]]</f>
        <v>66</v>
      </c>
      <c r="G1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5">
        <f>RANK(tbl_AQI[[#This Row],[Current AQI]], tbl_AQI[Current AQI], 0)</f>
        <v>2740</v>
      </c>
    </row>
    <row r="196" spans="1:8" x14ac:dyDescent="0.35">
      <c r="A196" t="s">
        <v>104</v>
      </c>
      <c r="B196" t="s">
        <v>180</v>
      </c>
      <c r="C196">
        <v>297</v>
      </c>
      <c r="D196">
        <v>105</v>
      </c>
      <c r="E196" t="s">
        <v>15</v>
      </c>
      <c r="F196">
        <f>tbl_AQI[[#This Row],[Most AQI Reached]]-tbl_AQI[[#This Row],[Current AQI]]</f>
        <v>192</v>
      </c>
      <c r="G1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">
        <f>RANK(tbl_AQI[[#This Row],[Current AQI]], tbl_AQI[Current AQI], 0)</f>
        <v>3436</v>
      </c>
    </row>
    <row r="197" spans="1:8" x14ac:dyDescent="0.35">
      <c r="A197" t="s">
        <v>104</v>
      </c>
      <c r="B197" t="s">
        <v>181</v>
      </c>
      <c r="C197">
        <v>218</v>
      </c>
      <c r="D197">
        <v>149</v>
      </c>
      <c r="E197" t="s">
        <v>21</v>
      </c>
      <c r="F197">
        <f>tbl_AQI[[#This Row],[Most AQI Reached]]-tbl_AQI[[#This Row],[Current AQI]]</f>
        <v>69</v>
      </c>
      <c r="G1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7">
        <f>RANK(tbl_AQI[[#This Row],[Current AQI]], tbl_AQI[Current AQI], 0)</f>
        <v>2426</v>
      </c>
    </row>
    <row r="198" spans="1:8" x14ac:dyDescent="0.35">
      <c r="A198" t="s">
        <v>104</v>
      </c>
      <c r="B198" t="s">
        <v>105</v>
      </c>
      <c r="C198">
        <v>161</v>
      </c>
      <c r="D198">
        <v>116</v>
      </c>
      <c r="E198" t="s">
        <v>9</v>
      </c>
      <c r="F198">
        <f>tbl_AQI[[#This Row],[Most AQI Reached]]-tbl_AQI[[#This Row],[Current AQI]]</f>
        <v>45</v>
      </c>
      <c r="G1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">
        <f>RANK(tbl_AQI[[#This Row],[Current AQI]], tbl_AQI[Current AQI], 0)</f>
        <v>3173</v>
      </c>
    </row>
    <row r="199" spans="1:8" x14ac:dyDescent="0.35">
      <c r="A199" t="s">
        <v>104</v>
      </c>
      <c r="B199" t="s">
        <v>106</v>
      </c>
      <c r="C199">
        <v>260</v>
      </c>
      <c r="D199">
        <v>113</v>
      </c>
      <c r="E199" t="s">
        <v>7</v>
      </c>
      <c r="F199">
        <f>tbl_AQI[[#This Row],[Most AQI Reached]]-tbl_AQI[[#This Row],[Current AQI]]</f>
        <v>147</v>
      </c>
      <c r="G1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9">
        <f>RANK(tbl_AQI[[#This Row],[Current AQI]], tbl_AQI[Current AQI], 0)</f>
        <v>3243</v>
      </c>
    </row>
    <row r="200" spans="1:8" x14ac:dyDescent="0.35">
      <c r="A200" t="s">
        <v>104</v>
      </c>
      <c r="B200" t="s">
        <v>107</v>
      </c>
      <c r="C200">
        <v>317</v>
      </c>
      <c r="D200">
        <v>143</v>
      </c>
      <c r="E200" t="s">
        <v>7</v>
      </c>
      <c r="F200">
        <f>tbl_AQI[[#This Row],[Most AQI Reached]]-tbl_AQI[[#This Row],[Current AQI]]</f>
        <v>174</v>
      </c>
      <c r="G2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0">
        <f>RANK(tbl_AQI[[#This Row],[Current AQI]], tbl_AQI[Current AQI], 0)</f>
        <v>2567</v>
      </c>
    </row>
    <row r="201" spans="1:8" x14ac:dyDescent="0.35">
      <c r="A201" t="s">
        <v>104</v>
      </c>
      <c r="B201" t="s">
        <v>108</v>
      </c>
      <c r="C201">
        <v>311</v>
      </c>
      <c r="D201">
        <v>125</v>
      </c>
      <c r="E201" t="s">
        <v>21</v>
      </c>
      <c r="F201">
        <f>tbl_AQI[[#This Row],[Most AQI Reached]]-tbl_AQI[[#This Row],[Current AQI]]</f>
        <v>186</v>
      </c>
      <c r="G2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1">
        <f>RANK(tbl_AQI[[#This Row],[Current AQI]], tbl_AQI[Current AQI], 0)</f>
        <v>2951</v>
      </c>
    </row>
    <row r="202" spans="1:8" x14ac:dyDescent="0.35">
      <c r="A202" t="s">
        <v>104</v>
      </c>
      <c r="B202" t="s">
        <v>109</v>
      </c>
      <c r="C202">
        <v>163</v>
      </c>
      <c r="D202">
        <v>154</v>
      </c>
      <c r="E202" t="s">
        <v>21</v>
      </c>
      <c r="F202">
        <f>tbl_AQI[[#This Row],[Most AQI Reached]]-tbl_AQI[[#This Row],[Current AQI]]</f>
        <v>9</v>
      </c>
      <c r="G2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2">
        <f>RANK(tbl_AQI[[#This Row],[Current AQI]], tbl_AQI[Current AQI], 0)</f>
        <v>2307</v>
      </c>
    </row>
    <row r="203" spans="1:8" x14ac:dyDescent="0.35">
      <c r="A203" t="s">
        <v>104</v>
      </c>
      <c r="B203" t="s">
        <v>110</v>
      </c>
      <c r="C203">
        <v>300</v>
      </c>
      <c r="D203">
        <v>112</v>
      </c>
      <c r="E203" t="s">
        <v>15</v>
      </c>
      <c r="F203">
        <f>tbl_AQI[[#This Row],[Most AQI Reached]]-tbl_AQI[[#This Row],[Current AQI]]</f>
        <v>188</v>
      </c>
      <c r="G2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3">
        <f>RANK(tbl_AQI[[#This Row],[Current AQI]], tbl_AQI[Current AQI], 0)</f>
        <v>3267</v>
      </c>
    </row>
    <row r="204" spans="1:8" x14ac:dyDescent="0.35">
      <c r="A204" t="s">
        <v>104</v>
      </c>
      <c r="B204" t="s">
        <v>111</v>
      </c>
      <c r="C204">
        <v>111</v>
      </c>
      <c r="D204">
        <v>48</v>
      </c>
      <c r="E204" t="s">
        <v>21</v>
      </c>
      <c r="F204">
        <f>tbl_AQI[[#This Row],[Most AQI Reached]]-tbl_AQI[[#This Row],[Current AQI]]</f>
        <v>63</v>
      </c>
      <c r="G2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4">
        <f>RANK(tbl_AQI[[#This Row],[Current AQI]], tbl_AQI[Current AQI], 0)</f>
        <v>4638</v>
      </c>
    </row>
    <row r="205" spans="1:8" x14ac:dyDescent="0.35">
      <c r="A205" t="s">
        <v>104</v>
      </c>
      <c r="B205" t="s">
        <v>238</v>
      </c>
      <c r="C205">
        <v>221</v>
      </c>
      <c r="D205">
        <v>149</v>
      </c>
      <c r="E205" t="s">
        <v>7</v>
      </c>
      <c r="F205">
        <f>tbl_AQI[[#This Row],[Most AQI Reached]]-tbl_AQI[[#This Row],[Current AQI]]</f>
        <v>72</v>
      </c>
      <c r="G2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5">
        <f>RANK(tbl_AQI[[#This Row],[Current AQI]], tbl_AQI[Current AQI], 0)</f>
        <v>2426</v>
      </c>
    </row>
    <row r="206" spans="1:8" x14ac:dyDescent="0.35">
      <c r="A206" t="s">
        <v>104</v>
      </c>
      <c r="B206" t="s">
        <v>239</v>
      </c>
      <c r="C206">
        <v>315</v>
      </c>
      <c r="D206">
        <v>181</v>
      </c>
      <c r="E206" t="s">
        <v>7</v>
      </c>
      <c r="F206">
        <f>tbl_AQI[[#This Row],[Most AQI Reached]]-tbl_AQI[[#This Row],[Current AQI]]</f>
        <v>134</v>
      </c>
      <c r="G2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6">
        <f>RANK(tbl_AQI[[#This Row],[Current AQI]], tbl_AQI[Current AQI], 0)</f>
        <v>1609</v>
      </c>
    </row>
    <row r="207" spans="1:8" x14ac:dyDescent="0.35">
      <c r="A207" t="s">
        <v>104</v>
      </c>
      <c r="B207" t="s">
        <v>240</v>
      </c>
      <c r="C207">
        <v>207</v>
      </c>
      <c r="D207">
        <v>121</v>
      </c>
      <c r="E207" t="s">
        <v>11</v>
      </c>
      <c r="F207">
        <f>tbl_AQI[[#This Row],[Most AQI Reached]]-tbl_AQI[[#This Row],[Current AQI]]</f>
        <v>86</v>
      </c>
      <c r="G2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7">
        <f>RANK(tbl_AQI[[#This Row],[Current AQI]], tbl_AQI[Current AQI], 0)</f>
        <v>3037</v>
      </c>
    </row>
    <row r="208" spans="1:8" x14ac:dyDescent="0.35">
      <c r="A208" t="s">
        <v>104</v>
      </c>
      <c r="B208" t="s">
        <v>241</v>
      </c>
      <c r="C208">
        <v>264</v>
      </c>
      <c r="D208">
        <v>131</v>
      </c>
      <c r="E208" t="s">
        <v>11</v>
      </c>
      <c r="F208">
        <f>tbl_AQI[[#This Row],[Most AQI Reached]]-tbl_AQI[[#This Row],[Current AQI]]</f>
        <v>133</v>
      </c>
      <c r="G2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8">
        <f>RANK(tbl_AQI[[#This Row],[Current AQI]], tbl_AQI[Current AQI], 0)</f>
        <v>2815</v>
      </c>
    </row>
    <row r="209" spans="1:8" x14ac:dyDescent="0.35">
      <c r="A209" t="s">
        <v>104</v>
      </c>
      <c r="B209" t="s">
        <v>242</v>
      </c>
      <c r="C209">
        <v>290</v>
      </c>
      <c r="D209">
        <v>185</v>
      </c>
      <c r="E209" t="s">
        <v>33</v>
      </c>
      <c r="F209">
        <f>tbl_AQI[[#This Row],[Most AQI Reached]]-tbl_AQI[[#This Row],[Current AQI]]</f>
        <v>105</v>
      </c>
      <c r="G2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9">
        <f>RANK(tbl_AQI[[#This Row],[Current AQI]], tbl_AQI[Current AQI], 0)</f>
        <v>1517</v>
      </c>
    </row>
    <row r="210" spans="1:8" x14ac:dyDescent="0.35">
      <c r="A210" t="s">
        <v>104</v>
      </c>
      <c r="B210" t="s">
        <v>243</v>
      </c>
      <c r="C210">
        <v>239</v>
      </c>
      <c r="D210">
        <v>155</v>
      </c>
      <c r="E210" t="s">
        <v>15</v>
      </c>
      <c r="F210">
        <f>tbl_AQI[[#This Row],[Most AQI Reached]]-tbl_AQI[[#This Row],[Current AQI]]</f>
        <v>84</v>
      </c>
      <c r="G2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0">
        <f>RANK(tbl_AQI[[#This Row],[Current AQI]], tbl_AQI[Current AQI], 0)</f>
        <v>2275</v>
      </c>
    </row>
    <row r="211" spans="1:8" x14ac:dyDescent="0.35">
      <c r="A211" t="s">
        <v>104</v>
      </c>
      <c r="B211" t="s">
        <v>244</v>
      </c>
      <c r="C211">
        <v>138</v>
      </c>
      <c r="D211">
        <v>94</v>
      </c>
      <c r="E211" t="s">
        <v>15</v>
      </c>
      <c r="F211">
        <f>tbl_AQI[[#This Row],[Most AQI Reached]]-tbl_AQI[[#This Row],[Current AQI]]</f>
        <v>44</v>
      </c>
      <c r="G2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1">
        <f>RANK(tbl_AQI[[#This Row],[Current AQI]], tbl_AQI[Current AQI], 0)</f>
        <v>3654</v>
      </c>
    </row>
    <row r="212" spans="1:8" x14ac:dyDescent="0.35">
      <c r="A212" t="s">
        <v>104</v>
      </c>
      <c r="B212" t="s">
        <v>182</v>
      </c>
      <c r="C212">
        <v>205</v>
      </c>
      <c r="D212">
        <v>184</v>
      </c>
      <c r="E212" t="s">
        <v>9</v>
      </c>
      <c r="F212">
        <f>tbl_AQI[[#This Row],[Most AQI Reached]]-tbl_AQI[[#This Row],[Current AQI]]</f>
        <v>21</v>
      </c>
      <c r="G2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2">
        <f>RANK(tbl_AQI[[#This Row],[Current AQI]], tbl_AQI[Current AQI], 0)</f>
        <v>1544</v>
      </c>
    </row>
    <row r="213" spans="1:8" x14ac:dyDescent="0.35">
      <c r="A213" t="s">
        <v>104</v>
      </c>
      <c r="B213" t="s">
        <v>183</v>
      </c>
      <c r="C213">
        <v>194</v>
      </c>
      <c r="D213">
        <v>80</v>
      </c>
      <c r="E213" t="s">
        <v>11</v>
      </c>
      <c r="F213">
        <f>tbl_AQI[[#This Row],[Most AQI Reached]]-tbl_AQI[[#This Row],[Current AQI]]</f>
        <v>114</v>
      </c>
      <c r="G2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3">
        <f>RANK(tbl_AQI[[#This Row],[Current AQI]], tbl_AQI[Current AQI], 0)</f>
        <v>3948</v>
      </c>
    </row>
    <row r="214" spans="1:8" x14ac:dyDescent="0.35">
      <c r="A214" t="s">
        <v>104</v>
      </c>
      <c r="B214" t="s">
        <v>184</v>
      </c>
      <c r="C214">
        <v>247</v>
      </c>
      <c r="D214">
        <v>139</v>
      </c>
      <c r="E214" t="s">
        <v>15</v>
      </c>
      <c r="F214">
        <f>tbl_AQI[[#This Row],[Most AQI Reached]]-tbl_AQI[[#This Row],[Current AQI]]</f>
        <v>108</v>
      </c>
      <c r="G2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4">
        <f>RANK(tbl_AQI[[#This Row],[Current AQI]], tbl_AQI[Current AQI], 0)</f>
        <v>2647</v>
      </c>
    </row>
    <row r="215" spans="1:8" x14ac:dyDescent="0.35">
      <c r="A215" t="s">
        <v>104</v>
      </c>
      <c r="B215" t="s">
        <v>185</v>
      </c>
      <c r="C215">
        <v>290</v>
      </c>
      <c r="D215">
        <v>76</v>
      </c>
      <c r="E215" t="s">
        <v>33</v>
      </c>
      <c r="F215">
        <f>tbl_AQI[[#This Row],[Most AQI Reached]]-tbl_AQI[[#This Row],[Current AQI]]</f>
        <v>214</v>
      </c>
      <c r="G2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5">
        <f>RANK(tbl_AQI[[#This Row],[Current AQI]], tbl_AQI[Current AQI], 0)</f>
        <v>4023</v>
      </c>
    </row>
    <row r="216" spans="1:8" x14ac:dyDescent="0.35">
      <c r="A216" t="s">
        <v>104</v>
      </c>
      <c r="B216" t="s">
        <v>186</v>
      </c>
      <c r="C216">
        <v>252</v>
      </c>
      <c r="D216">
        <v>61</v>
      </c>
      <c r="E216" t="s">
        <v>7</v>
      </c>
      <c r="F216">
        <f>tbl_AQI[[#This Row],[Most AQI Reached]]-tbl_AQI[[#This Row],[Current AQI]]</f>
        <v>191</v>
      </c>
      <c r="G2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6">
        <f>RANK(tbl_AQI[[#This Row],[Current AQI]], tbl_AQI[Current AQI], 0)</f>
        <v>4368</v>
      </c>
    </row>
    <row r="217" spans="1:8" x14ac:dyDescent="0.35">
      <c r="A217" t="s">
        <v>104</v>
      </c>
      <c r="B217" t="s">
        <v>187</v>
      </c>
      <c r="C217">
        <v>308</v>
      </c>
      <c r="D217">
        <v>31</v>
      </c>
      <c r="E217" t="s">
        <v>21</v>
      </c>
      <c r="F217">
        <f>tbl_AQI[[#This Row],[Most AQI Reached]]-tbl_AQI[[#This Row],[Current AQI]]</f>
        <v>277</v>
      </c>
      <c r="G2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7">
        <f>RANK(tbl_AQI[[#This Row],[Current AQI]], tbl_AQI[Current AQI], 0)</f>
        <v>5016</v>
      </c>
    </row>
    <row r="218" spans="1:8" x14ac:dyDescent="0.35">
      <c r="A218" t="s">
        <v>104</v>
      </c>
      <c r="B218" t="s">
        <v>188</v>
      </c>
      <c r="C218">
        <v>129</v>
      </c>
      <c r="D218">
        <v>79</v>
      </c>
      <c r="E218" t="s">
        <v>15</v>
      </c>
      <c r="F218">
        <f>tbl_AQI[[#This Row],[Most AQI Reached]]-tbl_AQI[[#This Row],[Current AQI]]</f>
        <v>50</v>
      </c>
      <c r="G2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8">
        <f>RANK(tbl_AQI[[#This Row],[Current AQI]], tbl_AQI[Current AQI], 0)</f>
        <v>3967</v>
      </c>
    </row>
    <row r="219" spans="1:8" x14ac:dyDescent="0.35">
      <c r="A219" t="s">
        <v>104</v>
      </c>
      <c r="B219" t="s">
        <v>154</v>
      </c>
      <c r="C219">
        <v>251</v>
      </c>
      <c r="D219">
        <v>87</v>
      </c>
      <c r="E219" t="s">
        <v>9</v>
      </c>
      <c r="F219">
        <f>tbl_AQI[[#This Row],[Most AQI Reached]]-tbl_AQI[[#This Row],[Current AQI]]</f>
        <v>164</v>
      </c>
      <c r="G2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9">
        <f>RANK(tbl_AQI[[#This Row],[Current AQI]], tbl_AQI[Current AQI], 0)</f>
        <v>3813</v>
      </c>
    </row>
    <row r="220" spans="1:8" x14ac:dyDescent="0.35">
      <c r="A220" t="s">
        <v>104</v>
      </c>
      <c r="B220" t="s">
        <v>155</v>
      </c>
      <c r="C220">
        <v>159</v>
      </c>
      <c r="D220">
        <v>134</v>
      </c>
      <c r="E220" t="s">
        <v>9</v>
      </c>
      <c r="F220">
        <f>tbl_AQI[[#This Row],[Most AQI Reached]]-tbl_AQI[[#This Row],[Current AQI]]</f>
        <v>25</v>
      </c>
      <c r="G2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">
        <f>RANK(tbl_AQI[[#This Row],[Current AQI]], tbl_AQI[Current AQI], 0)</f>
        <v>2740</v>
      </c>
    </row>
    <row r="221" spans="1:8" x14ac:dyDescent="0.35">
      <c r="A221" t="s">
        <v>104</v>
      </c>
      <c r="B221" t="s">
        <v>156</v>
      </c>
      <c r="C221">
        <v>205</v>
      </c>
      <c r="D221">
        <v>103</v>
      </c>
      <c r="E221" t="s">
        <v>17</v>
      </c>
      <c r="F221">
        <f>tbl_AQI[[#This Row],[Most AQI Reached]]-tbl_AQI[[#This Row],[Current AQI]]</f>
        <v>102</v>
      </c>
      <c r="G2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">
        <f>RANK(tbl_AQI[[#This Row],[Current AQI]], tbl_AQI[Current AQI], 0)</f>
        <v>3474</v>
      </c>
    </row>
    <row r="222" spans="1:8" x14ac:dyDescent="0.35">
      <c r="A222" t="s">
        <v>104</v>
      </c>
      <c r="B222" t="s">
        <v>157</v>
      </c>
      <c r="C222">
        <v>70</v>
      </c>
      <c r="D222">
        <v>52</v>
      </c>
      <c r="E222" t="s">
        <v>9</v>
      </c>
      <c r="F222">
        <f>tbl_AQI[[#This Row],[Most AQI Reached]]-tbl_AQI[[#This Row],[Current AQI]]</f>
        <v>18</v>
      </c>
      <c r="G2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2">
        <f>RANK(tbl_AQI[[#This Row],[Current AQI]], tbl_AQI[Current AQI], 0)</f>
        <v>4564</v>
      </c>
    </row>
    <row r="223" spans="1:8" x14ac:dyDescent="0.35">
      <c r="A223" t="s">
        <v>104</v>
      </c>
      <c r="B223" t="s">
        <v>158</v>
      </c>
      <c r="C223">
        <v>178</v>
      </c>
      <c r="D223">
        <v>44</v>
      </c>
      <c r="E223" t="s">
        <v>33</v>
      </c>
      <c r="F223">
        <f>tbl_AQI[[#This Row],[Most AQI Reached]]-tbl_AQI[[#This Row],[Current AQI]]</f>
        <v>134</v>
      </c>
      <c r="G2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3">
        <f>RANK(tbl_AQI[[#This Row],[Current AQI]], tbl_AQI[Current AQI], 0)</f>
        <v>4732</v>
      </c>
    </row>
    <row r="224" spans="1:8" x14ac:dyDescent="0.35">
      <c r="A224" t="s">
        <v>104</v>
      </c>
      <c r="B224" t="s">
        <v>159</v>
      </c>
      <c r="C224">
        <v>287</v>
      </c>
      <c r="D224">
        <v>93</v>
      </c>
      <c r="E224" t="s">
        <v>11</v>
      </c>
      <c r="F224">
        <f>tbl_AQI[[#This Row],[Most AQI Reached]]-tbl_AQI[[#This Row],[Current AQI]]</f>
        <v>194</v>
      </c>
      <c r="G2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4">
        <f>RANK(tbl_AQI[[#This Row],[Current AQI]], tbl_AQI[Current AQI], 0)</f>
        <v>3678</v>
      </c>
    </row>
    <row r="225" spans="1:8" x14ac:dyDescent="0.35">
      <c r="A225" t="s">
        <v>104</v>
      </c>
      <c r="B225" t="s">
        <v>160</v>
      </c>
      <c r="C225">
        <v>242</v>
      </c>
      <c r="D225">
        <v>60</v>
      </c>
      <c r="E225" t="s">
        <v>33</v>
      </c>
      <c r="F225">
        <f>tbl_AQI[[#This Row],[Most AQI Reached]]-tbl_AQI[[#This Row],[Current AQI]]</f>
        <v>182</v>
      </c>
      <c r="G2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5">
        <f>RANK(tbl_AQI[[#This Row],[Current AQI]], tbl_AQI[Current AQI], 0)</f>
        <v>4390</v>
      </c>
    </row>
    <row r="226" spans="1:8" x14ac:dyDescent="0.35">
      <c r="A226" t="s">
        <v>104</v>
      </c>
      <c r="B226" t="s">
        <v>112</v>
      </c>
      <c r="C226">
        <v>232</v>
      </c>
      <c r="D226">
        <v>117</v>
      </c>
      <c r="E226" t="s">
        <v>9</v>
      </c>
      <c r="F226">
        <f>tbl_AQI[[#This Row],[Most AQI Reached]]-tbl_AQI[[#This Row],[Current AQI]]</f>
        <v>115</v>
      </c>
      <c r="G2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">
        <f>RANK(tbl_AQI[[#This Row],[Current AQI]], tbl_AQI[Current AQI], 0)</f>
        <v>3144</v>
      </c>
    </row>
    <row r="227" spans="1:8" x14ac:dyDescent="0.35">
      <c r="A227" t="s">
        <v>104</v>
      </c>
      <c r="B227" t="s">
        <v>113</v>
      </c>
      <c r="C227">
        <v>222</v>
      </c>
      <c r="D227">
        <v>55</v>
      </c>
      <c r="E227" t="s">
        <v>15</v>
      </c>
      <c r="F227">
        <f>tbl_AQI[[#This Row],[Most AQI Reached]]-tbl_AQI[[#This Row],[Current AQI]]</f>
        <v>167</v>
      </c>
      <c r="G2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7">
        <f>RANK(tbl_AQI[[#This Row],[Current AQI]], tbl_AQI[Current AQI], 0)</f>
        <v>4497</v>
      </c>
    </row>
    <row r="228" spans="1:8" x14ac:dyDescent="0.35">
      <c r="A228" t="s">
        <v>104</v>
      </c>
      <c r="B228" t="s">
        <v>114</v>
      </c>
      <c r="C228">
        <v>173</v>
      </c>
      <c r="D228">
        <v>48</v>
      </c>
      <c r="E228" t="s">
        <v>33</v>
      </c>
      <c r="F228">
        <f>tbl_AQI[[#This Row],[Most AQI Reached]]-tbl_AQI[[#This Row],[Current AQI]]</f>
        <v>125</v>
      </c>
      <c r="G2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8">
        <f>RANK(tbl_AQI[[#This Row],[Current AQI]], tbl_AQI[Current AQI], 0)</f>
        <v>4638</v>
      </c>
    </row>
    <row r="229" spans="1:8" x14ac:dyDescent="0.35">
      <c r="A229" t="s">
        <v>104</v>
      </c>
      <c r="B229" t="s">
        <v>115</v>
      </c>
      <c r="C229">
        <v>90</v>
      </c>
      <c r="D229">
        <v>60</v>
      </c>
      <c r="E229" t="s">
        <v>7</v>
      </c>
      <c r="F229">
        <f>tbl_AQI[[#This Row],[Most AQI Reached]]-tbl_AQI[[#This Row],[Current AQI]]</f>
        <v>30</v>
      </c>
      <c r="G2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9">
        <f>RANK(tbl_AQI[[#This Row],[Current AQI]], tbl_AQI[Current AQI], 0)</f>
        <v>4390</v>
      </c>
    </row>
    <row r="230" spans="1:8" x14ac:dyDescent="0.35">
      <c r="A230" t="s">
        <v>104</v>
      </c>
      <c r="B230" t="s">
        <v>116</v>
      </c>
      <c r="C230">
        <v>268</v>
      </c>
      <c r="D230">
        <v>133</v>
      </c>
      <c r="E230" t="s">
        <v>15</v>
      </c>
      <c r="F230">
        <f>tbl_AQI[[#This Row],[Most AQI Reached]]-tbl_AQI[[#This Row],[Current AQI]]</f>
        <v>135</v>
      </c>
      <c r="G2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0">
        <f>RANK(tbl_AQI[[#This Row],[Current AQI]], tbl_AQI[Current AQI], 0)</f>
        <v>2758</v>
      </c>
    </row>
    <row r="231" spans="1:8" x14ac:dyDescent="0.35">
      <c r="A231" t="s">
        <v>104</v>
      </c>
      <c r="B231" t="s">
        <v>117</v>
      </c>
      <c r="C231">
        <v>219</v>
      </c>
      <c r="D231">
        <v>175</v>
      </c>
      <c r="E231" t="s">
        <v>21</v>
      </c>
      <c r="F231">
        <f>tbl_AQI[[#This Row],[Most AQI Reached]]-tbl_AQI[[#This Row],[Current AQI]]</f>
        <v>44</v>
      </c>
      <c r="G2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">
        <f>RANK(tbl_AQI[[#This Row],[Current AQI]], tbl_AQI[Current AQI], 0)</f>
        <v>1780</v>
      </c>
    </row>
    <row r="232" spans="1:8" x14ac:dyDescent="0.35">
      <c r="A232" t="s">
        <v>104</v>
      </c>
      <c r="B232" t="s">
        <v>118</v>
      </c>
      <c r="C232">
        <v>296</v>
      </c>
      <c r="D232">
        <v>180</v>
      </c>
      <c r="E232" t="s">
        <v>7</v>
      </c>
      <c r="F232">
        <f>tbl_AQI[[#This Row],[Most AQI Reached]]-tbl_AQI[[#This Row],[Current AQI]]</f>
        <v>116</v>
      </c>
      <c r="G2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2">
        <f>RANK(tbl_AQI[[#This Row],[Current AQI]], tbl_AQI[Current AQI], 0)</f>
        <v>1635</v>
      </c>
    </row>
    <row r="233" spans="1:8" x14ac:dyDescent="0.35">
      <c r="A233" t="s">
        <v>104</v>
      </c>
      <c r="B233" t="s">
        <v>161</v>
      </c>
      <c r="C233">
        <v>273</v>
      </c>
      <c r="D233">
        <v>56</v>
      </c>
      <c r="E233" t="s">
        <v>21</v>
      </c>
      <c r="F233">
        <f>tbl_AQI[[#This Row],[Most AQI Reached]]-tbl_AQI[[#This Row],[Current AQI]]</f>
        <v>217</v>
      </c>
      <c r="G2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3">
        <f>RANK(tbl_AQI[[#This Row],[Current AQI]], tbl_AQI[Current AQI], 0)</f>
        <v>4474</v>
      </c>
    </row>
    <row r="234" spans="1:8" x14ac:dyDescent="0.35">
      <c r="A234" t="s">
        <v>104</v>
      </c>
      <c r="B234" t="s">
        <v>162</v>
      </c>
      <c r="C234">
        <v>310</v>
      </c>
      <c r="D234">
        <v>184</v>
      </c>
      <c r="E234" t="s">
        <v>11</v>
      </c>
      <c r="F234">
        <f>tbl_AQI[[#This Row],[Most AQI Reached]]-tbl_AQI[[#This Row],[Current AQI]]</f>
        <v>126</v>
      </c>
      <c r="G2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4">
        <f>RANK(tbl_AQI[[#This Row],[Current AQI]], tbl_AQI[Current AQI], 0)</f>
        <v>1544</v>
      </c>
    </row>
    <row r="235" spans="1:8" x14ac:dyDescent="0.35">
      <c r="A235" t="s">
        <v>104</v>
      </c>
      <c r="B235" t="s">
        <v>163</v>
      </c>
      <c r="C235">
        <v>96</v>
      </c>
      <c r="D235">
        <v>84</v>
      </c>
      <c r="E235" t="s">
        <v>9</v>
      </c>
      <c r="F235">
        <f>tbl_AQI[[#This Row],[Most AQI Reached]]-tbl_AQI[[#This Row],[Current AQI]]</f>
        <v>12</v>
      </c>
      <c r="G2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5">
        <f>RANK(tbl_AQI[[#This Row],[Current AQI]], tbl_AQI[Current AQI], 0)</f>
        <v>3872</v>
      </c>
    </row>
    <row r="236" spans="1:8" x14ac:dyDescent="0.35">
      <c r="A236" t="s">
        <v>104</v>
      </c>
      <c r="B236" t="s">
        <v>164</v>
      </c>
      <c r="C236">
        <v>184</v>
      </c>
      <c r="D236">
        <v>104</v>
      </c>
      <c r="E236" t="s">
        <v>11</v>
      </c>
      <c r="F236">
        <f>tbl_AQI[[#This Row],[Most AQI Reached]]-tbl_AQI[[#This Row],[Current AQI]]</f>
        <v>80</v>
      </c>
      <c r="G2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6">
        <f>RANK(tbl_AQI[[#This Row],[Current AQI]], tbl_AQI[Current AQI], 0)</f>
        <v>3454</v>
      </c>
    </row>
    <row r="237" spans="1:8" x14ac:dyDescent="0.35">
      <c r="A237" t="s">
        <v>104</v>
      </c>
      <c r="B237" t="s">
        <v>165</v>
      </c>
      <c r="C237">
        <v>298</v>
      </c>
      <c r="D237">
        <v>178</v>
      </c>
      <c r="E237" t="s">
        <v>17</v>
      </c>
      <c r="F237">
        <f>tbl_AQI[[#This Row],[Most AQI Reached]]-tbl_AQI[[#This Row],[Current AQI]]</f>
        <v>120</v>
      </c>
      <c r="G2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7">
        <f>RANK(tbl_AQI[[#This Row],[Current AQI]], tbl_AQI[Current AQI], 0)</f>
        <v>1702</v>
      </c>
    </row>
    <row r="238" spans="1:8" x14ac:dyDescent="0.35">
      <c r="A238" t="s">
        <v>104</v>
      </c>
      <c r="B238" t="s">
        <v>166</v>
      </c>
      <c r="C238">
        <v>271</v>
      </c>
      <c r="D238">
        <v>107</v>
      </c>
      <c r="E238" t="s">
        <v>17</v>
      </c>
      <c r="F238">
        <f>tbl_AQI[[#This Row],[Most AQI Reached]]-tbl_AQI[[#This Row],[Current AQI]]</f>
        <v>164</v>
      </c>
      <c r="G2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">
        <f>RANK(tbl_AQI[[#This Row],[Current AQI]], tbl_AQI[Current AQI], 0)</f>
        <v>3387</v>
      </c>
    </row>
    <row r="239" spans="1:8" x14ac:dyDescent="0.35">
      <c r="A239" t="s">
        <v>104</v>
      </c>
      <c r="B239" t="s">
        <v>167</v>
      </c>
      <c r="C239">
        <v>267</v>
      </c>
      <c r="D239">
        <v>45</v>
      </c>
      <c r="E239" t="s">
        <v>17</v>
      </c>
      <c r="F239">
        <f>tbl_AQI[[#This Row],[Most AQI Reached]]-tbl_AQI[[#This Row],[Current AQI]]</f>
        <v>222</v>
      </c>
      <c r="G2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9">
        <f>RANK(tbl_AQI[[#This Row],[Current AQI]], tbl_AQI[Current AQI], 0)</f>
        <v>4702</v>
      </c>
    </row>
    <row r="240" spans="1:8" x14ac:dyDescent="0.35">
      <c r="A240" t="s">
        <v>252</v>
      </c>
      <c r="B240" t="s">
        <v>253</v>
      </c>
      <c r="C240">
        <v>141</v>
      </c>
      <c r="D240">
        <v>109</v>
      </c>
      <c r="E240" t="s">
        <v>33</v>
      </c>
      <c r="F240">
        <f>tbl_AQI[[#This Row],[Most AQI Reached]]-tbl_AQI[[#This Row],[Current AQI]]</f>
        <v>32</v>
      </c>
      <c r="G2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0">
        <f>RANK(tbl_AQI[[#This Row],[Current AQI]], tbl_AQI[Current AQI], 0)</f>
        <v>3338</v>
      </c>
    </row>
    <row r="241" spans="1:8" x14ac:dyDescent="0.35">
      <c r="A241" t="s">
        <v>252</v>
      </c>
      <c r="B241" t="s">
        <v>254</v>
      </c>
      <c r="C241">
        <v>235</v>
      </c>
      <c r="D241">
        <v>31</v>
      </c>
      <c r="E241" t="s">
        <v>7</v>
      </c>
      <c r="F241">
        <f>tbl_AQI[[#This Row],[Most AQI Reached]]-tbl_AQI[[#This Row],[Current AQI]]</f>
        <v>204</v>
      </c>
      <c r="G2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1">
        <f>RANK(tbl_AQI[[#This Row],[Current AQI]], tbl_AQI[Current AQI], 0)</f>
        <v>5016</v>
      </c>
    </row>
    <row r="242" spans="1:8" x14ac:dyDescent="0.35">
      <c r="A242" t="s">
        <v>252</v>
      </c>
      <c r="B242" t="s">
        <v>255</v>
      </c>
      <c r="C242">
        <v>267</v>
      </c>
      <c r="D242">
        <v>56</v>
      </c>
      <c r="E242" t="s">
        <v>9</v>
      </c>
      <c r="F242">
        <f>tbl_AQI[[#This Row],[Most AQI Reached]]-tbl_AQI[[#This Row],[Current AQI]]</f>
        <v>211</v>
      </c>
      <c r="G2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2">
        <f>RANK(tbl_AQI[[#This Row],[Current AQI]], tbl_AQI[Current AQI], 0)</f>
        <v>4474</v>
      </c>
    </row>
    <row r="243" spans="1:8" x14ac:dyDescent="0.35">
      <c r="A243" t="s">
        <v>252</v>
      </c>
      <c r="B243" t="s">
        <v>256</v>
      </c>
      <c r="C243">
        <v>132</v>
      </c>
      <c r="D243">
        <v>37</v>
      </c>
      <c r="E243" t="s">
        <v>15</v>
      </c>
      <c r="F243">
        <f>tbl_AQI[[#This Row],[Most AQI Reached]]-tbl_AQI[[#This Row],[Current AQI]]</f>
        <v>95</v>
      </c>
      <c r="G2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3">
        <f>RANK(tbl_AQI[[#This Row],[Current AQI]], tbl_AQI[Current AQI], 0)</f>
        <v>4863</v>
      </c>
    </row>
    <row r="244" spans="1:8" x14ac:dyDescent="0.35">
      <c r="A244" t="s">
        <v>252</v>
      </c>
      <c r="B244" t="s">
        <v>257</v>
      </c>
      <c r="C244">
        <v>254</v>
      </c>
      <c r="D244">
        <v>146</v>
      </c>
      <c r="E244" t="s">
        <v>17</v>
      </c>
      <c r="F244">
        <f>tbl_AQI[[#This Row],[Most AQI Reached]]-tbl_AQI[[#This Row],[Current AQI]]</f>
        <v>108</v>
      </c>
      <c r="G2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">
        <f>RANK(tbl_AQI[[#This Row],[Current AQI]], tbl_AQI[Current AQI], 0)</f>
        <v>2499</v>
      </c>
    </row>
    <row r="245" spans="1:8" x14ac:dyDescent="0.35">
      <c r="A245" t="s">
        <v>252</v>
      </c>
      <c r="B245" t="s">
        <v>258</v>
      </c>
      <c r="C245">
        <v>269</v>
      </c>
      <c r="D245">
        <v>161</v>
      </c>
      <c r="E245" t="s">
        <v>33</v>
      </c>
      <c r="F245">
        <f>tbl_AQI[[#This Row],[Most AQI Reached]]-tbl_AQI[[#This Row],[Current AQI]]</f>
        <v>108</v>
      </c>
      <c r="G2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5">
        <f>RANK(tbl_AQI[[#This Row],[Current AQI]], tbl_AQI[Current AQI], 0)</f>
        <v>2129</v>
      </c>
    </row>
    <row r="246" spans="1:8" x14ac:dyDescent="0.35">
      <c r="A246" t="s">
        <v>252</v>
      </c>
      <c r="B246" t="s">
        <v>259</v>
      </c>
      <c r="C246">
        <v>308</v>
      </c>
      <c r="D246">
        <v>47</v>
      </c>
      <c r="E246" t="s">
        <v>21</v>
      </c>
      <c r="F246">
        <f>tbl_AQI[[#This Row],[Most AQI Reached]]-tbl_AQI[[#This Row],[Current AQI]]</f>
        <v>261</v>
      </c>
      <c r="G2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6">
        <f>RANK(tbl_AQI[[#This Row],[Current AQI]], tbl_AQI[Current AQI], 0)</f>
        <v>4656</v>
      </c>
    </row>
    <row r="247" spans="1:8" x14ac:dyDescent="0.35">
      <c r="A247" t="s">
        <v>252</v>
      </c>
      <c r="B247" t="s">
        <v>260</v>
      </c>
      <c r="C247">
        <v>247</v>
      </c>
      <c r="D247">
        <v>108</v>
      </c>
      <c r="E247" t="s">
        <v>9</v>
      </c>
      <c r="F247">
        <f>tbl_AQI[[#This Row],[Most AQI Reached]]-tbl_AQI[[#This Row],[Current AQI]]</f>
        <v>139</v>
      </c>
      <c r="G2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7">
        <f>RANK(tbl_AQI[[#This Row],[Current AQI]], tbl_AQI[Current AQI], 0)</f>
        <v>3362</v>
      </c>
    </row>
    <row r="248" spans="1:8" x14ac:dyDescent="0.35">
      <c r="A248" t="s">
        <v>252</v>
      </c>
      <c r="B248" t="s">
        <v>261</v>
      </c>
      <c r="C248">
        <v>113</v>
      </c>
      <c r="D248">
        <v>51</v>
      </c>
      <c r="E248" t="s">
        <v>9</v>
      </c>
      <c r="F248">
        <f>tbl_AQI[[#This Row],[Most AQI Reached]]-tbl_AQI[[#This Row],[Current AQI]]</f>
        <v>62</v>
      </c>
      <c r="G2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8">
        <f>RANK(tbl_AQI[[#This Row],[Current AQI]], tbl_AQI[Current AQI], 0)</f>
        <v>4578</v>
      </c>
    </row>
    <row r="249" spans="1:8" x14ac:dyDescent="0.35">
      <c r="A249" t="s">
        <v>252</v>
      </c>
      <c r="B249" t="s">
        <v>262</v>
      </c>
      <c r="C249">
        <v>103</v>
      </c>
      <c r="D249">
        <v>72</v>
      </c>
      <c r="E249" t="s">
        <v>15</v>
      </c>
      <c r="F249">
        <f>tbl_AQI[[#This Row],[Most AQI Reached]]-tbl_AQI[[#This Row],[Current AQI]]</f>
        <v>31</v>
      </c>
      <c r="G2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9">
        <f>RANK(tbl_AQI[[#This Row],[Current AQI]], tbl_AQI[Current AQI], 0)</f>
        <v>4100</v>
      </c>
    </row>
    <row r="250" spans="1:8" x14ac:dyDescent="0.35">
      <c r="A250" t="s">
        <v>252</v>
      </c>
      <c r="B250" t="s">
        <v>263</v>
      </c>
      <c r="C250">
        <v>307</v>
      </c>
      <c r="D250">
        <v>88</v>
      </c>
      <c r="E250" t="s">
        <v>15</v>
      </c>
      <c r="F250">
        <f>tbl_AQI[[#This Row],[Most AQI Reached]]-tbl_AQI[[#This Row],[Current AQI]]</f>
        <v>219</v>
      </c>
      <c r="G2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0">
        <f>RANK(tbl_AQI[[#This Row],[Current AQI]], tbl_AQI[Current AQI], 0)</f>
        <v>3792</v>
      </c>
    </row>
    <row r="251" spans="1:8" x14ac:dyDescent="0.35">
      <c r="A251" t="s">
        <v>252</v>
      </c>
      <c r="B251" t="s">
        <v>264</v>
      </c>
      <c r="C251">
        <v>293</v>
      </c>
      <c r="D251">
        <v>128</v>
      </c>
      <c r="E251" t="s">
        <v>17</v>
      </c>
      <c r="F251">
        <f>tbl_AQI[[#This Row],[Most AQI Reached]]-tbl_AQI[[#This Row],[Current AQI]]</f>
        <v>165</v>
      </c>
      <c r="G2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1">
        <f>RANK(tbl_AQI[[#This Row],[Current AQI]], tbl_AQI[Current AQI], 0)</f>
        <v>2872</v>
      </c>
    </row>
    <row r="252" spans="1:8" x14ac:dyDescent="0.35">
      <c r="A252" t="s">
        <v>252</v>
      </c>
      <c r="B252" t="s">
        <v>265</v>
      </c>
      <c r="C252">
        <v>145</v>
      </c>
      <c r="D252">
        <v>47</v>
      </c>
      <c r="E252" t="s">
        <v>15</v>
      </c>
      <c r="F252">
        <f>tbl_AQI[[#This Row],[Most AQI Reached]]-tbl_AQI[[#This Row],[Current AQI]]</f>
        <v>98</v>
      </c>
      <c r="G2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2">
        <f>RANK(tbl_AQI[[#This Row],[Current AQI]], tbl_AQI[Current AQI], 0)</f>
        <v>4656</v>
      </c>
    </row>
    <row r="253" spans="1:8" x14ac:dyDescent="0.35">
      <c r="A253" t="s">
        <v>252</v>
      </c>
      <c r="B253" t="s">
        <v>266</v>
      </c>
      <c r="C253">
        <v>221</v>
      </c>
      <c r="D253">
        <v>39</v>
      </c>
      <c r="E253" t="s">
        <v>9</v>
      </c>
      <c r="F253">
        <f>tbl_AQI[[#This Row],[Most AQI Reached]]-tbl_AQI[[#This Row],[Current AQI]]</f>
        <v>182</v>
      </c>
      <c r="G2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3">
        <f>RANK(tbl_AQI[[#This Row],[Current AQI]], tbl_AQI[Current AQI], 0)</f>
        <v>4829</v>
      </c>
    </row>
    <row r="254" spans="1:8" x14ac:dyDescent="0.35">
      <c r="A254" t="s">
        <v>252</v>
      </c>
      <c r="B254" t="s">
        <v>267</v>
      </c>
      <c r="C254">
        <v>230</v>
      </c>
      <c r="D254">
        <v>113</v>
      </c>
      <c r="E254" t="s">
        <v>17</v>
      </c>
      <c r="F254">
        <f>tbl_AQI[[#This Row],[Most AQI Reached]]-tbl_AQI[[#This Row],[Current AQI]]</f>
        <v>117</v>
      </c>
      <c r="G2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4">
        <f>RANK(tbl_AQI[[#This Row],[Current AQI]], tbl_AQI[Current AQI], 0)</f>
        <v>3243</v>
      </c>
    </row>
    <row r="255" spans="1:8" x14ac:dyDescent="0.35">
      <c r="A255" t="s">
        <v>252</v>
      </c>
      <c r="B255" t="s">
        <v>268</v>
      </c>
      <c r="C255">
        <v>238</v>
      </c>
      <c r="D255">
        <v>189</v>
      </c>
      <c r="E255" t="s">
        <v>17</v>
      </c>
      <c r="F255">
        <f>tbl_AQI[[#This Row],[Most AQI Reached]]-tbl_AQI[[#This Row],[Current AQI]]</f>
        <v>49</v>
      </c>
      <c r="G2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5">
        <f>RANK(tbl_AQI[[#This Row],[Current AQI]], tbl_AQI[Current AQI], 0)</f>
        <v>1395</v>
      </c>
    </row>
    <row r="256" spans="1:8" x14ac:dyDescent="0.35">
      <c r="A256" t="s">
        <v>252</v>
      </c>
      <c r="B256" t="s">
        <v>269</v>
      </c>
      <c r="C256">
        <v>317</v>
      </c>
      <c r="D256">
        <v>93</v>
      </c>
      <c r="E256" t="s">
        <v>17</v>
      </c>
      <c r="F256">
        <f>tbl_AQI[[#This Row],[Most AQI Reached]]-tbl_AQI[[#This Row],[Current AQI]]</f>
        <v>224</v>
      </c>
      <c r="G2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6">
        <f>RANK(tbl_AQI[[#This Row],[Current AQI]], tbl_AQI[Current AQI], 0)</f>
        <v>3678</v>
      </c>
    </row>
    <row r="257" spans="1:8" x14ac:dyDescent="0.35">
      <c r="A257" t="s">
        <v>252</v>
      </c>
      <c r="B257" t="s">
        <v>270</v>
      </c>
      <c r="C257">
        <v>214</v>
      </c>
      <c r="D257">
        <v>134</v>
      </c>
      <c r="E257" t="s">
        <v>11</v>
      </c>
      <c r="F257">
        <f>tbl_AQI[[#This Row],[Most AQI Reached]]-tbl_AQI[[#This Row],[Current AQI]]</f>
        <v>80</v>
      </c>
      <c r="G2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7">
        <f>RANK(tbl_AQI[[#This Row],[Current AQI]], tbl_AQI[Current AQI], 0)</f>
        <v>2740</v>
      </c>
    </row>
    <row r="258" spans="1:8" x14ac:dyDescent="0.35">
      <c r="A258" t="s">
        <v>252</v>
      </c>
      <c r="B258" t="s">
        <v>271</v>
      </c>
      <c r="C258">
        <v>70</v>
      </c>
      <c r="D258">
        <v>66</v>
      </c>
      <c r="E258" t="s">
        <v>9</v>
      </c>
      <c r="F258">
        <f>tbl_AQI[[#This Row],[Most AQI Reached]]-tbl_AQI[[#This Row],[Current AQI]]</f>
        <v>4</v>
      </c>
      <c r="G2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8">
        <f>RANK(tbl_AQI[[#This Row],[Current AQI]], tbl_AQI[Current AQI], 0)</f>
        <v>4247</v>
      </c>
    </row>
    <row r="259" spans="1:8" x14ac:dyDescent="0.35">
      <c r="A259" t="s">
        <v>252</v>
      </c>
      <c r="B259" t="s">
        <v>272</v>
      </c>
      <c r="C259">
        <v>215</v>
      </c>
      <c r="D259">
        <v>70</v>
      </c>
      <c r="E259" t="s">
        <v>7</v>
      </c>
      <c r="F259">
        <f>tbl_AQI[[#This Row],[Most AQI Reached]]-tbl_AQI[[#This Row],[Current AQI]]</f>
        <v>145</v>
      </c>
      <c r="G2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9">
        <f>RANK(tbl_AQI[[#This Row],[Current AQI]], tbl_AQI[Current AQI], 0)</f>
        <v>4153</v>
      </c>
    </row>
    <row r="260" spans="1:8" x14ac:dyDescent="0.35">
      <c r="A260" t="s">
        <v>252</v>
      </c>
      <c r="B260" t="s">
        <v>273</v>
      </c>
      <c r="C260">
        <v>189</v>
      </c>
      <c r="D260">
        <v>118</v>
      </c>
      <c r="E260" t="s">
        <v>9</v>
      </c>
      <c r="F260">
        <f>tbl_AQI[[#This Row],[Most AQI Reached]]-tbl_AQI[[#This Row],[Current AQI]]</f>
        <v>71</v>
      </c>
      <c r="G2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0">
        <f>RANK(tbl_AQI[[#This Row],[Current AQI]], tbl_AQI[Current AQI], 0)</f>
        <v>3122</v>
      </c>
    </row>
    <row r="261" spans="1:8" x14ac:dyDescent="0.35">
      <c r="A261" t="s">
        <v>252</v>
      </c>
      <c r="B261" t="s">
        <v>274</v>
      </c>
      <c r="C261">
        <v>303</v>
      </c>
      <c r="D261">
        <v>47</v>
      </c>
      <c r="E261" t="s">
        <v>21</v>
      </c>
      <c r="F261">
        <f>tbl_AQI[[#This Row],[Most AQI Reached]]-tbl_AQI[[#This Row],[Current AQI]]</f>
        <v>256</v>
      </c>
      <c r="G2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1">
        <f>RANK(tbl_AQI[[#This Row],[Current AQI]], tbl_AQI[Current AQI], 0)</f>
        <v>4656</v>
      </c>
    </row>
    <row r="262" spans="1:8" x14ac:dyDescent="0.35">
      <c r="A262" t="s">
        <v>252</v>
      </c>
      <c r="B262" t="s">
        <v>275</v>
      </c>
      <c r="C262">
        <v>219</v>
      </c>
      <c r="D262">
        <v>63</v>
      </c>
      <c r="E262" t="s">
        <v>21</v>
      </c>
      <c r="F262">
        <f>tbl_AQI[[#This Row],[Most AQI Reached]]-tbl_AQI[[#This Row],[Current AQI]]</f>
        <v>156</v>
      </c>
      <c r="G2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2">
        <f>RANK(tbl_AQI[[#This Row],[Current AQI]], tbl_AQI[Current AQI], 0)</f>
        <v>4322</v>
      </c>
    </row>
    <row r="263" spans="1:8" x14ac:dyDescent="0.35">
      <c r="A263" t="s">
        <v>252</v>
      </c>
      <c r="B263" t="s">
        <v>276</v>
      </c>
      <c r="C263">
        <v>144</v>
      </c>
      <c r="D263">
        <v>82</v>
      </c>
      <c r="E263" t="s">
        <v>11</v>
      </c>
      <c r="F263">
        <f>tbl_AQI[[#This Row],[Most AQI Reached]]-tbl_AQI[[#This Row],[Current AQI]]</f>
        <v>62</v>
      </c>
      <c r="G2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3">
        <f>RANK(tbl_AQI[[#This Row],[Current AQI]], tbl_AQI[Current AQI], 0)</f>
        <v>3904</v>
      </c>
    </row>
    <row r="264" spans="1:8" x14ac:dyDescent="0.35">
      <c r="A264" t="s">
        <v>252</v>
      </c>
      <c r="B264" t="s">
        <v>277</v>
      </c>
      <c r="C264">
        <v>190</v>
      </c>
      <c r="D264">
        <v>58</v>
      </c>
      <c r="E264" t="s">
        <v>17</v>
      </c>
      <c r="F264">
        <f>tbl_AQI[[#This Row],[Most AQI Reached]]-tbl_AQI[[#This Row],[Current AQI]]</f>
        <v>132</v>
      </c>
      <c r="G2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4">
        <f>RANK(tbl_AQI[[#This Row],[Current AQI]], tbl_AQI[Current AQI], 0)</f>
        <v>4431</v>
      </c>
    </row>
    <row r="265" spans="1:8" x14ac:dyDescent="0.35">
      <c r="A265" t="s">
        <v>252</v>
      </c>
      <c r="B265" t="s">
        <v>278</v>
      </c>
      <c r="C265">
        <v>134</v>
      </c>
      <c r="D265">
        <v>83</v>
      </c>
      <c r="E265" t="s">
        <v>9</v>
      </c>
      <c r="F265">
        <f>tbl_AQI[[#This Row],[Most AQI Reached]]-tbl_AQI[[#This Row],[Current AQI]]</f>
        <v>51</v>
      </c>
      <c r="G2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5">
        <f>RANK(tbl_AQI[[#This Row],[Current AQI]], tbl_AQI[Current AQI], 0)</f>
        <v>3892</v>
      </c>
    </row>
    <row r="266" spans="1:8" x14ac:dyDescent="0.35">
      <c r="A266" t="s">
        <v>252</v>
      </c>
      <c r="B266" t="s">
        <v>279</v>
      </c>
      <c r="C266">
        <v>301</v>
      </c>
      <c r="D266">
        <v>102</v>
      </c>
      <c r="E266" t="s">
        <v>9</v>
      </c>
      <c r="F266">
        <f>tbl_AQI[[#This Row],[Most AQI Reached]]-tbl_AQI[[#This Row],[Current AQI]]</f>
        <v>199</v>
      </c>
      <c r="G2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6">
        <f>RANK(tbl_AQI[[#This Row],[Current AQI]], tbl_AQI[Current AQI], 0)</f>
        <v>3493</v>
      </c>
    </row>
    <row r="267" spans="1:8" x14ac:dyDescent="0.35">
      <c r="A267" t="s">
        <v>252</v>
      </c>
      <c r="B267" t="s">
        <v>280</v>
      </c>
      <c r="C267">
        <v>306</v>
      </c>
      <c r="D267">
        <v>113</v>
      </c>
      <c r="E267" t="s">
        <v>33</v>
      </c>
      <c r="F267">
        <f>tbl_AQI[[#This Row],[Most AQI Reached]]-tbl_AQI[[#This Row],[Current AQI]]</f>
        <v>193</v>
      </c>
      <c r="G2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7">
        <f>RANK(tbl_AQI[[#This Row],[Current AQI]], tbl_AQI[Current AQI], 0)</f>
        <v>3243</v>
      </c>
    </row>
    <row r="268" spans="1:8" x14ac:dyDescent="0.35">
      <c r="A268" t="s">
        <v>252</v>
      </c>
      <c r="B268" t="s">
        <v>281</v>
      </c>
      <c r="C268">
        <v>197</v>
      </c>
      <c r="D268">
        <v>161</v>
      </c>
      <c r="E268" t="s">
        <v>11</v>
      </c>
      <c r="F268">
        <f>tbl_AQI[[#This Row],[Most AQI Reached]]-tbl_AQI[[#This Row],[Current AQI]]</f>
        <v>36</v>
      </c>
      <c r="G2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8">
        <f>RANK(tbl_AQI[[#This Row],[Current AQI]], tbl_AQI[Current AQI], 0)</f>
        <v>2129</v>
      </c>
    </row>
    <row r="269" spans="1:8" x14ac:dyDescent="0.35">
      <c r="A269" t="s">
        <v>252</v>
      </c>
      <c r="B269" t="s">
        <v>282</v>
      </c>
      <c r="C269">
        <v>176</v>
      </c>
      <c r="D269">
        <v>102</v>
      </c>
      <c r="E269" t="s">
        <v>7</v>
      </c>
      <c r="F269">
        <f>tbl_AQI[[#This Row],[Most AQI Reached]]-tbl_AQI[[#This Row],[Current AQI]]</f>
        <v>74</v>
      </c>
      <c r="G2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9">
        <f>RANK(tbl_AQI[[#This Row],[Current AQI]], tbl_AQI[Current AQI], 0)</f>
        <v>3493</v>
      </c>
    </row>
    <row r="270" spans="1:8" x14ac:dyDescent="0.35">
      <c r="A270" t="s">
        <v>252</v>
      </c>
      <c r="B270" t="s">
        <v>283</v>
      </c>
      <c r="C270">
        <v>117</v>
      </c>
      <c r="D270">
        <v>31</v>
      </c>
      <c r="E270" t="s">
        <v>7</v>
      </c>
      <c r="F270">
        <f>tbl_AQI[[#This Row],[Most AQI Reached]]-tbl_AQI[[#This Row],[Current AQI]]</f>
        <v>86</v>
      </c>
      <c r="G2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0">
        <f>RANK(tbl_AQI[[#This Row],[Current AQI]], tbl_AQI[Current AQI], 0)</f>
        <v>5016</v>
      </c>
    </row>
    <row r="271" spans="1:8" x14ac:dyDescent="0.35">
      <c r="A271" t="s">
        <v>252</v>
      </c>
      <c r="B271" t="s">
        <v>284</v>
      </c>
      <c r="C271">
        <v>206</v>
      </c>
      <c r="D271">
        <v>157</v>
      </c>
      <c r="E271" t="s">
        <v>7</v>
      </c>
      <c r="F271">
        <f>tbl_AQI[[#This Row],[Most AQI Reached]]-tbl_AQI[[#This Row],[Current AQI]]</f>
        <v>49</v>
      </c>
      <c r="G2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1">
        <f>RANK(tbl_AQI[[#This Row],[Current AQI]], tbl_AQI[Current AQI], 0)</f>
        <v>2239</v>
      </c>
    </row>
    <row r="272" spans="1:8" x14ac:dyDescent="0.35">
      <c r="A272" t="s">
        <v>252</v>
      </c>
      <c r="B272" t="s">
        <v>285</v>
      </c>
      <c r="C272">
        <v>65</v>
      </c>
      <c r="D272">
        <v>43</v>
      </c>
      <c r="E272" t="s">
        <v>17</v>
      </c>
      <c r="F272">
        <f>tbl_AQI[[#This Row],[Most AQI Reached]]-tbl_AQI[[#This Row],[Current AQI]]</f>
        <v>22</v>
      </c>
      <c r="G2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2">
        <f>RANK(tbl_AQI[[#This Row],[Current AQI]], tbl_AQI[Current AQI], 0)</f>
        <v>4752</v>
      </c>
    </row>
    <row r="273" spans="1:8" x14ac:dyDescent="0.35">
      <c r="A273" t="s">
        <v>252</v>
      </c>
      <c r="B273" t="s">
        <v>286</v>
      </c>
      <c r="C273">
        <v>149</v>
      </c>
      <c r="D273">
        <v>95</v>
      </c>
      <c r="E273" t="s">
        <v>11</v>
      </c>
      <c r="F273">
        <f>tbl_AQI[[#This Row],[Most AQI Reached]]-tbl_AQI[[#This Row],[Current AQI]]</f>
        <v>54</v>
      </c>
      <c r="G2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3">
        <f>RANK(tbl_AQI[[#This Row],[Current AQI]], tbl_AQI[Current AQI], 0)</f>
        <v>3634</v>
      </c>
    </row>
    <row r="274" spans="1:8" x14ac:dyDescent="0.35">
      <c r="A274" t="s">
        <v>252</v>
      </c>
      <c r="B274" t="s">
        <v>287</v>
      </c>
      <c r="C274">
        <v>226</v>
      </c>
      <c r="D274">
        <v>34</v>
      </c>
      <c r="E274" t="s">
        <v>15</v>
      </c>
      <c r="F274">
        <f>tbl_AQI[[#This Row],[Most AQI Reached]]-tbl_AQI[[#This Row],[Current AQI]]</f>
        <v>192</v>
      </c>
      <c r="G2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4">
        <f>RANK(tbl_AQI[[#This Row],[Current AQI]], tbl_AQI[Current AQI], 0)</f>
        <v>4944</v>
      </c>
    </row>
    <row r="275" spans="1:8" x14ac:dyDescent="0.35">
      <c r="A275" t="s">
        <v>252</v>
      </c>
      <c r="B275" t="s">
        <v>288</v>
      </c>
      <c r="C275">
        <v>194</v>
      </c>
      <c r="D275">
        <v>144</v>
      </c>
      <c r="E275" t="s">
        <v>33</v>
      </c>
      <c r="F275">
        <f>tbl_AQI[[#This Row],[Most AQI Reached]]-tbl_AQI[[#This Row],[Current AQI]]</f>
        <v>50</v>
      </c>
      <c r="G2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5">
        <f>RANK(tbl_AQI[[#This Row],[Current AQI]], tbl_AQI[Current AQI], 0)</f>
        <v>2550</v>
      </c>
    </row>
    <row r="276" spans="1:8" x14ac:dyDescent="0.35">
      <c r="A276" t="s">
        <v>252</v>
      </c>
      <c r="B276" t="s">
        <v>289</v>
      </c>
      <c r="C276">
        <v>243</v>
      </c>
      <c r="D276">
        <v>102</v>
      </c>
      <c r="E276" t="s">
        <v>11</v>
      </c>
      <c r="F276">
        <f>tbl_AQI[[#This Row],[Most AQI Reached]]-tbl_AQI[[#This Row],[Current AQI]]</f>
        <v>141</v>
      </c>
      <c r="G2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6">
        <f>RANK(tbl_AQI[[#This Row],[Current AQI]], tbl_AQI[Current AQI], 0)</f>
        <v>3493</v>
      </c>
    </row>
    <row r="277" spans="1:8" x14ac:dyDescent="0.35">
      <c r="A277" t="s">
        <v>252</v>
      </c>
      <c r="B277" t="s">
        <v>290</v>
      </c>
      <c r="C277">
        <v>237</v>
      </c>
      <c r="D277">
        <v>146</v>
      </c>
      <c r="E277" t="s">
        <v>33</v>
      </c>
      <c r="F277">
        <f>tbl_AQI[[#This Row],[Most AQI Reached]]-tbl_AQI[[#This Row],[Current AQI]]</f>
        <v>91</v>
      </c>
      <c r="G2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">
        <f>RANK(tbl_AQI[[#This Row],[Current AQI]], tbl_AQI[Current AQI], 0)</f>
        <v>2499</v>
      </c>
    </row>
    <row r="278" spans="1:8" x14ac:dyDescent="0.35">
      <c r="A278" t="s">
        <v>252</v>
      </c>
      <c r="B278" t="s">
        <v>291</v>
      </c>
      <c r="C278">
        <v>285</v>
      </c>
      <c r="D278">
        <v>84</v>
      </c>
      <c r="E278" t="s">
        <v>7</v>
      </c>
      <c r="F278">
        <f>tbl_AQI[[#This Row],[Most AQI Reached]]-tbl_AQI[[#This Row],[Current AQI]]</f>
        <v>201</v>
      </c>
      <c r="G2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8">
        <f>RANK(tbl_AQI[[#This Row],[Current AQI]], tbl_AQI[Current AQI], 0)</f>
        <v>3872</v>
      </c>
    </row>
    <row r="279" spans="1:8" x14ac:dyDescent="0.35">
      <c r="A279" t="s">
        <v>252</v>
      </c>
      <c r="B279" t="s">
        <v>292</v>
      </c>
      <c r="C279">
        <v>164</v>
      </c>
      <c r="D279">
        <v>112</v>
      </c>
      <c r="E279" t="s">
        <v>17</v>
      </c>
      <c r="F279">
        <f>tbl_AQI[[#This Row],[Most AQI Reached]]-tbl_AQI[[#This Row],[Current AQI]]</f>
        <v>52</v>
      </c>
      <c r="G2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9">
        <f>RANK(tbl_AQI[[#This Row],[Current AQI]], tbl_AQI[Current AQI], 0)</f>
        <v>3267</v>
      </c>
    </row>
    <row r="280" spans="1:8" x14ac:dyDescent="0.35">
      <c r="A280" t="s">
        <v>252</v>
      </c>
      <c r="B280" t="s">
        <v>293</v>
      </c>
      <c r="C280">
        <v>169</v>
      </c>
      <c r="D280">
        <v>118</v>
      </c>
      <c r="E280" t="s">
        <v>15</v>
      </c>
      <c r="F280">
        <f>tbl_AQI[[#This Row],[Most AQI Reached]]-tbl_AQI[[#This Row],[Current AQI]]</f>
        <v>51</v>
      </c>
      <c r="G2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">
        <f>RANK(tbl_AQI[[#This Row],[Current AQI]], tbl_AQI[Current AQI], 0)</f>
        <v>3122</v>
      </c>
    </row>
    <row r="281" spans="1:8" x14ac:dyDescent="0.35">
      <c r="A281" t="s">
        <v>252</v>
      </c>
      <c r="B281" t="s">
        <v>294</v>
      </c>
      <c r="C281">
        <v>200</v>
      </c>
      <c r="D281">
        <v>70</v>
      </c>
      <c r="E281" t="s">
        <v>11</v>
      </c>
      <c r="F281">
        <f>tbl_AQI[[#This Row],[Most AQI Reached]]-tbl_AQI[[#This Row],[Current AQI]]</f>
        <v>130</v>
      </c>
      <c r="G2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1">
        <f>RANK(tbl_AQI[[#This Row],[Current AQI]], tbl_AQI[Current AQI], 0)</f>
        <v>4153</v>
      </c>
    </row>
    <row r="282" spans="1:8" x14ac:dyDescent="0.35">
      <c r="A282" t="s">
        <v>252</v>
      </c>
      <c r="B282" t="s">
        <v>295</v>
      </c>
      <c r="C282">
        <v>271</v>
      </c>
      <c r="D282">
        <v>102</v>
      </c>
      <c r="E282" t="s">
        <v>15</v>
      </c>
      <c r="F282">
        <f>tbl_AQI[[#This Row],[Most AQI Reached]]-tbl_AQI[[#This Row],[Current AQI]]</f>
        <v>169</v>
      </c>
      <c r="G2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2">
        <f>RANK(tbl_AQI[[#This Row],[Current AQI]], tbl_AQI[Current AQI], 0)</f>
        <v>3493</v>
      </c>
    </row>
    <row r="283" spans="1:8" x14ac:dyDescent="0.35">
      <c r="A283" t="s">
        <v>252</v>
      </c>
      <c r="B283" t="s">
        <v>296</v>
      </c>
      <c r="C283">
        <v>194</v>
      </c>
      <c r="D283">
        <v>134</v>
      </c>
      <c r="E283" t="s">
        <v>11</v>
      </c>
      <c r="F283">
        <f>tbl_AQI[[#This Row],[Most AQI Reached]]-tbl_AQI[[#This Row],[Current AQI]]</f>
        <v>60</v>
      </c>
      <c r="G2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">
        <f>RANK(tbl_AQI[[#This Row],[Current AQI]], tbl_AQI[Current AQI], 0)</f>
        <v>2740</v>
      </c>
    </row>
    <row r="284" spans="1:8" x14ac:dyDescent="0.35">
      <c r="A284" t="s">
        <v>252</v>
      </c>
      <c r="B284" t="s">
        <v>297</v>
      </c>
      <c r="C284">
        <v>155</v>
      </c>
      <c r="D284">
        <v>154</v>
      </c>
      <c r="E284" t="s">
        <v>33</v>
      </c>
      <c r="F284">
        <f>tbl_AQI[[#This Row],[Most AQI Reached]]-tbl_AQI[[#This Row],[Current AQI]]</f>
        <v>1</v>
      </c>
      <c r="G2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4">
        <f>RANK(tbl_AQI[[#This Row],[Current AQI]], tbl_AQI[Current AQI], 0)</f>
        <v>2307</v>
      </c>
    </row>
    <row r="285" spans="1:8" x14ac:dyDescent="0.35">
      <c r="A285" t="s">
        <v>252</v>
      </c>
      <c r="B285" t="s">
        <v>298</v>
      </c>
      <c r="C285">
        <v>185</v>
      </c>
      <c r="D285">
        <v>98</v>
      </c>
      <c r="E285" t="s">
        <v>21</v>
      </c>
      <c r="F285">
        <f>tbl_AQI[[#This Row],[Most AQI Reached]]-tbl_AQI[[#This Row],[Current AQI]]</f>
        <v>87</v>
      </c>
      <c r="G2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5">
        <f>RANK(tbl_AQI[[#This Row],[Current AQI]], tbl_AQI[Current AQI], 0)</f>
        <v>3574</v>
      </c>
    </row>
    <row r="286" spans="1:8" x14ac:dyDescent="0.35">
      <c r="A286" t="s">
        <v>252</v>
      </c>
      <c r="B286" t="s">
        <v>299</v>
      </c>
      <c r="C286">
        <v>290</v>
      </c>
      <c r="D286">
        <v>47</v>
      </c>
      <c r="E286" t="s">
        <v>33</v>
      </c>
      <c r="F286">
        <f>tbl_AQI[[#This Row],[Most AQI Reached]]-tbl_AQI[[#This Row],[Current AQI]]</f>
        <v>243</v>
      </c>
      <c r="G2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6">
        <f>RANK(tbl_AQI[[#This Row],[Current AQI]], tbl_AQI[Current AQI], 0)</f>
        <v>4656</v>
      </c>
    </row>
    <row r="287" spans="1:8" x14ac:dyDescent="0.35">
      <c r="A287" t="s">
        <v>252</v>
      </c>
      <c r="B287" t="s">
        <v>300</v>
      </c>
      <c r="C287">
        <v>148</v>
      </c>
      <c r="D287">
        <v>86</v>
      </c>
      <c r="E287" t="s">
        <v>9</v>
      </c>
      <c r="F287">
        <f>tbl_AQI[[#This Row],[Most AQI Reached]]-tbl_AQI[[#This Row],[Current AQI]]</f>
        <v>62</v>
      </c>
      <c r="G2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7">
        <f>RANK(tbl_AQI[[#This Row],[Current AQI]], tbl_AQI[Current AQI], 0)</f>
        <v>3830</v>
      </c>
    </row>
    <row r="288" spans="1:8" x14ac:dyDescent="0.35">
      <c r="A288" t="s">
        <v>252</v>
      </c>
      <c r="B288" t="s">
        <v>301</v>
      </c>
      <c r="C288">
        <v>297</v>
      </c>
      <c r="D288">
        <v>117</v>
      </c>
      <c r="E288" t="s">
        <v>7</v>
      </c>
      <c r="F288">
        <f>tbl_AQI[[#This Row],[Most AQI Reached]]-tbl_AQI[[#This Row],[Current AQI]]</f>
        <v>180</v>
      </c>
      <c r="G2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">
        <f>RANK(tbl_AQI[[#This Row],[Current AQI]], tbl_AQI[Current AQI], 0)</f>
        <v>3144</v>
      </c>
    </row>
    <row r="289" spans="1:8" x14ac:dyDescent="0.35">
      <c r="A289" t="s">
        <v>252</v>
      </c>
      <c r="B289" t="s">
        <v>302</v>
      </c>
      <c r="C289">
        <v>302</v>
      </c>
      <c r="D289">
        <v>164</v>
      </c>
      <c r="E289" t="s">
        <v>9</v>
      </c>
      <c r="F289">
        <f>tbl_AQI[[#This Row],[Most AQI Reached]]-tbl_AQI[[#This Row],[Current AQI]]</f>
        <v>138</v>
      </c>
      <c r="G2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9">
        <f>RANK(tbl_AQI[[#This Row],[Current AQI]], tbl_AQI[Current AQI], 0)</f>
        <v>2049</v>
      </c>
    </row>
    <row r="290" spans="1:8" x14ac:dyDescent="0.35">
      <c r="A290" t="s">
        <v>252</v>
      </c>
      <c r="B290" t="s">
        <v>303</v>
      </c>
      <c r="C290">
        <v>216</v>
      </c>
      <c r="D290">
        <v>71</v>
      </c>
      <c r="E290" t="s">
        <v>33</v>
      </c>
      <c r="F290">
        <f>tbl_AQI[[#This Row],[Most AQI Reached]]-tbl_AQI[[#This Row],[Current AQI]]</f>
        <v>145</v>
      </c>
      <c r="G2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0">
        <f>RANK(tbl_AQI[[#This Row],[Current AQI]], tbl_AQI[Current AQI], 0)</f>
        <v>4129</v>
      </c>
    </row>
    <row r="291" spans="1:8" x14ac:dyDescent="0.35">
      <c r="A291" t="s">
        <v>252</v>
      </c>
      <c r="B291" t="s">
        <v>304</v>
      </c>
      <c r="C291">
        <v>169</v>
      </c>
      <c r="D291">
        <v>109</v>
      </c>
      <c r="E291" t="s">
        <v>11</v>
      </c>
      <c r="F291">
        <f>tbl_AQI[[#This Row],[Most AQI Reached]]-tbl_AQI[[#This Row],[Current AQI]]</f>
        <v>60</v>
      </c>
      <c r="G2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1">
        <f>RANK(tbl_AQI[[#This Row],[Current AQI]], tbl_AQI[Current AQI], 0)</f>
        <v>3338</v>
      </c>
    </row>
    <row r="292" spans="1:8" x14ac:dyDescent="0.35">
      <c r="A292" t="s">
        <v>252</v>
      </c>
      <c r="B292" t="s">
        <v>305</v>
      </c>
      <c r="C292">
        <v>278</v>
      </c>
      <c r="D292">
        <v>107</v>
      </c>
      <c r="E292" t="s">
        <v>17</v>
      </c>
      <c r="F292">
        <f>tbl_AQI[[#This Row],[Most AQI Reached]]-tbl_AQI[[#This Row],[Current AQI]]</f>
        <v>171</v>
      </c>
      <c r="G2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2">
        <f>RANK(tbl_AQI[[#This Row],[Current AQI]], tbl_AQI[Current AQI], 0)</f>
        <v>3387</v>
      </c>
    </row>
    <row r="293" spans="1:8" x14ac:dyDescent="0.35">
      <c r="A293" t="s">
        <v>252</v>
      </c>
      <c r="B293" t="s">
        <v>306</v>
      </c>
      <c r="C293">
        <v>132</v>
      </c>
      <c r="D293">
        <v>66</v>
      </c>
      <c r="E293" t="s">
        <v>33</v>
      </c>
      <c r="F293">
        <f>tbl_AQI[[#This Row],[Most AQI Reached]]-tbl_AQI[[#This Row],[Current AQI]]</f>
        <v>66</v>
      </c>
      <c r="G2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3">
        <f>RANK(tbl_AQI[[#This Row],[Current AQI]], tbl_AQI[Current AQI], 0)</f>
        <v>4247</v>
      </c>
    </row>
    <row r="294" spans="1:8" x14ac:dyDescent="0.35">
      <c r="A294" t="s">
        <v>252</v>
      </c>
      <c r="B294" t="s">
        <v>307</v>
      </c>
      <c r="C294">
        <v>144</v>
      </c>
      <c r="D294">
        <v>53</v>
      </c>
      <c r="E294" t="s">
        <v>15</v>
      </c>
      <c r="F294">
        <f>tbl_AQI[[#This Row],[Most AQI Reached]]-tbl_AQI[[#This Row],[Current AQI]]</f>
        <v>91</v>
      </c>
      <c r="G2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4">
        <f>RANK(tbl_AQI[[#This Row],[Current AQI]], tbl_AQI[Current AQI], 0)</f>
        <v>4544</v>
      </c>
    </row>
    <row r="295" spans="1:8" x14ac:dyDescent="0.35">
      <c r="A295" t="s">
        <v>252</v>
      </c>
      <c r="B295" t="s">
        <v>308</v>
      </c>
      <c r="C295">
        <v>270</v>
      </c>
      <c r="D295">
        <v>141</v>
      </c>
      <c r="E295" t="s">
        <v>17</v>
      </c>
      <c r="F295">
        <f>tbl_AQI[[#This Row],[Most AQI Reached]]-tbl_AQI[[#This Row],[Current AQI]]</f>
        <v>129</v>
      </c>
      <c r="G2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">
        <f>RANK(tbl_AQI[[#This Row],[Current AQI]], tbl_AQI[Current AQI], 0)</f>
        <v>2609</v>
      </c>
    </row>
    <row r="296" spans="1:8" x14ac:dyDescent="0.35">
      <c r="A296" t="s">
        <v>252</v>
      </c>
      <c r="B296" t="s">
        <v>309</v>
      </c>
      <c r="C296">
        <v>200</v>
      </c>
      <c r="D296">
        <v>71</v>
      </c>
      <c r="E296" t="s">
        <v>11</v>
      </c>
      <c r="F296">
        <f>tbl_AQI[[#This Row],[Most AQI Reached]]-tbl_AQI[[#This Row],[Current AQI]]</f>
        <v>129</v>
      </c>
      <c r="G2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6">
        <f>RANK(tbl_AQI[[#This Row],[Current AQI]], tbl_AQI[Current AQI], 0)</f>
        <v>4129</v>
      </c>
    </row>
    <row r="297" spans="1:8" x14ac:dyDescent="0.35">
      <c r="A297" t="s">
        <v>252</v>
      </c>
      <c r="B297" t="s">
        <v>310</v>
      </c>
      <c r="C297">
        <v>283</v>
      </c>
      <c r="D297">
        <v>141</v>
      </c>
      <c r="E297" t="s">
        <v>33</v>
      </c>
      <c r="F297">
        <f>tbl_AQI[[#This Row],[Most AQI Reached]]-tbl_AQI[[#This Row],[Current AQI]]</f>
        <v>142</v>
      </c>
      <c r="G2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7">
        <f>RANK(tbl_AQI[[#This Row],[Current AQI]], tbl_AQI[Current AQI], 0)</f>
        <v>2609</v>
      </c>
    </row>
    <row r="298" spans="1:8" x14ac:dyDescent="0.35">
      <c r="A298" t="s">
        <v>252</v>
      </c>
      <c r="B298" t="s">
        <v>311</v>
      </c>
      <c r="C298">
        <v>271</v>
      </c>
      <c r="D298">
        <v>163</v>
      </c>
      <c r="E298" t="s">
        <v>11</v>
      </c>
      <c r="F298">
        <f>tbl_AQI[[#This Row],[Most AQI Reached]]-tbl_AQI[[#This Row],[Current AQI]]</f>
        <v>108</v>
      </c>
      <c r="G2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8">
        <f>RANK(tbl_AQI[[#This Row],[Current AQI]], tbl_AQI[Current AQI], 0)</f>
        <v>2075</v>
      </c>
    </row>
    <row r="299" spans="1:8" x14ac:dyDescent="0.35">
      <c r="A299" t="s">
        <v>252</v>
      </c>
      <c r="B299" t="s">
        <v>312</v>
      </c>
      <c r="C299">
        <v>261</v>
      </c>
      <c r="D299">
        <v>151</v>
      </c>
      <c r="E299" t="s">
        <v>21</v>
      </c>
      <c r="F299">
        <f>tbl_AQI[[#This Row],[Most AQI Reached]]-tbl_AQI[[#This Row],[Current AQI]]</f>
        <v>110</v>
      </c>
      <c r="G2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9">
        <f>RANK(tbl_AQI[[#This Row],[Current AQI]], tbl_AQI[Current AQI], 0)</f>
        <v>2376</v>
      </c>
    </row>
    <row r="300" spans="1:8" x14ac:dyDescent="0.35">
      <c r="A300" t="s">
        <v>252</v>
      </c>
      <c r="B300" t="s">
        <v>313</v>
      </c>
      <c r="C300">
        <v>175</v>
      </c>
      <c r="D300">
        <v>161</v>
      </c>
      <c r="E300" t="s">
        <v>15</v>
      </c>
      <c r="F300">
        <f>tbl_AQI[[#This Row],[Most AQI Reached]]-tbl_AQI[[#This Row],[Current AQI]]</f>
        <v>14</v>
      </c>
      <c r="G3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0">
        <f>RANK(tbl_AQI[[#This Row],[Current AQI]], tbl_AQI[Current AQI], 0)</f>
        <v>2129</v>
      </c>
    </row>
    <row r="301" spans="1:8" x14ac:dyDescent="0.35">
      <c r="A301" t="s">
        <v>252</v>
      </c>
      <c r="B301" t="s">
        <v>314</v>
      </c>
      <c r="C301">
        <v>312</v>
      </c>
      <c r="D301">
        <v>189</v>
      </c>
      <c r="E301" t="s">
        <v>21</v>
      </c>
      <c r="F301">
        <f>tbl_AQI[[#This Row],[Most AQI Reached]]-tbl_AQI[[#This Row],[Current AQI]]</f>
        <v>123</v>
      </c>
      <c r="G3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">
        <f>RANK(tbl_AQI[[#This Row],[Current AQI]], tbl_AQI[Current AQI], 0)</f>
        <v>1395</v>
      </c>
    </row>
    <row r="302" spans="1:8" x14ac:dyDescent="0.35">
      <c r="A302" t="s">
        <v>252</v>
      </c>
      <c r="B302" t="s">
        <v>315</v>
      </c>
      <c r="C302">
        <v>89</v>
      </c>
      <c r="D302">
        <v>31</v>
      </c>
      <c r="E302" t="s">
        <v>33</v>
      </c>
      <c r="F302">
        <f>tbl_AQI[[#This Row],[Most AQI Reached]]-tbl_AQI[[#This Row],[Current AQI]]</f>
        <v>58</v>
      </c>
      <c r="G3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2">
        <f>RANK(tbl_AQI[[#This Row],[Current AQI]], tbl_AQI[Current AQI], 0)</f>
        <v>5016</v>
      </c>
    </row>
    <row r="303" spans="1:8" x14ac:dyDescent="0.35">
      <c r="A303" t="s">
        <v>252</v>
      </c>
      <c r="B303" t="s">
        <v>316</v>
      </c>
      <c r="C303">
        <v>306</v>
      </c>
      <c r="D303">
        <v>128</v>
      </c>
      <c r="E303" t="s">
        <v>15</v>
      </c>
      <c r="F303">
        <f>tbl_AQI[[#This Row],[Most AQI Reached]]-tbl_AQI[[#This Row],[Current AQI]]</f>
        <v>178</v>
      </c>
      <c r="G3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">
        <f>RANK(tbl_AQI[[#This Row],[Current AQI]], tbl_AQI[Current AQI], 0)</f>
        <v>2872</v>
      </c>
    </row>
    <row r="304" spans="1:8" x14ac:dyDescent="0.35">
      <c r="A304" t="s">
        <v>252</v>
      </c>
      <c r="B304" t="s">
        <v>317</v>
      </c>
      <c r="C304">
        <v>201</v>
      </c>
      <c r="D304">
        <v>55</v>
      </c>
      <c r="E304" t="s">
        <v>17</v>
      </c>
      <c r="F304">
        <f>tbl_AQI[[#This Row],[Most AQI Reached]]-tbl_AQI[[#This Row],[Current AQI]]</f>
        <v>146</v>
      </c>
      <c r="G3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4">
        <f>RANK(tbl_AQI[[#This Row],[Current AQI]], tbl_AQI[Current AQI], 0)</f>
        <v>4497</v>
      </c>
    </row>
    <row r="305" spans="1:8" x14ac:dyDescent="0.35">
      <c r="A305" t="s">
        <v>252</v>
      </c>
      <c r="B305" t="s">
        <v>318</v>
      </c>
      <c r="C305">
        <v>185</v>
      </c>
      <c r="D305">
        <v>114</v>
      </c>
      <c r="E305" t="s">
        <v>21</v>
      </c>
      <c r="F305">
        <f>tbl_AQI[[#This Row],[Most AQI Reached]]-tbl_AQI[[#This Row],[Current AQI]]</f>
        <v>71</v>
      </c>
      <c r="G3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5">
        <f>RANK(tbl_AQI[[#This Row],[Current AQI]], tbl_AQI[Current AQI], 0)</f>
        <v>3226</v>
      </c>
    </row>
    <row r="306" spans="1:8" x14ac:dyDescent="0.35">
      <c r="A306" t="s">
        <v>252</v>
      </c>
      <c r="B306" t="s">
        <v>319</v>
      </c>
      <c r="C306">
        <v>243</v>
      </c>
      <c r="D306">
        <v>178</v>
      </c>
      <c r="E306" t="s">
        <v>9</v>
      </c>
      <c r="F306">
        <f>tbl_AQI[[#This Row],[Most AQI Reached]]-tbl_AQI[[#This Row],[Current AQI]]</f>
        <v>65</v>
      </c>
      <c r="G3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">
        <f>RANK(tbl_AQI[[#This Row],[Current AQI]], tbl_AQI[Current AQI], 0)</f>
        <v>1702</v>
      </c>
    </row>
    <row r="307" spans="1:8" x14ac:dyDescent="0.35">
      <c r="A307" t="s">
        <v>252</v>
      </c>
      <c r="B307" t="s">
        <v>320</v>
      </c>
      <c r="C307">
        <v>292</v>
      </c>
      <c r="D307">
        <v>120</v>
      </c>
      <c r="E307" t="s">
        <v>15</v>
      </c>
      <c r="F307">
        <f>tbl_AQI[[#This Row],[Most AQI Reached]]-tbl_AQI[[#This Row],[Current AQI]]</f>
        <v>172</v>
      </c>
      <c r="G3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7">
        <f>RANK(tbl_AQI[[#This Row],[Current AQI]], tbl_AQI[Current AQI], 0)</f>
        <v>3066</v>
      </c>
    </row>
    <row r="308" spans="1:8" x14ac:dyDescent="0.35">
      <c r="A308" t="s">
        <v>252</v>
      </c>
      <c r="B308" t="s">
        <v>321</v>
      </c>
      <c r="C308">
        <v>85</v>
      </c>
      <c r="D308">
        <v>81</v>
      </c>
      <c r="E308" t="s">
        <v>11</v>
      </c>
      <c r="F308">
        <f>tbl_AQI[[#This Row],[Most AQI Reached]]-tbl_AQI[[#This Row],[Current AQI]]</f>
        <v>4</v>
      </c>
      <c r="G3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8">
        <f>RANK(tbl_AQI[[#This Row],[Current AQI]], tbl_AQI[Current AQI], 0)</f>
        <v>3923</v>
      </c>
    </row>
    <row r="309" spans="1:8" x14ac:dyDescent="0.35">
      <c r="A309" t="s">
        <v>252</v>
      </c>
      <c r="B309" t="s">
        <v>322</v>
      </c>
      <c r="C309">
        <v>291</v>
      </c>
      <c r="D309">
        <v>188</v>
      </c>
      <c r="E309" t="s">
        <v>9</v>
      </c>
      <c r="F309">
        <f>tbl_AQI[[#This Row],[Most AQI Reached]]-tbl_AQI[[#This Row],[Current AQI]]</f>
        <v>103</v>
      </c>
      <c r="G3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">
        <f>RANK(tbl_AQI[[#This Row],[Current AQI]], tbl_AQI[Current AQI], 0)</f>
        <v>1423</v>
      </c>
    </row>
    <row r="310" spans="1:8" x14ac:dyDescent="0.35">
      <c r="A310" t="s">
        <v>252</v>
      </c>
      <c r="B310" t="s">
        <v>323</v>
      </c>
      <c r="C310">
        <v>81</v>
      </c>
      <c r="D310">
        <v>63</v>
      </c>
      <c r="E310" t="s">
        <v>15</v>
      </c>
      <c r="F310">
        <f>tbl_AQI[[#This Row],[Most AQI Reached]]-tbl_AQI[[#This Row],[Current AQI]]</f>
        <v>18</v>
      </c>
      <c r="G3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0">
        <f>RANK(tbl_AQI[[#This Row],[Current AQI]], tbl_AQI[Current AQI], 0)</f>
        <v>4322</v>
      </c>
    </row>
    <row r="311" spans="1:8" x14ac:dyDescent="0.35">
      <c r="A311" t="s">
        <v>252</v>
      </c>
      <c r="B311" t="s">
        <v>324</v>
      </c>
      <c r="C311">
        <v>215</v>
      </c>
      <c r="D311">
        <v>128</v>
      </c>
      <c r="E311" t="s">
        <v>21</v>
      </c>
      <c r="F311">
        <f>tbl_AQI[[#This Row],[Most AQI Reached]]-tbl_AQI[[#This Row],[Current AQI]]</f>
        <v>87</v>
      </c>
      <c r="G3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">
        <f>RANK(tbl_AQI[[#This Row],[Current AQI]], tbl_AQI[Current AQI], 0)</f>
        <v>2872</v>
      </c>
    </row>
    <row r="312" spans="1:8" x14ac:dyDescent="0.35">
      <c r="A312" t="s">
        <v>252</v>
      </c>
      <c r="B312" t="s">
        <v>325</v>
      </c>
      <c r="C312">
        <v>83</v>
      </c>
      <c r="D312">
        <v>67</v>
      </c>
      <c r="E312" t="s">
        <v>9</v>
      </c>
      <c r="F312">
        <f>tbl_AQI[[#This Row],[Most AQI Reached]]-tbl_AQI[[#This Row],[Current AQI]]</f>
        <v>16</v>
      </c>
      <c r="G3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2">
        <f>RANK(tbl_AQI[[#This Row],[Current AQI]], tbl_AQI[Current AQI], 0)</f>
        <v>4225</v>
      </c>
    </row>
    <row r="313" spans="1:8" x14ac:dyDescent="0.35">
      <c r="A313" t="s">
        <v>252</v>
      </c>
      <c r="B313" t="s">
        <v>326</v>
      </c>
      <c r="C313">
        <v>267</v>
      </c>
      <c r="D313">
        <v>179</v>
      </c>
      <c r="E313" t="s">
        <v>9</v>
      </c>
      <c r="F313">
        <f>tbl_AQI[[#This Row],[Most AQI Reached]]-tbl_AQI[[#This Row],[Current AQI]]</f>
        <v>88</v>
      </c>
      <c r="G3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3">
        <f>RANK(tbl_AQI[[#This Row],[Current AQI]], tbl_AQI[Current AQI], 0)</f>
        <v>1667</v>
      </c>
    </row>
    <row r="314" spans="1:8" x14ac:dyDescent="0.35">
      <c r="A314" t="s">
        <v>252</v>
      </c>
      <c r="B314" t="s">
        <v>327</v>
      </c>
      <c r="C314">
        <v>64</v>
      </c>
      <c r="D314">
        <v>45</v>
      </c>
      <c r="E314" t="s">
        <v>9</v>
      </c>
      <c r="F314">
        <f>tbl_AQI[[#This Row],[Most AQI Reached]]-tbl_AQI[[#This Row],[Current AQI]]</f>
        <v>19</v>
      </c>
      <c r="G3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4">
        <f>RANK(tbl_AQI[[#This Row],[Current AQI]], tbl_AQI[Current AQI], 0)</f>
        <v>4702</v>
      </c>
    </row>
    <row r="315" spans="1:8" x14ac:dyDescent="0.35">
      <c r="A315" t="s">
        <v>252</v>
      </c>
      <c r="B315" t="s">
        <v>328</v>
      </c>
      <c r="C315">
        <v>228</v>
      </c>
      <c r="D315">
        <v>158</v>
      </c>
      <c r="E315" t="s">
        <v>9</v>
      </c>
      <c r="F315">
        <f>tbl_AQI[[#This Row],[Most AQI Reached]]-tbl_AQI[[#This Row],[Current AQI]]</f>
        <v>70</v>
      </c>
      <c r="G3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5">
        <f>RANK(tbl_AQI[[#This Row],[Current AQI]], tbl_AQI[Current AQI], 0)</f>
        <v>2207</v>
      </c>
    </row>
    <row r="316" spans="1:8" x14ac:dyDescent="0.35">
      <c r="A316" t="s">
        <v>252</v>
      </c>
      <c r="B316" t="s">
        <v>329</v>
      </c>
      <c r="C316">
        <v>294</v>
      </c>
      <c r="D316">
        <v>145</v>
      </c>
      <c r="E316" t="s">
        <v>7</v>
      </c>
      <c r="F316">
        <f>tbl_AQI[[#This Row],[Most AQI Reached]]-tbl_AQI[[#This Row],[Current AQI]]</f>
        <v>149</v>
      </c>
      <c r="G3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6">
        <f>RANK(tbl_AQI[[#This Row],[Current AQI]], tbl_AQI[Current AQI], 0)</f>
        <v>2526</v>
      </c>
    </row>
    <row r="317" spans="1:8" x14ac:dyDescent="0.35">
      <c r="A317" t="s">
        <v>252</v>
      </c>
      <c r="B317" t="s">
        <v>435</v>
      </c>
      <c r="C317">
        <v>156</v>
      </c>
      <c r="D317">
        <v>122</v>
      </c>
      <c r="E317" t="s">
        <v>15</v>
      </c>
      <c r="F317">
        <f>tbl_AQI[[#This Row],[Most AQI Reached]]-tbl_AQI[[#This Row],[Current AQI]]</f>
        <v>34</v>
      </c>
      <c r="G3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7">
        <f>RANK(tbl_AQI[[#This Row],[Current AQI]], tbl_AQI[Current AQI], 0)</f>
        <v>3013</v>
      </c>
    </row>
    <row r="318" spans="1:8" x14ac:dyDescent="0.35">
      <c r="A318" t="s">
        <v>252</v>
      </c>
      <c r="B318" t="s">
        <v>436</v>
      </c>
      <c r="C318">
        <v>202</v>
      </c>
      <c r="D318">
        <v>162</v>
      </c>
      <c r="E318" t="s">
        <v>7</v>
      </c>
      <c r="F318">
        <f>tbl_AQI[[#This Row],[Most AQI Reached]]-tbl_AQI[[#This Row],[Current AQI]]</f>
        <v>40</v>
      </c>
      <c r="G3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8">
        <f>RANK(tbl_AQI[[#This Row],[Current AQI]], tbl_AQI[Current AQI], 0)</f>
        <v>2106</v>
      </c>
    </row>
    <row r="319" spans="1:8" x14ac:dyDescent="0.35">
      <c r="A319" t="s">
        <v>252</v>
      </c>
      <c r="B319" t="s">
        <v>437</v>
      </c>
      <c r="C319">
        <v>278</v>
      </c>
      <c r="D319">
        <v>35</v>
      </c>
      <c r="E319" t="s">
        <v>21</v>
      </c>
      <c r="F319">
        <f>tbl_AQI[[#This Row],[Most AQI Reached]]-tbl_AQI[[#This Row],[Current AQI]]</f>
        <v>243</v>
      </c>
      <c r="G3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9">
        <f>RANK(tbl_AQI[[#This Row],[Current AQI]], tbl_AQI[Current AQI], 0)</f>
        <v>4916</v>
      </c>
    </row>
    <row r="320" spans="1:8" x14ac:dyDescent="0.35">
      <c r="A320" t="s">
        <v>252</v>
      </c>
      <c r="B320" t="s">
        <v>438</v>
      </c>
      <c r="C320">
        <v>87</v>
      </c>
      <c r="D320">
        <v>73</v>
      </c>
      <c r="E320" t="s">
        <v>15</v>
      </c>
      <c r="F320">
        <f>tbl_AQI[[#This Row],[Most AQI Reached]]-tbl_AQI[[#This Row],[Current AQI]]</f>
        <v>14</v>
      </c>
      <c r="G3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0">
        <f>RANK(tbl_AQI[[#This Row],[Current AQI]], tbl_AQI[Current AQI], 0)</f>
        <v>4083</v>
      </c>
    </row>
    <row r="321" spans="1:8" x14ac:dyDescent="0.35">
      <c r="A321" t="s">
        <v>252</v>
      </c>
      <c r="B321" t="s">
        <v>439</v>
      </c>
      <c r="C321">
        <v>217</v>
      </c>
      <c r="D321">
        <v>41</v>
      </c>
      <c r="E321" t="s">
        <v>21</v>
      </c>
      <c r="F321">
        <f>tbl_AQI[[#This Row],[Most AQI Reached]]-tbl_AQI[[#This Row],[Current AQI]]</f>
        <v>176</v>
      </c>
      <c r="G3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1">
        <f>RANK(tbl_AQI[[#This Row],[Current AQI]], tbl_AQI[Current AQI], 0)</f>
        <v>4789</v>
      </c>
    </row>
    <row r="322" spans="1:8" x14ac:dyDescent="0.35">
      <c r="A322" t="s">
        <v>252</v>
      </c>
      <c r="B322" t="s">
        <v>440</v>
      </c>
      <c r="C322">
        <v>253</v>
      </c>
      <c r="D322">
        <v>133</v>
      </c>
      <c r="E322" t="s">
        <v>7</v>
      </c>
      <c r="F322">
        <f>tbl_AQI[[#This Row],[Most AQI Reached]]-tbl_AQI[[#This Row],[Current AQI]]</f>
        <v>120</v>
      </c>
      <c r="G3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2">
        <f>RANK(tbl_AQI[[#This Row],[Current AQI]], tbl_AQI[Current AQI], 0)</f>
        <v>2758</v>
      </c>
    </row>
    <row r="323" spans="1:8" x14ac:dyDescent="0.35">
      <c r="A323" t="s">
        <v>252</v>
      </c>
      <c r="B323" t="s">
        <v>441</v>
      </c>
      <c r="C323">
        <v>247</v>
      </c>
      <c r="D323">
        <v>158</v>
      </c>
      <c r="E323" t="s">
        <v>7</v>
      </c>
      <c r="F323">
        <f>tbl_AQI[[#This Row],[Most AQI Reached]]-tbl_AQI[[#This Row],[Current AQI]]</f>
        <v>89</v>
      </c>
      <c r="G3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3">
        <f>RANK(tbl_AQI[[#This Row],[Current AQI]], tbl_AQI[Current AQI], 0)</f>
        <v>2207</v>
      </c>
    </row>
    <row r="324" spans="1:8" x14ac:dyDescent="0.35">
      <c r="A324" t="s">
        <v>252</v>
      </c>
      <c r="B324" t="s">
        <v>330</v>
      </c>
      <c r="C324">
        <v>268</v>
      </c>
      <c r="D324">
        <v>169</v>
      </c>
      <c r="E324" t="s">
        <v>7</v>
      </c>
      <c r="F324">
        <f>tbl_AQI[[#This Row],[Most AQI Reached]]-tbl_AQI[[#This Row],[Current AQI]]</f>
        <v>99</v>
      </c>
      <c r="G3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4">
        <f>RANK(tbl_AQI[[#This Row],[Current AQI]], tbl_AQI[Current AQI], 0)</f>
        <v>1925</v>
      </c>
    </row>
    <row r="325" spans="1:8" x14ac:dyDescent="0.35">
      <c r="A325" t="s">
        <v>252</v>
      </c>
      <c r="B325" t="s">
        <v>331</v>
      </c>
      <c r="C325">
        <v>231</v>
      </c>
      <c r="D325">
        <v>189</v>
      </c>
      <c r="E325" t="s">
        <v>11</v>
      </c>
      <c r="F325">
        <f>tbl_AQI[[#This Row],[Most AQI Reached]]-tbl_AQI[[#This Row],[Current AQI]]</f>
        <v>42</v>
      </c>
      <c r="G3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">
        <f>RANK(tbl_AQI[[#This Row],[Current AQI]], tbl_AQI[Current AQI], 0)</f>
        <v>1395</v>
      </c>
    </row>
    <row r="326" spans="1:8" x14ac:dyDescent="0.35">
      <c r="A326" t="s">
        <v>252</v>
      </c>
      <c r="B326" t="s">
        <v>332</v>
      </c>
      <c r="C326">
        <v>58</v>
      </c>
      <c r="D326">
        <v>45</v>
      </c>
      <c r="E326" t="s">
        <v>7</v>
      </c>
      <c r="F326">
        <f>tbl_AQI[[#This Row],[Most AQI Reached]]-tbl_AQI[[#This Row],[Current AQI]]</f>
        <v>13</v>
      </c>
      <c r="G3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6">
        <f>RANK(tbl_AQI[[#This Row],[Current AQI]], tbl_AQI[Current AQI], 0)</f>
        <v>4702</v>
      </c>
    </row>
    <row r="327" spans="1:8" x14ac:dyDescent="0.35">
      <c r="A327" t="s">
        <v>252</v>
      </c>
      <c r="B327" t="s">
        <v>333</v>
      </c>
      <c r="C327">
        <v>87</v>
      </c>
      <c r="D327">
        <v>48</v>
      </c>
      <c r="E327" t="s">
        <v>33</v>
      </c>
      <c r="F327">
        <f>tbl_AQI[[#This Row],[Most AQI Reached]]-tbl_AQI[[#This Row],[Current AQI]]</f>
        <v>39</v>
      </c>
      <c r="G3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7">
        <f>RANK(tbl_AQI[[#This Row],[Current AQI]], tbl_AQI[Current AQI], 0)</f>
        <v>4638</v>
      </c>
    </row>
    <row r="328" spans="1:8" x14ac:dyDescent="0.35">
      <c r="A328" t="s">
        <v>252</v>
      </c>
      <c r="B328" t="s">
        <v>334</v>
      </c>
      <c r="C328">
        <v>315</v>
      </c>
      <c r="D328">
        <v>169</v>
      </c>
      <c r="E328" t="s">
        <v>21</v>
      </c>
      <c r="F328">
        <f>tbl_AQI[[#This Row],[Most AQI Reached]]-tbl_AQI[[#This Row],[Current AQI]]</f>
        <v>146</v>
      </c>
      <c r="G3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8">
        <f>RANK(tbl_AQI[[#This Row],[Current AQI]], tbl_AQI[Current AQI], 0)</f>
        <v>1925</v>
      </c>
    </row>
    <row r="329" spans="1:8" x14ac:dyDescent="0.35">
      <c r="A329" t="s">
        <v>252</v>
      </c>
      <c r="B329" t="s">
        <v>335</v>
      </c>
      <c r="C329">
        <v>155</v>
      </c>
      <c r="D329">
        <v>96</v>
      </c>
      <c r="E329" t="s">
        <v>9</v>
      </c>
      <c r="F329">
        <f>tbl_AQI[[#This Row],[Most AQI Reached]]-tbl_AQI[[#This Row],[Current AQI]]</f>
        <v>59</v>
      </c>
      <c r="G3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9">
        <f>RANK(tbl_AQI[[#This Row],[Current AQI]], tbl_AQI[Current AQI], 0)</f>
        <v>3616</v>
      </c>
    </row>
    <row r="330" spans="1:8" x14ac:dyDescent="0.35">
      <c r="A330" t="s">
        <v>252</v>
      </c>
      <c r="B330" t="s">
        <v>336</v>
      </c>
      <c r="C330">
        <v>295</v>
      </c>
      <c r="D330">
        <v>31</v>
      </c>
      <c r="E330" t="s">
        <v>9</v>
      </c>
      <c r="F330">
        <f>tbl_AQI[[#This Row],[Most AQI Reached]]-tbl_AQI[[#This Row],[Current AQI]]</f>
        <v>264</v>
      </c>
      <c r="G3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0">
        <f>RANK(tbl_AQI[[#This Row],[Current AQI]], tbl_AQI[Current AQI], 0)</f>
        <v>5016</v>
      </c>
    </row>
    <row r="331" spans="1:8" x14ac:dyDescent="0.35">
      <c r="A331" t="s">
        <v>252</v>
      </c>
      <c r="B331" t="s">
        <v>337</v>
      </c>
      <c r="C331">
        <v>315</v>
      </c>
      <c r="D331">
        <v>94</v>
      </c>
      <c r="E331" t="s">
        <v>9</v>
      </c>
      <c r="F331">
        <f>tbl_AQI[[#This Row],[Most AQI Reached]]-tbl_AQI[[#This Row],[Current AQI]]</f>
        <v>221</v>
      </c>
      <c r="G3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1">
        <f>RANK(tbl_AQI[[#This Row],[Current AQI]], tbl_AQI[Current AQI], 0)</f>
        <v>3654</v>
      </c>
    </row>
    <row r="332" spans="1:8" x14ac:dyDescent="0.35">
      <c r="A332" t="s">
        <v>252</v>
      </c>
      <c r="B332" t="s">
        <v>338</v>
      </c>
      <c r="C332">
        <v>256</v>
      </c>
      <c r="D332">
        <v>121</v>
      </c>
      <c r="E332" t="s">
        <v>15</v>
      </c>
      <c r="F332">
        <f>tbl_AQI[[#This Row],[Most AQI Reached]]-tbl_AQI[[#This Row],[Current AQI]]</f>
        <v>135</v>
      </c>
      <c r="G3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2">
        <f>RANK(tbl_AQI[[#This Row],[Current AQI]], tbl_AQI[Current AQI], 0)</f>
        <v>3037</v>
      </c>
    </row>
    <row r="333" spans="1:8" x14ac:dyDescent="0.35">
      <c r="A333" t="s">
        <v>252</v>
      </c>
      <c r="B333" t="s">
        <v>339</v>
      </c>
      <c r="C333">
        <v>316</v>
      </c>
      <c r="D333">
        <v>64</v>
      </c>
      <c r="E333" t="s">
        <v>17</v>
      </c>
      <c r="F333">
        <f>tbl_AQI[[#This Row],[Most AQI Reached]]-tbl_AQI[[#This Row],[Current AQI]]</f>
        <v>252</v>
      </c>
      <c r="G3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">
        <f>RANK(tbl_AQI[[#This Row],[Current AQI]], tbl_AQI[Current AQI], 0)</f>
        <v>4293</v>
      </c>
    </row>
    <row r="334" spans="1:8" x14ac:dyDescent="0.35">
      <c r="A334" t="s">
        <v>252</v>
      </c>
      <c r="B334" t="s">
        <v>340</v>
      </c>
      <c r="C334">
        <v>210</v>
      </c>
      <c r="D334">
        <v>89</v>
      </c>
      <c r="E334" t="s">
        <v>9</v>
      </c>
      <c r="F334">
        <f>tbl_AQI[[#This Row],[Most AQI Reached]]-tbl_AQI[[#This Row],[Current AQI]]</f>
        <v>121</v>
      </c>
      <c r="G3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4">
        <f>RANK(tbl_AQI[[#This Row],[Current AQI]], tbl_AQI[Current AQI], 0)</f>
        <v>3772</v>
      </c>
    </row>
    <row r="335" spans="1:8" x14ac:dyDescent="0.35">
      <c r="A335" t="s">
        <v>252</v>
      </c>
      <c r="B335" t="s">
        <v>341</v>
      </c>
      <c r="C335">
        <v>184</v>
      </c>
      <c r="D335">
        <v>163</v>
      </c>
      <c r="E335" t="s">
        <v>17</v>
      </c>
      <c r="F335">
        <f>tbl_AQI[[#This Row],[Most AQI Reached]]-tbl_AQI[[#This Row],[Current AQI]]</f>
        <v>21</v>
      </c>
      <c r="G3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5">
        <f>RANK(tbl_AQI[[#This Row],[Current AQI]], tbl_AQI[Current AQI], 0)</f>
        <v>2075</v>
      </c>
    </row>
    <row r="336" spans="1:8" x14ac:dyDescent="0.35">
      <c r="A336" t="s">
        <v>252</v>
      </c>
      <c r="B336" t="s">
        <v>342</v>
      </c>
      <c r="C336">
        <v>175</v>
      </c>
      <c r="D336">
        <v>140</v>
      </c>
      <c r="E336" t="s">
        <v>33</v>
      </c>
      <c r="F336">
        <f>tbl_AQI[[#This Row],[Most AQI Reached]]-tbl_AQI[[#This Row],[Current AQI]]</f>
        <v>35</v>
      </c>
      <c r="G3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6">
        <f>RANK(tbl_AQI[[#This Row],[Current AQI]], tbl_AQI[Current AQI], 0)</f>
        <v>2627</v>
      </c>
    </row>
    <row r="337" spans="1:8" x14ac:dyDescent="0.35">
      <c r="A337" t="s">
        <v>252</v>
      </c>
      <c r="B337" t="s">
        <v>343</v>
      </c>
      <c r="C337">
        <v>287</v>
      </c>
      <c r="D337">
        <v>54</v>
      </c>
      <c r="E337" t="s">
        <v>17</v>
      </c>
      <c r="F337">
        <f>tbl_AQI[[#This Row],[Most AQI Reached]]-tbl_AQI[[#This Row],[Current AQI]]</f>
        <v>233</v>
      </c>
      <c r="G3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7">
        <f>RANK(tbl_AQI[[#This Row],[Current AQI]], tbl_AQI[Current AQI], 0)</f>
        <v>4523</v>
      </c>
    </row>
    <row r="338" spans="1:8" x14ac:dyDescent="0.35">
      <c r="A338" t="s">
        <v>252</v>
      </c>
      <c r="B338" t="s">
        <v>344</v>
      </c>
      <c r="C338">
        <v>218</v>
      </c>
      <c r="D338">
        <v>91</v>
      </c>
      <c r="E338" t="s">
        <v>33</v>
      </c>
      <c r="F338">
        <f>tbl_AQI[[#This Row],[Most AQI Reached]]-tbl_AQI[[#This Row],[Current AQI]]</f>
        <v>127</v>
      </c>
      <c r="G3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8">
        <f>RANK(tbl_AQI[[#This Row],[Current AQI]], tbl_AQI[Current AQI], 0)</f>
        <v>3726</v>
      </c>
    </row>
    <row r="339" spans="1:8" x14ac:dyDescent="0.35">
      <c r="A339" t="s">
        <v>252</v>
      </c>
      <c r="B339" t="s">
        <v>345</v>
      </c>
      <c r="C339">
        <v>236</v>
      </c>
      <c r="D339">
        <v>120</v>
      </c>
      <c r="E339" t="s">
        <v>9</v>
      </c>
      <c r="F339">
        <f>tbl_AQI[[#This Row],[Most AQI Reached]]-tbl_AQI[[#This Row],[Current AQI]]</f>
        <v>116</v>
      </c>
      <c r="G3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9">
        <f>RANK(tbl_AQI[[#This Row],[Current AQI]], tbl_AQI[Current AQI], 0)</f>
        <v>3066</v>
      </c>
    </row>
    <row r="340" spans="1:8" x14ac:dyDescent="0.35">
      <c r="A340" t="s">
        <v>252</v>
      </c>
      <c r="B340" t="s">
        <v>346</v>
      </c>
      <c r="C340">
        <v>224</v>
      </c>
      <c r="D340">
        <v>76</v>
      </c>
      <c r="E340" t="s">
        <v>15</v>
      </c>
      <c r="F340">
        <f>tbl_AQI[[#This Row],[Most AQI Reached]]-tbl_AQI[[#This Row],[Current AQI]]</f>
        <v>148</v>
      </c>
      <c r="G3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40">
        <f>RANK(tbl_AQI[[#This Row],[Current AQI]], tbl_AQI[Current AQI], 0)</f>
        <v>4023</v>
      </c>
    </row>
    <row r="341" spans="1:8" x14ac:dyDescent="0.35">
      <c r="A341" t="s">
        <v>252</v>
      </c>
      <c r="B341" t="s">
        <v>347</v>
      </c>
      <c r="C341">
        <v>316</v>
      </c>
      <c r="D341">
        <v>149</v>
      </c>
      <c r="E341" t="s">
        <v>21</v>
      </c>
      <c r="F341">
        <f>tbl_AQI[[#This Row],[Most AQI Reached]]-tbl_AQI[[#This Row],[Current AQI]]</f>
        <v>167</v>
      </c>
      <c r="G3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1">
        <f>RANK(tbl_AQI[[#This Row],[Current AQI]], tbl_AQI[Current AQI], 0)</f>
        <v>2426</v>
      </c>
    </row>
    <row r="342" spans="1:8" x14ac:dyDescent="0.35">
      <c r="A342" t="s">
        <v>252</v>
      </c>
      <c r="B342" t="s">
        <v>348</v>
      </c>
      <c r="C342">
        <v>153</v>
      </c>
      <c r="D342">
        <v>69</v>
      </c>
      <c r="E342" t="s">
        <v>15</v>
      </c>
      <c r="F342">
        <f>tbl_AQI[[#This Row],[Most AQI Reached]]-tbl_AQI[[#This Row],[Current AQI]]</f>
        <v>84</v>
      </c>
      <c r="G3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42">
        <f>RANK(tbl_AQI[[#This Row],[Current AQI]], tbl_AQI[Current AQI], 0)</f>
        <v>4186</v>
      </c>
    </row>
    <row r="343" spans="1:8" x14ac:dyDescent="0.35">
      <c r="A343" t="s">
        <v>252</v>
      </c>
      <c r="B343" t="s">
        <v>349</v>
      </c>
      <c r="C343">
        <v>164</v>
      </c>
      <c r="D343">
        <v>61</v>
      </c>
      <c r="E343" t="s">
        <v>11</v>
      </c>
      <c r="F343">
        <f>tbl_AQI[[#This Row],[Most AQI Reached]]-tbl_AQI[[#This Row],[Current AQI]]</f>
        <v>103</v>
      </c>
      <c r="G3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43">
        <f>RANK(tbl_AQI[[#This Row],[Current AQI]], tbl_AQI[Current AQI], 0)</f>
        <v>4368</v>
      </c>
    </row>
    <row r="344" spans="1:8" x14ac:dyDescent="0.35">
      <c r="A344" t="s">
        <v>252</v>
      </c>
      <c r="B344" t="s">
        <v>350</v>
      </c>
      <c r="C344">
        <v>189</v>
      </c>
      <c r="D344">
        <v>47</v>
      </c>
      <c r="E344" t="s">
        <v>15</v>
      </c>
      <c r="F344">
        <f>tbl_AQI[[#This Row],[Most AQI Reached]]-tbl_AQI[[#This Row],[Current AQI]]</f>
        <v>142</v>
      </c>
      <c r="G3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44">
        <f>RANK(tbl_AQI[[#This Row],[Current AQI]], tbl_AQI[Current AQI], 0)</f>
        <v>4656</v>
      </c>
    </row>
    <row r="345" spans="1:8" x14ac:dyDescent="0.35">
      <c r="A345" t="s">
        <v>252</v>
      </c>
      <c r="B345" t="s">
        <v>351</v>
      </c>
      <c r="C345">
        <v>192</v>
      </c>
      <c r="D345">
        <v>101</v>
      </c>
      <c r="E345" t="s">
        <v>9</v>
      </c>
      <c r="F345">
        <f>tbl_AQI[[#This Row],[Most AQI Reached]]-tbl_AQI[[#This Row],[Current AQI]]</f>
        <v>91</v>
      </c>
      <c r="G3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5">
        <f>RANK(tbl_AQI[[#This Row],[Current AQI]], tbl_AQI[Current AQI], 0)</f>
        <v>3515</v>
      </c>
    </row>
    <row r="346" spans="1:8" x14ac:dyDescent="0.35">
      <c r="A346" t="s">
        <v>252</v>
      </c>
      <c r="B346" t="s">
        <v>352</v>
      </c>
      <c r="C346">
        <v>81</v>
      </c>
      <c r="D346">
        <v>76</v>
      </c>
      <c r="E346" t="s">
        <v>11</v>
      </c>
      <c r="F346">
        <f>tbl_AQI[[#This Row],[Most AQI Reached]]-tbl_AQI[[#This Row],[Current AQI]]</f>
        <v>5</v>
      </c>
      <c r="G3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46">
        <f>RANK(tbl_AQI[[#This Row],[Current AQI]], tbl_AQI[Current AQI], 0)</f>
        <v>4023</v>
      </c>
    </row>
    <row r="347" spans="1:8" x14ac:dyDescent="0.35">
      <c r="A347" t="s">
        <v>252</v>
      </c>
      <c r="B347" t="s">
        <v>353</v>
      </c>
      <c r="C347">
        <v>283</v>
      </c>
      <c r="D347">
        <v>188</v>
      </c>
      <c r="E347" t="s">
        <v>11</v>
      </c>
      <c r="F347">
        <f>tbl_AQI[[#This Row],[Most AQI Reached]]-tbl_AQI[[#This Row],[Current AQI]]</f>
        <v>95</v>
      </c>
      <c r="G3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7">
        <f>RANK(tbl_AQI[[#This Row],[Current AQI]], tbl_AQI[Current AQI], 0)</f>
        <v>1423</v>
      </c>
    </row>
    <row r="348" spans="1:8" x14ac:dyDescent="0.35">
      <c r="A348" t="s">
        <v>252</v>
      </c>
      <c r="B348" t="s">
        <v>354</v>
      </c>
      <c r="C348">
        <v>260</v>
      </c>
      <c r="D348">
        <v>118</v>
      </c>
      <c r="E348" t="s">
        <v>21</v>
      </c>
      <c r="F348">
        <f>tbl_AQI[[#This Row],[Most AQI Reached]]-tbl_AQI[[#This Row],[Current AQI]]</f>
        <v>142</v>
      </c>
      <c r="G3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8">
        <f>RANK(tbl_AQI[[#This Row],[Current AQI]], tbl_AQI[Current AQI], 0)</f>
        <v>3122</v>
      </c>
    </row>
    <row r="349" spans="1:8" x14ac:dyDescent="0.35">
      <c r="A349" t="s">
        <v>252</v>
      </c>
      <c r="B349" t="s">
        <v>355</v>
      </c>
      <c r="C349">
        <v>217</v>
      </c>
      <c r="D349">
        <v>69</v>
      </c>
      <c r="E349" t="s">
        <v>33</v>
      </c>
      <c r="F349">
        <f>tbl_AQI[[#This Row],[Most AQI Reached]]-tbl_AQI[[#This Row],[Current AQI]]</f>
        <v>148</v>
      </c>
      <c r="G3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49">
        <f>RANK(tbl_AQI[[#This Row],[Current AQI]], tbl_AQI[Current AQI], 0)</f>
        <v>4186</v>
      </c>
    </row>
    <row r="350" spans="1:8" x14ac:dyDescent="0.35">
      <c r="A350" t="s">
        <v>252</v>
      </c>
      <c r="B350" t="s">
        <v>356</v>
      </c>
      <c r="C350">
        <v>250</v>
      </c>
      <c r="D350">
        <v>35</v>
      </c>
      <c r="E350" t="s">
        <v>33</v>
      </c>
      <c r="F350">
        <f>tbl_AQI[[#This Row],[Most AQI Reached]]-tbl_AQI[[#This Row],[Current AQI]]</f>
        <v>215</v>
      </c>
      <c r="G3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50">
        <f>RANK(tbl_AQI[[#This Row],[Current AQI]], tbl_AQI[Current AQI], 0)</f>
        <v>4916</v>
      </c>
    </row>
    <row r="351" spans="1:8" x14ac:dyDescent="0.35">
      <c r="A351" t="s">
        <v>252</v>
      </c>
      <c r="B351" t="s">
        <v>357</v>
      </c>
      <c r="C351">
        <v>100</v>
      </c>
      <c r="D351">
        <v>61</v>
      </c>
      <c r="E351" t="s">
        <v>7</v>
      </c>
      <c r="F351">
        <f>tbl_AQI[[#This Row],[Most AQI Reached]]-tbl_AQI[[#This Row],[Current AQI]]</f>
        <v>39</v>
      </c>
      <c r="G3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51">
        <f>RANK(tbl_AQI[[#This Row],[Current AQI]], tbl_AQI[Current AQI], 0)</f>
        <v>4368</v>
      </c>
    </row>
    <row r="352" spans="1:8" x14ac:dyDescent="0.35">
      <c r="A352" t="s">
        <v>252</v>
      </c>
      <c r="B352" t="s">
        <v>358</v>
      </c>
      <c r="C352">
        <v>309</v>
      </c>
      <c r="D352">
        <v>133</v>
      </c>
      <c r="E352" t="s">
        <v>7</v>
      </c>
      <c r="F352">
        <f>tbl_AQI[[#This Row],[Most AQI Reached]]-tbl_AQI[[#This Row],[Current AQI]]</f>
        <v>176</v>
      </c>
      <c r="G3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2">
        <f>RANK(tbl_AQI[[#This Row],[Current AQI]], tbl_AQI[Current AQI], 0)</f>
        <v>2758</v>
      </c>
    </row>
    <row r="353" spans="1:8" x14ac:dyDescent="0.35">
      <c r="A353" t="s">
        <v>252</v>
      </c>
      <c r="B353" t="s">
        <v>359</v>
      </c>
      <c r="C353">
        <v>216</v>
      </c>
      <c r="D353">
        <v>120</v>
      </c>
      <c r="E353" t="s">
        <v>15</v>
      </c>
      <c r="F353">
        <f>tbl_AQI[[#This Row],[Most AQI Reached]]-tbl_AQI[[#This Row],[Current AQI]]</f>
        <v>96</v>
      </c>
      <c r="G3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3">
        <f>RANK(tbl_AQI[[#This Row],[Current AQI]], tbl_AQI[Current AQI], 0)</f>
        <v>3066</v>
      </c>
    </row>
    <row r="354" spans="1:8" x14ac:dyDescent="0.35">
      <c r="A354" t="s">
        <v>252</v>
      </c>
      <c r="B354" t="s">
        <v>360</v>
      </c>
      <c r="C354">
        <v>97</v>
      </c>
      <c r="D354">
        <v>43</v>
      </c>
      <c r="E354" t="s">
        <v>7</v>
      </c>
      <c r="F354">
        <f>tbl_AQI[[#This Row],[Most AQI Reached]]-tbl_AQI[[#This Row],[Current AQI]]</f>
        <v>54</v>
      </c>
      <c r="G3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54">
        <f>RANK(tbl_AQI[[#This Row],[Current AQI]], tbl_AQI[Current AQI], 0)</f>
        <v>4752</v>
      </c>
    </row>
    <row r="355" spans="1:8" x14ac:dyDescent="0.35">
      <c r="A355" t="s">
        <v>252</v>
      </c>
      <c r="B355" t="s">
        <v>361</v>
      </c>
      <c r="C355">
        <v>278</v>
      </c>
      <c r="D355">
        <v>71</v>
      </c>
      <c r="E355" t="s">
        <v>21</v>
      </c>
      <c r="F355">
        <f>tbl_AQI[[#This Row],[Most AQI Reached]]-tbl_AQI[[#This Row],[Current AQI]]</f>
        <v>207</v>
      </c>
      <c r="G3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55">
        <f>RANK(tbl_AQI[[#This Row],[Current AQI]], tbl_AQI[Current AQI], 0)</f>
        <v>4129</v>
      </c>
    </row>
    <row r="356" spans="1:8" x14ac:dyDescent="0.35">
      <c r="A356" t="s">
        <v>252</v>
      </c>
      <c r="B356" t="s">
        <v>362</v>
      </c>
      <c r="C356">
        <v>285</v>
      </c>
      <c r="D356">
        <v>128</v>
      </c>
      <c r="E356" t="s">
        <v>11</v>
      </c>
      <c r="F356">
        <f>tbl_AQI[[#This Row],[Most AQI Reached]]-tbl_AQI[[#This Row],[Current AQI]]</f>
        <v>157</v>
      </c>
      <c r="G3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6">
        <f>RANK(tbl_AQI[[#This Row],[Current AQI]], tbl_AQI[Current AQI], 0)</f>
        <v>2872</v>
      </c>
    </row>
    <row r="357" spans="1:8" x14ac:dyDescent="0.35">
      <c r="A357" t="s">
        <v>252</v>
      </c>
      <c r="B357" t="s">
        <v>363</v>
      </c>
      <c r="C357">
        <v>198</v>
      </c>
      <c r="D357">
        <v>75</v>
      </c>
      <c r="E357" t="s">
        <v>21</v>
      </c>
      <c r="F357">
        <f>tbl_AQI[[#This Row],[Most AQI Reached]]-tbl_AQI[[#This Row],[Current AQI]]</f>
        <v>123</v>
      </c>
      <c r="G3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57">
        <f>RANK(tbl_AQI[[#This Row],[Current AQI]], tbl_AQI[Current AQI], 0)</f>
        <v>4041</v>
      </c>
    </row>
    <row r="358" spans="1:8" x14ac:dyDescent="0.35">
      <c r="A358" t="s">
        <v>252</v>
      </c>
      <c r="B358" t="s">
        <v>364</v>
      </c>
      <c r="C358">
        <v>251</v>
      </c>
      <c r="D358">
        <v>37</v>
      </c>
      <c r="E358" t="s">
        <v>9</v>
      </c>
      <c r="F358">
        <f>tbl_AQI[[#This Row],[Most AQI Reached]]-tbl_AQI[[#This Row],[Current AQI]]</f>
        <v>214</v>
      </c>
      <c r="G3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58">
        <f>RANK(tbl_AQI[[#This Row],[Current AQI]], tbl_AQI[Current AQI], 0)</f>
        <v>4863</v>
      </c>
    </row>
    <row r="359" spans="1:8" x14ac:dyDescent="0.35">
      <c r="A359" t="s">
        <v>252</v>
      </c>
      <c r="B359" t="s">
        <v>372</v>
      </c>
      <c r="C359">
        <v>247</v>
      </c>
      <c r="D359">
        <v>77</v>
      </c>
      <c r="E359" t="s">
        <v>11</v>
      </c>
      <c r="F359">
        <f>tbl_AQI[[#This Row],[Most AQI Reached]]-tbl_AQI[[#This Row],[Current AQI]]</f>
        <v>170</v>
      </c>
      <c r="G3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59">
        <f>RANK(tbl_AQI[[#This Row],[Current AQI]], tbl_AQI[Current AQI], 0)</f>
        <v>4006</v>
      </c>
    </row>
    <row r="360" spans="1:8" x14ac:dyDescent="0.35">
      <c r="A360" t="s">
        <v>252</v>
      </c>
      <c r="B360" t="s">
        <v>373</v>
      </c>
      <c r="C360">
        <v>110</v>
      </c>
      <c r="D360">
        <v>51</v>
      </c>
      <c r="E360" t="s">
        <v>21</v>
      </c>
      <c r="F360">
        <f>tbl_AQI[[#This Row],[Most AQI Reached]]-tbl_AQI[[#This Row],[Current AQI]]</f>
        <v>59</v>
      </c>
      <c r="G3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60">
        <f>RANK(tbl_AQI[[#This Row],[Current AQI]], tbl_AQI[Current AQI], 0)</f>
        <v>4578</v>
      </c>
    </row>
    <row r="361" spans="1:8" x14ac:dyDescent="0.35">
      <c r="A361" t="s">
        <v>252</v>
      </c>
      <c r="B361" t="s">
        <v>374</v>
      </c>
      <c r="C361">
        <v>248</v>
      </c>
      <c r="D361">
        <v>179</v>
      </c>
      <c r="E361" t="s">
        <v>15</v>
      </c>
      <c r="F361">
        <f>tbl_AQI[[#This Row],[Most AQI Reached]]-tbl_AQI[[#This Row],[Current AQI]]</f>
        <v>69</v>
      </c>
      <c r="G3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1">
        <f>RANK(tbl_AQI[[#This Row],[Current AQI]], tbl_AQI[Current AQI], 0)</f>
        <v>1667</v>
      </c>
    </row>
    <row r="362" spans="1:8" x14ac:dyDescent="0.35">
      <c r="A362" t="s">
        <v>252</v>
      </c>
      <c r="B362" t="s">
        <v>375</v>
      </c>
      <c r="C362">
        <v>225</v>
      </c>
      <c r="D362">
        <v>180</v>
      </c>
      <c r="E362" t="s">
        <v>17</v>
      </c>
      <c r="F362">
        <f>tbl_AQI[[#This Row],[Most AQI Reached]]-tbl_AQI[[#This Row],[Current AQI]]</f>
        <v>45</v>
      </c>
      <c r="G3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2">
        <f>RANK(tbl_AQI[[#This Row],[Current AQI]], tbl_AQI[Current AQI], 0)</f>
        <v>1635</v>
      </c>
    </row>
    <row r="363" spans="1:8" x14ac:dyDescent="0.35">
      <c r="A363" t="s">
        <v>252</v>
      </c>
      <c r="B363" t="s">
        <v>376</v>
      </c>
      <c r="C363">
        <v>227</v>
      </c>
      <c r="D363">
        <v>189</v>
      </c>
      <c r="E363" t="s">
        <v>11</v>
      </c>
      <c r="F363">
        <f>tbl_AQI[[#This Row],[Most AQI Reached]]-tbl_AQI[[#This Row],[Current AQI]]</f>
        <v>38</v>
      </c>
      <c r="G3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3">
        <f>RANK(tbl_AQI[[#This Row],[Current AQI]], tbl_AQI[Current AQI], 0)</f>
        <v>1395</v>
      </c>
    </row>
    <row r="364" spans="1:8" x14ac:dyDescent="0.35">
      <c r="A364" t="s">
        <v>252</v>
      </c>
      <c r="B364" t="s">
        <v>377</v>
      </c>
      <c r="C364">
        <v>282</v>
      </c>
      <c r="D364">
        <v>158</v>
      </c>
      <c r="E364" t="s">
        <v>9</v>
      </c>
      <c r="F364">
        <f>tbl_AQI[[#This Row],[Most AQI Reached]]-tbl_AQI[[#This Row],[Current AQI]]</f>
        <v>124</v>
      </c>
      <c r="G3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4">
        <f>RANK(tbl_AQI[[#This Row],[Current AQI]], tbl_AQI[Current AQI], 0)</f>
        <v>2207</v>
      </c>
    </row>
    <row r="365" spans="1:8" x14ac:dyDescent="0.35">
      <c r="A365" t="s">
        <v>252</v>
      </c>
      <c r="B365" t="s">
        <v>378</v>
      </c>
      <c r="C365">
        <v>275</v>
      </c>
      <c r="D365">
        <v>119</v>
      </c>
      <c r="E365" t="s">
        <v>9</v>
      </c>
      <c r="F365">
        <f>tbl_AQI[[#This Row],[Most AQI Reached]]-tbl_AQI[[#This Row],[Current AQI]]</f>
        <v>156</v>
      </c>
      <c r="G3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5">
        <f>RANK(tbl_AQI[[#This Row],[Current AQI]], tbl_AQI[Current AQI], 0)</f>
        <v>3093</v>
      </c>
    </row>
    <row r="366" spans="1:8" x14ac:dyDescent="0.35">
      <c r="A366" t="s">
        <v>252</v>
      </c>
      <c r="B366" t="s">
        <v>365</v>
      </c>
      <c r="C366">
        <v>148</v>
      </c>
      <c r="D366">
        <v>118</v>
      </c>
      <c r="E366" t="s">
        <v>33</v>
      </c>
      <c r="F366">
        <f>tbl_AQI[[#This Row],[Most AQI Reached]]-tbl_AQI[[#This Row],[Current AQI]]</f>
        <v>30</v>
      </c>
      <c r="G3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6">
        <f>RANK(tbl_AQI[[#This Row],[Current AQI]], tbl_AQI[Current AQI], 0)</f>
        <v>3122</v>
      </c>
    </row>
    <row r="367" spans="1:8" x14ac:dyDescent="0.35">
      <c r="A367" t="s">
        <v>252</v>
      </c>
      <c r="B367" t="s">
        <v>366</v>
      </c>
      <c r="C367">
        <v>272</v>
      </c>
      <c r="D367">
        <v>85</v>
      </c>
      <c r="E367" t="s">
        <v>9</v>
      </c>
      <c r="F367">
        <f>tbl_AQI[[#This Row],[Most AQI Reached]]-tbl_AQI[[#This Row],[Current AQI]]</f>
        <v>187</v>
      </c>
      <c r="G3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67">
        <f>RANK(tbl_AQI[[#This Row],[Current AQI]], tbl_AQI[Current AQI], 0)</f>
        <v>3852</v>
      </c>
    </row>
    <row r="368" spans="1:8" x14ac:dyDescent="0.35">
      <c r="A368" t="s">
        <v>252</v>
      </c>
      <c r="B368" t="s">
        <v>367</v>
      </c>
      <c r="C368">
        <v>178</v>
      </c>
      <c r="D368">
        <v>69</v>
      </c>
      <c r="E368" t="s">
        <v>15</v>
      </c>
      <c r="F368">
        <f>tbl_AQI[[#This Row],[Most AQI Reached]]-tbl_AQI[[#This Row],[Current AQI]]</f>
        <v>109</v>
      </c>
      <c r="G3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68">
        <f>RANK(tbl_AQI[[#This Row],[Current AQI]], tbl_AQI[Current AQI], 0)</f>
        <v>4186</v>
      </c>
    </row>
    <row r="369" spans="1:8" x14ac:dyDescent="0.35">
      <c r="A369" t="s">
        <v>252</v>
      </c>
      <c r="B369" t="s">
        <v>368</v>
      </c>
      <c r="C369">
        <v>203</v>
      </c>
      <c r="D369">
        <v>115</v>
      </c>
      <c r="E369" t="s">
        <v>7</v>
      </c>
      <c r="F369">
        <f>tbl_AQI[[#This Row],[Most AQI Reached]]-tbl_AQI[[#This Row],[Current AQI]]</f>
        <v>88</v>
      </c>
      <c r="G3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9">
        <f>RANK(tbl_AQI[[#This Row],[Current AQI]], tbl_AQI[Current AQI], 0)</f>
        <v>3206</v>
      </c>
    </row>
    <row r="370" spans="1:8" x14ac:dyDescent="0.35">
      <c r="A370" t="s">
        <v>252</v>
      </c>
      <c r="B370" t="s">
        <v>369</v>
      </c>
      <c r="C370">
        <v>243</v>
      </c>
      <c r="D370">
        <v>185</v>
      </c>
      <c r="E370" t="s">
        <v>21</v>
      </c>
      <c r="F370">
        <f>tbl_AQI[[#This Row],[Most AQI Reached]]-tbl_AQI[[#This Row],[Current AQI]]</f>
        <v>58</v>
      </c>
      <c r="G3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0">
        <f>RANK(tbl_AQI[[#This Row],[Current AQI]], tbl_AQI[Current AQI], 0)</f>
        <v>1517</v>
      </c>
    </row>
    <row r="371" spans="1:8" x14ac:dyDescent="0.35">
      <c r="A371" t="s">
        <v>252</v>
      </c>
      <c r="B371" t="s">
        <v>370</v>
      </c>
      <c r="C371">
        <v>104</v>
      </c>
      <c r="D371">
        <v>94</v>
      </c>
      <c r="E371" t="s">
        <v>21</v>
      </c>
      <c r="F371">
        <f>tbl_AQI[[#This Row],[Most AQI Reached]]-tbl_AQI[[#This Row],[Current AQI]]</f>
        <v>10</v>
      </c>
      <c r="G3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1">
        <f>RANK(tbl_AQI[[#This Row],[Current AQI]], tbl_AQI[Current AQI], 0)</f>
        <v>3654</v>
      </c>
    </row>
    <row r="372" spans="1:8" x14ac:dyDescent="0.35">
      <c r="A372" t="s">
        <v>252</v>
      </c>
      <c r="B372" t="s">
        <v>371</v>
      </c>
      <c r="C372">
        <v>162</v>
      </c>
      <c r="D372">
        <v>154</v>
      </c>
      <c r="E372" t="s">
        <v>9</v>
      </c>
      <c r="F372">
        <f>tbl_AQI[[#This Row],[Most AQI Reached]]-tbl_AQI[[#This Row],[Current AQI]]</f>
        <v>8</v>
      </c>
      <c r="G3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2">
        <f>RANK(tbl_AQI[[#This Row],[Current AQI]], tbl_AQI[Current AQI], 0)</f>
        <v>2307</v>
      </c>
    </row>
    <row r="373" spans="1:8" x14ac:dyDescent="0.35">
      <c r="A373" t="s">
        <v>252</v>
      </c>
      <c r="B373" t="s">
        <v>379</v>
      </c>
      <c r="C373">
        <v>319</v>
      </c>
      <c r="D373">
        <v>86</v>
      </c>
      <c r="E373" t="s">
        <v>33</v>
      </c>
      <c r="F373">
        <f>tbl_AQI[[#This Row],[Most AQI Reached]]-tbl_AQI[[#This Row],[Current AQI]]</f>
        <v>233</v>
      </c>
      <c r="G3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3">
        <f>RANK(tbl_AQI[[#This Row],[Current AQI]], tbl_AQI[Current AQI], 0)</f>
        <v>3830</v>
      </c>
    </row>
    <row r="374" spans="1:8" x14ac:dyDescent="0.35">
      <c r="A374" t="s">
        <v>252</v>
      </c>
      <c r="B374" t="s">
        <v>380</v>
      </c>
      <c r="C374">
        <v>79</v>
      </c>
      <c r="D374">
        <v>60</v>
      </c>
      <c r="E374" t="s">
        <v>7</v>
      </c>
      <c r="F374">
        <f>tbl_AQI[[#This Row],[Most AQI Reached]]-tbl_AQI[[#This Row],[Current AQI]]</f>
        <v>19</v>
      </c>
      <c r="G3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4">
        <f>RANK(tbl_AQI[[#This Row],[Current AQI]], tbl_AQI[Current AQI], 0)</f>
        <v>4390</v>
      </c>
    </row>
    <row r="375" spans="1:8" x14ac:dyDescent="0.35">
      <c r="A375" t="s">
        <v>252</v>
      </c>
      <c r="B375" t="s">
        <v>381</v>
      </c>
      <c r="C375">
        <v>251</v>
      </c>
      <c r="D375">
        <v>174</v>
      </c>
      <c r="E375" t="s">
        <v>21</v>
      </c>
      <c r="F375">
        <f>tbl_AQI[[#This Row],[Most AQI Reached]]-tbl_AQI[[#This Row],[Current AQI]]</f>
        <v>77</v>
      </c>
      <c r="G3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5">
        <f>RANK(tbl_AQI[[#This Row],[Current AQI]], tbl_AQI[Current AQI], 0)</f>
        <v>1803</v>
      </c>
    </row>
    <row r="376" spans="1:8" x14ac:dyDescent="0.35">
      <c r="A376" t="s">
        <v>252</v>
      </c>
      <c r="B376" t="s">
        <v>382</v>
      </c>
      <c r="C376">
        <v>312</v>
      </c>
      <c r="D376">
        <v>88</v>
      </c>
      <c r="E376" t="s">
        <v>21</v>
      </c>
      <c r="F376">
        <f>tbl_AQI[[#This Row],[Most AQI Reached]]-tbl_AQI[[#This Row],[Current AQI]]</f>
        <v>224</v>
      </c>
      <c r="G3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6">
        <f>RANK(tbl_AQI[[#This Row],[Current AQI]], tbl_AQI[Current AQI], 0)</f>
        <v>3792</v>
      </c>
    </row>
    <row r="377" spans="1:8" x14ac:dyDescent="0.35">
      <c r="A377" t="s">
        <v>252</v>
      </c>
      <c r="B377" t="s">
        <v>383</v>
      </c>
      <c r="C377">
        <v>244</v>
      </c>
      <c r="D377">
        <v>122</v>
      </c>
      <c r="E377" t="s">
        <v>33</v>
      </c>
      <c r="F377">
        <f>tbl_AQI[[#This Row],[Most AQI Reached]]-tbl_AQI[[#This Row],[Current AQI]]</f>
        <v>122</v>
      </c>
      <c r="G3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7">
        <f>RANK(tbl_AQI[[#This Row],[Current AQI]], tbl_AQI[Current AQI], 0)</f>
        <v>3013</v>
      </c>
    </row>
    <row r="378" spans="1:8" x14ac:dyDescent="0.35">
      <c r="A378" t="s">
        <v>252</v>
      </c>
      <c r="B378" t="s">
        <v>384</v>
      </c>
      <c r="C378">
        <v>139</v>
      </c>
      <c r="D378">
        <v>37</v>
      </c>
      <c r="E378" t="s">
        <v>21</v>
      </c>
      <c r="F378">
        <f>tbl_AQI[[#This Row],[Most AQI Reached]]-tbl_AQI[[#This Row],[Current AQI]]</f>
        <v>102</v>
      </c>
      <c r="G3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78">
        <f>RANK(tbl_AQI[[#This Row],[Current AQI]], tbl_AQI[Current AQI], 0)</f>
        <v>4863</v>
      </c>
    </row>
    <row r="379" spans="1:8" x14ac:dyDescent="0.35">
      <c r="A379" t="s">
        <v>252</v>
      </c>
      <c r="B379" t="s">
        <v>385</v>
      </c>
      <c r="C379">
        <v>183</v>
      </c>
      <c r="D379">
        <v>87</v>
      </c>
      <c r="E379" t="s">
        <v>33</v>
      </c>
      <c r="F379">
        <f>tbl_AQI[[#This Row],[Most AQI Reached]]-tbl_AQI[[#This Row],[Current AQI]]</f>
        <v>96</v>
      </c>
      <c r="G3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9">
        <f>RANK(tbl_AQI[[#This Row],[Current AQI]], tbl_AQI[Current AQI], 0)</f>
        <v>3813</v>
      </c>
    </row>
    <row r="380" spans="1:8" x14ac:dyDescent="0.35">
      <c r="A380" t="s">
        <v>252</v>
      </c>
      <c r="B380" t="s">
        <v>386</v>
      </c>
      <c r="C380">
        <v>254</v>
      </c>
      <c r="D380">
        <v>53</v>
      </c>
      <c r="E380" t="s">
        <v>15</v>
      </c>
      <c r="F380">
        <f>tbl_AQI[[#This Row],[Most AQI Reached]]-tbl_AQI[[#This Row],[Current AQI]]</f>
        <v>201</v>
      </c>
      <c r="G3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0">
        <f>RANK(tbl_AQI[[#This Row],[Current AQI]], tbl_AQI[Current AQI], 0)</f>
        <v>4544</v>
      </c>
    </row>
    <row r="381" spans="1:8" x14ac:dyDescent="0.35">
      <c r="A381" t="s">
        <v>252</v>
      </c>
      <c r="B381" t="s">
        <v>387</v>
      </c>
      <c r="C381">
        <v>273</v>
      </c>
      <c r="D381">
        <v>150</v>
      </c>
      <c r="E381" t="s">
        <v>9</v>
      </c>
      <c r="F381">
        <f>tbl_AQI[[#This Row],[Most AQI Reached]]-tbl_AQI[[#This Row],[Current AQI]]</f>
        <v>123</v>
      </c>
      <c r="G3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1">
        <f>RANK(tbl_AQI[[#This Row],[Current AQI]], tbl_AQI[Current AQI], 0)</f>
        <v>2400</v>
      </c>
    </row>
    <row r="382" spans="1:8" x14ac:dyDescent="0.35">
      <c r="A382" t="s">
        <v>252</v>
      </c>
      <c r="B382" t="s">
        <v>388</v>
      </c>
      <c r="C382">
        <v>293</v>
      </c>
      <c r="D382">
        <v>41</v>
      </c>
      <c r="E382" t="s">
        <v>17</v>
      </c>
      <c r="F382">
        <f>tbl_AQI[[#This Row],[Most AQI Reached]]-tbl_AQI[[#This Row],[Current AQI]]</f>
        <v>252</v>
      </c>
      <c r="G3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2">
        <f>RANK(tbl_AQI[[#This Row],[Current AQI]], tbl_AQI[Current AQI], 0)</f>
        <v>4789</v>
      </c>
    </row>
    <row r="383" spans="1:8" x14ac:dyDescent="0.35">
      <c r="A383" t="s">
        <v>252</v>
      </c>
      <c r="B383" t="s">
        <v>389</v>
      </c>
      <c r="C383">
        <v>272</v>
      </c>
      <c r="D383">
        <v>147</v>
      </c>
      <c r="E383" t="s">
        <v>15</v>
      </c>
      <c r="F383">
        <f>tbl_AQI[[#This Row],[Most AQI Reached]]-tbl_AQI[[#This Row],[Current AQI]]</f>
        <v>125</v>
      </c>
      <c r="G3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">
        <f>RANK(tbl_AQI[[#This Row],[Current AQI]], tbl_AQI[Current AQI], 0)</f>
        <v>2478</v>
      </c>
    </row>
    <row r="384" spans="1:8" x14ac:dyDescent="0.35">
      <c r="A384" t="s">
        <v>252</v>
      </c>
      <c r="B384" t="s">
        <v>390</v>
      </c>
      <c r="C384">
        <v>206</v>
      </c>
      <c r="D384">
        <v>127</v>
      </c>
      <c r="E384" t="s">
        <v>7</v>
      </c>
      <c r="F384">
        <f>tbl_AQI[[#This Row],[Most AQI Reached]]-tbl_AQI[[#This Row],[Current AQI]]</f>
        <v>79</v>
      </c>
      <c r="G3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4">
        <f>RANK(tbl_AQI[[#This Row],[Current AQI]], tbl_AQI[Current AQI], 0)</f>
        <v>2909</v>
      </c>
    </row>
    <row r="385" spans="1:8" x14ac:dyDescent="0.35">
      <c r="A385" t="s">
        <v>252</v>
      </c>
      <c r="B385" t="s">
        <v>391</v>
      </c>
      <c r="C385">
        <v>55</v>
      </c>
      <c r="D385">
        <v>33</v>
      </c>
      <c r="E385" t="s">
        <v>17</v>
      </c>
      <c r="F385">
        <f>tbl_AQI[[#This Row],[Most AQI Reached]]-tbl_AQI[[#This Row],[Current AQI]]</f>
        <v>22</v>
      </c>
      <c r="G3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5">
        <f>RANK(tbl_AQI[[#This Row],[Current AQI]], tbl_AQI[Current AQI], 0)</f>
        <v>4964</v>
      </c>
    </row>
    <row r="386" spans="1:8" x14ac:dyDescent="0.35">
      <c r="A386" t="s">
        <v>252</v>
      </c>
      <c r="B386" t="s">
        <v>392</v>
      </c>
      <c r="C386">
        <v>308</v>
      </c>
      <c r="D386">
        <v>46</v>
      </c>
      <c r="E386" t="s">
        <v>11</v>
      </c>
      <c r="F386">
        <f>tbl_AQI[[#This Row],[Most AQI Reached]]-tbl_AQI[[#This Row],[Current AQI]]</f>
        <v>262</v>
      </c>
      <c r="G3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6">
        <f>RANK(tbl_AQI[[#This Row],[Current AQI]], tbl_AQI[Current AQI], 0)</f>
        <v>4680</v>
      </c>
    </row>
    <row r="387" spans="1:8" x14ac:dyDescent="0.35">
      <c r="A387" t="s">
        <v>252</v>
      </c>
      <c r="B387" t="s">
        <v>393</v>
      </c>
      <c r="C387">
        <v>162</v>
      </c>
      <c r="D387">
        <v>148</v>
      </c>
      <c r="E387" t="s">
        <v>17</v>
      </c>
      <c r="F387">
        <f>tbl_AQI[[#This Row],[Most AQI Reached]]-tbl_AQI[[#This Row],[Current AQI]]</f>
        <v>14</v>
      </c>
      <c r="G3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7">
        <f>RANK(tbl_AQI[[#This Row],[Current AQI]], tbl_AQI[Current AQI], 0)</f>
        <v>2446</v>
      </c>
    </row>
    <row r="388" spans="1:8" x14ac:dyDescent="0.35">
      <c r="A388" t="s">
        <v>252</v>
      </c>
      <c r="B388" t="s">
        <v>394</v>
      </c>
      <c r="C388">
        <v>187</v>
      </c>
      <c r="D388">
        <v>152</v>
      </c>
      <c r="E388" t="s">
        <v>21</v>
      </c>
      <c r="F388">
        <f>tbl_AQI[[#This Row],[Most AQI Reached]]-tbl_AQI[[#This Row],[Current AQI]]</f>
        <v>35</v>
      </c>
      <c r="G3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8">
        <f>RANK(tbl_AQI[[#This Row],[Current AQI]], tbl_AQI[Current AQI], 0)</f>
        <v>2349</v>
      </c>
    </row>
    <row r="389" spans="1:8" x14ac:dyDescent="0.35">
      <c r="A389" t="s">
        <v>252</v>
      </c>
      <c r="B389" t="s">
        <v>395</v>
      </c>
      <c r="C389">
        <v>263</v>
      </c>
      <c r="D389">
        <v>169</v>
      </c>
      <c r="E389" t="s">
        <v>11</v>
      </c>
      <c r="F389">
        <f>tbl_AQI[[#This Row],[Most AQI Reached]]-tbl_AQI[[#This Row],[Current AQI]]</f>
        <v>94</v>
      </c>
      <c r="G3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9">
        <f>RANK(tbl_AQI[[#This Row],[Current AQI]], tbl_AQI[Current AQI], 0)</f>
        <v>1925</v>
      </c>
    </row>
    <row r="390" spans="1:8" x14ac:dyDescent="0.35">
      <c r="A390" t="s">
        <v>252</v>
      </c>
      <c r="B390" t="s">
        <v>396</v>
      </c>
      <c r="C390">
        <v>212</v>
      </c>
      <c r="D390">
        <v>177</v>
      </c>
      <c r="E390" t="s">
        <v>7</v>
      </c>
      <c r="F390">
        <f>tbl_AQI[[#This Row],[Most AQI Reached]]-tbl_AQI[[#This Row],[Current AQI]]</f>
        <v>35</v>
      </c>
      <c r="G3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0">
        <f>RANK(tbl_AQI[[#This Row],[Current AQI]], tbl_AQI[Current AQI], 0)</f>
        <v>1733</v>
      </c>
    </row>
    <row r="391" spans="1:8" x14ac:dyDescent="0.35">
      <c r="A391" t="s">
        <v>252</v>
      </c>
      <c r="B391" t="s">
        <v>397</v>
      </c>
      <c r="C391">
        <v>182</v>
      </c>
      <c r="D391">
        <v>113</v>
      </c>
      <c r="E391" t="s">
        <v>7</v>
      </c>
      <c r="F391">
        <f>tbl_AQI[[#This Row],[Most AQI Reached]]-tbl_AQI[[#This Row],[Current AQI]]</f>
        <v>69</v>
      </c>
      <c r="G3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">
        <f>RANK(tbl_AQI[[#This Row],[Current AQI]], tbl_AQI[Current AQI], 0)</f>
        <v>3243</v>
      </c>
    </row>
    <row r="392" spans="1:8" x14ac:dyDescent="0.35">
      <c r="A392" t="s">
        <v>252</v>
      </c>
      <c r="B392" t="s">
        <v>398</v>
      </c>
      <c r="C392">
        <v>302</v>
      </c>
      <c r="D392">
        <v>130</v>
      </c>
      <c r="E392" t="s">
        <v>17</v>
      </c>
      <c r="F392">
        <f>tbl_AQI[[#This Row],[Most AQI Reached]]-tbl_AQI[[#This Row],[Current AQI]]</f>
        <v>172</v>
      </c>
      <c r="G3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2">
        <f>RANK(tbl_AQI[[#This Row],[Current AQI]], tbl_AQI[Current AQI], 0)</f>
        <v>2832</v>
      </c>
    </row>
    <row r="393" spans="1:8" x14ac:dyDescent="0.35">
      <c r="A393" t="s">
        <v>252</v>
      </c>
      <c r="B393" t="s">
        <v>399</v>
      </c>
      <c r="C393">
        <v>66</v>
      </c>
      <c r="D393">
        <v>64</v>
      </c>
      <c r="E393" t="s">
        <v>33</v>
      </c>
      <c r="F393">
        <f>tbl_AQI[[#This Row],[Most AQI Reached]]-tbl_AQI[[#This Row],[Current AQI]]</f>
        <v>2</v>
      </c>
      <c r="G3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3">
        <f>RANK(tbl_AQI[[#This Row],[Current AQI]], tbl_AQI[Current AQI], 0)</f>
        <v>4293</v>
      </c>
    </row>
    <row r="394" spans="1:8" x14ac:dyDescent="0.35">
      <c r="A394" t="s">
        <v>252</v>
      </c>
      <c r="B394" t="s">
        <v>400</v>
      </c>
      <c r="C394">
        <v>245</v>
      </c>
      <c r="D394">
        <v>32</v>
      </c>
      <c r="E394" t="s">
        <v>15</v>
      </c>
      <c r="F394">
        <f>tbl_AQI[[#This Row],[Most AQI Reached]]-tbl_AQI[[#This Row],[Current AQI]]</f>
        <v>213</v>
      </c>
      <c r="G3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4">
        <f>RANK(tbl_AQI[[#This Row],[Current AQI]], tbl_AQI[Current AQI], 0)</f>
        <v>4983</v>
      </c>
    </row>
    <row r="395" spans="1:8" x14ac:dyDescent="0.35">
      <c r="A395" t="s">
        <v>252</v>
      </c>
      <c r="B395" t="s">
        <v>401</v>
      </c>
      <c r="C395">
        <v>289</v>
      </c>
      <c r="D395">
        <v>30</v>
      </c>
      <c r="E395" t="s">
        <v>7</v>
      </c>
      <c r="F395">
        <f>tbl_AQI[[#This Row],[Most AQI Reached]]-tbl_AQI[[#This Row],[Current AQI]]</f>
        <v>259</v>
      </c>
      <c r="G3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5">
        <f>RANK(tbl_AQI[[#This Row],[Current AQI]], tbl_AQI[Current AQI], 0)</f>
        <v>5042</v>
      </c>
    </row>
    <row r="396" spans="1:8" x14ac:dyDescent="0.35">
      <c r="A396" t="s">
        <v>252</v>
      </c>
      <c r="B396" t="s">
        <v>402</v>
      </c>
      <c r="C396">
        <v>220</v>
      </c>
      <c r="D396">
        <v>136</v>
      </c>
      <c r="E396" t="s">
        <v>9</v>
      </c>
      <c r="F396">
        <f>tbl_AQI[[#This Row],[Most AQI Reached]]-tbl_AQI[[#This Row],[Current AQI]]</f>
        <v>84</v>
      </c>
      <c r="G3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">
        <f>RANK(tbl_AQI[[#This Row],[Current AQI]], tbl_AQI[Current AQI], 0)</f>
        <v>2692</v>
      </c>
    </row>
    <row r="397" spans="1:8" x14ac:dyDescent="0.35">
      <c r="A397" t="s">
        <v>252</v>
      </c>
      <c r="B397" t="s">
        <v>403</v>
      </c>
      <c r="C397">
        <v>197</v>
      </c>
      <c r="D397">
        <v>103</v>
      </c>
      <c r="E397" t="s">
        <v>11</v>
      </c>
      <c r="F397">
        <f>tbl_AQI[[#This Row],[Most AQI Reached]]-tbl_AQI[[#This Row],[Current AQI]]</f>
        <v>94</v>
      </c>
      <c r="G3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7">
        <f>RANK(tbl_AQI[[#This Row],[Current AQI]], tbl_AQI[Current AQI], 0)</f>
        <v>3474</v>
      </c>
    </row>
    <row r="398" spans="1:8" x14ac:dyDescent="0.35">
      <c r="A398" t="s">
        <v>252</v>
      </c>
      <c r="B398" t="s">
        <v>404</v>
      </c>
      <c r="C398">
        <v>74</v>
      </c>
      <c r="D398">
        <v>54</v>
      </c>
      <c r="E398" t="s">
        <v>15</v>
      </c>
      <c r="F398">
        <f>tbl_AQI[[#This Row],[Most AQI Reached]]-tbl_AQI[[#This Row],[Current AQI]]</f>
        <v>20</v>
      </c>
      <c r="G3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8">
        <f>RANK(tbl_AQI[[#This Row],[Current AQI]], tbl_AQI[Current AQI], 0)</f>
        <v>4523</v>
      </c>
    </row>
    <row r="399" spans="1:8" x14ac:dyDescent="0.35">
      <c r="A399" t="s">
        <v>252</v>
      </c>
      <c r="B399" t="s">
        <v>405</v>
      </c>
      <c r="C399">
        <v>230</v>
      </c>
      <c r="D399">
        <v>188</v>
      </c>
      <c r="E399" t="s">
        <v>21</v>
      </c>
      <c r="F399">
        <f>tbl_AQI[[#This Row],[Most AQI Reached]]-tbl_AQI[[#This Row],[Current AQI]]</f>
        <v>42</v>
      </c>
      <c r="G3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9">
        <f>RANK(tbl_AQI[[#This Row],[Current AQI]], tbl_AQI[Current AQI], 0)</f>
        <v>1423</v>
      </c>
    </row>
    <row r="400" spans="1:8" x14ac:dyDescent="0.35">
      <c r="A400" t="s">
        <v>252</v>
      </c>
      <c r="B400" t="s">
        <v>406</v>
      </c>
      <c r="C400">
        <v>206</v>
      </c>
      <c r="D400">
        <v>133</v>
      </c>
      <c r="E400" t="s">
        <v>11</v>
      </c>
      <c r="F400">
        <f>tbl_AQI[[#This Row],[Most AQI Reached]]-tbl_AQI[[#This Row],[Current AQI]]</f>
        <v>73</v>
      </c>
      <c r="G4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0">
        <f>RANK(tbl_AQI[[#This Row],[Current AQI]], tbl_AQI[Current AQI], 0)</f>
        <v>2758</v>
      </c>
    </row>
    <row r="401" spans="1:8" x14ac:dyDescent="0.35">
      <c r="A401" t="s">
        <v>252</v>
      </c>
      <c r="B401" t="s">
        <v>407</v>
      </c>
      <c r="C401">
        <v>320</v>
      </c>
      <c r="D401">
        <v>127</v>
      </c>
      <c r="E401" t="s">
        <v>15</v>
      </c>
      <c r="F401">
        <f>tbl_AQI[[#This Row],[Most AQI Reached]]-tbl_AQI[[#This Row],[Current AQI]]</f>
        <v>193</v>
      </c>
      <c r="G4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1">
        <f>RANK(tbl_AQI[[#This Row],[Current AQI]], tbl_AQI[Current AQI], 0)</f>
        <v>2909</v>
      </c>
    </row>
    <row r="402" spans="1:8" x14ac:dyDescent="0.35">
      <c r="A402" t="s">
        <v>252</v>
      </c>
      <c r="B402" t="s">
        <v>408</v>
      </c>
      <c r="C402">
        <v>238</v>
      </c>
      <c r="D402">
        <v>79</v>
      </c>
      <c r="E402" t="s">
        <v>17</v>
      </c>
      <c r="F402">
        <f>tbl_AQI[[#This Row],[Most AQI Reached]]-tbl_AQI[[#This Row],[Current AQI]]</f>
        <v>159</v>
      </c>
      <c r="G4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2">
        <f>RANK(tbl_AQI[[#This Row],[Current AQI]], tbl_AQI[Current AQI], 0)</f>
        <v>3967</v>
      </c>
    </row>
    <row r="403" spans="1:8" x14ac:dyDescent="0.35">
      <c r="A403" t="s">
        <v>252</v>
      </c>
      <c r="B403" t="s">
        <v>409</v>
      </c>
      <c r="C403">
        <v>209</v>
      </c>
      <c r="D403">
        <v>109</v>
      </c>
      <c r="E403" t="s">
        <v>9</v>
      </c>
      <c r="F403">
        <f>tbl_AQI[[#This Row],[Most AQI Reached]]-tbl_AQI[[#This Row],[Current AQI]]</f>
        <v>100</v>
      </c>
      <c r="G4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3">
        <f>RANK(tbl_AQI[[#This Row],[Current AQI]], tbl_AQI[Current AQI], 0)</f>
        <v>3338</v>
      </c>
    </row>
    <row r="404" spans="1:8" x14ac:dyDescent="0.35">
      <c r="A404" t="s">
        <v>252</v>
      </c>
      <c r="B404" t="s">
        <v>410</v>
      </c>
      <c r="C404">
        <v>98</v>
      </c>
      <c r="D404">
        <v>91</v>
      </c>
      <c r="E404" t="s">
        <v>7</v>
      </c>
      <c r="F404">
        <f>tbl_AQI[[#This Row],[Most AQI Reached]]-tbl_AQI[[#This Row],[Current AQI]]</f>
        <v>7</v>
      </c>
      <c r="G4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4">
        <f>RANK(tbl_AQI[[#This Row],[Current AQI]], tbl_AQI[Current AQI], 0)</f>
        <v>3726</v>
      </c>
    </row>
    <row r="405" spans="1:8" x14ac:dyDescent="0.35">
      <c r="A405" t="s">
        <v>252</v>
      </c>
      <c r="B405" t="s">
        <v>411</v>
      </c>
      <c r="C405">
        <v>176</v>
      </c>
      <c r="D405">
        <v>106</v>
      </c>
      <c r="E405" t="s">
        <v>11</v>
      </c>
      <c r="F405">
        <f>tbl_AQI[[#This Row],[Most AQI Reached]]-tbl_AQI[[#This Row],[Current AQI]]</f>
        <v>70</v>
      </c>
      <c r="G4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">
        <f>RANK(tbl_AQI[[#This Row],[Current AQI]], tbl_AQI[Current AQI], 0)</f>
        <v>3413</v>
      </c>
    </row>
    <row r="406" spans="1:8" x14ac:dyDescent="0.35">
      <c r="A406" t="s">
        <v>252</v>
      </c>
      <c r="B406" t="s">
        <v>412</v>
      </c>
      <c r="C406">
        <v>220</v>
      </c>
      <c r="D406">
        <v>151</v>
      </c>
      <c r="E406" t="s">
        <v>15</v>
      </c>
      <c r="F406">
        <f>tbl_AQI[[#This Row],[Most AQI Reached]]-tbl_AQI[[#This Row],[Current AQI]]</f>
        <v>69</v>
      </c>
      <c r="G4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6">
        <f>RANK(tbl_AQI[[#This Row],[Current AQI]], tbl_AQI[Current AQI], 0)</f>
        <v>2376</v>
      </c>
    </row>
    <row r="407" spans="1:8" x14ac:dyDescent="0.35">
      <c r="A407" t="s">
        <v>252</v>
      </c>
      <c r="B407" t="s">
        <v>413</v>
      </c>
      <c r="C407">
        <v>251</v>
      </c>
      <c r="D407">
        <v>149</v>
      </c>
      <c r="E407" t="s">
        <v>11</v>
      </c>
      <c r="F407">
        <f>tbl_AQI[[#This Row],[Most AQI Reached]]-tbl_AQI[[#This Row],[Current AQI]]</f>
        <v>102</v>
      </c>
      <c r="G4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">
        <f>RANK(tbl_AQI[[#This Row],[Current AQI]], tbl_AQI[Current AQI], 0)</f>
        <v>2426</v>
      </c>
    </row>
    <row r="408" spans="1:8" x14ac:dyDescent="0.35">
      <c r="A408" t="s">
        <v>252</v>
      </c>
      <c r="B408" t="s">
        <v>414</v>
      </c>
      <c r="C408">
        <v>181</v>
      </c>
      <c r="D408">
        <v>172</v>
      </c>
      <c r="E408" t="s">
        <v>33</v>
      </c>
      <c r="F408">
        <f>tbl_AQI[[#This Row],[Most AQI Reached]]-tbl_AQI[[#This Row],[Current AQI]]</f>
        <v>9</v>
      </c>
      <c r="G4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8">
        <f>RANK(tbl_AQI[[#This Row],[Current AQI]], tbl_AQI[Current AQI], 0)</f>
        <v>1852</v>
      </c>
    </row>
    <row r="409" spans="1:8" x14ac:dyDescent="0.35">
      <c r="A409" t="s">
        <v>252</v>
      </c>
      <c r="B409" t="s">
        <v>415</v>
      </c>
      <c r="C409">
        <v>269</v>
      </c>
      <c r="D409">
        <v>184</v>
      </c>
      <c r="E409" t="s">
        <v>11</v>
      </c>
      <c r="F409">
        <f>tbl_AQI[[#This Row],[Most AQI Reached]]-tbl_AQI[[#This Row],[Current AQI]]</f>
        <v>85</v>
      </c>
      <c r="G4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9">
        <f>RANK(tbl_AQI[[#This Row],[Current AQI]], tbl_AQI[Current AQI], 0)</f>
        <v>1544</v>
      </c>
    </row>
    <row r="410" spans="1:8" x14ac:dyDescent="0.35">
      <c r="A410" t="s">
        <v>252</v>
      </c>
      <c r="B410" t="s">
        <v>416</v>
      </c>
      <c r="C410">
        <v>264</v>
      </c>
      <c r="D410">
        <v>78</v>
      </c>
      <c r="E410" t="s">
        <v>7</v>
      </c>
      <c r="F410">
        <f>tbl_AQI[[#This Row],[Most AQI Reached]]-tbl_AQI[[#This Row],[Current AQI]]</f>
        <v>186</v>
      </c>
      <c r="G4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0">
        <f>RANK(tbl_AQI[[#This Row],[Current AQI]], tbl_AQI[Current AQI], 0)</f>
        <v>3989</v>
      </c>
    </row>
    <row r="411" spans="1:8" x14ac:dyDescent="0.35">
      <c r="A411" t="s">
        <v>252</v>
      </c>
      <c r="B411" t="s">
        <v>417</v>
      </c>
      <c r="C411">
        <v>161</v>
      </c>
      <c r="D411">
        <v>58</v>
      </c>
      <c r="E411" t="s">
        <v>17</v>
      </c>
      <c r="F411">
        <f>tbl_AQI[[#This Row],[Most AQI Reached]]-tbl_AQI[[#This Row],[Current AQI]]</f>
        <v>103</v>
      </c>
      <c r="G4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1">
        <f>RANK(tbl_AQI[[#This Row],[Current AQI]], tbl_AQI[Current AQI], 0)</f>
        <v>4431</v>
      </c>
    </row>
    <row r="412" spans="1:8" x14ac:dyDescent="0.35">
      <c r="A412" t="s">
        <v>252</v>
      </c>
      <c r="B412" t="s">
        <v>418</v>
      </c>
      <c r="C412">
        <v>297</v>
      </c>
      <c r="D412">
        <v>162</v>
      </c>
      <c r="E412" t="s">
        <v>11</v>
      </c>
      <c r="F412">
        <f>tbl_AQI[[#This Row],[Most AQI Reached]]-tbl_AQI[[#This Row],[Current AQI]]</f>
        <v>135</v>
      </c>
      <c r="G4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2">
        <f>RANK(tbl_AQI[[#This Row],[Current AQI]], tbl_AQI[Current AQI], 0)</f>
        <v>2106</v>
      </c>
    </row>
    <row r="413" spans="1:8" x14ac:dyDescent="0.35">
      <c r="A413" t="s">
        <v>252</v>
      </c>
      <c r="B413" t="s">
        <v>419</v>
      </c>
      <c r="C413">
        <v>165</v>
      </c>
      <c r="D413">
        <v>117</v>
      </c>
      <c r="E413" t="s">
        <v>7</v>
      </c>
      <c r="F413">
        <f>tbl_AQI[[#This Row],[Most AQI Reached]]-tbl_AQI[[#This Row],[Current AQI]]</f>
        <v>48</v>
      </c>
      <c r="G4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">
        <f>RANK(tbl_AQI[[#This Row],[Current AQI]], tbl_AQI[Current AQI], 0)</f>
        <v>3144</v>
      </c>
    </row>
    <row r="414" spans="1:8" x14ac:dyDescent="0.35">
      <c r="A414" t="s">
        <v>252</v>
      </c>
      <c r="B414" t="s">
        <v>420</v>
      </c>
      <c r="C414">
        <v>287</v>
      </c>
      <c r="D414">
        <v>167</v>
      </c>
      <c r="E414" t="s">
        <v>21</v>
      </c>
      <c r="F414">
        <f>tbl_AQI[[#This Row],[Most AQI Reached]]-tbl_AQI[[#This Row],[Current AQI]]</f>
        <v>120</v>
      </c>
      <c r="G4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">
        <f>RANK(tbl_AQI[[#This Row],[Current AQI]], tbl_AQI[Current AQI], 0)</f>
        <v>1979</v>
      </c>
    </row>
    <row r="415" spans="1:8" x14ac:dyDescent="0.35">
      <c r="A415" t="s">
        <v>252</v>
      </c>
      <c r="B415" t="s">
        <v>421</v>
      </c>
      <c r="C415">
        <v>247</v>
      </c>
      <c r="D415">
        <v>62</v>
      </c>
      <c r="E415" t="s">
        <v>11</v>
      </c>
      <c r="F415">
        <f>tbl_AQI[[#This Row],[Most AQI Reached]]-tbl_AQI[[#This Row],[Current AQI]]</f>
        <v>185</v>
      </c>
      <c r="G4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">
        <f>RANK(tbl_AQI[[#This Row],[Current AQI]], tbl_AQI[Current AQI], 0)</f>
        <v>4343</v>
      </c>
    </row>
    <row r="416" spans="1:8" x14ac:dyDescent="0.35">
      <c r="A416" t="s">
        <v>252</v>
      </c>
      <c r="B416" t="s">
        <v>422</v>
      </c>
      <c r="C416">
        <v>232</v>
      </c>
      <c r="D416">
        <v>169</v>
      </c>
      <c r="E416" t="s">
        <v>33</v>
      </c>
      <c r="F416">
        <f>tbl_AQI[[#This Row],[Most AQI Reached]]-tbl_AQI[[#This Row],[Current AQI]]</f>
        <v>63</v>
      </c>
      <c r="G4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6">
        <f>RANK(tbl_AQI[[#This Row],[Current AQI]], tbl_AQI[Current AQI], 0)</f>
        <v>1925</v>
      </c>
    </row>
    <row r="417" spans="1:8" x14ac:dyDescent="0.35">
      <c r="A417" t="s">
        <v>252</v>
      </c>
      <c r="B417" t="s">
        <v>423</v>
      </c>
      <c r="C417">
        <v>111</v>
      </c>
      <c r="D417">
        <v>32</v>
      </c>
      <c r="E417" t="s">
        <v>33</v>
      </c>
      <c r="F417">
        <f>tbl_AQI[[#This Row],[Most AQI Reached]]-tbl_AQI[[#This Row],[Current AQI]]</f>
        <v>79</v>
      </c>
      <c r="G4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7">
        <f>RANK(tbl_AQI[[#This Row],[Current AQI]], tbl_AQI[Current AQI], 0)</f>
        <v>4983</v>
      </c>
    </row>
    <row r="418" spans="1:8" x14ac:dyDescent="0.35">
      <c r="A418" t="s">
        <v>252</v>
      </c>
      <c r="B418" t="s">
        <v>424</v>
      </c>
      <c r="C418">
        <v>83</v>
      </c>
      <c r="D418">
        <v>80</v>
      </c>
      <c r="E418" t="s">
        <v>11</v>
      </c>
      <c r="F418">
        <f>tbl_AQI[[#This Row],[Most AQI Reached]]-tbl_AQI[[#This Row],[Current AQI]]</f>
        <v>3</v>
      </c>
      <c r="G4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8">
        <f>RANK(tbl_AQI[[#This Row],[Current AQI]], tbl_AQI[Current AQI], 0)</f>
        <v>3948</v>
      </c>
    </row>
    <row r="419" spans="1:8" x14ac:dyDescent="0.35">
      <c r="A419" t="s">
        <v>252</v>
      </c>
      <c r="B419" t="s">
        <v>425</v>
      </c>
      <c r="C419">
        <v>297</v>
      </c>
      <c r="D419">
        <v>123</v>
      </c>
      <c r="E419" t="s">
        <v>9</v>
      </c>
      <c r="F419">
        <f>tbl_AQI[[#This Row],[Most AQI Reached]]-tbl_AQI[[#This Row],[Current AQI]]</f>
        <v>174</v>
      </c>
      <c r="G4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9">
        <f>RANK(tbl_AQI[[#This Row],[Current AQI]], tbl_AQI[Current AQI], 0)</f>
        <v>2983</v>
      </c>
    </row>
    <row r="420" spans="1:8" x14ac:dyDescent="0.35">
      <c r="A420" t="s">
        <v>252</v>
      </c>
      <c r="B420" t="s">
        <v>426</v>
      </c>
      <c r="C420">
        <v>306</v>
      </c>
      <c r="D420">
        <v>156</v>
      </c>
      <c r="E420" t="s">
        <v>21</v>
      </c>
      <c r="F420">
        <f>tbl_AQI[[#This Row],[Most AQI Reached]]-tbl_AQI[[#This Row],[Current AQI]]</f>
        <v>150</v>
      </c>
      <c r="G4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">
        <f>RANK(tbl_AQI[[#This Row],[Current AQI]], tbl_AQI[Current AQI], 0)</f>
        <v>2251</v>
      </c>
    </row>
    <row r="421" spans="1:8" x14ac:dyDescent="0.35">
      <c r="A421" t="s">
        <v>252</v>
      </c>
      <c r="B421" t="s">
        <v>427</v>
      </c>
      <c r="C421">
        <v>210</v>
      </c>
      <c r="D421">
        <v>101</v>
      </c>
      <c r="E421" t="s">
        <v>9</v>
      </c>
      <c r="F421">
        <f>tbl_AQI[[#This Row],[Most AQI Reached]]-tbl_AQI[[#This Row],[Current AQI]]</f>
        <v>109</v>
      </c>
      <c r="G4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">
        <f>RANK(tbl_AQI[[#This Row],[Current AQI]], tbl_AQI[Current AQI], 0)</f>
        <v>3515</v>
      </c>
    </row>
    <row r="422" spans="1:8" x14ac:dyDescent="0.35">
      <c r="A422" t="s">
        <v>252</v>
      </c>
      <c r="B422" t="s">
        <v>428</v>
      </c>
      <c r="C422">
        <v>179</v>
      </c>
      <c r="D422">
        <v>171</v>
      </c>
      <c r="E422" t="s">
        <v>7</v>
      </c>
      <c r="F422">
        <f>tbl_AQI[[#This Row],[Most AQI Reached]]-tbl_AQI[[#This Row],[Current AQI]]</f>
        <v>8</v>
      </c>
      <c r="G4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2">
        <f>RANK(tbl_AQI[[#This Row],[Current AQI]], tbl_AQI[Current AQI], 0)</f>
        <v>1866</v>
      </c>
    </row>
    <row r="423" spans="1:8" x14ac:dyDescent="0.35">
      <c r="A423" t="s">
        <v>252</v>
      </c>
      <c r="B423" t="s">
        <v>429</v>
      </c>
      <c r="C423">
        <v>274</v>
      </c>
      <c r="D423">
        <v>65</v>
      </c>
      <c r="E423" t="s">
        <v>17</v>
      </c>
      <c r="F423">
        <f>tbl_AQI[[#This Row],[Most AQI Reached]]-tbl_AQI[[#This Row],[Current AQI]]</f>
        <v>209</v>
      </c>
      <c r="G4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3">
        <f>RANK(tbl_AQI[[#This Row],[Current AQI]], tbl_AQI[Current AQI], 0)</f>
        <v>4267</v>
      </c>
    </row>
    <row r="424" spans="1:8" x14ac:dyDescent="0.35">
      <c r="A424" t="s">
        <v>252</v>
      </c>
      <c r="B424" t="s">
        <v>430</v>
      </c>
      <c r="C424">
        <v>289</v>
      </c>
      <c r="D424">
        <v>144</v>
      </c>
      <c r="E424" t="s">
        <v>11</v>
      </c>
      <c r="F424">
        <f>tbl_AQI[[#This Row],[Most AQI Reached]]-tbl_AQI[[#This Row],[Current AQI]]</f>
        <v>145</v>
      </c>
      <c r="G4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4">
        <f>RANK(tbl_AQI[[#This Row],[Current AQI]], tbl_AQI[Current AQI], 0)</f>
        <v>2550</v>
      </c>
    </row>
    <row r="425" spans="1:8" x14ac:dyDescent="0.35">
      <c r="A425" t="s">
        <v>252</v>
      </c>
      <c r="B425" t="s">
        <v>431</v>
      </c>
      <c r="C425">
        <v>299</v>
      </c>
      <c r="D425">
        <v>75</v>
      </c>
      <c r="E425" t="s">
        <v>7</v>
      </c>
      <c r="F425">
        <f>tbl_AQI[[#This Row],[Most AQI Reached]]-tbl_AQI[[#This Row],[Current AQI]]</f>
        <v>224</v>
      </c>
      <c r="G4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5">
        <f>RANK(tbl_AQI[[#This Row],[Current AQI]], tbl_AQI[Current AQI], 0)</f>
        <v>4041</v>
      </c>
    </row>
    <row r="426" spans="1:8" x14ac:dyDescent="0.35">
      <c r="A426" t="s">
        <v>252</v>
      </c>
      <c r="B426" t="s">
        <v>432</v>
      </c>
      <c r="C426">
        <v>146</v>
      </c>
      <c r="D426">
        <v>85</v>
      </c>
      <c r="E426" t="s">
        <v>7</v>
      </c>
      <c r="F426">
        <f>tbl_AQI[[#This Row],[Most AQI Reached]]-tbl_AQI[[#This Row],[Current AQI]]</f>
        <v>61</v>
      </c>
      <c r="G4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6">
        <f>RANK(tbl_AQI[[#This Row],[Current AQI]], tbl_AQI[Current AQI], 0)</f>
        <v>3852</v>
      </c>
    </row>
    <row r="427" spans="1:8" x14ac:dyDescent="0.35">
      <c r="A427" t="s">
        <v>252</v>
      </c>
      <c r="B427" t="s">
        <v>433</v>
      </c>
      <c r="C427">
        <v>269</v>
      </c>
      <c r="D427">
        <v>187</v>
      </c>
      <c r="E427" t="s">
        <v>11</v>
      </c>
      <c r="F427">
        <f>tbl_AQI[[#This Row],[Most AQI Reached]]-tbl_AQI[[#This Row],[Current AQI]]</f>
        <v>82</v>
      </c>
      <c r="G4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">
        <f>RANK(tbl_AQI[[#This Row],[Current AQI]], tbl_AQI[Current AQI], 0)</f>
        <v>1455</v>
      </c>
    </row>
    <row r="428" spans="1:8" x14ac:dyDescent="0.35">
      <c r="A428" t="s">
        <v>252</v>
      </c>
      <c r="B428" t="s">
        <v>434</v>
      </c>
      <c r="C428">
        <v>200</v>
      </c>
      <c r="D428">
        <v>141</v>
      </c>
      <c r="E428" t="s">
        <v>21</v>
      </c>
      <c r="F428">
        <f>tbl_AQI[[#This Row],[Most AQI Reached]]-tbl_AQI[[#This Row],[Current AQI]]</f>
        <v>59</v>
      </c>
      <c r="G4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8">
        <f>RANK(tbl_AQI[[#This Row],[Current AQI]], tbl_AQI[Current AQI], 0)</f>
        <v>2609</v>
      </c>
    </row>
    <row r="429" spans="1:8" x14ac:dyDescent="0.35">
      <c r="A429" t="s">
        <v>252</v>
      </c>
      <c r="B429" t="s">
        <v>442</v>
      </c>
      <c r="C429">
        <v>303</v>
      </c>
      <c r="D429">
        <v>149</v>
      </c>
      <c r="E429" t="s">
        <v>9</v>
      </c>
      <c r="F429">
        <f>tbl_AQI[[#This Row],[Most AQI Reached]]-tbl_AQI[[#This Row],[Current AQI]]</f>
        <v>154</v>
      </c>
      <c r="G4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9">
        <f>RANK(tbl_AQI[[#This Row],[Current AQI]], tbl_AQI[Current AQI], 0)</f>
        <v>2426</v>
      </c>
    </row>
    <row r="430" spans="1:8" x14ac:dyDescent="0.35">
      <c r="A430" t="s">
        <v>252</v>
      </c>
      <c r="B430" t="s">
        <v>443</v>
      </c>
      <c r="C430">
        <v>218</v>
      </c>
      <c r="D430">
        <v>51</v>
      </c>
      <c r="E430" t="s">
        <v>7</v>
      </c>
      <c r="F430">
        <f>tbl_AQI[[#This Row],[Most AQI Reached]]-tbl_AQI[[#This Row],[Current AQI]]</f>
        <v>167</v>
      </c>
      <c r="G4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30">
        <f>RANK(tbl_AQI[[#This Row],[Current AQI]], tbl_AQI[Current AQI], 0)</f>
        <v>4578</v>
      </c>
    </row>
    <row r="431" spans="1:8" x14ac:dyDescent="0.35">
      <c r="A431" t="s">
        <v>252</v>
      </c>
      <c r="B431" t="s">
        <v>444</v>
      </c>
      <c r="C431">
        <v>236</v>
      </c>
      <c r="D431">
        <v>56</v>
      </c>
      <c r="E431" t="s">
        <v>15</v>
      </c>
      <c r="F431">
        <f>tbl_AQI[[#This Row],[Most AQI Reached]]-tbl_AQI[[#This Row],[Current AQI]]</f>
        <v>180</v>
      </c>
      <c r="G4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31">
        <f>RANK(tbl_AQI[[#This Row],[Current AQI]], tbl_AQI[Current AQI], 0)</f>
        <v>4474</v>
      </c>
    </row>
    <row r="432" spans="1:8" x14ac:dyDescent="0.35">
      <c r="A432" t="s">
        <v>252</v>
      </c>
      <c r="B432" t="s">
        <v>445</v>
      </c>
      <c r="C432">
        <v>219</v>
      </c>
      <c r="D432">
        <v>170</v>
      </c>
      <c r="E432" t="s">
        <v>7</v>
      </c>
      <c r="F432">
        <f>tbl_AQI[[#This Row],[Most AQI Reached]]-tbl_AQI[[#This Row],[Current AQI]]</f>
        <v>49</v>
      </c>
      <c r="G4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2">
        <f>RANK(tbl_AQI[[#This Row],[Current AQI]], tbl_AQI[Current AQI], 0)</f>
        <v>1898</v>
      </c>
    </row>
    <row r="433" spans="1:8" x14ac:dyDescent="0.35">
      <c r="A433" t="s">
        <v>252</v>
      </c>
      <c r="B433" t="s">
        <v>446</v>
      </c>
      <c r="C433">
        <v>239</v>
      </c>
      <c r="D433">
        <v>161</v>
      </c>
      <c r="E433" t="s">
        <v>33</v>
      </c>
      <c r="F433">
        <f>tbl_AQI[[#This Row],[Most AQI Reached]]-tbl_AQI[[#This Row],[Current AQI]]</f>
        <v>78</v>
      </c>
      <c r="G4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3">
        <f>RANK(tbl_AQI[[#This Row],[Current AQI]], tbl_AQI[Current AQI], 0)</f>
        <v>2129</v>
      </c>
    </row>
    <row r="434" spans="1:8" x14ac:dyDescent="0.35">
      <c r="A434" t="s">
        <v>252</v>
      </c>
      <c r="B434" t="s">
        <v>447</v>
      </c>
      <c r="C434">
        <v>159</v>
      </c>
      <c r="D434">
        <v>121</v>
      </c>
      <c r="E434" t="s">
        <v>7</v>
      </c>
      <c r="F434">
        <f>tbl_AQI[[#This Row],[Most AQI Reached]]-tbl_AQI[[#This Row],[Current AQI]]</f>
        <v>38</v>
      </c>
      <c r="G4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4">
        <f>RANK(tbl_AQI[[#This Row],[Current AQI]], tbl_AQI[Current AQI], 0)</f>
        <v>3037</v>
      </c>
    </row>
    <row r="435" spans="1:8" x14ac:dyDescent="0.35">
      <c r="A435" t="s">
        <v>252</v>
      </c>
      <c r="B435" t="s">
        <v>448</v>
      </c>
      <c r="C435">
        <v>258</v>
      </c>
      <c r="D435">
        <v>93</v>
      </c>
      <c r="E435" t="s">
        <v>17</v>
      </c>
      <c r="F435">
        <f>tbl_AQI[[#This Row],[Most AQI Reached]]-tbl_AQI[[#This Row],[Current AQI]]</f>
        <v>165</v>
      </c>
      <c r="G4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35">
        <f>RANK(tbl_AQI[[#This Row],[Current AQI]], tbl_AQI[Current AQI], 0)</f>
        <v>3678</v>
      </c>
    </row>
    <row r="436" spans="1:8" x14ac:dyDescent="0.35">
      <c r="A436" t="s">
        <v>252</v>
      </c>
      <c r="B436" t="s">
        <v>449</v>
      </c>
      <c r="C436">
        <v>121</v>
      </c>
      <c r="D436">
        <v>86</v>
      </c>
      <c r="E436" t="s">
        <v>11</v>
      </c>
      <c r="F436">
        <f>tbl_AQI[[#This Row],[Most AQI Reached]]-tbl_AQI[[#This Row],[Current AQI]]</f>
        <v>35</v>
      </c>
      <c r="G4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36">
        <f>RANK(tbl_AQI[[#This Row],[Current AQI]], tbl_AQI[Current AQI], 0)</f>
        <v>3830</v>
      </c>
    </row>
    <row r="437" spans="1:8" x14ac:dyDescent="0.35">
      <c r="A437" t="s">
        <v>252</v>
      </c>
      <c r="B437" t="s">
        <v>450</v>
      </c>
      <c r="C437">
        <v>205</v>
      </c>
      <c r="D437">
        <v>154</v>
      </c>
      <c r="E437" t="s">
        <v>7</v>
      </c>
      <c r="F437">
        <f>tbl_AQI[[#This Row],[Most AQI Reached]]-tbl_AQI[[#This Row],[Current AQI]]</f>
        <v>51</v>
      </c>
      <c r="G4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7">
        <f>RANK(tbl_AQI[[#This Row],[Current AQI]], tbl_AQI[Current AQI], 0)</f>
        <v>2307</v>
      </c>
    </row>
    <row r="438" spans="1:8" x14ac:dyDescent="0.35">
      <c r="A438" t="s">
        <v>252</v>
      </c>
      <c r="B438" t="s">
        <v>451</v>
      </c>
      <c r="C438">
        <v>305</v>
      </c>
      <c r="D438">
        <v>149</v>
      </c>
      <c r="E438" t="s">
        <v>17</v>
      </c>
      <c r="F438">
        <f>tbl_AQI[[#This Row],[Most AQI Reached]]-tbl_AQI[[#This Row],[Current AQI]]</f>
        <v>156</v>
      </c>
      <c r="G4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8">
        <f>RANK(tbl_AQI[[#This Row],[Current AQI]], tbl_AQI[Current AQI], 0)</f>
        <v>2426</v>
      </c>
    </row>
    <row r="439" spans="1:8" x14ac:dyDescent="0.35">
      <c r="A439" t="s">
        <v>252</v>
      </c>
      <c r="B439" t="s">
        <v>452</v>
      </c>
      <c r="C439">
        <v>243</v>
      </c>
      <c r="D439">
        <v>66</v>
      </c>
      <c r="E439" t="s">
        <v>17</v>
      </c>
      <c r="F439">
        <f>tbl_AQI[[#This Row],[Most AQI Reached]]-tbl_AQI[[#This Row],[Current AQI]]</f>
        <v>177</v>
      </c>
      <c r="G4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39">
        <f>RANK(tbl_AQI[[#This Row],[Current AQI]], tbl_AQI[Current AQI], 0)</f>
        <v>4247</v>
      </c>
    </row>
    <row r="440" spans="1:8" x14ac:dyDescent="0.35">
      <c r="A440" t="s">
        <v>252</v>
      </c>
      <c r="B440" t="s">
        <v>453</v>
      </c>
      <c r="C440">
        <v>58</v>
      </c>
      <c r="D440">
        <v>32</v>
      </c>
      <c r="E440" t="s">
        <v>11</v>
      </c>
      <c r="F440">
        <f>tbl_AQI[[#This Row],[Most AQI Reached]]-tbl_AQI[[#This Row],[Current AQI]]</f>
        <v>26</v>
      </c>
      <c r="G4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40">
        <f>RANK(tbl_AQI[[#This Row],[Current AQI]], tbl_AQI[Current AQI], 0)</f>
        <v>4983</v>
      </c>
    </row>
    <row r="441" spans="1:8" x14ac:dyDescent="0.35">
      <c r="A441" t="s">
        <v>252</v>
      </c>
      <c r="B441" t="s">
        <v>454</v>
      </c>
      <c r="C441">
        <v>257</v>
      </c>
      <c r="D441">
        <v>108</v>
      </c>
      <c r="E441" t="s">
        <v>11</v>
      </c>
      <c r="F441">
        <f>tbl_AQI[[#This Row],[Most AQI Reached]]-tbl_AQI[[#This Row],[Current AQI]]</f>
        <v>149</v>
      </c>
      <c r="G4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1">
        <f>RANK(tbl_AQI[[#This Row],[Current AQI]], tbl_AQI[Current AQI], 0)</f>
        <v>3362</v>
      </c>
    </row>
    <row r="442" spans="1:8" x14ac:dyDescent="0.35">
      <c r="A442" t="s">
        <v>252</v>
      </c>
      <c r="B442" t="s">
        <v>455</v>
      </c>
      <c r="C442">
        <v>247</v>
      </c>
      <c r="D442">
        <v>177</v>
      </c>
      <c r="E442" t="s">
        <v>21</v>
      </c>
      <c r="F442">
        <f>tbl_AQI[[#This Row],[Most AQI Reached]]-tbl_AQI[[#This Row],[Current AQI]]</f>
        <v>70</v>
      </c>
      <c r="G4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2">
        <f>RANK(tbl_AQI[[#This Row],[Current AQI]], tbl_AQI[Current AQI], 0)</f>
        <v>1733</v>
      </c>
    </row>
    <row r="443" spans="1:8" x14ac:dyDescent="0.35">
      <c r="A443" t="s">
        <v>252</v>
      </c>
      <c r="B443" t="s">
        <v>456</v>
      </c>
      <c r="C443">
        <v>261</v>
      </c>
      <c r="D443">
        <v>112</v>
      </c>
      <c r="E443" t="s">
        <v>9</v>
      </c>
      <c r="F443">
        <f>tbl_AQI[[#This Row],[Most AQI Reached]]-tbl_AQI[[#This Row],[Current AQI]]</f>
        <v>149</v>
      </c>
      <c r="G4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3">
        <f>RANK(tbl_AQI[[#This Row],[Current AQI]], tbl_AQI[Current AQI], 0)</f>
        <v>3267</v>
      </c>
    </row>
    <row r="444" spans="1:8" x14ac:dyDescent="0.35">
      <c r="A444" t="s">
        <v>252</v>
      </c>
      <c r="B444" t="s">
        <v>457</v>
      </c>
      <c r="C444">
        <v>227</v>
      </c>
      <c r="D444">
        <v>56</v>
      </c>
      <c r="E444" t="s">
        <v>21</v>
      </c>
      <c r="F444">
        <f>tbl_AQI[[#This Row],[Most AQI Reached]]-tbl_AQI[[#This Row],[Current AQI]]</f>
        <v>171</v>
      </c>
      <c r="G4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44">
        <f>RANK(tbl_AQI[[#This Row],[Current AQI]], tbl_AQI[Current AQI], 0)</f>
        <v>4474</v>
      </c>
    </row>
    <row r="445" spans="1:8" x14ac:dyDescent="0.35">
      <c r="A445" t="s">
        <v>252</v>
      </c>
      <c r="B445" t="s">
        <v>458</v>
      </c>
      <c r="C445">
        <v>141</v>
      </c>
      <c r="D445">
        <v>93</v>
      </c>
      <c r="E445" t="s">
        <v>9</v>
      </c>
      <c r="F445">
        <f>tbl_AQI[[#This Row],[Most AQI Reached]]-tbl_AQI[[#This Row],[Current AQI]]</f>
        <v>48</v>
      </c>
      <c r="G4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45">
        <f>RANK(tbl_AQI[[#This Row],[Current AQI]], tbl_AQI[Current AQI], 0)</f>
        <v>3678</v>
      </c>
    </row>
    <row r="446" spans="1:8" x14ac:dyDescent="0.35">
      <c r="A446" t="s">
        <v>252</v>
      </c>
      <c r="B446" t="s">
        <v>459</v>
      </c>
      <c r="C446">
        <v>62</v>
      </c>
      <c r="D446">
        <v>35</v>
      </c>
      <c r="E446" t="s">
        <v>9</v>
      </c>
      <c r="F446">
        <f>tbl_AQI[[#This Row],[Most AQI Reached]]-tbl_AQI[[#This Row],[Current AQI]]</f>
        <v>27</v>
      </c>
      <c r="G4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46">
        <f>RANK(tbl_AQI[[#This Row],[Current AQI]], tbl_AQI[Current AQI], 0)</f>
        <v>4916</v>
      </c>
    </row>
    <row r="447" spans="1:8" x14ac:dyDescent="0.35">
      <c r="A447" t="s">
        <v>252</v>
      </c>
      <c r="B447" t="s">
        <v>460</v>
      </c>
      <c r="C447">
        <v>165</v>
      </c>
      <c r="D447">
        <v>123</v>
      </c>
      <c r="E447" t="s">
        <v>21</v>
      </c>
      <c r="F447">
        <f>tbl_AQI[[#This Row],[Most AQI Reached]]-tbl_AQI[[#This Row],[Current AQI]]</f>
        <v>42</v>
      </c>
      <c r="G4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7">
        <f>RANK(tbl_AQI[[#This Row],[Current AQI]], tbl_AQI[Current AQI], 0)</f>
        <v>2983</v>
      </c>
    </row>
    <row r="448" spans="1:8" x14ac:dyDescent="0.35">
      <c r="A448" t="s">
        <v>252</v>
      </c>
      <c r="B448" t="s">
        <v>461</v>
      </c>
      <c r="C448">
        <v>164</v>
      </c>
      <c r="D448">
        <v>111</v>
      </c>
      <c r="E448" t="s">
        <v>7</v>
      </c>
      <c r="F448">
        <f>tbl_AQI[[#This Row],[Most AQI Reached]]-tbl_AQI[[#This Row],[Current AQI]]</f>
        <v>53</v>
      </c>
      <c r="G4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8">
        <f>RANK(tbl_AQI[[#This Row],[Current AQI]], tbl_AQI[Current AQI], 0)</f>
        <v>3285</v>
      </c>
    </row>
    <row r="449" spans="1:8" x14ac:dyDescent="0.35">
      <c r="A449" t="s">
        <v>252</v>
      </c>
      <c r="B449" t="s">
        <v>462</v>
      </c>
      <c r="C449">
        <v>288</v>
      </c>
      <c r="D449">
        <v>167</v>
      </c>
      <c r="E449" t="s">
        <v>33</v>
      </c>
      <c r="F449">
        <f>tbl_AQI[[#This Row],[Most AQI Reached]]-tbl_AQI[[#This Row],[Current AQI]]</f>
        <v>121</v>
      </c>
      <c r="G4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9">
        <f>RANK(tbl_AQI[[#This Row],[Current AQI]], tbl_AQI[Current AQI], 0)</f>
        <v>1979</v>
      </c>
    </row>
    <row r="450" spans="1:8" x14ac:dyDescent="0.35">
      <c r="A450" t="s">
        <v>252</v>
      </c>
      <c r="B450" t="s">
        <v>463</v>
      </c>
      <c r="C450">
        <v>271</v>
      </c>
      <c r="D450">
        <v>44</v>
      </c>
      <c r="E450" t="s">
        <v>15</v>
      </c>
      <c r="F450">
        <f>tbl_AQI[[#This Row],[Most AQI Reached]]-tbl_AQI[[#This Row],[Current AQI]]</f>
        <v>227</v>
      </c>
      <c r="G4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50">
        <f>RANK(tbl_AQI[[#This Row],[Current AQI]], tbl_AQI[Current AQI], 0)</f>
        <v>4732</v>
      </c>
    </row>
    <row r="451" spans="1:8" x14ac:dyDescent="0.35">
      <c r="A451" t="s">
        <v>252</v>
      </c>
      <c r="B451" t="s">
        <v>464</v>
      </c>
      <c r="C451">
        <v>232</v>
      </c>
      <c r="D451">
        <v>93</v>
      </c>
      <c r="E451" t="s">
        <v>33</v>
      </c>
      <c r="F451">
        <f>tbl_AQI[[#This Row],[Most AQI Reached]]-tbl_AQI[[#This Row],[Current AQI]]</f>
        <v>139</v>
      </c>
      <c r="G4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51">
        <f>RANK(tbl_AQI[[#This Row],[Current AQI]], tbl_AQI[Current AQI], 0)</f>
        <v>3678</v>
      </c>
    </row>
    <row r="452" spans="1:8" x14ac:dyDescent="0.35">
      <c r="A452" t="s">
        <v>252</v>
      </c>
      <c r="B452" t="s">
        <v>465</v>
      </c>
      <c r="C452">
        <v>165</v>
      </c>
      <c r="D452">
        <v>43</v>
      </c>
      <c r="E452" t="s">
        <v>15</v>
      </c>
      <c r="F452">
        <f>tbl_AQI[[#This Row],[Most AQI Reached]]-tbl_AQI[[#This Row],[Current AQI]]</f>
        <v>122</v>
      </c>
      <c r="G4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52">
        <f>RANK(tbl_AQI[[#This Row],[Current AQI]], tbl_AQI[Current AQI], 0)</f>
        <v>4752</v>
      </c>
    </row>
    <row r="453" spans="1:8" x14ac:dyDescent="0.35">
      <c r="A453" t="s">
        <v>252</v>
      </c>
      <c r="B453" t="s">
        <v>466</v>
      </c>
      <c r="C453">
        <v>123</v>
      </c>
      <c r="D453">
        <v>119</v>
      </c>
      <c r="E453" t="s">
        <v>9</v>
      </c>
      <c r="F453">
        <f>tbl_AQI[[#This Row],[Most AQI Reached]]-tbl_AQI[[#This Row],[Current AQI]]</f>
        <v>4</v>
      </c>
      <c r="G4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3">
        <f>RANK(tbl_AQI[[#This Row],[Current AQI]], tbl_AQI[Current AQI], 0)</f>
        <v>3093</v>
      </c>
    </row>
    <row r="454" spans="1:8" x14ac:dyDescent="0.35">
      <c r="A454" t="s">
        <v>252</v>
      </c>
      <c r="B454" t="s">
        <v>467</v>
      </c>
      <c r="C454">
        <v>233</v>
      </c>
      <c r="D454">
        <v>120</v>
      </c>
      <c r="E454" t="s">
        <v>33</v>
      </c>
      <c r="F454">
        <f>tbl_AQI[[#This Row],[Most AQI Reached]]-tbl_AQI[[#This Row],[Current AQI]]</f>
        <v>113</v>
      </c>
      <c r="G4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4">
        <f>RANK(tbl_AQI[[#This Row],[Current AQI]], tbl_AQI[Current AQI], 0)</f>
        <v>3066</v>
      </c>
    </row>
    <row r="455" spans="1:8" x14ac:dyDescent="0.35">
      <c r="A455" t="s">
        <v>252</v>
      </c>
      <c r="B455" t="s">
        <v>468</v>
      </c>
      <c r="C455">
        <v>260</v>
      </c>
      <c r="D455">
        <v>81</v>
      </c>
      <c r="E455" t="s">
        <v>33</v>
      </c>
      <c r="F455">
        <f>tbl_AQI[[#This Row],[Most AQI Reached]]-tbl_AQI[[#This Row],[Current AQI]]</f>
        <v>179</v>
      </c>
      <c r="G4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55">
        <f>RANK(tbl_AQI[[#This Row],[Current AQI]], tbl_AQI[Current AQI], 0)</f>
        <v>3923</v>
      </c>
    </row>
    <row r="456" spans="1:8" x14ac:dyDescent="0.35">
      <c r="A456" t="s">
        <v>252</v>
      </c>
      <c r="B456" t="s">
        <v>469</v>
      </c>
      <c r="C456">
        <v>259</v>
      </c>
      <c r="D456">
        <v>158</v>
      </c>
      <c r="E456" t="s">
        <v>9</v>
      </c>
      <c r="F456">
        <f>tbl_AQI[[#This Row],[Most AQI Reached]]-tbl_AQI[[#This Row],[Current AQI]]</f>
        <v>101</v>
      </c>
      <c r="G4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6">
        <f>RANK(tbl_AQI[[#This Row],[Current AQI]], tbl_AQI[Current AQI], 0)</f>
        <v>2207</v>
      </c>
    </row>
    <row r="457" spans="1:8" x14ac:dyDescent="0.35">
      <c r="A457" t="s">
        <v>252</v>
      </c>
      <c r="B457" t="s">
        <v>470</v>
      </c>
      <c r="C457">
        <v>250</v>
      </c>
      <c r="D457">
        <v>63</v>
      </c>
      <c r="E457" t="s">
        <v>17</v>
      </c>
      <c r="F457">
        <f>tbl_AQI[[#This Row],[Most AQI Reached]]-tbl_AQI[[#This Row],[Current AQI]]</f>
        <v>187</v>
      </c>
      <c r="G4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57">
        <f>RANK(tbl_AQI[[#This Row],[Current AQI]], tbl_AQI[Current AQI], 0)</f>
        <v>4322</v>
      </c>
    </row>
    <row r="458" spans="1:8" x14ac:dyDescent="0.35">
      <c r="A458" t="s">
        <v>252</v>
      </c>
      <c r="B458" t="s">
        <v>471</v>
      </c>
      <c r="C458">
        <v>135</v>
      </c>
      <c r="D458">
        <v>96</v>
      </c>
      <c r="E458" t="s">
        <v>15</v>
      </c>
      <c r="F458">
        <f>tbl_AQI[[#This Row],[Most AQI Reached]]-tbl_AQI[[#This Row],[Current AQI]]</f>
        <v>39</v>
      </c>
      <c r="G4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58">
        <f>RANK(tbl_AQI[[#This Row],[Current AQI]], tbl_AQI[Current AQI], 0)</f>
        <v>3616</v>
      </c>
    </row>
    <row r="459" spans="1:8" x14ac:dyDescent="0.35">
      <c r="A459" t="s">
        <v>252</v>
      </c>
      <c r="B459" t="s">
        <v>472</v>
      </c>
      <c r="C459">
        <v>306</v>
      </c>
      <c r="D459">
        <v>179</v>
      </c>
      <c r="E459" t="s">
        <v>9</v>
      </c>
      <c r="F459">
        <f>tbl_AQI[[#This Row],[Most AQI Reached]]-tbl_AQI[[#This Row],[Current AQI]]</f>
        <v>127</v>
      </c>
      <c r="G4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9">
        <f>RANK(tbl_AQI[[#This Row],[Current AQI]], tbl_AQI[Current AQI], 0)</f>
        <v>1667</v>
      </c>
    </row>
    <row r="460" spans="1:8" x14ac:dyDescent="0.35">
      <c r="A460" t="s">
        <v>252</v>
      </c>
      <c r="B460" t="s">
        <v>473</v>
      </c>
      <c r="C460">
        <v>297</v>
      </c>
      <c r="D460">
        <v>60</v>
      </c>
      <c r="E460" t="s">
        <v>33</v>
      </c>
      <c r="F460">
        <f>tbl_AQI[[#This Row],[Most AQI Reached]]-tbl_AQI[[#This Row],[Current AQI]]</f>
        <v>237</v>
      </c>
      <c r="G4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60">
        <f>RANK(tbl_AQI[[#This Row],[Current AQI]], tbl_AQI[Current AQI], 0)</f>
        <v>4390</v>
      </c>
    </row>
    <row r="461" spans="1:8" x14ac:dyDescent="0.35">
      <c r="A461" t="s">
        <v>252</v>
      </c>
      <c r="B461" t="s">
        <v>474</v>
      </c>
      <c r="C461">
        <v>177</v>
      </c>
      <c r="D461">
        <v>93</v>
      </c>
      <c r="E461" t="s">
        <v>15</v>
      </c>
      <c r="F461">
        <f>tbl_AQI[[#This Row],[Most AQI Reached]]-tbl_AQI[[#This Row],[Current AQI]]</f>
        <v>84</v>
      </c>
      <c r="G4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61">
        <f>RANK(tbl_AQI[[#This Row],[Current AQI]], tbl_AQI[Current AQI], 0)</f>
        <v>3678</v>
      </c>
    </row>
    <row r="462" spans="1:8" x14ac:dyDescent="0.35">
      <c r="A462" t="s">
        <v>252</v>
      </c>
      <c r="B462" t="s">
        <v>475</v>
      </c>
      <c r="C462">
        <v>275</v>
      </c>
      <c r="D462">
        <v>158</v>
      </c>
      <c r="E462" t="s">
        <v>9</v>
      </c>
      <c r="F462">
        <f>tbl_AQI[[#This Row],[Most AQI Reached]]-tbl_AQI[[#This Row],[Current AQI]]</f>
        <v>117</v>
      </c>
      <c r="G4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2">
        <f>RANK(tbl_AQI[[#This Row],[Current AQI]], tbl_AQI[Current AQI], 0)</f>
        <v>2207</v>
      </c>
    </row>
    <row r="463" spans="1:8" x14ac:dyDescent="0.35">
      <c r="A463" t="s">
        <v>252</v>
      </c>
      <c r="B463" t="s">
        <v>476</v>
      </c>
      <c r="C463">
        <v>257</v>
      </c>
      <c r="D463">
        <v>144</v>
      </c>
      <c r="E463" t="s">
        <v>11</v>
      </c>
      <c r="F463">
        <f>tbl_AQI[[#This Row],[Most AQI Reached]]-tbl_AQI[[#This Row],[Current AQI]]</f>
        <v>113</v>
      </c>
      <c r="G4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3">
        <f>RANK(tbl_AQI[[#This Row],[Current AQI]], tbl_AQI[Current AQI], 0)</f>
        <v>2550</v>
      </c>
    </row>
    <row r="464" spans="1:8" x14ac:dyDescent="0.35">
      <c r="A464" t="s">
        <v>252</v>
      </c>
      <c r="B464" t="s">
        <v>477</v>
      </c>
      <c r="C464">
        <v>221</v>
      </c>
      <c r="D464">
        <v>126</v>
      </c>
      <c r="E464" t="s">
        <v>15</v>
      </c>
      <c r="F464">
        <f>tbl_AQI[[#This Row],[Most AQI Reached]]-tbl_AQI[[#This Row],[Current AQI]]</f>
        <v>95</v>
      </c>
      <c r="G4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4">
        <f>RANK(tbl_AQI[[#This Row],[Current AQI]], tbl_AQI[Current AQI], 0)</f>
        <v>2934</v>
      </c>
    </row>
    <row r="465" spans="1:8" x14ac:dyDescent="0.35">
      <c r="A465" t="s">
        <v>252</v>
      </c>
      <c r="B465" t="s">
        <v>478</v>
      </c>
      <c r="C465">
        <v>188</v>
      </c>
      <c r="D465">
        <v>95</v>
      </c>
      <c r="E465" t="s">
        <v>7</v>
      </c>
      <c r="F465">
        <f>tbl_AQI[[#This Row],[Most AQI Reached]]-tbl_AQI[[#This Row],[Current AQI]]</f>
        <v>93</v>
      </c>
      <c r="G4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65">
        <f>RANK(tbl_AQI[[#This Row],[Current AQI]], tbl_AQI[Current AQI], 0)</f>
        <v>3634</v>
      </c>
    </row>
    <row r="466" spans="1:8" x14ac:dyDescent="0.35">
      <c r="A466" t="s">
        <v>252</v>
      </c>
      <c r="B466" t="s">
        <v>479</v>
      </c>
      <c r="C466">
        <v>100</v>
      </c>
      <c r="D466">
        <v>50</v>
      </c>
      <c r="E466" t="s">
        <v>9</v>
      </c>
      <c r="F466">
        <f>tbl_AQI[[#This Row],[Most AQI Reached]]-tbl_AQI[[#This Row],[Current AQI]]</f>
        <v>50</v>
      </c>
      <c r="G4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66">
        <f>RANK(tbl_AQI[[#This Row],[Current AQI]], tbl_AQI[Current AQI], 0)</f>
        <v>4596</v>
      </c>
    </row>
    <row r="467" spans="1:8" x14ac:dyDescent="0.35">
      <c r="A467" t="s">
        <v>252</v>
      </c>
      <c r="B467" t="s">
        <v>480</v>
      </c>
      <c r="C467">
        <v>300</v>
      </c>
      <c r="D467">
        <v>187</v>
      </c>
      <c r="E467" t="s">
        <v>21</v>
      </c>
      <c r="F467">
        <f>tbl_AQI[[#This Row],[Most AQI Reached]]-tbl_AQI[[#This Row],[Current AQI]]</f>
        <v>113</v>
      </c>
      <c r="G4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7">
        <f>RANK(tbl_AQI[[#This Row],[Current AQI]], tbl_AQI[Current AQI], 0)</f>
        <v>1455</v>
      </c>
    </row>
    <row r="468" spans="1:8" x14ac:dyDescent="0.35">
      <c r="A468" t="s">
        <v>252</v>
      </c>
      <c r="B468" t="s">
        <v>481</v>
      </c>
      <c r="C468">
        <v>277</v>
      </c>
      <c r="D468">
        <v>49</v>
      </c>
      <c r="E468" t="s">
        <v>21</v>
      </c>
      <c r="F468">
        <f>tbl_AQI[[#This Row],[Most AQI Reached]]-tbl_AQI[[#This Row],[Current AQI]]</f>
        <v>228</v>
      </c>
      <c r="G4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68">
        <f>RANK(tbl_AQI[[#This Row],[Current AQI]], tbl_AQI[Current AQI], 0)</f>
        <v>4614</v>
      </c>
    </row>
    <row r="469" spans="1:8" x14ac:dyDescent="0.35">
      <c r="A469" t="s">
        <v>252</v>
      </c>
      <c r="B469" t="s">
        <v>482</v>
      </c>
      <c r="C469">
        <v>271</v>
      </c>
      <c r="D469">
        <v>123</v>
      </c>
      <c r="E469" t="s">
        <v>15</v>
      </c>
      <c r="F469">
        <f>tbl_AQI[[#This Row],[Most AQI Reached]]-tbl_AQI[[#This Row],[Current AQI]]</f>
        <v>148</v>
      </c>
      <c r="G4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9">
        <f>RANK(tbl_AQI[[#This Row],[Current AQI]], tbl_AQI[Current AQI], 0)</f>
        <v>2983</v>
      </c>
    </row>
    <row r="470" spans="1:8" x14ac:dyDescent="0.35">
      <c r="A470" t="s">
        <v>252</v>
      </c>
      <c r="B470" t="s">
        <v>483</v>
      </c>
      <c r="C470">
        <v>275</v>
      </c>
      <c r="D470">
        <v>147</v>
      </c>
      <c r="E470" t="s">
        <v>33</v>
      </c>
      <c r="F470">
        <f>tbl_AQI[[#This Row],[Most AQI Reached]]-tbl_AQI[[#This Row],[Current AQI]]</f>
        <v>128</v>
      </c>
      <c r="G4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0">
        <f>RANK(tbl_AQI[[#This Row],[Current AQI]], tbl_AQI[Current AQI], 0)</f>
        <v>2478</v>
      </c>
    </row>
    <row r="471" spans="1:8" x14ac:dyDescent="0.35">
      <c r="A471" t="s">
        <v>484</v>
      </c>
      <c r="B471" t="s">
        <v>485</v>
      </c>
      <c r="C471">
        <v>389</v>
      </c>
      <c r="D471">
        <v>382</v>
      </c>
      <c r="E471" t="s">
        <v>9</v>
      </c>
      <c r="F471">
        <f>tbl_AQI[[#This Row],[Most AQI Reached]]-tbl_AQI[[#This Row],[Current AQI]]</f>
        <v>7</v>
      </c>
      <c r="G4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1">
        <f>RANK(tbl_AQI[[#This Row],[Current AQI]], tbl_AQI[Current AQI], 0)</f>
        <v>471</v>
      </c>
    </row>
    <row r="472" spans="1:8" x14ac:dyDescent="0.35">
      <c r="A472" t="s">
        <v>484</v>
      </c>
      <c r="B472" t="s">
        <v>486</v>
      </c>
      <c r="C472">
        <v>392</v>
      </c>
      <c r="D472">
        <v>247</v>
      </c>
      <c r="E472" t="s">
        <v>17</v>
      </c>
      <c r="F472">
        <f>tbl_AQI[[#This Row],[Most AQI Reached]]-tbl_AQI[[#This Row],[Current AQI]]</f>
        <v>145</v>
      </c>
      <c r="G4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2">
        <f>RANK(tbl_AQI[[#This Row],[Current AQI]], tbl_AQI[Current AQI], 0)</f>
        <v>1112</v>
      </c>
    </row>
    <row r="473" spans="1:8" x14ac:dyDescent="0.35">
      <c r="A473" t="s">
        <v>484</v>
      </c>
      <c r="B473" t="s">
        <v>487</v>
      </c>
      <c r="C473">
        <v>392</v>
      </c>
      <c r="D473">
        <v>387</v>
      </c>
      <c r="E473" t="s">
        <v>9</v>
      </c>
      <c r="F473">
        <f>tbl_AQI[[#This Row],[Most AQI Reached]]-tbl_AQI[[#This Row],[Current AQI]]</f>
        <v>5</v>
      </c>
      <c r="G4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3">
        <f>RANK(tbl_AQI[[#This Row],[Current AQI]], tbl_AQI[Current AQI], 0)</f>
        <v>451</v>
      </c>
    </row>
    <row r="474" spans="1:8" x14ac:dyDescent="0.35">
      <c r="A474" t="s">
        <v>484</v>
      </c>
      <c r="B474" t="s">
        <v>488</v>
      </c>
      <c r="C474">
        <v>422</v>
      </c>
      <c r="D474">
        <v>282</v>
      </c>
      <c r="E474" t="s">
        <v>15</v>
      </c>
      <c r="F474">
        <f>tbl_AQI[[#This Row],[Most AQI Reached]]-tbl_AQI[[#This Row],[Current AQI]]</f>
        <v>140</v>
      </c>
      <c r="G4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4">
        <f>RANK(tbl_AQI[[#This Row],[Current AQI]], tbl_AQI[Current AQI], 0)</f>
        <v>938</v>
      </c>
    </row>
    <row r="475" spans="1:8" x14ac:dyDescent="0.35">
      <c r="A475" t="s">
        <v>484</v>
      </c>
      <c r="B475" t="s">
        <v>489</v>
      </c>
      <c r="C475">
        <v>305</v>
      </c>
      <c r="D475">
        <v>278</v>
      </c>
      <c r="E475" t="s">
        <v>17</v>
      </c>
      <c r="F475">
        <f>tbl_AQI[[#This Row],[Most AQI Reached]]-tbl_AQI[[#This Row],[Current AQI]]</f>
        <v>27</v>
      </c>
      <c r="G4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5">
        <f>RANK(tbl_AQI[[#This Row],[Current AQI]], tbl_AQI[Current AQI], 0)</f>
        <v>964</v>
      </c>
    </row>
    <row r="476" spans="1:8" x14ac:dyDescent="0.35">
      <c r="A476" t="s">
        <v>484</v>
      </c>
      <c r="B476" t="s">
        <v>490</v>
      </c>
      <c r="C476">
        <v>400</v>
      </c>
      <c r="D476">
        <v>292</v>
      </c>
      <c r="E476" t="s">
        <v>7</v>
      </c>
      <c r="F476">
        <f>tbl_AQI[[#This Row],[Most AQI Reached]]-tbl_AQI[[#This Row],[Current AQI]]</f>
        <v>108</v>
      </c>
      <c r="G4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6">
        <f>RANK(tbl_AQI[[#This Row],[Current AQI]], tbl_AQI[Current AQI], 0)</f>
        <v>892</v>
      </c>
    </row>
    <row r="477" spans="1:8" x14ac:dyDescent="0.35">
      <c r="A477" t="s">
        <v>484</v>
      </c>
      <c r="B477" t="s">
        <v>491</v>
      </c>
      <c r="C477">
        <v>455</v>
      </c>
      <c r="D477">
        <v>312</v>
      </c>
      <c r="E477" t="s">
        <v>21</v>
      </c>
      <c r="F477">
        <f>tbl_AQI[[#This Row],[Most AQI Reached]]-tbl_AQI[[#This Row],[Current AQI]]</f>
        <v>143</v>
      </c>
      <c r="G4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7">
        <f>RANK(tbl_AQI[[#This Row],[Current AQI]], tbl_AQI[Current AQI], 0)</f>
        <v>812</v>
      </c>
    </row>
    <row r="478" spans="1:8" x14ac:dyDescent="0.35">
      <c r="A478" t="s">
        <v>484</v>
      </c>
      <c r="B478" t="s">
        <v>492</v>
      </c>
      <c r="C478">
        <v>374</v>
      </c>
      <c r="D478">
        <v>220</v>
      </c>
      <c r="E478" t="s">
        <v>9</v>
      </c>
      <c r="F478">
        <f>tbl_AQI[[#This Row],[Most AQI Reached]]-tbl_AQI[[#This Row],[Current AQI]]</f>
        <v>154</v>
      </c>
      <c r="G4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8">
        <f>RANK(tbl_AQI[[#This Row],[Current AQI]], tbl_AQI[Current AQI], 0)</f>
        <v>1227</v>
      </c>
    </row>
    <row r="479" spans="1:8" x14ac:dyDescent="0.35">
      <c r="A479" t="s">
        <v>484</v>
      </c>
      <c r="B479" t="s">
        <v>493</v>
      </c>
      <c r="C479">
        <v>475</v>
      </c>
      <c r="D479">
        <v>453</v>
      </c>
      <c r="E479" t="s">
        <v>21</v>
      </c>
      <c r="F479">
        <f>tbl_AQI[[#This Row],[Most AQI Reached]]-tbl_AQI[[#This Row],[Current AQI]]</f>
        <v>22</v>
      </c>
      <c r="G4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9">
        <f>RANK(tbl_AQI[[#This Row],[Current AQI]], tbl_AQI[Current AQI], 0)</f>
        <v>141</v>
      </c>
    </row>
    <row r="480" spans="1:8" x14ac:dyDescent="0.35">
      <c r="A480" t="s">
        <v>484</v>
      </c>
      <c r="B480" t="s">
        <v>494</v>
      </c>
      <c r="C480">
        <v>489</v>
      </c>
      <c r="D480">
        <v>440</v>
      </c>
      <c r="E480" t="s">
        <v>9</v>
      </c>
      <c r="F480">
        <f>tbl_AQI[[#This Row],[Most AQI Reached]]-tbl_AQI[[#This Row],[Current AQI]]</f>
        <v>49</v>
      </c>
      <c r="G4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80">
        <f>RANK(tbl_AQI[[#This Row],[Current AQI]], tbl_AQI[Current AQI], 0)</f>
        <v>208</v>
      </c>
    </row>
    <row r="481" spans="1:8" x14ac:dyDescent="0.35">
      <c r="A481" t="s">
        <v>484</v>
      </c>
      <c r="B481" t="s">
        <v>495</v>
      </c>
      <c r="C481">
        <v>373</v>
      </c>
      <c r="D481">
        <v>186</v>
      </c>
      <c r="E481" t="s">
        <v>17</v>
      </c>
      <c r="F481">
        <f>tbl_AQI[[#This Row],[Most AQI Reached]]-tbl_AQI[[#This Row],[Current AQI]]</f>
        <v>187</v>
      </c>
      <c r="G4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1">
        <f>RANK(tbl_AQI[[#This Row],[Current AQI]], tbl_AQI[Current AQI], 0)</f>
        <v>1478</v>
      </c>
    </row>
    <row r="482" spans="1:8" x14ac:dyDescent="0.35">
      <c r="A482" t="s">
        <v>484</v>
      </c>
      <c r="B482" t="s">
        <v>496</v>
      </c>
      <c r="C482">
        <v>370</v>
      </c>
      <c r="D482">
        <v>164</v>
      </c>
      <c r="E482" t="s">
        <v>17</v>
      </c>
      <c r="F482">
        <f>tbl_AQI[[#This Row],[Most AQI Reached]]-tbl_AQI[[#This Row],[Current AQI]]</f>
        <v>206</v>
      </c>
      <c r="G4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2">
        <f>RANK(tbl_AQI[[#This Row],[Current AQI]], tbl_AQI[Current AQI], 0)</f>
        <v>2049</v>
      </c>
    </row>
    <row r="483" spans="1:8" x14ac:dyDescent="0.35">
      <c r="A483" t="s">
        <v>484</v>
      </c>
      <c r="B483" t="s">
        <v>497</v>
      </c>
      <c r="C483">
        <v>437</v>
      </c>
      <c r="D483">
        <v>417</v>
      </c>
      <c r="E483" t="s">
        <v>21</v>
      </c>
      <c r="F483">
        <f>tbl_AQI[[#This Row],[Most AQI Reached]]-tbl_AQI[[#This Row],[Current AQI]]</f>
        <v>20</v>
      </c>
      <c r="G4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83">
        <f>RANK(tbl_AQI[[#This Row],[Current AQI]], tbl_AQI[Current AQI], 0)</f>
        <v>316</v>
      </c>
    </row>
    <row r="484" spans="1:8" x14ac:dyDescent="0.35">
      <c r="A484" t="s">
        <v>484</v>
      </c>
      <c r="B484" t="s">
        <v>498</v>
      </c>
      <c r="C484">
        <v>441</v>
      </c>
      <c r="D484">
        <v>223</v>
      </c>
      <c r="E484" t="s">
        <v>21</v>
      </c>
      <c r="F484">
        <f>tbl_AQI[[#This Row],[Most AQI Reached]]-tbl_AQI[[#This Row],[Current AQI]]</f>
        <v>218</v>
      </c>
      <c r="G4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4">
        <f>RANK(tbl_AQI[[#This Row],[Current AQI]], tbl_AQI[Current AQI], 0)</f>
        <v>1220</v>
      </c>
    </row>
    <row r="485" spans="1:8" x14ac:dyDescent="0.35">
      <c r="A485" t="s">
        <v>484</v>
      </c>
      <c r="B485" t="s">
        <v>499</v>
      </c>
      <c r="C485">
        <v>460</v>
      </c>
      <c r="D485">
        <v>320</v>
      </c>
      <c r="E485" t="s">
        <v>7</v>
      </c>
      <c r="F485">
        <f>tbl_AQI[[#This Row],[Most AQI Reached]]-tbl_AQI[[#This Row],[Current AQI]]</f>
        <v>140</v>
      </c>
      <c r="G4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85">
        <f>RANK(tbl_AQI[[#This Row],[Current AQI]], tbl_AQI[Current AQI], 0)</f>
        <v>778</v>
      </c>
    </row>
    <row r="486" spans="1:8" x14ac:dyDescent="0.35">
      <c r="A486" t="s">
        <v>484</v>
      </c>
      <c r="B486" t="s">
        <v>500</v>
      </c>
      <c r="C486">
        <v>315</v>
      </c>
      <c r="D486">
        <v>174</v>
      </c>
      <c r="E486" t="s">
        <v>33</v>
      </c>
      <c r="F486">
        <f>tbl_AQI[[#This Row],[Most AQI Reached]]-tbl_AQI[[#This Row],[Current AQI]]</f>
        <v>141</v>
      </c>
      <c r="G4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6">
        <f>RANK(tbl_AQI[[#This Row],[Current AQI]], tbl_AQI[Current AQI], 0)</f>
        <v>1803</v>
      </c>
    </row>
    <row r="487" spans="1:8" x14ac:dyDescent="0.35">
      <c r="A487" t="s">
        <v>484</v>
      </c>
      <c r="B487" t="s">
        <v>501</v>
      </c>
      <c r="C487">
        <v>489</v>
      </c>
      <c r="D487">
        <v>266</v>
      </c>
      <c r="E487" t="s">
        <v>21</v>
      </c>
      <c r="F487">
        <f>tbl_AQI[[#This Row],[Most AQI Reached]]-tbl_AQI[[#This Row],[Current AQI]]</f>
        <v>223</v>
      </c>
      <c r="G4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7">
        <f>RANK(tbl_AQI[[#This Row],[Current AQI]], tbl_AQI[Current AQI], 0)</f>
        <v>1018</v>
      </c>
    </row>
    <row r="488" spans="1:8" x14ac:dyDescent="0.35">
      <c r="A488" t="s">
        <v>484</v>
      </c>
      <c r="B488" t="s">
        <v>502</v>
      </c>
      <c r="C488">
        <v>404</v>
      </c>
      <c r="D488">
        <v>215</v>
      </c>
      <c r="E488" t="s">
        <v>15</v>
      </c>
      <c r="F488">
        <f>tbl_AQI[[#This Row],[Most AQI Reached]]-tbl_AQI[[#This Row],[Current AQI]]</f>
        <v>189</v>
      </c>
      <c r="G4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8">
        <f>RANK(tbl_AQI[[#This Row],[Current AQI]], tbl_AQI[Current AQI], 0)</f>
        <v>1251</v>
      </c>
    </row>
    <row r="489" spans="1:8" x14ac:dyDescent="0.35">
      <c r="A489" t="s">
        <v>484</v>
      </c>
      <c r="B489" t="s">
        <v>503</v>
      </c>
      <c r="C489">
        <v>408</v>
      </c>
      <c r="D489">
        <v>213</v>
      </c>
      <c r="E489" t="s">
        <v>17</v>
      </c>
      <c r="F489">
        <f>tbl_AQI[[#This Row],[Most AQI Reached]]-tbl_AQI[[#This Row],[Current AQI]]</f>
        <v>195</v>
      </c>
      <c r="G4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9">
        <f>RANK(tbl_AQI[[#This Row],[Current AQI]], tbl_AQI[Current AQI], 0)</f>
        <v>1260</v>
      </c>
    </row>
    <row r="490" spans="1:8" x14ac:dyDescent="0.35">
      <c r="A490" t="s">
        <v>484</v>
      </c>
      <c r="B490" t="s">
        <v>504</v>
      </c>
      <c r="C490">
        <v>498</v>
      </c>
      <c r="D490">
        <v>448</v>
      </c>
      <c r="E490" t="s">
        <v>7</v>
      </c>
      <c r="F490">
        <f>tbl_AQI[[#This Row],[Most AQI Reached]]-tbl_AQI[[#This Row],[Current AQI]]</f>
        <v>50</v>
      </c>
      <c r="G4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90">
        <f>RANK(tbl_AQI[[#This Row],[Current AQI]], tbl_AQI[Current AQI], 0)</f>
        <v>166</v>
      </c>
    </row>
    <row r="491" spans="1:8" x14ac:dyDescent="0.35">
      <c r="A491" t="s">
        <v>484</v>
      </c>
      <c r="B491" t="s">
        <v>505</v>
      </c>
      <c r="C491">
        <v>427</v>
      </c>
      <c r="D491">
        <v>377</v>
      </c>
      <c r="E491" t="s">
        <v>9</v>
      </c>
      <c r="F491">
        <f>tbl_AQI[[#This Row],[Most AQI Reached]]-tbl_AQI[[#This Row],[Current AQI]]</f>
        <v>50</v>
      </c>
      <c r="G4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91">
        <f>RANK(tbl_AQI[[#This Row],[Current AQI]], tbl_AQI[Current AQI], 0)</f>
        <v>500</v>
      </c>
    </row>
    <row r="492" spans="1:8" x14ac:dyDescent="0.35">
      <c r="A492" t="s">
        <v>484</v>
      </c>
      <c r="B492" t="s">
        <v>506</v>
      </c>
      <c r="C492">
        <v>452</v>
      </c>
      <c r="D492">
        <v>414</v>
      </c>
      <c r="E492" t="s">
        <v>21</v>
      </c>
      <c r="F492">
        <f>tbl_AQI[[#This Row],[Most AQI Reached]]-tbl_AQI[[#This Row],[Current AQI]]</f>
        <v>38</v>
      </c>
      <c r="G4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92">
        <f>RANK(tbl_AQI[[#This Row],[Current AQI]], tbl_AQI[Current AQI], 0)</f>
        <v>329</v>
      </c>
    </row>
    <row r="493" spans="1:8" x14ac:dyDescent="0.35">
      <c r="A493" t="s">
        <v>484</v>
      </c>
      <c r="B493" t="s">
        <v>507</v>
      </c>
      <c r="C493">
        <v>411</v>
      </c>
      <c r="D493">
        <v>399</v>
      </c>
      <c r="E493" t="s">
        <v>7</v>
      </c>
      <c r="F493">
        <f>tbl_AQI[[#This Row],[Most AQI Reached]]-tbl_AQI[[#This Row],[Current AQI]]</f>
        <v>12</v>
      </c>
      <c r="G4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93">
        <f>RANK(tbl_AQI[[#This Row],[Current AQI]], tbl_AQI[Current AQI], 0)</f>
        <v>399</v>
      </c>
    </row>
    <row r="494" spans="1:8" x14ac:dyDescent="0.35">
      <c r="A494" t="s">
        <v>484</v>
      </c>
      <c r="B494" t="s">
        <v>508</v>
      </c>
      <c r="C494">
        <v>488</v>
      </c>
      <c r="D494">
        <v>255</v>
      </c>
      <c r="E494" t="s">
        <v>9</v>
      </c>
      <c r="F494">
        <f>tbl_AQI[[#This Row],[Most AQI Reached]]-tbl_AQI[[#This Row],[Current AQI]]</f>
        <v>233</v>
      </c>
      <c r="G4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94">
        <f>RANK(tbl_AQI[[#This Row],[Current AQI]], tbl_AQI[Current AQI], 0)</f>
        <v>1070</v>
      </c>
    </row>
    <row r="495" spans="1:8" x14ac:dyDescent="0.35">
      <c r="A495" t="s">
        <v>484</v>
      </c>
      <c r="B495" t="s">
        <v>509</v>
      </c>
      <c r="C495">
        <v>477</v>
      </c>
      <c r="D495">
        <v>403</v>
      </c>
      <c r="E495" t="s">
        <v>9</v>
      </c>
      <c r="F495">
        <f>tbl_AQI[[#This Row],[Most AQI Reached]]-tbl_AQI[[#This Row],[Current AQI]]</f>
        <v>74</v>
      </c>
      <c r="G4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95">
        <f>RANK(tbl_AQI[[#This Row],[Current AQI]], tbl_AQI[Current AQI], 0)</f>
        <v>378</v>
      </c>
    </row>
    <row r="496" spans="1:8" x14ac:dyDescent="0.35">
      <c r="A496" t="s">
        <v>484</v>
      </c>
      <c r="B496" t="s">
        <v>510</v>
      </c>
      <c r="C496">
        <v>299</v>
      </c>
      <c r="D496">
        <v>279</v>
      </c>
      <c r="E496" t="s">
        <v>17</v>
      </c>
      <c r="F496">
        <f>tbl_AQI[[#This Row],[Most AQI Reached]]-tbl_AQI[[#This Row],[Current AQI]]</f>
        <v>20</v>
      </c>
      <c r="G4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96">
        <f>RANK(tbl_AQI[[#This Row],[Current AQI]], tbl_AQI[Current AQI], 0)</f>
        <v>957</v>
      </c>
    </row>
    <row r="497" spans="1:8" x14ac:dyDescent="0.35">
      <c r="A497" t="s">
        <v>484</v>
      </c>
      <c r="B497" t="s">
        <v>511</v>
      </c>
      <c r="C497">
        <v>166</v>
      </c>
      <c r="D497">
        <v>155</v>
      </c>
      <c r="E497" t="s">
        <v>33</v>
      </c>
      <c r="F497">
        <f>tbl_AQI[[#This Row],[Most AQI Reached]]-tbl_AQI[[#This Row],[Current AQI]]</f>
        <v>11</v>
      </c>
      <c r="G4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7">
        <f>RANK(tbl_AQI[[#This Row],[Current AQI]], tbl_AQI[Current AQI], 0)</f>
        <v>2275</v>
      </c>
    </row>
    <row r="498" spans="1:8" x14ac:dyDescent="0.35">
      <c r="A498" t="s">
        <v>484</v>
      </c>
      <c r="B498" t="s">
        <v>512</v>
      </c>
      <c r="C498">
        <v>373</v>
      </c>
      <c r="D498">
        <v>360</v>
      </c>
      <c r="E498" t="s">
        <v>9</v>
      </c>
      <c r="F498">
        <f>tbl_AQI[[#This Row],[Most AQI Reached]]-tbl_AQI[[#This Row],[Current AQI]]</f>
        <v>13</v>
      </c>
      <c r="G4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98">
        <f>RANK(tbl_AQI[[#This Row],[Current AQI]], tbl_AQI[Current AQI], 0)</f>
        <v>574</v>
      </c>
    </row>
    <row r="499" spans="1:8" x14ac:dyDescent="0.35">
      <c r="A499" t="s">
        <v>484</v>
      </c>
      <c r="B499" t="s">
        <v>513</v>
      </c>
      <c r="C499">
        <v>336</v>
      </c>
      <c r="D499">
        <v>229</v>
      </c>
      <c r="E499" t="s">
        <v>9</v>
      </c>
      <c r="F499">
        <f>tbl_AQI[[#This Row],[Most AQI Reached]]-tbl_AQI[[#This Row],[Current AQI]]</f>
        <v>107</v>
      </c>
      <c r="G4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99">
        <f>RANK(tbl_AQI[[#This Row],[Current AQI]], tbl_AQI[Current AQI], 0)</f>
        <v>1190</v>
      </c>
    </row>
    <row r="500" spans="1:8" x14ac:dyDescent="0.35">
      <c r="A500" t="s">
        <v>484</v>
      </c>
      <c r="B500" t="s">
        <v>514</v>
      </c>
      <c r="C500">
        <v>486</v>
      </c>
      <c r="D500">
        <v>268</v>
      </c>
      <c r="E500" t="s">
        <v>33</v>
      </c>
      <c r="F500">
        <f>tbl_AQI[[#This Row],[Most AQI Reached]]-tbl_AQI[[#This Row],[Current AQI]]</f>
        <v>218</v>
      </c>
      <c r="G5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00">
        <f>RANK(tbl_AQI[[#This Row],[Current AQI]], tbl_AQI[Current AQI], 0)</f>
        <v>1008</v>
      </c>
    </row>
    <row r="501" spans="1:8" x14ac:dyDescent="0.35">
      <c r="A501" t="s">
        <v>484</v>
      </c>
      <c r="B501" t="s">
        <v>515</v>
      </c>
      <c r="C501">
        <v>302</v>
      </c>
      <c r="D501">
        <v>299</v>
      </c>
      <c r="E501" t="s">
        <v>11</v>
      </c>
      <c r="F501">
        <f>tbl_AQI[[#This Row],[Most AQI Reached]]-tbl_AQI[[#This Row],[Current AQI]]</f>
        <v>3</v>
      </c>
      <c r="G5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01">
        <f>RANK(tbl_AQI[[#This Row],[Current AQI]], tbl_AQI[Current AQI], 0)</f>
        <v>860</v>
      </c>
    </row>
    <row r="502" spans="1:8" x14ac:dyDescent="0.35">
      <c r="A502" t="s">
        <v>484</v>
      </c>
      <c r="B502" t="s">
        <v>516</v>
      </c>
      <c r="C502">
        <v>459</v>
      </c>
      <c r="D502">
        <v>224</v>
      </c>
      <c r="E502" t="s">
        <v>33</v>
      </c>
      <c r="F502">
        <f>tbl_AQI[[#This Row],[Most AQI Reached]]-tbl_AQI[[#This Row],[Current AQI]]</f>
        <v>235</v>
      </c>
      <c r="G5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02">
        <f>RANK(tbl_AQI[[#This Row],[Current AQI]], tbl_AQI[Current AQI], 0)</f>
        <v>1211</v>
      </c>
    </row>
    <row r="503" spans="1:8" x14ac:dyDescent="0.35">
      <c r="A503" t="s">
        <v>484</v>
      </c>
      <c r="B503" t="s">
        <v>517</v>
      </c>
      <c r="C503">
        <v>452</v>
      </c>
      <c r="D503">
        <v>229</v>
      </c>
      <c r="E503" t="s">
        <v>21</v>
      </c>
      <c r="F503">
        <f>tbl_AQI[[#This Row],[Most AQI Reached]]-tbl_AQI[[#This Row],[Current AQI]]</f>
        <v>223</v>
      </c>
      <c r="G5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03">
        <f>RANK(tbl_AQI[[#This Row],[Current AQI]], tbl_AQI[Current AQI], 0)</f>
        <v>1190</v>
      </c>
    </row>
    <row r="504" spans="1:8" x14ac:dyDescent="0.35">
      <c r="A504" t="s">
        <v>484</v>
      </c>
      <c r="B504" t="s">
        <v>518</v>
      </c>
      <c r="C504">
        <v>260</v>
      </c>
      <c r="D504">
        <v>168</v>
      </c>
      <c r="E504" t="s">
        <v>15</v>
      </c>
      <c r="F504">
        <f>tbl_AQI[[#This Row],[Most AQI Reached]]-tbl_AQI[[#This Row],[Current AQI]]</f>
        <v>92</v>
      </c>
      <c r="G5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">
        <f>RANK(tbl_AQI[[#This Row],[Current AQI]], tbl_AQI[Current AQI], 0)</f>
        <v>1954</v>
      </c>
    </row>
    <row r="505" spans="1:8" x14ac:dyDescent="0.35">
      <c r="A505" t="s">
        <v>484</v>
      </c>
      <c r="B505" t="s">
        <v>519</v>
      </c>
      <c r="C505">
        <v>498</v>
      </c>
      <c r="D505">
        <v>436</v>
      </c>
      <c r="E505" t="s">
        <v>7</v>
      </c>
      <c r="F505">
        <f>tbl_AQI[[#This Row],[Most AQI Reached]]-tbl_AQI[[#This Row],[Current AQI]]</f>
        <v>62</v>
      </c>
      <c r="G5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05">
        <f>RANK(tbl_AQI[[#This Row],[Current AQI]], tbl_AQI[Current AQI], 0)</f>
        <v>230</v>
      </c>
    </row>
    <row r="506" spans="1:8" x14ac:dyDescent="0.35">
      <c r="A506" t="s">
        <v>484</v>
      </c>
      <c r="B506" t="s">
        <v>520</v>
      </c>
      <c r="C506">
        <v>343</v>
      </c>
      <c r="D506">
        <v>254</v>
      </c>
      <c r="E506" t="s">
        <v>15</v>
      </c>
      <c r="F506">
        <f>tbl_AQI[[#This Row],[Most AQI Reached]]-tbl_AQI[[#This Row],[Current AQI]]</f>
        <v>89</v>
      </c>
      <c r="G5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06">
        <f>RANK(tbl_AQI[[#This Row],[Current AQI]], tbl_AQI[Current AQI], 0)</f>
        <v>1073</v>
      </c>
    </row>
    <row r="507" spans="1:8" x14ac:dyDescent="0.35">
      <c r="A507" t="s">
        <v>484</v>
      </c>
      <c r="B507" t="s">
        <v>521</v>
      </c>
      <c r="C507">
        <v>438</v>
      </c>
      <c r="D507">
        <v>393</v>
      </c>
      <c r="E507" t="s">
        <v>21</v>
      </c>
      <c r="F507">
        <f>tbl_AQI[[#This Row],[Most AQI Reached]]-tbl_AQI[[#This Row],[Current AQI]]</f>
        <v>45</v>
      </c>
      <c r="G5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07">
        <f>RANK(tbl_AQI[[#This Row],[Current AQI]], tbl_AQI[Current AQI], 0)</f>
        <v>428</v>
      </c>
    </row>
    <row r="508" spans="1:8" x14ac:dyDescent="0.35">
      <c r="A508" t="s">
        <v>484</v>
      </c>
      <c r="B508" t="s">
        <v>522</v>
      </c>
      <c r="C508">
        <v>427</v>
      </c>
      <c r="D508">
        <v>287</v>
      </c>
      <c r="E508" t="s">
        <v>15</v>
      </c>
      <c r="F508">
        <f>tbl_AQI[[#This Row],[Most AQI Reached]]-tbl_AQI[[#This Row],[Current AQI]]</f>
        <v>140</v>
      </c>
      <c r="G5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08">
        <f>RANK(tbl_AQI[[#This Row],[Current AQI]], tbl_AQI[Current AQI], 0)</f>
        <v>920</v>
      </c>
    </row>
    <row r="509" spans="1:8" x14ac:dyDescent="0.35">
      <c r="A509" t="s">
        <v>484</v>
      </c>
      <c r="B509" t="s">
        <v>523</v>
      </c>
      <c r="C509">
        <v>446</v>
      </c>
      <c r="D509">
        <v>440</v>
      </c>
      <c r="E509" t="s">
        <v>7</v>
      </c>
      <c r="F509">
        <f>tbl_AQI[[#This Row],[Most AQI Reached]]-tbl_AQI[[#This Row],[Current AQI]]</f>
        <v>6</v>
      </c>
      <c r="G5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09">
        <f>RANK(tbl_AQI[[#This Row],[Current AQI]], tbl_AQI[Current AQI], 0)</f>
        <v>208</v>
      </c>
    </row>
    <row r="510" spans="1:8" x14ac:dyDescent="0.35">
      <c r="A510" t="s">
        <v>484</v>
      </c>
      <c r="B510" t="s">
        <v>524</v>
      </c>
      <c r="C510">
        <v>257</v>
      </c>
      <c r="D510">
        <v>219</v>
      </c>
      <c r="E510" t="s">
        <v>33</v>
      </c>
      <c r="F510">
        <f>tbl_AQI[[#This Row],[Most AQI Reached]]-tbl_AQI[[#This Row],[Current AQI]]</f>
        <v>38</v>
      </c>
      <c r="G5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10">
        <f>RANK(tbl_AQI[[#This Row],[Current AQI]], tbl_AQI[Current AQI], 0)</f>
        <v>1232</v>
      </c>
    </row>
    <row r="511" spans="1:8" x14ac:dyDescent="0.35">
      <c r="A511" t="s">
        <v>484</v>
      </c>
      <c r="B511" t="s">
        <v>525</v>
      </c>
      <c r="C511">
        <v>459</v>
      </c>
      <c r="D511">
        <v>390</v>
      </c>
      <c r="E511" t="s">
        <v>9</v>
      </c>
      <c r="F511">
        <f>tbl_AQI[[#This Row],[Most AQI Reached]]-tbl_AQI[[#This Row],[Current AQI]]</f>
        <v>69</v>
      </c>
      <c r="G5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11">
        <f>RANK(tbl_AQI[[#This Row],[Current AQI]], tbl_AQI[Current AQI], 0)</f>
        <v>441</v>
      </c>
    </row>
    <row r="512" spans="1:8" x14ac:dyDescent="0.35">
      <c r="A512" t="s">
        <v>484</v>
      </c>
      <c r="B512" t="s">
        <v>526</v>
      </c>
      <c r="C512">
        <v>439</v>
      </c>
      <c r="D512">
        <v>336</v>
      </c>
      <c r="E512" t="s">
        <v>15</v>
      </c>
      <c r="F512">
        <f>tbl_AQI[[#This Row],[Most AQI Reached]]-tbl_AQI[[#This Row],[Current AQI]]</f>
        <v>103</v>
      </c>
      <c r="G5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12">
        <f>RANK(tbl_AQI[[#This Row],[Current AQI]], tbl_AQI[Current AQI], 0)</f>
        <v>700</v>
      </c>
    </row>
    <row r="513" spans="1:8" x14ac:dyDescent="0.35">
      <c r="A513" t="s">
        <v>484</v>
      </c>
      <c r="B513" t="s">
        <v>527</v>
      </c>
      <c r="C513">
        <v>277</v>
      </c>
      <c r="D513">
        <v>192</v>
      </c>
      <c r="E513" t="s">
        <v>9</v>
      </c>
      <c r="F513">
        <f>tbl_AQI[[#This Row],[Most AQI Reached]]-tbl_AQI[[#This Row],[Current AQI]]</f>
        <v>85</v>
      </c>
      <c r="G5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13">
        <f>RANK(tbl_AQI[[#This Row],[Current AQI]], tbl_AQI[Current AQI], 0)</f>
        <v>1347</v>
      </c>
    </row>
    <row r="514" spans="1:8" x14ac:dyDescent="0.35">
      <c r="A514" t="s">
        <v>484</v>
      </c>
      <c r="B514" t="s">
        <v>528</v>
      </c>
      <c r="C514">
        <v>433</v>
      </c>
      <c r="D514">
        <v>421</v>
      </c>
      <c r="E514" t="s">
        <v>9</v>
      </c>
      <c r="F514">
        <f>tbl_AQI[[#This Row],[Most AQI Reached]]-tbl_AQI[[#This Row],[Current AQI]]</f>
        <v>12</v>
      </c>
      <c r="G5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14">
        <f>RANK(tbl_AQI[[#This Row],[Current AQI]], tbl_AQI[Current AQI], 0)</f>
        <v>301</v>
      </c>
    </row>
    <row r="515" spans="1:8" x14ac:dyDescent="0.35">
      <c r="A515" t="s">
        <v>484</v>
      </c>
      <c r="B515" t="s">
        <v>529</v>
      </c>
      <c r="C515">
        <v>462</v>
      </c>
      <c r="D515">
        <v>448</v>
      </c>
      <c r="E515" t="s">
        <v>9</v>
      </c>
      <c r="F515">
        <f>tbl_AQI[[#This Row],[Most AQI Reached]]-tbl_AQI[[#This Row],[Current AQI]]</f>
        <v>14</v>
      </c>
      <c r="G5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15">
        <f>RANK(tbl_AQI[[#This Row],[Current AQI]], tbl_AQI[Current AQI], 0)</f>
        <v>166</v>
      </c>
    </row>
    <row r="516" spans="1:8" x14ac:dyDescent="0.35">
      <c r="A516" t="s">
        <v>484</v>
      </c>
      <c r="B516" t="s">
        <v>530</v>
      </c>
      <c r="C516">
        <v>430</v>
      </c>
      <c r="D516">
        <v>349</v>
      </c>
      <c r="E516" t="s">
        <v>9</v>
      </c>
      <c r="F516">
        <f>tbl_AQI[[#This Row],[Most AQI Reached]]-tbl_AQI[[#This Row],[Current AQI]]</f>
        <v>81</v>
      </c>
      <c r="G5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16">
        <f>RANK(tbl_AQI[[#This Row],[Current AQI]], tbl_AQI[Current AQI], 0)</f>
        <v>631</v>
      </c>
    </row>
    <row r="517" spans="1:8" x14ac:dyDescent="0.35">
      <c r="A517" t="s">
        <v>484</v>
      </c>
      <c r="B517" t="s">
        <v>531</v>
      </c>
      <c r="C517">
        <v>289</v>
      </c>
      <c r="D517">
        <v>180</v>
      </c>
      <c r="E517" t="s">
        <v>15</v>
      </c>
      <c r="F517">
        <f>tbl_AQI[[#This Row],[Most AQI Reached]]-tbl_AQI[[#This Row],[Current AQI]]</f>
        <v>109</v>
      </c>
      <c r="G5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17">
        <f>RANK(tbl_AQI[[#This Row],[Current AQI]], tbl_AQI[Current AQI], 0)</f>
        <v>1635</v>
      </c>
    </row>
    <row r="518" spans="1:8" x14ac:dyDescent="0.35">
      <c r="A518" t="s">
        <v>484</v>
      </c>
      <c r="B518" t="s">
        <v>532</v>
      </c>
      <c r="C518">
        <v>393</v>
      </c>
      <c r="D518">
        <v>341</v>
      </c>
      <c r="E518" t="s">
        <v>7</v>
      </c>
      <c r="F518">
        <f>tbl_AQI[[#This Row],[Most AQI Reached]]-tbl_AQI[[#This Row],[Current AQI]]</f>
        <v>52</v>
      </c>
      <c r="G5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18">
        <f>RANK(tbl_AQI[[#This Row],[Current AQI]], tbl_AQI[Current AQI], 0)</f>
        <v>674</v>
      </c>
    </row>
    <row r="519" spans="1:8" x14ac:dyDescent="0.35">
      <c r="A519" t="s">
        <v>484</v>
      </c>
      <c r="B519" t="s">
        <v>533</v>
      </c>
      <c r="C519">
        <v>419</v>
      </c>
      <c r="D519">
        <v>412</v>
      </c>
      <c r="E519" t="s">
        <v>21</v>
      </c>
      <c r="F519">
        <f>tbl_AQI[[#This Row],[Most AQI Reached]]-tbl_AQI[[#This Row],[Current AQI]]</f>
        <v>7</v>
      </c>
      <c r="G5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19">
        <f>RANK(tbl_AQI[[#This Row],[Current AQI]], tbl_AQI[Current AQI], 0)</f>
        <v>336</v>
      </c>
    </row>
    <row r="520" spans="1:8" x14ac:dyDescent="0.35">
      <c r="A520" t="s">
        <v>484</v>
      </c>
      <c r="B520" t="s">
        <v>534</v>
      </c>
      <c r="C520">
        <v>318</v>
      </c>
      <c r="D520">
        <v>258</v>
      </c>
      <c r="E520" t="s">
        <v>21</v>
      </c>
      <c r="F520">
        <f>tbl_AQI[[#This Row],[Most AQI Reached]]-tbl_AQI[[#This Row],[Current AQI]]</f>
        <v>60</v>
      </c>
      <c r="G5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20">
        <f>RANK(tbl_AQI[[#This Row],[Current AQI]], tbl_AQI[Current AQI], 0)</f>
        <v>1052</v>
      </c>
    </row>
    <row r="521" spans="1:8" x14ac:dyDescent="0.35">
      <c r="A521" t="s">
        <v>484</v>
      </c>
      <c r="B521" t="s">
        <v>535</v>
      </c>
      <c r="C521">
        <v>389</v>
      </c>
      <c r="D521">
        <v>171</v>
      </c>
      <c r="E521" t="s">
        <v>17</v>
      </c>
      <c r="F521">
        <f>tbl_AQI[[#This Row],[Most AQI Reached]]-tbl_AQI[[#This Row],[Current AQI]]</f>
        <v>218</v>
      </c>
      <c r="G5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21">
        <f>RANK(tbl_AQI[[#This Row],[Current AQI]], tbl_AQI[Current AQI], 0)</f>
        <v>1866</v>
      </c>
    </row>
    <row r="522" spans="1:8" x14ac:dyDescent="0.35">
      <c r="A522" t="s">
        <v>484</v>
      </c>
      <c r="B522" t="s">
        <v>536</v>
      </c>
      <c r="C522">
        <v>434</v>
      </c>
      <c r="D522">
        <v>396</v>
      </c>
      <c r="E522" t="s">
        <v>21</v>
      </c>
      <c r="F522">
        <f>tbl_AQI[[#This Row],[Most AQI Reached]]-tbl_AQI[[#This Row],[Current AQI]]</f>
        <v>38</v>
      </c>
      <c r="G5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22">
        <f>RANK(tbl_AQI[[#This Row],[Current AQI]], tbl_AQI[Current AQI], 0)</f>
        <v>415</v>
      </c>
    </row>
    <row r="523" spans="1:8" x14ac:dyDescent="0.35">
      <c r="A523" t="s">
        <v>484</v>
      </c>
      <c r="B523" t="s">
        <v>537</v>
      </c>
      <c r="C523">
        <v>499</v>
      </c>
      <c r="D523">
        <v>248</v>
      </c>
      <c r="E523" t="s">
        <v>15</v>
      </c>
      <c r="F523">
        <f>tbl_AQI[[#This Row],[Most AQI Reached]]-tbl_AQI[[#This Row],[Current AQI]]</f>
        <v>251</v>
      </c>
      <c r="G5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23">
        <f>RANK(tbl_AQI[[#This Row],[Current AQI]], tbl_AQI[Current AQI], 0)</f>
        <v>1104</v>
      </c>
    </row>
    <row r="524" spans="1:8" x14ac:dyDescent="0.35">
      <c r="A524" t="s">
        <v>484</v>
      </c>
      <c r="B524" t="s">
        <v>538</v>
      </c>
      <c r="C524">
        <v>352</v>
      </c>
      <c r="D524">
        <v>251</v>
      </c>
      <c r="E524" t="s">
        <v>15</v>
      </c>
      <c r="F524">
        <f>tbl_AQI[[#This Row],[Most AQI Reached]]-tbl_AQI[[#This Row],[Current AQI]]</f>
        <v>101</v>
      </c>
      <c r="G5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24">
        <f>RANK(tbl_AQI[[#This Row],[Current AQI]], tbl_AQI[Current AQI], 0)</f>
        <v>1087</v>
      </c>
    </row>
    <row r="525" spans="1:8" x14ac:dyDescent="0.35">
      <c r="A525" t="s">
        <v>484</v>
      </c>
      <c r="B525" t="s">
        <v>539</v>
      </c>
      <c r="C525">
        <v>326</v>
      </c>
      <c r="D525">
        <v>160</v>
      </c>
      <c r="E525" t="s">
        <v>17</v>
      </c>
      <c r="F525">
        <f>tbl_AQI[[#This Row],[Most AQI Reached]]-tbl_AQI[[#This Row],[Current AQI]]</f>
        <v>166</v>
      </c>
      <c r="G5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25">
        <f>RANK(tbl_AQI[[#This Row],[Current AQI]], tbl_AQI[Current AQI], 0)</f>
        <v>2154</v>
      </c>
    </row>
    <row r="526" spans="1:8" x14ac:dyDescent="0.35">
      <c r="A526" t="s">
        <v>484</v>
      </c>
      <c r="B526" t="s">
        <v>540</v>
      </c>
      <c r="C526">
        <v>386</v>
      </c>
      <c r="D526">
        <v>153</v>
      </c>
      <c r="E526" t="s">
        <v>15</v>
      </c>
      <c r="F526">
        <f>tbl_AQI[[#This Row],[Most AQI Reached]]-tbl_AQI[[#This Row],[Current AQI]]</f>
        <v>233</v>
      </c>
      <c r="G5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26">
        <f>RANK(tbl_AQI[[#This Row],[Current AQI]], tbl_AQI[Current AQI], 0)</f>
        <v>2329</v>
      </c>
    </row>
    <row r="527" spans="1:8" x14ac:dyDescent="0.35">
      <c r="A527" t="s">
        <v>484</v>
      </c>
      <c r="B527" t="s">
        <v>541</v>
      </c>
      <c r="C527">
        <v>326</v>
      </c>
      <c r="D527">
        <v>300</v>
      </c>
      <c r="E527" t="s">
        <v>7</v>
      </c>
      <c r="F527">
        <f>tbl_AQI[[#This Row],[Most AQI Reached]]-tbl_AQI[[#This Row],[Current AQI]]</f>
        <v>26</v>
      </c>
      <c r="G5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27">
        <f>RANK(tbl_AQI[[#This Row],[Current AQI]], tbl_AQI[Current AQI], 0)</f>
        <v>851</v>
      </c>
    </row>
    <row r="528" spans="1:8" x14ac:dyDescent="0.35">
      <c r="A528" t="s">
        <v>484</v>
      </c>
      <c r="B528" t="s">
        <v>542</v>
      </c>
      <c r="C528">
        <v>494</v>
      </c>
      <c r="D528">
        <v>391</v>
      </c>
      <c r="E528" t="s">
        <v>7</v>
      </c>
      <c r="F528">
        <f>tbl_AQI[[#This Row],[Most AQI Reached]]-tbl_AQI[[#This Row],[Current AQI]]</f>
        <v>103</v>
      </c>
      <c r="G5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28">
        <f>RANK(tbl_AQI[[#This Row],[Current AQI]], tbl_AQI[Current AQI], 0)</f>
        <v>437</v>
      </c>
    </row>
    <row r="529" spans="1:8" x14ac:dyDescent="0.35">
      <c r="A529" t="s">
        <v>484</v>
      </c>
      <c r="B529" t="s">
        <v>543</v>
      </c>
      <c r="C529">
        <v>354</v>
      </c>
      <c r="D529">
        <v>184</v>
      </c>
      <c r="E529" t="s">
        <v>17</v>
      </c>
      <c r="F529">
        <f>tbl_AQI[[#This Row],[Most AQI Reached]]-tbl_AQI[[#This Row],[Current AQI]]</f>
        <v>170</v>
      </c>
      <c r="G5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29">
        <f>RANK(tbl_AQI[[#This Row],[Current AQI]], tbl_AQI[Current AQI], 0)</f>
        <v>1544</v>
      </c>
    </row>
    <row r="530" spans="1:8" x14ac:dyDescent="0.35">
      <c r="A530" t="s">
        <v>484</v>
      </c>
      <c r="B530" t="s">
        <v>544</v>
      </c>
      <c r="C530">
        <v>407</v>
      </c>
      <c r="D530">
        <v>327</v>
      </c>
      <c r="E530" t="s">
        <v>7</v>
      </c>
      <c r="F530">
        <f>tbl_AQI[[#This Row],[Most AQI Reached]]-tbl_AQI[[#This Row],[Current AQI]]</f>
        <v>80</v>
      </c>
      <c r="G5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30">
        <f>RANK(tbl_AQI[[#This Row],[Current AQI]], tbl_AQI[Current AQI], 0)</f>
        <v>744</v>
      </c>
    </row>
    <row r="531" spans="1:8" x14ac:dyDescent="0.35">
      <c r="A531" t="s">
        <v>484</v>
      </c>
      <c r="B531" t="s">
        <v>545</v>
      </c>
      <c r="C531">
        <v>295</v>
      </c>
      <c r="D531">
        <v>217</v>
      </c>
      <c r="E531" t="s">
        <v>15</v>
      </c>
      <c r="F531">
        <f>tbl_AQI[[#This Row],[Most AQI Reached]]-tbl_AQI[[#This Row],[Current AQI]]</f>
        <v>78</v>
      </c>
      <c r="G5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31">
        <f>RANK(tbl_AQI[[#This Row],[Current AQI]], tbl_AQI[Current AQI], 0)</f>
        <v>1242</v>
      </c>
    </row>
    <row r="532" spans="1:8" x14ac:dyDescent="0.35">
      <c r="A532" t="s">
        <v>484</v>
      </c>
      <c r="B532" t="s">
        <v>546</v>
      </c>
      <c r="C532">
        <v>351</v>
      </c>
      <c r="D532">
        <v>151</v>
      </c>
      <c r="E532" t="s">
        <v>11</v>
      </c>
      <c r="F532">
        <f>tbl_AQI[[#This Row],[Most AQI Reached]]-tbl_AQI[[#This Row],[Current AQI]]</f>
        <v>200</v>
      </c>
      <c r="G5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32">
        <f>RANK(tbl_AQI[[#This Row],[Current AQI]], tbl_AQI[Current AQI], 0)</f>
        <v>2376</v>
      </c>
    </row>
    <row r="533" spans="1:8" x14ac:dyDescent="0.35">
      <c r="A533" t="s">
        <v>484</v>
      </c>
      <c r="B533" t="s">
        <v>547</v>
      </c>
      <c r="C533">
        <v>476</v>
      </c>
      <c r="D533">
        <v>302</v>
      </c>
      <c r="E533" t="s">
        <v>11</v>
      </c>
      <c r="F533">
        <f>tbl_AQI[[#This Row],[Most AQI Reached]]-tbl_AQI[[#This Row],[Current AQI]]</f>
        <v>174</v>
      </c>
      <c r="G5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33">
        <f>RANK(tbl_AQI[[#This Row],[Current AQI]], tbl_AQI[Current AQI], 0)</f>
        <v>839</v>
      </c>
    </row>
    <row r="534" spans="1:8" x14ac:dyDescent="0.35">
      <c r="A534" t="s">
        <v>484</v>
      </c>
      <c r="B534" t="s">
        <v>548</v>
      </c>
      <c r="C534">
        <v>457</v>
      </c>
      <c r="D534">
        <v>443</v>
      </c>
      <c r="E534" t="s">
        <v>9</v>
      </c>
      <c r="F534">
        <f>tbl_AQI[[#This Row],[Most AQI Reached]]-tbl_AQI[[#This Row],[Current AQI]]</f>
        <v>14</v>
      </c>
      <c r="G5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34">
        <f>RANK(tbl_AQI[[#This Row],[Current AQI]], tbl_AQI[Current AQI], 0)</f>
        <v>188</v>
      </c>
    </row>
    <row r="535" spans="1:8" x14ac:dyDescent="0.35">
      <c r="A535" t="s">
        <v>484</v>
      </c>
      <c r="B535" t="s">
        <v>549</v>
      </c>
      <c r="C535">
        <v>483</v>
      </c>
      <c r="D535">
        <v>462</v>
      </c>
      <c r="E535" t="s">
        <v>9</v>
      </c>
      <c r="F535">
        <f>tbl_AQI[[#This Row],[Most AQI Reached]]-tbl_AQI[[#This Row],[Current AQI]]</f>
        <v>21</v>
      </c>
      <c r="G5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35">
        <f>RANK(tbl_AQI[[#This Row],[Current AQI]], tbl_AQI[Current AQI], 0)</f>
        <v>92</v>
      </c>
    </row>
    <row r="536" spans="1:8" x14ac:dyDescent="0.35">
      <c r="A536" t="s">
        <v>484</v>
      </c>
      <c r="B536" t="s">
        <v>550</v>
      </c>
      <c r="C536">
        <v>437</v>
      </c>
      <c r="D536">
        <v>395</v>
      </c>
      <c r="E536" t="s">
        <v>7</v>
      </c>
      <c r="F536">
        <f>tbl_AQI[[#This Row],[Most AQI Reached]]-tbl_AQI[[#This Row],[Current AQI]]</f>
        <v>42</v>
      </c>
      <c r="G5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36">
        <f>RANK(tbl_AQI[[#This Row],[Current AQI]], tbl_AQI[Current AQI], 0)</f>
        <v>420</v>
      </c>
    </row>
    <row r="537" spans="1:8" x14ac:dyDescent="0.35">
      <c r="A537" t="s">
        <v>484</v>
      </c>
      <c r="B537" t="s">
        <v>551</v>
      </c>
      <c r="C537">
        <v>354</v>
      </c>
      <c r="D537">
        <v>321</v>
      </c>
      <c r="E537" t="s">
        <v>9</v>
      </c>
      <c r="F537">
        <f>tbl_AQI[[#This Row],[Most AQI Reached]]-tbl_AQI[[#This Row],[Current AQI]]</f>
        <v>33</v>
      </c>
      <c r="G5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37">
        <f>RANK(tbl_AQI[[#This Row],[Current AQI]], tbl_AQI[Current AQI], 0)</f>
        <v>770</v>
      </c>
    </row>
    <row r="538" spans="1:8" x14ac:dyDescent="0.35">
      <c r="A538" t="s">
        <v>484</v>
      </c>
      <c r="B538" t="s">
        <v>552</v>
      </c>
      <c r="C538">
        <v>498</v>
      </c>
      <c r="D538">
        <v>152</v>
      </c>
      <c r="E538" t="s">
        <v>17</v>
      </c>
      <c r="F538">
        <f>tbl_AQI[[#This Row],[Most AQI Reached]]-tbl_AQI[[#This Row],[Current AQI]]</f>
        <v>346</v>
      </c>
      <c r="G5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38">
        <f>RANK(tbl_AQI[[#This Row],[Current AQI]], tbl_AQI[Current AQI], 0)</f>
        <v>2349</v>
      </c>
    </row>
    <row r="539" spans="1:8" x14ac:dyDescent="0.35">
      <c r="A539" t="s">
        <v>484</v>
      </c>
      <c r="B539" t="s">
        <v>553</v>
      </c>
      <c r="C539">
        <v>451</v>
      </c>
      <c r="D539">
        <v>297</v>
      </c>
      <c r="E539" t="s">
        <v>33</v>
      </c>
      <c r="F539">
        <f>tbl_AQI[[#This Row],[Most AQI Reached]]-tbl_AQI[[#This Row],[Current AQI]]</f>
        <v>154</v>
      </c>
      <c r="G5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39">
        <f>RANK(tbl_AQI[[#This Row],[Current AQI]], tbl_AQI[Current AQI], 0)</f>
        <v>868</v>
      </c>
    </row>
    <row r="540" spans="1:8" x14ac:dyDescent="0.35">
      <c r="A540" t="s">
        <v>484</v>
      </c>
      <c r="B540" t="s">
        <v>554</v>
      </c>
      <c r="C540">
        <v>493</v>
      </c>
      <c r="D540">
        <v>306</v>
      </c>
      <c r="E540" t="s">
        <v>9</v>
      </c>
      <c r="F540">
        <f>tbl_AQI[[#This Row],[Most AQI Reached]]-tbl_AQI[[#This Row],[Current AQI]]</f>
        <v>187</v>
      </c>
      <c r="G5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40">
        <f>RANK(tbl_AQI[[#This Row],[Current AQI]], tbl_AQI[Current AQI], 0)</f>
        <v>829</v>
      </c>
    </row>
    <row r="541" spans="1:8" x14ac:dyDescent="0.35">
      <c r="A541" t="s">
        <v>484</v>
      </c>
      <c r="B541" t="s">
        <v>555</v>
      </c>
      <c r="C541">
        <v>413</v>
      </c>
      <c r="D541">
        <v>330</v>
      </c>
      <c r="E541" t="s">
        <v>9</v>
      </c>
      <c r="F541">
        <f>tbl_AQI[[#This Row],[Most AQI Reached]]-tbl_AQI[[#This Row],[Current AQI]]</f>
        <v>83</v>
      </c>
      <c r="G5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41">
        <f>RANK(tbl_AQI[[#This Row],[Current AQI]], tbl_AQI[Current AQI], 0)</f>
        <v>734</v>
      </c>
    </row>
    <row r="542" spans="1:8" x14ac:dyDescent="0.35">
      <c r="A542" t="s">
        <v>484</v>
      </c>
      <c r="B542" t="s">
        <v>556</v>
      </c>
      <c r="C542">
        <v>460</v>
      </c>
      <c r="D542">
        <v>365</v>
      </c>
      <c r="E542" t="s">
        <v>7</v>
      </c>
      <c r="F542">
        <f>tbl_AQI[[#This Row],[Most AQI Reached]]-tbl_AQI[[#This Row],[Current AQI]]</f>
        <v>95</v>
      </c>
      <c r="G5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42">
        <f>RANK(tbl_AQI[[#This Row],[Current AQI]], tbl_AQI[Current AQI], 0)</f>
        <v>556</v>
      </c>
    </row>
    <row r="543" spans="1:8" x14ac:dyDescent="0.35">
      <c r="A543" t="s">
        <v>484</v>
      </c>
      <c r="B543" t="s">
        <v>557</v>
      </c>
      <c r="C543">
        <v>370</v>
      </c>
      <c r="D543">
        <v>281</v>
      </c>
      <c r="E543" t="s">
        <v>21</v>
      </c>
      <c r="F543">
        <f>tbl_AQI[[#This Row],[Most AQI Reached]]-tbl_AQI[[#This Row],[Current AQI]]</f>
        <v>89</v>
      </c>
      <c r="G5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43">
        <f>RANK(tbl_AQI[[#This Row],[Current AQI]], tbl_AQI[Current AQI], 0)</f>
        <v>946</v>
      </c>
    </row>
    <row r="544" spans="1:8" x14ac:dyDescent="0.35">
      <c r="A544" t="s">
        <v>484</v>
      </c>
      <c r="B544" t="s">
        <v>558</v>
      </c>
      <c r="C544">
        <v>245</v>
      </c>
      <c r="D544">
        <v>176</v>
      </c>
      <c r="E544" t="s">
        <v>15</v>
      </c>
      <c r="F544">
        <f>tbl_AQI[[#This Row],[Most AQI Reached]]-tbl_AQI[[#This Row],[Current AQI]]</f>
        <v>69</v>
      </c>
      <c r="G5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44">
        <f>RANK(tbl_AQI[[#This Row],[Current AQI]], tbl_AQI[Current AQI], 0)</f>
        <v>1754</v>
      </c>
    </row>
    <row r="545" spans="1:8" x14ac:dyDescent="0.35">
      <c r="A545" t="s">
        <v>484</v>
      </c>
      <c r="B545" t="s">
        <v>559</v>
      </c>
      <c r="C545">
        <v>206</v>
      </c>
      <c r="D545">
        <v>194</v>
      </c>
      <c r="E545" t="s">
        <v>15</v>
      </c>
      <c r="F545">
        <f>tbl_AQI[[#This Row],[Most AQI Reached]]-tbl_AQI[[#This Row],[Current AQI]]</f>
        <v>12</v>
      </c>
      <c r="G5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45">
        <f>RANK(tbl_AQI[[#This Row],[Current AQI]], tbl_AQI[Current AQI], 0)</f>
        <v>1334</v>
      </c>
    </row>
    <row r="546" spans="1:8" x14ac:dyDescent="0.35">
      <c r="A546" t="s">
        <v>484</v>
      </c>
      <c r="B546" t="s">
        <v>560</v>
      </c>
      <c r="C546">
        <v>426</v>
      </c>
      <c r="D546">
        <v>387</v>
      </c>
      <c r="E546" t="s">
        <v>21</v>
      </c>
      <c r="F546">
        <f>tbl_AQI[[#This Row],[Most AQI Reached]]-tbl_AQI[[#This Row],[Current AQI]]</f>
        <v>39</v>
      </c>
      <c r="G5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46">
        <f>RANK(tbl_AQI[[#This Row],[Current AQI]], tbl_AQI[Current AQI], 0)</f>
        <v>451</v>
      </c>
    </row>
    <row r="547" spans="1:8" x14ac:dyDescent="0.35">
      <c r="A547" t="s">
        <v>484</v>
      </c>
      <c r="B547" t="s">
        <v>561</v>
      </c>
      <c r="C547">
        <v>405</v>
      </c>
      <c r="D547">
        <v>224</v>
      </c>
      <c r="E547" t="s">
        <v>21</v>
      </c>
      <c r="F547">
        <f>tbl_AQI[[#This Row],[Most AQI Reached]]-tbl_AQI[[#This Row],[Current AQI]]</f>
        <v>181</v>
      </c>
      <c r="G5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47">
        <f>RANK(tbl_AQI[[#This Row],[Current AQI]], tbl_AQI[Current AQI], 0)</f>
        <v>1211</v>
      </c>
    </row>
    <row r="548" spans="1:8" x14ac:dyDescent="0.35">
      <c r="A548" t="s">
        <v>484</v>
      </c>
      <c r="B548" t="s">
        <v>562</v>
      </c>
      <c r="C548">
        <v>349</v>
      </c>
      <c r="D548">
        <v>194</v>
      </c>
      <c r="E548" t="s">
        <v>33</v>
      </c>
      <c r="F548">
        <f>tbl_AQI[[#This Row],[Most AQI Reached]]-tbl_AQI[[#This Row],[Current AQI]]</f>
        <v>155</v>
      </c>
      <c r="G5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48">
        <f>RANK(tbl_AQI[[#This Row],[Current AQI]], tbl_AQI[Current AQI], 0)</f>
        <v>1334</v>
      </c>
    </row>
    <row r="549" spans="1:8" x14ac:dyDescent="0.35">
      <c r="A549" t="s">
        <v>484</v>
      </c>
      <c r="B549" t="s">
        <v>563</v>
      </c>
      <c r="C549">
        <v>402</v>
      </c>
      <c r="D549">
        <v>198</v>
      </c>
      <c r="E549" t="s">
        <v>7</v>
      </c>
      <c r="F549">
        <f>tbl_AQI[[#This Row],[Most AQI Reached]]-tbl_AQI[[#This Row],[Current AQI]]</f>
        <v>204</v>
      </c>
      <c r="G5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49">
        <f>RANK(tbl_AQI[[#This Row],[Current AQI]], tbl_AQI[Current AQI], 0)</f>
        <v>1319</v>
      </c>
    </row>
    <row r="550" spans="1:8" x14ac:dyDescent="0.35">
      <c r="A550" t="s">
        <v>484</v>
      </c>
      <c r="B550" t="s">
        <v>564</v>
      </c>
      <c r="C550">
        <v>395</v>
      </c>
      <c r="D550">
        <v>281</v>
      </c>
      <c r="E550" t="s">
        <v>17</v>
      </c>
      <c r="F550">
        <f>tbl_AQI[[#This Row],[Most AQI Reached]]-tbl_AQI[[#This Row],[Current AQI]]</f>
        <v>114</v>
      </c>
      <c r="G5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50">
        <f>RANK(tbl_AQI[[#This Row],[Current AQI]], tbl_AQI[Current AQI], 0)</f>
        <v>946</v>
      </c>
    </row>
    <row r="551" spans="1:8" x14ac:dyDescent="0.35">
      <c r="A551" t="s">
        <v>484</v>
      </c>
      <c r="B551" t="s">
        <v>565</v>
      </c>
      <c r="C551">
        <v>400</v>
      </c>
      <c r="D551">
        <v>302</v>
      </c>
      <c r="E551" t="s">
        <v>11</v>
      </c>
      <c r="F551">
        <f>tbl_AQI[[#This Row],[Most AQI Reached]]-tbl_AQI[[#This Row],[Current AQI]]</f>
        <v>98</v>
      </c>
      <c r="G5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51">
        <f>RANK(tbl_AQI[[#This Row],[Current AQI]], tbl_AQI[Current AQI], 0)</f>
        <v>839</v>
      </c>
    </row>
    <row r="552" spans="1:8" x14ac:dyDescent="0.35">
      <c r="A552" t="s">
        <v>484</v>
      </c>
      <c r="B552" t="s">
        <v>566</v>
      </c>
      <c r="C552">
        <v>448</v>
      </c>
      <c r="D552">
        <v>398</v>
      </c>
      <c r="E552" t="s">
        <v>21</v>
      </c>
      <c r="F552">
        <f>tbl_AQI[[#This Row],[Most AQI Reached]]-tbl_AQI[[#This Row],[Current AQI]]</f>
        <v>50</v>
      </c>
      <c r="G5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52">
        <f>RANK(tbl_AQI[[#This Row],[Current AQI]], tbl_AQI[Current AQI], 0)</f>
        <v>404</v>
      </c>
    </row>
    <row r="553" spans="1:8" x14ac:dyDescent="0.35">
      <c r="A553" t="s">
        <v>484</v>
      </c>
      <c r="B553" t="s">
        <v>567</v>
      </c>
      <c r="C553">
        <v>472</v>
      </c>
      <c r="D553">
        <v>461</v>
      </c>
      <c r="E553" t="s">
        <v>21</v>
      </c>
      <c r="F553">
        <f>tbl_AQI[[#This Row],[Most AQI Reached]]-tbl_AQI[[#This Row],[Current AQI]]</f>
        <v>11</v>
      </c>
      <c r="G5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53">
        <f>RANK(tbl_AQI[[#This Row],[Current AQI]], tbl_AQI[Current AQI], 0)</f>
        <v>102</v>
      </c>
    </row>
    <row r="554" spans="1:8" x14ac:dyDescent="0.35">
      <c r="A554" t="s">
        <v>484</v>
      </c>
      <c r="B554" t="s">
        <v>568</v>
      </c>
      <c r="C554">
        <v>267</v>
      </c>
      <c r="D554">
        <v>229</v>
      </c>
      <c r="E554" t="s">
        <v>15</v>
      </c>
      <c r="F554">
        <f>tbl_AQI[[#This Row],[Most AQI Reached]]-tbl_AQI[[#This Row],[Current AQI]]</f>
        <v>38</v>
      </c>
      <c r="G5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54">
        <f>RANK(tbl_AQI[[#This Row],[Current AQI]], tbl_AQI[Current AQI], 0)</f>
        <v>1190</v>
      </c>
    </row>
    <row r="555" spans="1:8" x14ac:dyDescent="0.35">
      <c r="A555" t="s">
        <v>484</v>
      </c>
      <c r="B555" t="s">
        <v>569</v>
      </c>
      <c r="C555">
        <v>318</v>
      </c>
      <c r="D555">
        <v>192</v>
      </c>
      <c r="E555" t="s">
        <v>15</v>
      </c>
      <c r="F555">
        <f>tbl_AQI[[#This Row],[Most AQI Reached]]-tbl_AQI[[#This Row],[Current AQI]]</f>
        <v>126</v>
      </c>
      <c r="G5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55">
        <f>RANK(tbl_AQI[[#This Row],[Current AQI]], tbl_AQI[Current AQI], 0)</f>
        <v>1347</v>
      </c>
    </row>
    <row r="556" spans="1:8" x14ac:dyDescent="0.35">
      <c r="A556" t="s">
        <v>484</v>
      </c>
      <c r="B556" t="s">
        <v>570</v>
      </c>
      <c r="C556">
        <v>448</v>
      </c>
      <c r="D556">
        <v>436</v>
      </c>
      <c r="E556" t="s">
        <v>9</v>
      </c>
      <c r="F556">
        <f>tbl_AQI[[#This Row],[Most AQI Reached]]-tbl_AQI[[#This Row],[Current AQI]]</f>
        <v>12</v>
      </c>
      <c r="G5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56">
        <f>RANK(tbl_AQI[[#This Row],[Current AQI]], tbl_AQI[Current AQI], 0)</f>
        <v>230</v>
      </c>
    </row>
    <row r="557" spans="1:8" x14ac:dyDescent="0.35">
      <c r="A557" t="s">
        <v>484</v>
      </c>
      <c r="B557" t="s">
        <v>571</v>
      </c>
      <c r="C557">
        <v>166</v>
      </c>
      <c r="D557">
        <v>159</v>
      </c>
      <c r="E557" t="s">
        <v>33</v>
      </c>
      <c r="F557">
        <f>tbl_AQI[[#This Row],[Most AQI Reached]]-tbl_AQI[[#This Row],[Current AQI]]</f>
        <v>7</v>
      </c>
      <c r="G5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57">
        <f>RANK(tbl_AQI[[#This Row],[Current AQI]], tbl_AQI[Current AQI], 0)</f>
        <v>2183</v>
      </c>
    </row>
    <row r="558" spans="1:8" x14ac:dyDescent="0.35">
      <c r="A558" t="s">
        <v>484</v>
      </c>
      <c r="B558" t="s">
        <v>572</v>
      </c>
      <c r="C558">
        <v>477</v>
      </c>
      <c r="D558">
        <v>370</v>
      </c>
      <c r="E558" t="s">
        <v>9</v>
      </c>
      <c r="F558">
        <f>tbl_AQI[[#This Row],[Most AQI Reached]]-tbl_AQI[[#This Row],[Current AQI]]</f>
        <v>107</v>
      </c>
      <c r="G5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58">
        <f>RANK(tbl_AQI[[#This Row],[Current AQI]], tbl_AQI[Current AQI], 0)</f>
        <v>538</v>
      </c>
    </row>
    <row r="559" spans="1:8" x14ac:dyDescent="0.35">
      <c r="A559" t="s">
        <v>484</v>
      </c>
      <c r="B559" t="s">
        <v>573</v>
      </c>
      <c r="C559">
        <v>464</v>
      </c>
      <c r="D559">
        <v>288</v>
      </c>
      <c r="E559" t="s">
        <v>17</v>
      </c>
      <c r="F559">
        <f>tbl_AQI[[#This Row],[Most AQI Reached]]-tbl_AQI[[#This Row],[Current AQI]]</f>
        <v>176</v>
      </c>
      <c r="G5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59">
        <f>RANK(tbl_AQI[[#This Row],[Current AQI]], tbl_AQI[Current AQI], 0)</f>
        <v>916</v>
      </c>
    </row>
    <row r="560" spans="1:8" x14ac:dyDescent="0.35">
      <c r="A560" t="s">
        <v>484</v>
      </c>
      <c r="B560" t="s">
        <v>574</v>
      </c>
      <c r="C560">
        <v>229</v>
      </c>
      <c r="D560">
        <v>182</v>
      </c>
      <c r="E560" t="s">
        <v>15</v>
      </c>
      <c r="F560">
        <f>tbl_AQI[[#This Row],[Most AQI Reached]]-tbl_AQI[[#This Row],[Current AQI]]</f>
        <v>47</v>
      </c>
      <c r="G5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60">
        <f>RANK(tbl_AQI[[#This Row],[Current AQI]], tbl_AQI[Current AQI], 0)</f>
        <v>1593</v>
      </c>
    </row>
    <row r="561" spans="1:8" x14ac:dyDescent="0.35">
      <c r="A561" t="s">
        <v>484</v>
      </c>
      <c r="B561" t="s">
        <v>575</v>
      </c>
      <c r="C561">
        <v>476</v>
      </c>
      <c r="D561">
        <v>385</v>
      </c>
      <c r="E561" t="s">
        <v>7</v>
      </c>
      <c r="F561">
        <f>tbl_AQI[[#This Row],[Most AQI Reached]]-tbl_AQI[[#This Row],[Current AQI]]</f>
        <v>91</v>
      </c>
      <c r="G5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61">
        <f>RANK(tbl_AQI[[#This Row],[Current AQI]], tbl_AQI[Current AQI], 0)</f>
        <v>459</v>
      </c>
    </row>
    <row r="562" spans="1:8" x14ac:dyDescent="0.35">
      <c r="A562" t="s">
        <v>484</v>
      </c>
      <c r="B562" t="s">
        <v>576</v>
      </c>
      <c r="C562">
        <v>463</v>
      </c>
      <c r="D562">
        <v>404</v>
      </c>
      <c r="E562" t="s">
        <v>9</v>
      </c>
      <c r="F562">
        <f>tbl_AQI[[#This Row],[Most AQI Reached]]-tbl_AQI[[#This Row],[Current AQI]]</f>
        <v>59</v>
      </c>
      <c r="G5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62">
        <f>RANK(tbl_AQI[[#This Row],[Current AQI]], tbl_AQI[Current AQI], 0)</f>
        <v>374</v>
      </c>
    </row>
    <row r="563" spans="1:8" x14ac:dyDescent="0.35">
      <c r="A563" t="s">
        <v>484</v>
      </c>
      <c r="B563" t="s">
        <v>577</v>
      </c>
      <c r="C563">
        <v>388</v>
      </c>
      <c r="D563">
        <v>371</v>
      </c>
      <c r="E563" t="s">
        <v>7</v>
      </c>
      <c r="F563">
        <f>tbl_AQI[[#This Row],[Most AQI Reached]]-tbl_AQI[[#This Row],[Current AQI]]</f>
        <v>17</v>
      </c>
      <c r="G5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63">
        <f>RANK(tbl_AQI[[#This Row],[Current AQI]], tbl_AQI[Current AQI], 0)</f>
        <v>533</v>
      </c>
    </row>
    <row r="564" spans="1:8" x14ac:dyDescent="0.35">
      <c r="A564" t="s">
        <v>484</v>
      </c>
      <c r="B564" t="s">
        <v>578</v>
      </c>
      <c r="C564">
        <v>232</v>
      </c>
      <c r="D564">
        <v>190</v>
      </c>
      <c r="E564" t="s">
        <v>17</v>
      </c>
      <c r="F564">
        <f>tbl_AQI[[#This Row],[Most AQI Reached]]-tbl_AQI[[#This Row],[Current AQI]]</f>
        <v>42</v>
      </c>
      <c r="G5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64">
        <f>RANK(tbl_AQI[[#This Row],[Current AQI]], tbl_AQI[Current AQI], 0)</f>
        <v>1355</v>
      </c>
    </row>
    <row r="565" spans="1:8" x14ac:dyDescent="0.35">
      <c r="A565" t="s">
        <v>484</v>
      </c>
      <c r="B565" t="s">
        <v>579</v>
      </c>
      <c r="C565">
        <v>320</v>
      </c>
      <c r="D565">
        <v>288</v>
      </c>
      <c r="E565" t="s">
        <v>9</v>
      </c>
      <c r="F565">
        <f>tbl_AQI[[#This Row],[Most AQI Reached]]-tbl_AQI[[#This Row],[Current AQI]]</f>
        <v>32</v>
      </c>
      <c r="G5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65">
        <f>RANK(tbl_AQI[[#This Row],[Current AQI]], tbl_AQI[Current AQI], 0)</f>
        <v>916</v>
      </c>
    </row>
    <row r="566" spans="1:8" x14ac:dyDescent="0.35">
      <c r="A566" t="s">
        <v>484</v>
      </c>
      <c r="B566" t="s">
        <v>580</v>
      </c>
      <c r="C566">
        <v>423</v>
      </c>
      <c r="D566">
        <v>304</v>
      </c>
      <c r="E566" t="s">
        <v>11</v>
      </c>
      <c r="F566">
        <f>tbl_AQI[[#This Row],[Most AQI Reached]]-tbl_AQI[[#This Row],[Current AQI]]</f>
        <v>119</v>
      </c>
      <c r="G5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66">
        <f>RANK(tbl_AQI[[#This Row],[Current AQI]], tbl_AQI[Current AQI], 0)</f>
        <v>835</v>
      </c>
    </row>
    <row r="567" spans="1:8" x14ac:dyDescent="0.35">
      <c r="A567" t="s">
        <v>484</v>
      </c>
      <c r="B567" t="s">
        <v>581</v>
      </c>
      <c r="C567">
        <v>465</v>
      </c>
      <c r="D567">
        <v>454</v>
      </c>
      <c r="E567" t="s">
        <v>9</v>
      </c>
      <c r="F567">
        <f>tbl_AQI[[#This Row],[Most AQI Reached]]-tbl_AQI[[#This Row],[Current AQI]]</f>
        <v>11</v>
      </c>
      <c r="G5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67">
        <f>RANK(tbl_AQI[[#This Row],[Current AQI]], tbl_AQI[Current AQI], 0)</f>
        <v>131</v>
      </c>
    </row>
    <row r="568" spans="1:8" x14ac:dyDescent="0.35">
      <c r="A568" t="s">
        <v>484</v>
      </c>
      <c r="B568" t="s">
        <v>582</v>
      </c>
      <c r="C568">
        <v>483</v>
      </c>
      <c r="D568">
        <v>463</v>
      </c>
      <c r="E568" t="s">
        <v>7</v>
      </c>
      <c r="F568">
        <f>tbl_AQI[[#This Row],[Most AQI Reached]]-tbl_AQI[[#This Row],[Current AQI]]</f>
        <v>20</v>
      </c>
      <c r="G5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68">
        <f>RANK(tbl_AQI[[#This Row],[Current AQI]], tbl_AQI[Current AQI], 0)</f>
        <v>90</v>
      </c>
    </row>
    <row r="569" spans="1:8" x14ac:dyDescent="0.35">
      <c r="A569" t="s">
        <v>484</v>
      </c>
      <c r="B569" t="s">
        <v>583</v>
      </c>
      <c r="C569">
        <v>451</v>
      </c>
      <c r="D569">
        <v>178</v>
      </c>
      <c r="E569" t="s">
        <v>21</v>
      </c>
      <c r="F569">
        <f>tbl_AQI[[#This Row],[Most AQI Reached]]-tbl_AQI[[#This Row],[Current AQI]]</f>
        <v>273</v>
      </c>
      <c r="G5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69">
        <f>RANK(tbl_AQI[[#This Row],[Current AQI]], tbl_AQI[Current AQI], 0)</f>
        <v>1702</v>
      </c>
    </row>
    <row r="570" spans="1:8" x14ac:dyDescent="0.35">
      <c r="A570" t="s">
        <v>484</v>
      </c>
      <c r="B570" t="s">
        <v>584</v>
      </c>
      <c r="C570">
        <v>490</v>
      </c>
      <c r="D570">
        <v>359</v>
      </c>
      <c r="E570" t="s">
        <v>21</v>
      </c>
      <c r="F570">
        <f>tbl_AQI[[#This Row],[Most AQI Reached]]-tbl_AQI[[#This Row],[Current AQI]]</f>
        <v>131</v>
      </c>
      <c r="G5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70">
        <f>RANK(tbl_AQI[[#This Row],[Current AQI]], tbl_AQI[Current AQI], 0)</f>
        <v>582</v>
      </c>
    </row>
    <row r="571" spans="1:8" x14ac:dyDescent="0.35">
      <c r="A571" t="s">
        <v>484</v>
      </c>
      <c r="B571" t="s">
        <v>585</v>
      </c>
      <c r="C571">
        <v>210</v>
      </c>
      <c r="D571">
        <v>174</v>
      </c>
      <c r="E571" t="s">
        <v>21</v>
      </c>
      <c r="F571">
        <f>tbl_AQI[[#This Row],[Most AQI Reached]]-tbl_AQI[[#This Row],[Current AQI]]</f>
        <v>36</v>
      </c>
      <c r="G5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71">
        <f>RANK(tbl_AQI[[#This Row],[Current AQI]], tbl_AQI[Current AQI], 0)</f>
        <v>1803</v>
      </c>
    </row>
    <row r="572" spans="1:8" x14ac:dyDescent="0.35">
      <c r="A572" t="s">
        <v>484</v>
      </c>
      <c r="B572" t="s">
        <v>586</v>
      </c>
      <c r="C572">
        <v>262</v>
      </c>
      <c r="D572">
        <v>208</v>
      </c>
      <c r="E572" t="s">
        <v>11</v>
      </c>
      <c r="F572">
        <f>tbl_AQI[[#This Row],[Most AQI Reached]]-tbl_AQI[[#This Row],[Current AQI]]</f>
        <v>54</v>
      </c>
      <c r="G5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72">
        <f>RANK(tbl_AQI[[#This Row],[Current AQI]], tbl_AQI[Current AQI], 0)</f>
        <v>1282</v>
      </c>
    </row>
    <row r="573" spans="1:8" x14ac:dyDescent="0.35">
      <c r="A573" t="s">
        <v>484</v>
      </c>
      <c r="B573" t="s">
        <v>587</v>
      </c>
      <c r="C573">
        <v>486</v>
      </c>
      <c r="D573">
        <v>229</v>
      </c>
      <c r="E573" t="s">
        <v>15</v>
      </c>
      <c r="F573">
        <f>tbl_AQI[[#This Row],[Most AQI Reached]]-tbl_AQI[[#This Row],[Current AQI]]</f>
        <v>257</v>
      </c>
      <c r="G5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73">
        <f>RANK(tbl_AQI[[#This Row],[Current AQI]], tbl_AQI[Current AQI], 0)</f>
        <v>1190</v>
      </c>
    </row>
    <row r="574" spans="1:8" x14ac:dyDescent="0.35">
      <c r="A574" t="s">
        <v>484</v>
      </c>
      <c r="B574" t="s">
        <v>588</v>
      </c>
      <c r="C574">
        <v>326</v>
      </c>
      <c r="D574">
        <v>163</v>
      </c>
      <c r="E574" t="s">
        <v>17</v>
      </c>
      <c r="F574">
        <f>tbl_AQI[[#This Row],[Most AQI Reached]]-tbl_AQI[[#This Row],[Current AQI]]</f>
        <v>163</v>
      </c>
      <c r="G5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74">
        <f>RANK(tbl_AQI[[#This Row],[Current AQI]], tbl_AQI[Current AQI], 0)</f>
        <v>2075</v>
      </c>
    </row>
    <row r="575" spans="1:8" x14ac:dyDescent="0.35">
      <c r="A575" t="s">
        <v>484</v>
      </c>
      <c r="B575" t="s">
        <v>589</v>
      </c>
      <c r="C575">
        <v>498</v>
      </c>
      <c r="D575">
        <v>475</v>
      </c>
      <c r="E575" t="s">
        <v>9</v>
      </c>
      <c r="F575">
        <f>tbl_AQI[[#This Row],[Most AQI Reached]]-tbl_AQI[[#This Row],[Current AQI]]</f>
        <v>23</v>
      </c>
      <c r="G5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75">
        <f>RANK(tbl_AQI[[#This Row],[Current AQI]], tbl_AQI[Current AQI], 0)</f>
        <v>22</v>
      </c>
    </row>
    <row r="576" spans="1:8" x14ac:dyDescent="0.35">
      <c r="A576" t="s">
        <v>484</v>
      </c>
      <c r="B576" t="s">
        <v>590</v>
      </c>
      <c r="C576">
        <v>437</v>
      </c>
      <c r="D576">
        <v>159</v>
      </c>
      <c r="E576" t="s">
        <v>21</v>
      </c>
      <c r="F576">
        <f>tbl_AQI[[#This Row],[Most AQI Reached]]-tbl_AQI[[#This Row],[Current AQI]]</f>
        <v>278</v>
      </c>
      <c r="G5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76">
        <f>RANK(tbl_AQI[[#This Row],[Current AQI]], tbl_AQI[Current AQI], 0)</f>
        <v>2183</v>
      </c>
    </row>
    <row r="577" spans="1:8" x14ac:dyDescent="0.35">
      <c r="A577" t="s">
        <v>484</v>
      </c>
      <c r="B577" t="s">
        <v>591</v>
      </c>
      <c r="C577">
        <v>472</v>
      </c>
      <c r="D577">
        <v>443</v>
      </c>
      <c r="E577" t="s">
        <v>9</v>
      </c>
      <c r="F577">
        <f>tbl_AQI[[#This Row],[Most AQI Reached]]-tbl_AQI[[#This Row],[Current AQI]]</f>
        <v>29</v>
      </c>
      <c r="G5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77">
        <f>RANK(tbl_AQI[[#This Row],[Current AQI]], tbl_AQI[Current AQI], 0)</f>
        <v>188</v>
      </c>
    </row>
    <row r="578" spans="1:8" x14ac:dyDescent="0.35">
      <c r="A578" t="s">
        <v>484</v>
      </c>
      <c r="B578" t="s">
        <v>592</v>
      </c>
      <c r="C578">
        <v>236</v>
      </c>
      <c r="D578">
        <v>156</v>
      </c>
      <c r="E578" t="s">
        <v>7</v>
      </c>
      <c r="F578">
        <f>tbl_AQI[[#This Row],[Most AQI Reached]]-tbl_AQI[[#This Row],[Current AQI]]</f>
        <v>80</v>
      </c>
      <c r="G5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78">
        <f>RANK(tbl_AQI[[#This Row],[Current AQI]], tbl_AQI[Current AQI], 0)</f>
        <v>2251</v>
      </c>
    </row>
    <row r="579" spans="1:8" x14ac:dyDescent="0.35">
      <c r="A579" t="s">
        <v>484</v>
      </c>
      <c r="B579" t="s">
        <v>593</v>
      </c>
      <c r="C579">
        <v>221</v>
      </c>
      <c r="D579">
        <v>216</v>
      </c>
      <c r="E579" t="s">
        <v>33</v>
      </c>
      <c r="F579">
        <f>tbl_AQI[[#This Row],[Most AQI Reached]]-tbl_AQI[[#This Row],[Current AQI]]</f>
        <v>5</v>
      </c>
      <c r="G5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79">
        <f>RANK(tbl_AQI[[#This Row],[Current AQI]], tbl_AQI[Current AQI], 0)</f>
        <v>1246</v>
      </c>
    </row>
    <row r="580" spans="1:8" x14ac:dyDescent="0.35">
      <c r="A580" t="s">
        <v>484</v>
      </c>
      <c r="B580" t="s">
        <v>594</v>
      </c>
      <c r="C580">
        <v>267</v>
      </c>
      <c r="D580">
        <v>208</v>
      </c>
      <c r="E580" t="s">
        <v>11</v>
      </c>
      <c r="F580">
        <f>tbl_AQI[[#This Row],[Most AQI Reached]]-tbl_AQI[[#This Row],[Current AQI]]</f>
        <v>59</v>
      </c>
      <c r="G5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80">
        <f>RANK(tbl_AQI[[#This Row],[Current AQI]], tbl_AQI[Current AQI], 0)</f>
        <v>1282</v>
      </c>
    </row>
    <row r="581" spans="1:8" x14ac:dyDescent="0.35">
      <c r="A581" t="s">
        <v>484</v>
      </c>
      <c r="B581" t="s">
        <v>595</v>
      </c>
      <c r="C581">
        <v>439</v>
      </c>
      <c r="D581">
        <v>219</v>
      </c>
      <c r="E581" t="s">
        <v>33</v>
      </c>
      <c r="F581">
        <f>tbl_AQI[[#This Row],[Most AQI Reached]]-tbl_AQI[[#This Row],[Current AQI]]</f>
        <v>220</v>
      </c>
      <c r="G5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81">
        <f>RANK(tbl_AQI[[#This Row],[Current AQI]], tbl_AQI[Current AQI], 0)</f>
        <v>1232</v>
      </c>
    </row>
    <row r="582" spans="1:8" x14ac:dyDescent="0.35">
      <c r="A582" t="s">
        <v>484</v>
      </c>
      <c r="B582" t="s">
        <v>596</v>
      </c>
      <c r="C582">
        <v>409</v>
      </c>
      <c r="D582">
        <v>249</v>
      </c>
      <c r="E582" t="s">
        <v>17</v>
      </c>
      <c r="F582">
        <f>tbl_AQI[[#This Row],[Most AQI Reached]]-tbl_AQI[[#This Row],[Current AQI]]</f>
        <v>160</v>
      </c>
      <c r="G5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82">
        <f>RANK(tbl_AQI[[#This Row],[Current AQI]], tbl_AQI[Current AQI], 0)</f>
        <v>1096</v>
      </c>
    </row>
    <row r="583" spans="1:8" x14ac:dyDescent="0.35">
      <c r="A583" t="s">
        <v>484</v>
      </c>
      <c r="B583" t="s">
        <v>597</v>
      </c>
      <c r="C583">
        <v>377</v>
      </c>
      <c r="D583">
        <v>342</v>
      </c>
      <c r="E583" t="s">
        <v>7</v>
      </c>
      <c r="F583">
        <f>tbl_AQI[[#This Row],[Most AQI Reached]]-tbl_AQI[[#This Row],[Current AQI]]</f>
        <v>35</v>
      </c>
      <c r="G5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83">
        <f>RANK(tbl_AQI[[#This Row],[Current AQI]], tbl_AQI[Current AQI], 0)</f>
        <v>670</v>
      </c>
    </row>
    <row r="584" spans="1:8" x14ac:dyDescent="0.35">
      <c r="A584" t="s">
        <v>484</v>
      </c>
      <c r="B584" t="s">
        <v>598</v>
      </c>
      <c r="C584">
        <v>447</v>
      </c>
      <c r="D584">
        <v>320</v>
      </c>
      <c r="E584" t="s">
        <v>33</v>
      </c>
      <c r="F584">
        <f>tbl_AQI[[#This Row],[Most AQI Reached]]-tbl_AQI[[#This Row],[Current AQI]]</f>
        <v>127</v>
      </c>
      <c r="G5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84">
        <f>RANK(tbl_AQI[[#This Row],[Current AQI]], tbl_AQI[Current AQI], 0)</f>
        <v>778</v>
      </c>
    </row>
    <row r="585" spans="1:8" x14ac:dyDescent="0.35">
      <c r="A585" t="s">
        <v>484</v>
      </c>
      <c r="B585" t="s">
        <v>599</v>
      </c>
      <c r="C585">
        <v>318</v>
      </c>
      <c r="D585">
        <v>289</v>
      </c>
      <c r="E585" t="s">
        <v>15</v>
      </c>
      <c r="F585">
        <f>tbl_AQI[[#This Row],[Most AQI Reached]]-tbl_AQI[[#This Row],[Current AQI]]</f>
        <v>29</v>
      </c>
      <c r="G5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85">
        <f>RANK(tbl_AQI[[#This Row],[Current AQI]], tbl_AQI[Current AQI], 0)</f>
        <v>910</v>
      </c>
    </row>
    <row r="586" spans="1:8" x14ac:dyDescent="0.35">
      <c r="A586" t="s">
        <v>484</v>
      </c>
      <c r="B586" t="s">
        <v>600</v>
      </c>
      <c r="C586">
        <v>236</v>
      </c>
      <c r="D586">
        <v>201</v>
      </c>
      <c r="E586" t="s">
        <v>9</v>
      </c>
      <c r="F586">
        <f>tbl_AQI[[#This Row],[Most AQI Reached]]-tbl_AQI[[#This Row],[Current AQI]]</f>
        <v>35</v>
      </c>
      <c r="G5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86">
        <f>RANK(tbl_AQI[[#This Row],[Current AQI]], tbl_AQI[Current AQI], 0)</f>
        <v>1305</v>
      </c>
    </row>
    <row r="587" spans="1:8" x14ac:dyDescent="0.35">
      <c r="A587" t="s">
        <v>484</v>
      </c>
      <c r="B587" t="s">
        <v>601</v>
      </c>
      <c r="C587">
        <v>295</v>
      </c>
      <c r="D587">
        <v>176</v>
      </c>
      <c r="E587" t="s">
        <v>17</v>
      </c>
      <c r="F587">
        <f>tbl_AQI[[#This Row],[Most AQI Reached]]-tbl_AQI[[#This Row],[Current AQI]]</f>
        <v>119</v>
      </c>
      <c r="G5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87">
        <f>RANK(tbl_AQI[[#This Row],[Current AQI]], tbl_AQI[Current AQI], 0)</f>
        <v>1754</v>
      </c>
    </row>
    <row r="588" spans="1:8" x14ac:dyDescent="0.35">
      <c r="A588" t="s">
        <v>484</v>
      </c>
      <c r="B588" t="s">
        <v>602</v>
      </c>
      <c r="C588">
        <v>443</v>
      </c>
      <c r="D588">
        <v>410</v>
      </c>
      <c r="E588" t="s">
        <v>21</v>
      </c>
      <c r="F588">
        <f>tbl_AQI[[#This Row],[Most AQI Reached]]-tbl_AQI[[#This Row],[Current AQI]]</f>
        <v>33</v>
      </c>
      <c r="G5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88">
        <f>RANK(tbl_AQI[[#This Row],[Current AQI]], tbl_AQI[Current AQI], 0)</f>
        <v>341</v>
      </c>
    </row>
    <row r="589" spans="1:8" x14ac:dyDescent="0.35">
      <c r="A589" t="s">
        <v>484</v>
      </c>
      <c r="B589" t="s">
        <v>603</v>
      </c>
      <c r="C589">
        <v>466</v>
      </c>
      <c r="D589">
        <v>439</v>
      </c>
      <c r="E589" t="s">
        <v>9</v>
      </c>
      <c r="F589">
        <f>tbl_AQI[[#This Row],[Most AQI Reached]]-tbl_AQI[[#This Row],[Current AQI]]</f>
        <v>27</v>
      </c>
      <c r="G5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89">
        <f>RANK(tbl_AQI[[#This Row],[Current AQI]], tbl_AQI[Current AQI], 0)</f>
        <v>215</v>
      </c>
    </row>
    <row r="590" spans="1:8" x14ac:dyDescent="0.35">
      <c r="A590" t="s">
        <v>484</v>
      </c>
      <c r="B590" t="s">
        <v>604</v>
      </c>
      <c r="C590">
        <v>432</v>
      </c>
      <c r="D590">
        <v>422</v>
      </c>
      <c r="E590" t="s">
        <v>7</v>
      </c>
      <c r="F590">
        <f>tbl_AQI[[#This Row],[Most AQI Reached]]-tbl_AQI[[#This Row],[Current AQI]]</f>
        <v>10</v>
      </c>
      <c r="G5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90">
        <f>RANK(tbl_AQI[[#This Row],[Current AQI]], tbl_AQI[Current AQI], 0)</f>
        <v>299</v>
      </c>
    </row>
    <row r="591" spans="1:8" x14ac:dyDescent="0.35">
      <c r="A591" t="s">
        <v>484</v>
      </c>
      <c r="B591" t="s">
        <v>605</v>
      </c>
      <c r="C591">
        <v>500</v>
      </c>
      <c r="D591">
        <v>446</v>
      </c>
      <c r="E591" t="s">
        <v>7</v>
      </c>
      <c r="F591">
        <f>tbl_AQI[[#This Row],[Most AQI Reached]]-tbl_AQI[[#This Row],[Current AQI]]</f>
        <v>54</v>
      </c>
      <c r="G5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91">
        <f>RANK(tbl_AQI[[#This Row],[Current AQI]], tbl_AQI[Current AQI], 0)</f>
        <v>180</v>
      </c>
    </row>
    <row r="592" spans="1:8" x14ac:dyDescent="0.35">
      <c r="A592" t="s">
        <v>484</v>
      </c>
      <c r="B592" t="s">
        <v>606</v>
      </c>
      <c r="C592">
        <v>465</v>
      </c>
      <c r="D592">
        <v>333</v>
      </c>
      <c r="E592" t="s">
        <v>15</v>
      </c>
      <c r="F592">
        <f>tbl_AQI[[#This Row],[Most AQI Reached]]-tbl_AQI[[#This Row],[Current AQI]]</f>
        <v>132</v>
      </c>
      <c r="G5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92">
        <f>RANK(tbl_AQI[[#This Row],[Current AQI]], tbl_AQI[Current AQI], 0)</f>
        <v>721</v>
      </c>
    </row>
    <row r="593" spans="1:8" x14ac:dyDescent="0.35">
      <c r="A593" t="s">
        <v>484</v>
      </c>
      <c r="B593" t="s">
        <v>607</v>
      </c>
      <c r="C593">
        <v>485</v>
      </c>
      <c r="D593">
        <v>377</v>
      </c>
      <c r="E593" t="s">
        <v>9</v>
      </c>
      <c r="F593">
        <f>tbl_AQI[[#This Row],[Most AQI Reached]]-tbl_AQI[[#This Row],[Current AQI]]</f>
        <v>108</v>
      </c>
      <c r="G5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93">
        <f>RANK(tbl_AQI[[#This Row],[Current AQI]], tbl_AQI[Current AQI], 0)</f>
        <v>500</v>
      </c>
    </row>
    <row r="594" spans="1:8" x14ac:dyDescent="0.35">
      <c r="A594" t="s">
        <v>484</v>
      </c>
      <c r="B594" t="s">
        <v>608</v>
      </c>
      <c r="C594">
        <v>462</v>
      </c>
      <c r="D594">
        <v>425</v>
      </c>
      <c r="E594" t="s">
        <v>7</v>
      </c>
      <c r="F594">
        <f>tbl_AQI[[#This Row],[Most AQI Reached]]-tbl_AQI[[#This Row],[Current AQI]]</f>
        <v>37</v>
      </c>
      <c r="G5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94">
        <f>RANK(tbl_AQI[[#This Row],[Current AQI]], tbl_AQI[Current AQI], 0)</f>
        <v>292</v>
      </c>
    </row>
    <row r="595" spans="1:8" x14ac:dyDescent="0.35">
      <c r="A595" t="s">
        <v>484</v>
      </c>
      <c r="B595" t="s">
        <v>609</v>
      </c>
      <c r="C595">
        <v>396</v>
      </c>
      <c r="D595">
        <v>169</v>
      </c>
      <c r="E595" t="s">
        <v>9</v>
      </c>
      <c r="F595">
        <f>tbl_AQI[[#This Row],[Most AQI Reached]]-tbl_AQI[[#This Row],[Current AQI]]</f>
        <v>227</v>
      </c>
      <c r="G5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95">
        <f>RANK(tbl_AQI[[#This Row],[Current AQI]], tbl_AQI[Current AQI], 0)</f>
        <v>1925</v>
      </c>
    </row>
    <row r="596" spans="1:8" x14ac:dyDescent="0.35">
      <c r="A596" t="s">
        <v>484</v>
      </c>
      <c r="B596" t="s">
        <v>610</v>
      </c>
      <c r="C596">
        <v>416</v>
      </c>
      <c r="D596">
        <v>404</v>
      </c>
      <c r="E596" t="s">
        <v>7</v>
      </c>
      <c r="F596">
        <f>tbl_AQI[[#This Row],[Most AQI Reached]]-tbl_AQI[[#This Row],[Current AQI]]</f>
        <v>12</v>
      </c>
      <c r="G5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96">
        <f>RANK(tbl_AQI[[#This Row],[Current AQI]], tbl_AQI[Current AQI], 0)</f>
        <v>374</v>
      </c>
    </row>
    <row r="597" spans="1:8" x14ac:dyDescent="0.35">
      <c r="A597" t="s">
        <v>484</v>
      </c>
      <c r="B597" t="s">
        <v>611</v>
      </c>
      <c r="C597">
        <v>497</v>
      </c>
      <c r="D597">
        <v>403</v>
      </c>
      <c r="E597" t="s">
        <v>21</v>
      </c>
      <c r="F597">
        <f>tbl_AQI[[#This Row],[Most AQI Reached]]-tbl_AQI[[#This Row],[Current AQI]]</f>
        <v>94</v>
      </c>
      <c r="G5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597">
        <f>RANK(tbl_AQI[[#This Row],[Current AQI]], tbl_AQI[Current AQI], 0)</f>
        <v>378</v>
      </c>
    </row>
    <row r="598" spans="1:8" x14ac:dyDescent="0.35">
      <c r="A598" t="s">
        <v>484</v>
      </c>
      <c r="B598" t="s">
        <v>612</v>
      </c>
      <c r="C598">
        <v>467</v>
      </c>
      <c r="D598">
        <v>244</v>
      </c>
      <c r="E598" t="s">
        <v>11</v>
      </c>
      <c r="F598">
        <f>tbl_AQI[[#This Row],[Most AQI Reached]]-tbl_AQI[[#This Row],[Current AQI]]</f>
        <v>223</v>
      </c>
      <c r="G5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598">
        <f>RANK(tbl_AQI[[#This Row],[Current AQI]], tbl_AQI[Current AQI], 0)</f>
        <v>1127</v>
      </c>
    </row>
    <row r="599" spans="1:8" x14ac:dyDescent="0.35">
      <c r="A599" t="s">
        <v>484</v>
      </c>
      <c r="B599" t="s">
        <v>613</v>
      </c>
      <c r="C599">
        <v>469</v>
      </c>
      <c r="D599">
        <v>316</v>
      </c>
      <c r="E599" t="s">
        <v>7</v>
      </c>
      <c r="F599">
        <f>tbl_AQI[[#This Row],[Most AQI Reached]]-tbl_AQI[[#This Row],[Current AQI]]</f>
        <v>153</v>
      </c>
      <c r="G5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599">
        <f>RANK(tbl_AQI[[#This Row],[Current AQI]], tbl_AQI[Current AQI], 0)</f>
        <v>799</v>
      </c>
    </row>
    <row r="600" spans="1:8" x14ac:dyDescent="0.35">
      <c r="A600" t="s">
        <v>484</v>
      </c>
      <c r="B600" t="s">
        <v>614</v>
      </c>
      <c r="C600">
        <v>460</v>
      </c>
      <c r="D600">
        <v>243</v>
      </c>
      <c r="E600" t="s">
        <v>17</v>
      </c>
      <c r="F600">
        <f>tbl_AQI[[#This Row],[Most AQI Reached]]-tbl_AQI[[#This Row],[Current AQI]]</f>
        <v>217</v>
      </c>
      <c r="G6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00">
        <f>RANK(tbl_AQI[[#This Row],[Current AQI]], tbl_AQI[Current AQI], 0)</f>
        <v>1132</v>
      </c>
    </row>
    <row r="601" spans="1:8" x14ac:dyDescent="0.35">
      <c r="A601" t="s">
        <v>484</v>
      </c>
      <c r="B601" t="s">
        <v>615</v>
      </c>
      <c r="C601">
        <v>470</v>
      </c>
      <c r="D601">
        <v>231</v>
      </c>
      <c r="E601" t="s">
        <v>21</v>
      </c>
      <c r="F601">
        <f>tbl_AQI[[#This Row],[Most AQI Reached]]-tbl_AQI[[#This Row],[Current AQI]]</f>
        <v>239</v>
      </c>
      <c r="G6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01">
        <f>RANK(tbl_AQI[[#This Row],[Current AQI]], tbl_AQI[Current AQI], 0)</f>
        <v>1179</v>
      </c>
    </row>
    <row r="602" spans="1:8" x14ac:dyDescent="0.35">
      <c r="A602" t="s">
        <v>484</v>
      </c>
      <c r="B602" t="s">
        <v>616</v>
      </c>
      <c r="C602">
        <v>474</v>
      </c>
      <c r="D602">
        <v>207</v>
      </c>
      <c r="E602" t="s">
        <v>7</v>
      </c>
      <c r="F602">
        <f>tbl_AQI[[#This Row],[Most AQI Reached]]-tbl_AQI[[#This Row],[Current AQI]]</f>
        <v>267</v>
      </c>
      <c r="G6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02">
        <f>RANK(tbl_AQI[[#This Row],[Current AQI]], tbl_AQI[Current AQI], 0)</f>
        <v>1287</v>
      </c>
    </row>
    <row r="603" spans="1:8" x14ac:dyDescent="0.35">
      <c r="A603" t="s">
        <v>484</v>
      </c>
      <c r="B603" t="s">
        <v>617</v>
      </c>
      <c r="C603">
        <v>498</v>
      </c>
      <c r="D603">
        <v>404</v>
      </c>
      <c r="E603" t="s">
        <v>7</v>
      </c>
      <c r="F603">
        <f>tbl_AQI[[#This Row],[Most AQI Reached]]-tbl_AQI[[#This Row],[Current AQI]]</f>
        <v>94</v>
      </c>
      <c r="G6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03">
        <f>RANK(tbl_AQI[[#This Row],[Current AQI]], tbl_AQI[Current AQI], 0)</f>
        <v>374</v>
      </c>
    </row>
    <row r="604" spans="1:8" x14ac:dyDescent="0.35">
      <c r="A604" t="s">
        <v>484</v>
      </c>
      <c r="B604" t="s">
        <v>618</v>
      </c>
      <c r="C604">
        <v>472</v>
      </c>
      <c r="D604">
        <v>301</v>
      </c>
      <c r="E604" t="s">
        <v>17</v>
      </c>
      <c r="F604">
        <f>tbl_AQI[[#This Row],[Most AQI Reached]]-tbl_AQI[[#This Row],[Current AQI]]</f>
        <v>171</v>
      </c>
      <c r="G6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04">
        <f>RANK(tbl_AQI[[#This Row],[Current AQI]], tbl_AQI[Current AQI], 0)</f>
        <v>844</v>
      </c>
    </row>
    <row r="605" spans="1:8" x14ac:dyDescent="0.35">
      <c r="A605" t="s">
        <v>484</v>
      </c>
      <c r="B605" t="s">
        <v>619</v>
      </c>
      <c r="C605">
        <v>486</v>
      </c>
      <c r="D605">
        <v>465</v>
      </c>
      <c r="E605" t="s">
        <v>7</v>
      </c>
      <c r="F605">
        <f>tbl_AQI[[#This Row],[Most AQI Reached]]-tbl_AQI[[#This Row],[Current AQI]]</f>
        <v>21</v>
      </c>
      <c r="G6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05">
        <f>RANK(tbl_AQI[[#This Row],[Current AQI]], tbl_AQI[Current AQI], 0)</f>
        <v>78</v>
      </c>
    </row>
    <row r="606" spans="1:8" x14ac:dyDescent="0.35">
      <c r="A606" t="s">
        <v>484</v>
      </c>
      <c r="B606" t="s">
        <v>620</v>
      </c>
      <c r="C606">
        <v>485</v>
      </c>
      <c r="D606">
        <v>343</v>
      </c>
      <c r="E606" t="s">
        <v>11</v>
      </c>
      <c r="F606">
        <f>tbl_AQI[[#This Row],[Most AQI Reached]]-tbl_AQI[[#This Row],[Current AQI]]</f>
        <v>142</v>
      </c>
      <c r="G6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06">
        <f>RANK(tbl_AQI[[#This Row],[Current AQI]], tbl_AQI[Current AQI], 0)</f>
        <v>662</v>
      </c>
    </row>
    <row r="607" spans="1:8" x14ac:dyDescent="0.35">
      <c r="A607" t="s">
        <v>484</v>
      </c>
      <c r="B607" t="s">
        <v>621</v>
      </c>
      <c r="C607">
        <v>486</v>
      </c>
      <c r="D607">
        <v>178</v>
      </c>
      <c r="E607" t="s">
        <v>11</v>
      </c>
      <c r="F607">
        <f>tbl_AQI[[#This Row],[Most AQI Reached]]-tbl_AQI[[#This Row],[Current AQI]]</f>
        <v>308</v>
      </c>
      <c r="G6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07">
        <f>RANK(tbl_AQI[[#This Row],[Current AQI]], tbl_AQI[Current AQI], 0)</f>
        <v>1702</v>
      </c>
    </row>
    <row r="608" spans="1:8" x14ac:dyDescent="0.35">
      <c r="A608" t="s">
        <v>484</v>
      </c>
      <c r="B608" t="s">
        <v>622</v>
      </c>
      <c r="C608">
        <v>387</v>
      </c>
      <c r="D608">
        <v>339</v>
      </c>
      <c r="E608" t="s">
        <v>33</v>
      </c>
      <c r="F608">
        <f>tbl_AQI[[#This Row],[Most AQI Reached]]-tbl_AQI[[#This Row],[Current AQI]]</f>
        <v>48</v>
      </c>
      <c r="G6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08">
        <f>RANK(tbl_AQI[[#This Row],[Current AQI]], tbl_AQI[Current AQI], 0)</f>
        <v>681</v>
      </c>
    </row>
    <row r="609" spans="1:8" x14ac:dyDescent="0.35">
      <c r="A609" t="s">
        <v>484</v>
      </c>
      <c r="B609" t="s">
        <v>623</v>
      </c>
      <c r="C609">
        <v>466</v>
      </c>
      <c r="D609">
        <v>301</v>
      </c>
      <c r="E609" t="s">
        <v>9</v>
      </c>
      <c r="F609">
        <f>tbl_AQI[[#This Row],[Most AQI Reached]]-tbl_AQI[[#This Row],[Current AQI]]</f>
        <v>165</v>
      </c>
      <c r="G6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09">
        <f>RANK(tbl_AQI[[#This Row],[Current AQI]], tbl_AQI[Current AQI], 0)</f>
        <v>844</v>
      </c>
    </row>
    <row r="610" spans="1:8" x14ac:dyDescent="0.35">
      <c r="A610" t="s">
        <v>484</v>
      </c>
      <c r="B610" t="s">
        <v>624</v>
      </c>
      <c r="C610">
        <v>378</v>
      </c>
      <c r="D610">
        <v>354</v>
      </c>
      <c r="E610" t="s">
        <v>21</v>
      </c>
      <c r="F610">
        <f>tbl_AQI[[#This Row],[Most AQI Reached]]-tbl_AQI[[#This Row],[Current AQI]]</f>
        <v>24</v>
      </c>
      <c r="G6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10">
        <f>RANK(tbl_AQI[[#This Row],[Current AQI]], tbl_AQI[Current AQI], 0)</f>
        <v>602</v>
      </c>
    </row>
    <row r="611" spans="1:8" x14ac:dyDescent="0.35">
      <c r="A611" t="s">
        <v>484</v>
      </c>
      <c r="B611" t="s">
        <v>625</v>
      </c>
      <c r="C611">
        <v>359</v>
      </c>
      <c r="D611">
        <v>352</v>
      </c>
      <c r="E611" t="s">
        <v>7</v>
      </c>
      <c r="F611">
        <f>tbl_AQI[[#This Row],[Most AQI Reached]]-tbl_AQI[[#This Row],[Current AQI]]</f>
        <v>7</v>
      </c>
      <c r="G6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11">
        <f>RANK(tbl_AQI[[#This Row],[Current AQI]], tbl_AQI[Current AQI], 0)</f>
        <v>614</v>
      </c>
    </row>
    <row r="612" spans="1:8" x14ac:dyDescent="0.35">
      <c r="A612" t="s">
        <v>484</v>
      </c>
      <c r="B612" t="s">
        <v>626</v>
      </c>
      <c r="C612">
        <v>462</v>
      </c>
      <c r="D612">
        <v>333</v>
      </c>
      <c r="E612" t="s">
        <v>15</v>
      </c>
      <c r="F612">
        <f>tbl_AQI[[#This Row],[Most AQI Reached]]-tbl_AQI[[#This Row],[Current AQI]]</f>
        <v>129</v>
      </c>
      <c r="G6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12">
        <f>RANK(tbl_AQI[[#This Row],[Current AQI]], tbl_AQI[Current AQI], 0)</f>
        <v>721</v>
      </c>
    </row>
    <row r="613" spans="1:8" x14ac:dyDescent="0.35">
      <c r="A613" t="s">
        <v>484</v>
      </c>
      <c r="B613" t="s">
        <v>627</v>
      </c>
      <c r="C613">
        <v>453</v>
      </c>
      <c r="D613">
        <v>158</v>
      </c>
      <c r="E613" t="s">
        <v>33</v>
      </c>
      <c r="F613">
        <f>tbl_AQI[[#This Row],[Most AQI Reached]]-tbl_AQI[[#This Row],[Current AQI]]</f>
        <v>295</v>
      </c>
      <c r="G6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13">
        <f>RANK(tbl_AQI[[#This Row],[Current AQI]], tbl_AQI[Current AQI], 0)</f>
        <v>2207</v>
      </c>
    </row>
    <row r="614" spans="1:8" x14ac:dyDescent="0.35">
      <c r="A614" t="s">
        <v>484</v>
      </c>
      <c r="B614" t="s">
        <v>628</v>
      </c>
      <c r="C614">
        <v>499</v>
      </c>
      <c r="D614">
        <v>440</v>
      </c>
      <c r="E614" t="s">
        <v>9</v>
      </c>
      <c r="F614">
        <f>tbl_AQI[[#This Row],[Most AQI Reached]]-tbl_AQI[[#This Row],[Current AQI]]</f>
        <v>59</v>
      </c>
      <c r="G6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14">
        <f>RANK(tbl_AQI[[#This Row],[Current AQI]], tbl_AQI[Current AQI], 0)</f>
        <v>208</v>
      </c>
    </row>
    <row r="615" spans="1:8" x14ac:dyDescent="0.35">
      <c r="A615" t="s">
        <v>484</v>
      </c>
      <c r="B615" t="s">
        <v>629</v>
      </c>
      <c r="C615">
        <v>448</v>
      </c>
      <c r="D615">
        <v>357</v>
      </c>
      <c r="E615" t="s">
        <v>7</v>
      </c>
      <c r="F615">
        <f>tbl_AQI[[#This Row],[Most AQI Reached]]-tbl_AQI[[#This Row],[Current AQI]]</f>
        <v>91</v>
      </c>
      <c r="G6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15">
        <f>RANK(tbl_AQI[[#This Row],[Current AQI]], tbl_AQI[Current AQI], 0)</f>
        <v>592</v>
      </c>
    </row>
    <row r="616" spans="1:8" x14ac:dyDescent="0.35">
      <c r="A616" t="s">
        <v>484</v>
      </c>
      <c r="B616" t="s">
        <v>630</v>
      </c>
      <c r="C616">
        <v>404</v>
      </c>
      <c r="D616">
        <v>298</v>
      </c>
      <c r="E616" t="s">
        <v>9</v>
      </c>
      <c r="F616">
        <f>tbl_AQI[[#This Row],[Most AQI Reached]]-tbl_AQI[[#This Row],[Current AQI]]</f>
        <v>106</v>
      </c>
      <c r="G6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16">
        <f>RANK(tbl_AQI[[#This Row],[Current AQI]], tbl_AQI[Current AQI], 0)</f>
        <v>866</v>
      </c>
    </row>
    <row r="617" spans="1:8" x14ac:dyDescent="0.35">
      <c r="A617" t="s">
        <v>484</v>
      </c>
      <c r="B617" t="s">
        <v>631</v>
      </c>
      <c r="C617">
        <v>353</v>
      </c>
      <c r="D617">
        <v>281</v>
      </c>
      <c r="E617" t="s">
        <v>11</v>
      </c>
      <c r="F617">
        <f>tbl_AQI[[#This Row],[Most AQI Reached]]-tbl_AQI[[#This Row],[Current AQI]]</f>
        <v>72</v>
      </c>
      <c r="G6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17">
        <f>RANK(tbl_AQI[[#This Row],[Current AQI]], tbl_AQI[Current AQI], 0)</f>
        <v>946</v>
      </c>
    </row>
    <row r="618" spans="1:8" x14ac:dyDescent="0.35">
      <c r="A618" t="s">
        <v>484</v>
      </c>
      <c r="B618" t="s">
        <v>632</v>
      </c>
      <c r="C618">
        <v>492</v>
      </c>
      <c r="D618">
        <v>317</v>
      </c>
      <c r="E618" t="s">
        <v>9</v>
      </c>
      <c r="F618">
        <f>tbl_AQI[[#This Row],[Most AQI Reached]]-tbl_AQI[[#This Row],[Current AQI]]</f>
        <v>175</v>
      </c>
      <c r="G6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18">
        <f>RANK(tbl_AQI[[#This Row],[Current AQI]], tbl_AQI[Current AQI], 0)</f>
        <v>791</v>
      </c>
    </row>
    <row r="619" spans="1:8" x14ac:dyDescent="0.35">
      <c r="A619" t="s">
        <v>484</v>
      </c>
      <c r="B619" t="s">
        <v>633</v>
      </c>
      <c r="C619">
        <v>315</v>
      </c>
      <c r="D619">
        <v>259</v>
      </c>
      <c r="E619" t="s">
        <v>15</v>
      </c>
      <c r="F619">
        <f>tbl_AQI[[#This Row],[Most AQI Reached]]-tbl_AQI[[#This Row],[Current AQI]]</f>
        <v>56</v>
      </c>
      <c r="G6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19">
        <f>RANK(tbl_AQI[[#This Row],[Current AQI]], tbl_AQI[Current AQI], 0)</f>
        <v>1046</v>
      </c>
    </row>
    <row r="620" spans="1:8" x14ac:dyDescent="0.35">
      <c r="A620" t="s">
        <v>484</v>
      </c>
      <c r="B620" t="s">
        <v>634</v>
      </c>
      <c r="C620">
        <v>446</v>
      </c>
      <c r="D620">
        <v>162</v>
      </c>
      <c r="E620" t="s">
        <v>9</v>
      </c>
      <c r="F620">
        <f>tbl_AQI[[#This Row],[Most AQI Reached]]-tbl_AQI[[#This Row],[Current AQI]]</f>
        <v>284</v>
      </c>
      <c r="G6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20">
        <f>RANK(tbl_AQI[[#This Row],[Current AQI]], tbl_AQI[Current AQI], 0)</f>
        <v>2106</v>
      </c>
    </row>
    <row r="621" spans="1:8" x14ac:dyDescent="0.35">
      <c r="A621" t="s">
        <v>484</v>
      </c>
      <c r="B621" t="s">
        <v>635</v>
      </c>
      <c r="C621">
        <v>463</v>
      </c>
      <c r="D621">
        <v>448</v>
      </c>
      <c r="E621" t="s">
        <v>9</v>
      </c>
      <c r="F621">
        <f>tbl_AQI[[#This Row],[Most AQI Reached]]-tbl_AQI[[#This Row],[Current AQI]]</f>
        <v>15</v>
      </c>
      <c r="G6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21">
        <f>RANK(tbl_AQI[[#This Row],[Current AQI]], tbl_AQI[Current AQI], 0)</f>
        <v>166</v>
      </c>
    </row>
    <row r="622" spans="1:8" x14ac:dyDescent="0.35">
      <c r="A622" t="s">
        <v>484</v>
      </c>
      <c r="B622" t="s">
        <v>636</v>
      </c>
      <c r="C622">
        <v>493</v>
      </c>
      <c r="D622">
        <v>396</v>
      </c>
      <c r="E622" t="s">
        <v>21</v>
      </c>
      <c r="F622">
        <f>tbl_AQI[[#This Row],[Most AQI Reached]]-tbl_AQI[[#This Row],[Current AQI]]</f>
        <v>97</v>
      </c>
      <c r="G6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22">
        <f>RANK(tbl_AQI[[#This Row],[Current AQI]], tbl_AQI[Current AQI], 0)</f>
        <v>415</v>
      </c>
    </row>
    <row r="623" spans="1:8" x14ac:dyDescent="0.35">
      <c r="A623" t="s">
        <v>484</v>
      </c>
      <c r="B623" t="s">
        <v>637</v>
      </c>
      <c r="C623">
        <v>498</v>
      </c>
      <c r="D623">
        <v>453</v>
      </c>
      <c r="E623" t="s">
        <v>9</v>
      </c>
      <c r="F623">
        <f>tbl_AQI[[#This Row],[Most AQI Reached]]-tbl_AQI[[#This Row],[Current AQI]]</f>
        <v>45</v>
      </c>
      <c r="G6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23">
        <f>RANK(tbl_AQI[[#This Row],[Current AQI]], tbl_AQI[Current AQI], 0)</f>
        <v>141</v>
      </c>
    </row>
    <row r="624" spans="1:8" x14ac:dyDescent="0.35">
      <c r="A624" t="s">
        <v>484</v>
      </c>
      <c r="B624" t="s">
        <v>638</v>
      </c>
      <c r="C624">
        <v>442</v>
      </c>
      <c r="D624">
        <v>355</v>
      </c>
      <c r="E624" t="s">
        <v>21</v>
      </c>
      <c r="F624">
        <f>tbl_AQI[[#This Row],[Most AQI Reached]]-tbl_AQI[[#This Row],[Current AQI]]</f>
        <v>87</v>
      </c>
      <c r="G6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24">
        <f>RANK(tbl_AQI[[#This Row],[Current AQI]], tbl_AQI[Current AQI], 0)</f>
        <v>600</v>
      </c>
    </row>
    <row r="625" spans="1:8" x14ac:dyDescent="0.35">
      <c r="A625" t="s">
        <v>484</v>
      </c>
      <c r="B625" t="s">
        <v>639</v>
      </c>
      <c r="C625">
        <v>424</v>
      </c>
      <c r="D625">
        <v>389</v>
      </c>
      <c r="E625" t="s">
        <v>7</v>
      </c>
      <c r="F625">
        <f>tbl_AQI[[#This Row],[Most AQI Reached]]-tbl_AQI[[#This Row],[Current AQI]]</f>
        <v>35</v>
      </c>
      <c r="G6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25">
        <f>RANK(tbl_AQI[[#This Row],[Current AQI]], tbl_AQI[Current AQI], 0)</f>
        <v>446</v>
      </c>
    </row>
    <row r="626" spans="1:8" x14ac:dyDescent="0.35">
      <c r="A626" t="s">
        <v>484</v>
      </c>
      <c r="B626" t="s">
        <v>640</v>
      </c>
      <c r="C626">
        <v>446</v>
      </c>
      <c r="D626">
        <v>344</v>
      </c>
      <c r="E626" t="s">
        <v>15</v>
      </c>
      <c r="F626">
        <f>tbl_AQI[[#This Row],[Most AQI Reached]]-tbl_AQI[[#This Row],[Current AQI]]</f>
        <v>102</v>
      </c>
      <c r="G6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26">
        <f>RANK(tbl_AQI[[#This Row],[Current AQI]], tbl_AQI[Current AQI], 0)</f>
        <v>656</v>
      </c>
    </row>
    <row r="627" spans="1:8" x14ac:dyDescent="0.35">
      <c r="A627" t="s">
        <v>484</v>
      </c>
      <c r="B627" t="s">
        <v>641</v>
      </c>
      <c r="C627">
        <v>491</v>
      </c>
      <c r="D627">
        <v>473</v>
      </c>
      <c r="E627" t="s">
        <v>7</v>
      </c>
      <c r="F627">
        <f>tbl_AQI[[#This Row],[Most AQI Reached]]-tbl_AQI[[#This Row],[Current AQI]]</f>
        <v>18</v>
      </c>
      <c r="G6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27">
        <f>RANK(tbl_AQI[[#This Row],[Current AQI]], tbl_AQI[Current AQI], 0)</f>
        <v>33</v>
      </c>
    </row>
    <row r="628" spans="1:8" x14ac:dyDescent="0.35">
      <c r="A628" t="s">
        <v>484</v>
      </c>
      <c r="B628" t="s">
        <v>642</v>
      </c>
      <c r="C628">
        <v>329</v>
      </c>
      <c r="D628">
        <v>247</v>
      </c>
      <c r="E628" t="s">
        <v>15</v>
      </c>
      <c r="F628">
        <f>tbl_AQI[[#This Row],[Most AQI Reached]]-tbl_AQI[[#This Row],[Current AQI]]</f>
        <v>82</v>
      </c>
      <c r="G6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28">
        <f>RANK(tbl_AQI[[#This Row],[Current AQI]], tbl_AQI[Current AQI], 0)</f>
        <v>1112</v>
      </c>
    </row>
    <row r="629" spans="1:8" x14ac:dyDescent="0.35">
      <c r="A629" t="s">
        <v>484</v>
      </c>
      <c r="B629" t="s">
        <v>643</v>
      </c>
      <c r="C629">
        <v>288</v>
      </c>
      <c r="D629">
        <v>156</v>
      </c>
      <c r="E629" t="s">
        <v>33</v>
      </c>
      <c r="F629">
        <f>tbl_AQI[[#This Row],[Most AQI Reached]]-tbl_AQI[[#This Row],[Current AQI]]</f>
        <v>132</v>
      </c>
      <c r="G6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29">
        <f>RANK(tbl_AQI[[#This Row],[Current AQI]], tbl_AQI[Current AQI], 0)</f>
        <v>2251</v>
      </c>
    </row>
    <row r="630" spans="1:8" x14ac:dyDescent="0.35">
      <c r="A630" t="s">
        <v>484</v>
      </c>
      <c r="B630" t="s">
        <v>644</v>
      </c>
      <c r="C630">
        <v>486</v>
      </c>
      <c r="D630">
        <v>415</v>
      </c>
      <c r="E630" t="s">
        <v>21</v>
      </c>
      <c r="F630">
        <f>tbl_AQI[[#This Row],[Most AQI Reached]]-tbl_AQI[[#This Row],[Current AQI]]</f>
        <v>71</v>
      </c>
      <c r="G6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30">
        <f>RANK(tbl_AQI[[#This Row],[Current AQI]], tbl_AQI[Current AQI], 0)</f>
        <v>325</v>
      </c>
    </row>
    <row r="631" spans="1:8" x14ac:dyDescent="0.35">
      <c r="A631" t="s">
        <v>484</v>
      </c>
      <c r="B631" t="s">
        <v>645</v>
      </c>
      <c r="C631">
        <v>380</v>
      </c>
      <c r="D631">
        <v>185</v>
      </c>
      <c r="E631" t="s">
        <v>17</v>
      </c>
      <c r="F631">
        <f>tbl_AQI[[#This Row],[Most AQI Reached]]-tbl_AQI[[#This Row],[Current AQI]]</f>
        <v>195</v>
      </c>
      <c r="G6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31">
        <f>RANK(tbl_AQI[[#This Row],[Current AQI]], tbl_AQI[Current AQI], 0)</f>
        <v>1517</v>
      </c>
    </row>
    <row r="632" spans="1:8" x14ac:dyDescent="0.35">
      <c r="A632" t="s">
        <v>484</v>
      </c>
      <c r="B632" t="s">
        <v>646</v>
      </c>
      <c r="C632">
        <v>406</v>
      </c>
      <c r="D632">
        <v>173</v>
      </c>
      <c r="E632" t="s">
        <v>15</v>
      </c>
      <c r="F632">
        <f>tbl_AQI[[#This Row],[Most AQI Reached]]-tbl_AQI[[#This Row],[Current AQI]]</f>
        <v>233</v>
      </c>
      <c r="G6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32">
        <f>RANK(tbl_AQI[[#This Row],[Current AQI]], tbl_AQI[Current AQI], 0)</f>
        <v>1826</v>
      </c>
    </row>
    <row r="633" spans="1:8" x14ac:dyDescent="0.35">
      <c r="A633" t="s">
        <v>484</v>
      </c>
      <c r="B633" t="s">
        <v>647</v>
      </c>
      <c r="C633">
        <v>489</v>
      </c>
      <c r="D633">
        <v>311</v>
      </c>
      <c r="E633" t="s">
        <v>7</v>
      </c>
      <c r="F633">
        <f>tbl_AQI[[#This Row],[Most AQI Reached]]-tbl_AQI[[#This Row],[Current AQI]]</f>
        <v>178</v>
      </c>
      <c r="G6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33">
        <f>RANK(tbl_AQI[[#This Row],[Current AQI]], tbl_AQI[Current AQI], 0)</f>
        <v>815</v>
      </c>
    </row>
    <row r="634" spans="1:8" x14ac:dyDescent="0.35">
      <c r="A634" t="s">
        <v>484</v>
      </c>
      <c r="B634" t="s">
        <v>648</v>
      </c>
      <c r="C634">
        <v>463</v>
      </c>
      <c r="D634">
        <v>440</v>
      </c>
      <c r="E634" t="s">
        <v>9</v>
      </c>
      <c r="F634">
        <f>tbl_AQI[[#This Row],[Most AQI Reached]]-tbl_AQI[[#This Row],[Current AQI]]</f>
        <v>23</v>
      </c>
      <c r="G6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34">
        <f>RANK(tbl_AQI[[#This Row],[Current AQI]], tbl_AQI[Current AQI], 0)</f>
        <v>208</v>
      </c>
    </row>
    <row r="635" spans="1:8" x14ac:dyDescent="0.35">
      <c r="A635" t="s">
        <v>484</v>
      </c>
      <c r="B635" t="s">
        <v>649</v>
      </c>
      <c r="C635">
        <v>475</v>
      </c>
      <c r="D635">
        <v>472</v>
      </c>
      <c r="E635" t="s">
        <v>9</v>
      </c>
      <c r="F635">
        <f>tbl_AQI[[#This Row],[Most AQI Reached]]-tbl_AQI[[#This Row],[Current AQI]]</f>
        <v>3</v>
      </c>
      <c r="G6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35">
        <f>RANK(tbl_AQI[[#This Row],[Current AQI]], tbl_AQI[Current AQI], 0)</f>
        <v>43</v>
      </c>
    </row>
    <row r="636" spans="1:8" x14ac:dyDescent="0.35">
      <c r="A636" t="s">
        <v>484</v>
      </c>
      <c r="B636" t="s">
        <v>650</v>
      </c>
      <c r="C636">
        <v>437</v>
      </c>
      <c r="D636">
        <v>435</v>
      </c>
      <c r="E636" t="s">
        <v>21</v>
      </c>
      <c r="F636">
        <f>tbl_AQI[[#This Row],[Most AQI Reached]]-tbl_AQI[[#This Row],[Current AQI]]</f>
        <v>2</v>
      </c>
      <c r="G6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36">
        <f>RANK(tbl_AQI[[#This Row],[Current AQI]], tbl_AQI[Current AQI], 0)</f>
        <v>238</v>
      </c>
    </row>
    <row r="637" spans="1:8" x14ac:dyDescent="0.35">
      <c r="A637" t="s">
        <v>484</v>
      </c>
      <c r="B637" t="s">
        <v>651</v>
      </c>
      <c r="C637">
        <v>331</v>
      </c>
      <c r="D637">
        <v>174</v>
      </c>
      <c r="E637" t="s">
        <v>21</v>
      </c>
      <c r="F637">
        <f>tbl_AQI[[#This Row],[Most AQI Reached]]-tbl_AQI[[#This Row],[Current AQI]]</f>
        <v>157</v>
      </c>
      <c r="G6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37">
        <f>RANK(tbl_AQI[[#This Row],[Current AQI]], tbl_AQI[Current AQI], 0)</f>
        <v>1803</v>
      </c>
    </row>
    <row r="638" spans="1:8" x14ac:dyDescent="0.35">
      <c r="A638" t="s">
        <v>484</v>
      </c>
      <c r="B638" t="s">
        <v>652</v>
      </c>
      <c r="C638">
        <v>494</v>
      </c>
      <c r="D638">
        <v>474</v>
      </c>
      <c r="E638" t="s">
        <v>9</v>
      </c>
      <c r="F638">
        <f>tbl_AQI[[#This Row],[Most AQI Reached]]-tbl_AQI[[#This Row],[Current AQI]]</f>
        <v>20</v>
      </c>
      <c r="G6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38">
        <f>RANK(tbl_AQI[[#This Row],[Current AQI]], tbl_AQI[Current AQI], 0)</f>
        <v>28</v>
      </c>
    </row>
    <row r="639" spans="1:8" x14ac:dyDescent="0.35">
      <c r="A639" t="s">
        <v>484</v>
      </c>
      <c r="B639" t="s">
        <v>653</v>
      </c>
      <c r="C639">
        <v>455</v>
      </c>
      <c r="D639">
        <v>446</v>
      </c>
      <c r="E639" t="s">
        <v>7</v>
      </c>
      <c r="F639">
        <f>tbl_AQI[[#This Row],[Most AQI Reached]]-tbl_AQI[[#This Row],[Current AQI]]</f>
        <v>9</v>
      </c>
      <c r="G6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39">
        <f>RANK(tbl_AQI[[#This Row],[Current AQI]], tbl_AQI[Current AQI], 0)</f>
        <v>180</v>
      </c>
    </row>
    <row r="640" spans="1:8" x14ac:dyDescent="0.35">
      <c r="A640" t="s">
        <v>484</v>
      </c>
      <c r="B640" t="s">
        <v>654</v>
      </c>
      <c r="C640">
        <v>469</v>
      </c>
      <c r="D640">
        <v>276</v>
      </c>
      <c r="E640" t="s">
        <v>9</v>
      </c>
      <c r="F640">
        <f>tbl_AQI[[#This Row],[Most AQI Reached]]-tbl_AQI[[#This Row],[Current AQI]]</f>
        <v>193</v>
      </c>
      <c r="G6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40">
        <f>RANK(tbl_AQI[[#This Row],[Current AQI]], tbl_AQI[Current AQI], 0)</f>
        <v>974</v>
      </c>
    </row>
    <row r="641" spans="1:8" x14ac:dyDescent="0.35">
      <c r="A641" t="s">
        <v>484</v>
      </c>
      <c r="B641" t="s">
        <v>655</v>
      </c>
      <c r="C641">
        <v>467</v>
      </c>
      <c r="D641">
        <v>455</v>
      </c>
      <c r="E641" t="s">
        <v>21</v>
      </c>
      <c r="F641">
        <f>tbl_AQI[[#This Row],[Most AQI Reached]]-tbl_AQI[[#This Row],[Current AQI]]</f>
        <v>12</v>
      </c>
      <c r="G6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41">
        <f>RANK(tbl_AQI[[#This Row],[Current AQI]], tbl_AQI[Current AQI], 0)</f>
        <v>126</v>
      </c>
    </row>
    <row r="642" spans="1:8" x14ac:dyDescent="0.35">
      <c r="A642" t="s">
        <v>484</v>
      </c>
      <c r="B642" t="s">
        <v>656</v>
      </c>
      <c r="C642">
        <v>304</v>
      </c>
      <c r="D642">
        <v>225</v>
      </c>
      <c r="E642" t="s">
        <v>9</v>
      </c>
      <c r="F642">
        <f>tbl_AQI[[#This Row],[Most AQI Reached]]-tbl_AQI[[#This Row],[Current AQI]]</f>
        <v>79</v>
      </c>
      <c r="G6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42">
        <f>RANK(tbl_AQI[[#This Row],[Current AQI]], tbl_AQI[Current AQI], 0)</f>
        <v>1204</v>
      </c>
    </row>
    <row r="643" spans="1:8" x14ac:dyDescent="0.35">
      <c r="A643" t="s">
        <v>484</v>
      </c>
      <c r="B643" t="s">
        <v>657</v>
      </c>
      <c r="C643">
        <v>267</v>
      </c>
      <c r="D643">
        <v>158</v>
      </c>
      <c r="E643" t="s">
        <v>21</v>
      </c>
      <c r="F643">
        <f>tbl_AQI[[#This Row],[Most AQI Reached]]-tbl_AQI[[#This Row],[Current AQI]]</f>
        <v>109</v>
      </c>
      <c r="G6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43">
        <f>RANK(tbl_AQI[[#This Row],[Current AQI]], tbl_AQI[Current AQI], 0)</f>
        <v>2207</v>
      </c>
    </row>
    <row r="644" spans="1:8" x14ac:dyDescent="0.35">
      <c r="A644" t="s">
        <v>484</v>
      </c>
      <c r="B644" t="s">
        <v>658</v>
      </c>
      <c r="C644">
        <v>476</v>
      </c>
      <c r="D644">
        <v>459</v>
      </c>
      <c r="E644" t="s">
        <v>21</v>
      </c>
      <c r="F644">
        <f>tbl_AQI[[#This Row],[Most AQI Reached]]-tbl_AQI[[#This Row],[Current AQI]]</f>
        <v>17</v>
      </c>
      <c r="G6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44">
        <f>RANK(tbl_AQI[[#This Row],[Current AQI]], tbl_AQI[Current AQI], 0)</f>
        <v>112</v>
      </c>
    </row>
    <row r="645" spans="1:8" x14ac:dyDescent="0.35">
      <c r="A645" t="s">
        <v>484</v>
      </c>
      <c r="B645" t="s">
        <v>659</v>
      </c>
      <c r="C645">
        <v>285</v>
      </c>
      <c r="D645">
        <v>166</v>
      </c>
      <c r="E645" t="s">
        <v>11</v>
      </c>
      <c r="F645">
        <f>tbl_AQI[[#This Row],[Most AQI Reached]]-tbl_AQI[[#This Row],[Current AQI]]</f>
        <v>119</v>
      </c>
      <c r="G6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45">
        <f>RANK(tbl_AQI[[#This Row],[Current AQI]], tbl_AQI[Current AQI], 0)</f>
        <v>2007</v>
      </c>
    </row>
    <row r="646" spans="1:8" x14ac:dyDescent="0.35">
      <c r="A646" t="s">
        <v>484</v>
      </c>
      <c r="B646" t="s">
        <v>660</v>
      </c>
      <c r="C646">
        <v>386</v>
      </c>
      <c r="D646">
        <v>354</v>
      </c>
      <c r="E646" t="s">
        <v>9</v>
      </c>
      <c r="F646">
        <f>tbl_AQI[[#This Row],[Most AQI Reached]]-tbl_AQI[[#This Row],[Current AQI]]</f>
        <v>32</v>
      </c>
      <c r="G6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46">
        <f>RANK(tbl_AQI[[#This Row],[Current AQI]], tbl_AQI[Current AQI], 0)</f>
        <v>602</v>
      </c>
    </row>
    <row r="647" spans="1:8" x14ac:dyDescent="0.35">
      <c r="A647" t="s">
        <v>484</v>
      </c>
      <c r="B647" t="s">
        <v>661</v>
      </c>
      <c r="C647">
        <v>386</v>
      </c>
      <c r="D647">
        <v>369</v>
      </c>
      <c r="E647" t="s">
        <v>21</v>
      </c>
      <c r="F647">
        <f>tbl_AQI[[#This Row],[Most AQI Reached]]-tbl_AQI[[#This Row],[Current AQI]]</f>
        <v>17</v>
      </c>
      <c r="G6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47">
        <f>RANK(tbl_AQI[[#This Row],[Current AQI]], tbl_AQI[Current AQI], 0)</f>
        <v>543</v>
      </c>
    </row>
    <row r="648" spans="1:8" x14ac:dyDescent="0.35">
      <c r="A648" t="s">
        <v>484</v>
      </c>
      <c r="B648" t="s">
        <v>662</v>
      </c>
      <c r="C648">
        <v>484</v>
      </c>
      <c r="D648">
        <v>383</v>
      </c>
      <c r="E648" t="s">
        <v>9</v>
      </c>
      <c r="F648">
        <f>tbl_AQI[[#This Row],[Most AQI Reached]]-tbl_AQI[[#This Row],[Current AQI]]</f>
        <v>101</v>
      </c>
      <c r="G6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48">
        <f>RANK(tbl_AQI[[#This Row],[Current AQI]], tbl_AQI[Current AQI], 0)</f>
        <v>468</v>
      </c>
    </row>
    <row r="649" spans="1:8" x14ac:dyDescent="0.35">
      <c r="A649" t="s">
        <v>484</v>
      </c>
      <c r="B649" t="s">
        <v>663</v>
      </c>
      <c r="C649">
        <v>217</v>
      </c>
      <c r="D649">
        <v>216</v>
      </c>
      <c r="E649" t="s">
        <v>9</v>
      </c>
      <c r="F649">
        <f>tbl_AQI[[#This Row],[Most AQI Reached]]-tbl_AQI[[#This Row],[Current AQI]]</f>
        <v>1</v>
      </c>
      <c r="G6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49">
        <f>RANK(tbl_AQI[[#This Row],[Current AQI]], tbl_AQI[Current AQI], 0)</f>
        <v>1246</v>
      </c>
    </row>
    <row r="650" spans="1:8" x14ac:dyDescent="0.35">
      <c r="A650" t="s">
        <v>484</v>
      </c>
      <c r="B650" t="s">
        <v>664</v>
      </c>
      <c r="C650">
        <v>222</v>
      </c>
      <c r="D650">
        <v>203</v>
      </c>
      <c r="E650" t="s">
        <v>15</v>
      </c>
      <c r="F650">
        <f>tbl_AQI[[#This Row],[Most AQI Reached]]-tbl_AQI[[#This Row],[Current AQI]]</f>
        <v>19</v>
      </c>
      <c r="G6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50">
        <f>RANK(tbl_AQI[[#This Row],[Current AQI]], tbl_AQI[Current AQI], 0)</f>
        <v>1299</v>
      </c>
    </row>
    <row r="651" spans="1:8" x14ac:dyDescent="0.35">
      <c r="A651" t="s">
        <v>484</v>
      </c>
      <c r="B651" t="s">
        <v>665</v>
      </c>
      <c r="C651">
        <v>422</v>
      </c>
      <c r="D651">
        <v>350</v>
      </c>
      <c r="E651" t="s">
        <v>21</v>
      </c>
      <c r="F651">
        <f>tbl_AQI[[#This Row],[Most AQI Reached]]-tbl_AQI[[#This Row],[Current AQI]]</f>
        <v>72</v>
      </c>
      <c r="G6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51">
        <f>RANK(tbl_AQI[[#This Row],[Current AQI]], tbl_AQI[Current AQI], 0)</f>
        <v>621</v>
      </c>
    </row>
    <row r="652" spans="1:8" x14ac:dyDescent="0.35">
      <c r="A652" t="s">
        <v>484</v>
      </c>
      <c r="B652" t="s">
        <v>666</v>
      </c>
      <c r="C652">
        <v>488</v>
      </c>
      <c r="D652">
        <v>310</v>
      </c>
      <c r="E652" t="s">
        <v>7</v>
      </c>
      <c r="F652">
        <f>tbl_AQI[[#This Row],[Most AQI Reached]]-tbl_AQI[[#This Row],[Current AQI]]</f>
        <v>178</v>
      </c>
      <c r="G6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52">
        <f>RANK(tbl_AQI[[#This Row],[Current AQI]], tbl_AQI[Current AQI], 0)</f>
        <v>818</v>
      </c>
    </row>
    <row r="653" spans="1:8" x14ac:dyDescent="0.35">
      <c r="A653" t="s">
        <v>484</v>
      </c>
      <c r="B653" t="s">
        <v>667</v>
      </c>
      <c r="C653">
        <v>465</v>
      </c>
      <c r="D653">
        <v>317</v>
      </c>
      <c r="E653" t="s">
        <v>7</v>
      </c>
      <c r="F653">
        <f>tbl_AQI[[#This Row],[Most AQI Reached]]-tbl_AQI[[#This Row],[Current AQI]]</f>
        <v>148</v>
      </c>
      <c r="G6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53">
        <f>RANK(tbl_AQI[[#This Row],[Current AQI]], tbl_AQI[Current AQI], 0)</f>
        <v>791</v>
      </c>
    </row>
    <row r="654" spans="1:8" x14ac:dyDescent="0.35">
      <c r="A654" t="s">
        <v>484</v>
      </c>
      <c r="B654" t="s">
        <v>668</v>
      </c>
      <c r="C654">
        <v>498</v>
      </c>
      <c r="D654">
        <v>478</v>
      </c>
      <c r="E654" t="s">
        <v>21</v>
      </c>
      <c r="F654">
        <f>tbl_AQI[[#This Row],[Most AQI Reached]]-tbl_AQI[[#This Row],[Current AQI]]</f>
        <v>20</v>
      </c>
      <c r="G6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54">
        <f>RANK(tbl_AQI[[#This Row],[Current AQI]], tbl_AQI[Current AQI], 0)</f>
        <v>11</v>
      </c>
    </row>
    <row r="655" spans="1:8" x14ac:dyDescent="0.35">
      <c r="A655" t="s">
        <v>484</v>
      </c>
      <c r="B655" t="s">
        <v>669</v>
      </c>
      <c r="C655">
        <v>448</v>
      </c>
      <c r="D655">
        <v>332</v>
      </c>
      <c r="E655" t="s">
        <v>11</v>
      </c>
      <c r="F655">
        <f>tbl_AQI[[#This Row],[Most AQI Reached]]-tbl_AQI[[#This Row],[Current AQI]]</f>
        <v>116</v>
      </c>
      <c r="G6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55">
        <f>RANK(tbl_AQI[[#This Row],[Current AQI]], tbl_AQI[Current AQI], 0)</f>
        <v>725</v>
      </c>
    </row>
    <row r="656" spans="1:8" x14ac:dyDescent="0.35">
      <c r="A656" t="s">
        <v>484</v>
      </c>
      <c r="B656" t="s">
        <v>670</v>
      </c>
      <c r="C656">
        <v>332</v>
      </c>
      <c r="D656">
        <v>321</v>
      </c>
      <c r="E656" t="s">
        <v>21</v>
      </c>
      <c r="F656">
        <f>tbl_AQI[[#This Row],[Most AQI Reached]]-tbl_AQI[[#This Row],[Current AQI]]</f>
        <v>11</v>
      </c>
      <c r="G6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56">
        <f>RANK(tbl_AQI[[#This Row],[Current AQI]], tbl_AQI[Current AQI], 0)</f>
        <v>770</v>
      </c>
    </row>
    <row r="657" spans="1:8" x14ac:dyDescent="0.35">
      <c r="A657" t="s">
        <v>484</v>
      </c>
      <c r="B657" t="s">
        <v>671</v>
      </c>
      <c r="C657">
        <v>447</v>
      </c>
      <c r="D657">
        <v>336</v>
      </c>
      <c r="E657" t="s">
        <v>21</v>
      </c>
      <c r="F657">
        <f>tbl_AQI[[#This Row],[Most AQI Reached]]-tbl_AQI[[#This Row],[Current AQI]]</f>
        <v>111</v>
      </c>
      <c r="G6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57">
        <f>RANK(tbl_AQI[[#This Row],[Current AQI]], tbl_AQI[Current AQI], 0)</f>
        <v>700</v>
      </c>
    </row>
    <row r="658" spans="1:8" x14ac:dyDescent="0.35">
      <c r="A658" t="s">
        <v>484</v>
      </c>
      <c r="B658" t="s">
        <v>672</v>
      </c>
      <c r="C658">
        <v>498</v>
      </c>
      <c r="D658">
        <v>472</v>
      </c>
      <c r="E658" t="s">
        <v>9</v>
      </c>
      <c r="F658">
        <f>tbl_AQI[[#This Row],[Most AQI Reached]]-tbl_AQI[[#This Row],[Current AQI]]</f>
        <v>26</v>
      </c>
      <c r="G6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58">
        <f>RANK(tbl_AQI[[#This Row],[Current AQI]], tbl_AQI[Current AQI], 0)</f>
        <v>43</v>
      </c>
    </row>
    <row r="659" spans="1:8" x14ac:dyDescent="0.35">
      <c r="A659" t="s">
        <v>484</v>
      </c>
      <c r="B659" t="s">
        <v>673</v>
      </c>
      <c r="C659">
        <v>453</v>
      </c>
      <c r="D659">
        <v>452</v>
      </c>
      <c r="E659" t="s">
        <v>9</v>
      </c>
      <c r="F659">
        <f>tbl_AQI[[#This Row],[Most AQI Reached]]-tbl_AQI[[#This Row],[Current AQI]]</f>
        <v>1</v>
      </c>
      <c r="G6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59">
        <f>RANK(tbl_AQI[[#This Row],[Current AQI]], tbl_AQI[Current AQI], 0)</f>
        <v>150</v>
      </c>
    </row>
    <row r="660" spans="1:8" x14ac:dyDescent="0.35">
      <c r="A660" t="s">
        <v>484</v>
      </c>
      <c r="B660" t="s">
        <v>674</v>
      </c>
      <c r="C660">
        <v>434</v>
      </c>
      <c r="D660">
        <v>391</v>
      </c>
      <c r="E660" t="s">
        <v>9</v>
      </c>
      <c r="F660">
        <f>tbl_AQI[[#This Row],[Most AQI Reached]]-tbl_AQI[[#This Row],[Current AQI]]</f>
        <v>43</v>
      </c>
      <c r="G6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60">
        <f>RANK(tbl_AQI[[#This Row],[Current AQI]], tbl_AQI[Current AQI], 0)</f>
        <v>437</v>
      </c>
    </row>
    <row r="661" spans="1:8" x14ac:dyDescent="0.35">
      <c r="A661" t="s">
        <v>484</v>
      </c>
      <c r="B661" t="s">
        <v>675</v>
      </c>
      <c r="C661">
        <v>294</v>
      </c>
      <c r="D661">
        <v>269</v>
      </c>
      <c r="E661" t="s">
        <v>33</v>
      </c>
      <c r="F661">
        <f>tbl_AQI[[#This Row],[Most AQI Reached]]-tbl_AQI[[#This Row],[Current AQI]]</f>
        <v>25</v>
      </c>
      <c r="G6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61">
        <f>RANK(tbl_AQI[[#This Row],[Current AQI]], tbl_AQI[Current AQI], 0)</f>
        <v>1004</v>
      </c>
    </row>
    <row r="662" spans="1:8" x14ac:dyDescent="0.35">
      <c r="A662" t="s">
        <v>484</v>
      </c>
      <c r="B662" t="s">
        <v>676</v>
      </c>
      <c r="C662">
        <v>364</v>
      </c>
      <c r="D662">
        <v>269</v>
      </c>
      <c r="E662" t="s">
        <v>9</v>
      </c>
      <c r="F662">
        <f>tbl_AQI[[#This Row],[Most AQI Reached]]-tbl_AQI[[#This Row],[Current AQI]]</f>
        <v>95</v>
      </c>
      <c r="G6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62">
        <f>RANK(tbl_AQI[[#This Row],[Current AQI]], tbl_AQI[Current AQI], 0)</f>
        <v>1004</v>
      </c>
    </row>
    <row r="663" spans="1:8" x14ac:dyDescent="0.35">
      <c r="A663" t="s">
        <v>484</v>
      </c>
      <c r="B663" t="s">
        <v>677</v>
      </c>
      <c r="C663">
        <v>457</v>
      </c>
      <c r="D663">
        <v>449</v>
      </c>
      <c r="E663" t="s">
        <v>9</v>
      </c>
      <c r="F663">
        <f>tbl_AQI[[#This Row],[Most AQI Reached]]-tbl_AQI[[#This Row],[Current AQI]]</f>
        <v>8</v>
      </c>
      <c r="G6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63">
        <f>RANK(tbl_AQI[[#This Row],[Current AQI]], tbl_AQI[Current AQI], 0)</f>
        <v>161</v>
      </c>
    </row>
    <row r="664" spans="1:8" x14ac:dyDescent="0.35">
      <c r="A664" t="s">
        <v>484</v>
      </c>
      <c r="B664" t="s">
        <v>678</v>
      </c>
      <c r="C664">
        <v>403</v>
      </c>
      <c r="D664">
        <v>201</v>
      </c>
      <c r="E664" t="s">
        <v>17</v>
      </c>
      <c r="F664">
        <f>tbl_AQI[[#This Row],[Most AQI Reached]]-tbl_AQI[[#This Row],[Current AQI]]</f>
        <v>202</v>
      </c>
      <c r="G6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64">
        <f>RANK(tbl_AQI[[#This Row],[Current AQI]], tbl_AQI[Current AQI], 0)</f>
        <v>1305</v>
      </c>
    </row>
    <row r="665" spans="1:8" x14ac:dyDescent="0.35">
      <c r="A665" t="s">
        <v>484</v>
      </c>
      <c r="B665" t="s">
        <v>679</v>
      </c>
      <c r="C665">
        <v>416</v>
      </c>
      <c r="D665">
        <v>200</v>
      </c>
      <c r="E665" t="s">
        <v>33</v>
      </c>
      <c r="F665">
        <f>tbl_AQI[[#This Row],[Most AQI Reached]]-tbl_AQI[[#This Row],[Current AQI]]</f>
        <v>216</v>
      </c>
      <c r="G6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65">
        <f>RANK(tbl_AQI[[#This Row],[Current AQI]], tbl_AQI[Current AQI], 0)</f>
        <v>1311</v>
      </c>
    </row>
    <row r="666" spans="1:8" x14ac:dyDescent="0.35">
      <c r="A666" t="s">
        <v>484</v>
      </c>
      <c r="B666" t="s">
        <v>680</v>
      </c>
      <c r="C666">
        <v>492</v>
      </c>
      <c r="D666">
        <v>465</v>
      </c>
      <c r="E666" t="s">
        <v>9</v>
      </c>
      <c r="F666">
        <f>tbl_AQI[[#This Row],[Most AQI Reached]]-tbl_AQI[[#This Row],[Current AQI]]</f>
        <v>27</v>
      </c>
      <c r="G6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66">
        <f>RANK(tbl_AQI[[#This Row],[Current AQI]], tbl_AQI[Current AQI], 0)</f>
        <v>78</v>
      </c>
    </row>
    <row r="667" spans="1:8" x14ac:dyDescent="0.35">
      <c r="A667" t="s">
        <v>484</v>
      </c>
      <c r="B667" t="s">
        <v>681</v>
      </c>
      <c r="C667">
        <v>395</v>
      </c>
      <c r="D667">
        <v>379</v>
      </c>
      <c r="E667" t="s">
        <v>9</v>
      </c>
      <c r="F667">
        <f>tbl_AQI[[#This Row],[Most AQI Reached]]-tbl_AQI[[#This Row],[Current AQI]]</f>
        <v>16</v>
      </c>
      <c r="G6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67">
        <f>RANK(tbl_AQI[[#This Row],[Current AQI]], tbl_AQI[Current AQI], 0)</f>
        <v>485</v>
      </c>
    </row>
    <row r="668" spans="1:8" x14ac:dyDescent="0.35">
      <c r="A668" t="s">
        <v>484</v>
      </c>
      <c r="B668" t="s">
        <v>682</v>
      </c>
      <c r="C668">
        <v>387</v>
      </c>
      <c r="D668">
        <v>274</v>
      </c>
      <c r="E668" t="s">
        <v>11</v>
      </c>
      <c r="F668">
        <f>tbl_AQI[[#This Row],[Most AQI Reached]]-tbl_AQI[[#This Row],[Current AQI]]</f>
        <v>113</v>
      </c>
      <c r="G6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68">
        <f>RANK(tbl_AQI[[#This Row],[Current AQI]], tbl_AQI[Current AQI], 0)</f>
        <v>984</v>
      </c>
    </row>
    <row r="669" spans="1:8" x14ac:dyDescent="0.35">
      <c r="A669" t="s">
        <v>484</v>
      </c>
      <c r="B669" t="s">
        <v>683</v>
      </c>
      <c r="C669">
        <v>455</v>
      </c>
      <c r="D669">
        <v>433</v>
      </c>
      <c r="E669" t="s">
        <v>9</v>
      </c>
      <c r="F669">
        <f>tbl_AQI[[#This Row],[Most AQI Reached]]-tbl_AQI[[#This Row],[Current AQI]]</f>
        <v>22</v>
      </c>
      <c r="G6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69">
        <f>RANK(tbl_AQI[[#This Row],[Current AQI]], tbl_AQI[Current AQI], 0)</f>
        <v>250</v>
      </c>
    </row>
    <row r="670" spans="1:8" x14ac:dyDescent="0.35">
      <c r="A670" t="s">
        <v>484</v>
      </c>
      <c r="B670" t="s">
        <v>684</v>
      </c>
      <c r="C670">
        <v>306</v>
      </c>
      <c r="D670">
        <v>262</v>
      </c>
      <c r="E670" t="s">
        <v>17</v>
      </c>
      <c r="F670">
        <f>tbl_AQI[[#This Row],[Most AQI Reached]]-tbl_AQI[[#This Row],[Current AQI]]</f>
        <v>44</v>
      </c>
      <c r="G6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70">
        <f>RANK(tbl_AQI[[#This Row],[Current AQI]], tbl_AQI[Current AQI], 0)</f>
        <v>1035</v>
      </c>
    </row>
    <row r="671" spans="1:8" x14ac:dyDescent="0.35">
      <c r="A671" t="s">
        <v>484</v>
      </c>
      <c r="B671" t="s">
        <v>685</v>
      </c>
      <c r="C671">
        <v>435</v>
      </c>
      <c r="D671">
        <v>428</v>
      </c>
      <c r="E671" t="s">
        <v>9</v>
      </c>
      <c r="F671">
        <f>tbl_AQI[[#This Row],[Most AQI Reached]]-tbl_AQI[[#This Row],[Current AQI]]</f>
        <v>7</v>
      </c>
      <c r="G6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71">
        <f>RANK(tbl_AQI[[#This Row],[Current AQI]], tbl_AQI[Current AQI], 0)</f>
        <v>273</v>
      </c>
    </row>
    <row r="672" spans="1:8" x14ac:dyDescent="0.35">
      <c r="A672" t="s">
        <v>484</v>
      </c>
      <c r="B672" t="s">
        <v>686</v>
      </c>
      <c r="C672">
        <v>454</v>
      </c>
      <c r="D672">
        <v>214</v>
      </c>
      <c r="E672" t="s">
        <v>9</v>
      </c>
      <c r="F672">
        <f>tbl_AQI[[#This Row],[Most AQI Reached]]-tbl_AQI[[#This Row],[Current AQI]]</f>
        <v>240</v>
      </c>
      <c r="G6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72">
        <f>RANK(tbl_AQI[[#This Row],[Current AQI]], tbl_AQI[Current AQI], 0)</f>
        <v>1257</v>
      </c>
    </row>
    <row r="673" spans="1:8" x14ac:dyDescent="0.35">
      <c r="A673" t="s">
        <v>484</v>
      </c>
      <c r="B673" t="s">
        <v>687</v>
      </c>
      <c r="C673">
        <v>246</v>
      </c>
      <c r="D673">
        <v>189</v>
      </c>
      <c r="E673" t="s">
        <v>9</v>
      </c>
      <c r="F673">
        <f>tbl_AQI[[#This Row],[Most AQI Reached]]-tbl_AQI[[#This Row],[Current AQI]]</f>
        <v>57</v>
      </c>
      <c r="G6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73">
        <f>RANK(tbl_AQI[[#This Row],[Current AQI]], tbl_AQI[Current AQI], 0)</f>
        <v>1395</v>
      </c>
    </row>
    <row r="674" spans="1:8" x14ac:dyDescent="0.35">
      <c r="A674" t="s">
        <v>484</v>
      </c>
      <c r="B674" t="s">
        <v>688</v>
      </c>
      <c r="C674">
        <v>409</v>
      </c>
      <c r="D674">
        <v>350</v>
      </c>
      <c r="E674" t="s">
        <v>33</v>
      </c>
      <c r="F674">
        <f>tbl_AQI[[#This Row],[Most AQI Reached]]-tbl_AQI[[#This Row],[Current AQI]]</f>
        <v>59</v>
      </c>
      <c r="G6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74">
        <f>RANK(tbl_AQI[[#This Row],[Current AQI]], tbl_AQI[Current AQI], 0)</f>
        <v>621</v>
      </c>
    </row>
    <row r="675" spans="1:8" x14ac:dyDescent="0.35">
      <c r="A675" t="s">
        <v>484</v>
      </c>
      <c r="B675" t="s">
        <v>689</v>
      </c>
      <c r="C675">
        <v>496</v>
      </c>
      <c r="D675">
        <v>152</v>
      </c>
      <c r="E675" t="s">
        <v>7</v>
      </c>
      <c r="F675">
        <f>tbl_AQI[[#This Row],[Most AQI Reached]]-tbl_AQI[[#This Row],[Current AQI]]</f>
        <v>344</v>
      </c>
      <c r="G6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75">
        <f>RANK(tbl_AQI[[#This Row],[Current AQI]], tbl_AQI[Current AQI], 0)</f>
        <v>2349</v>
      </c>
    </row>
    <row r="676" spans="1:8" x14ac:dyDescent="0.35">
      <c r="A676" t="s">
        <v>484</v>
      </c>
      <c r="B676" t="s">
        <v>690</v>
      </c>
      <c r="C676">
        <v>499</v>
      </c>
      <c r="D676">
        <v>468</v>
      </c>
      <c r="E676" t="s">
        <v>7</v>
      </c>
      <c r="F676">
        <f>tbl_AQI[[#This Row],[Most AQI Reached]]-tbl_AQI[[#This Row],[Current AQI]]</f>
        <v>31</v>
      </c>
      <c r="G6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76">
        <f>RANK(tbl_AQI[[#This Row],[Current AQI]], tbl_AQI[Current AQI], 0)</f>
        <v>66</v>
      </c>
    </row>
    <row r="677" spans="1:8" x14ac:dyDescent="0.35">
      <c r="A677" t="s">
        <v>484</v>
      </c>
      <c r="B677" t="s">
        <v>691</v>
      </c>
      <c r="C677">
        <v>295</v>
      </c>
      <c r="D677">
        <v>184</v>
      </c>
      <c r="E677" t="s">
        <v>17</v>
      </c>
      <c r="F677">
        <f>tbl_AQI[[#This Row],[Most AQI Reached]]-tbl_AQI[[#This Row],[Current AQI]]</f>
        <v>111</v>
      </c>
      <c r="G6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77">
        <f>RANK(tbl_AQI[[#This Row],[Current AQI]], tbl_AQI[Current AQI], 0)</f>
        <v>1544</v>
      </c>
    </row>
    <row r="678" spans="1:8" x14ac:dyDescent="0.35">
      <c r="A678" t="s">
        <v>484</v>
      </c>
      <c r="B678" t="s">
        <v>692</v>
      </c>
      <c r="C678">
        <v>496</v>
      </c>
      <c r="D678">
        <v>199</v>
      </c>
      <c r="E678" t="s">
        <v>7</v>
      </c>
      <c r="F678">
        <f>tbl_AQI[[#This Row],[Most AQI Reached]]-tbl_AQI[[#This Row],[Current AQI]]</f>
        <v>297</v>
      </c>
      <c r="G6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78">
        <f>RANK(tbl_AQI[[#This Row],[Current AQI]], tbl_AQI[Current AQI], 0)</f>
        <v>1314</v>
      </c>
    </row>
    <row r="679" spans="1:8" x14ac:dyDescent="0.35">
      <c r="A679" t="s">
        <v>484</v>
      </c>
      <c r="B679" t="s">
        <v>693</v>
      </c>
      <c r="C679">
        <v>472</v>
      </c>
      <c r="D679">
        <v>419</v>
      </c>
      <c r="E679" t="s">
        <v>7</v>
      </c>
      <c r="F679">
        <f>tbl_AQI[[#This Row],[Most AQI Reached]]-tbl_AQI[[#This Row],[Current AQI]]</f>
        <v>53</v>
      </c>
      <c r="G6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79">
        <f>RANK(tbl_AQI[[#This Row],[Current AQI]], tbl_AQI[Current AQI], 0)</f>
        <v>311</v>
      </c>
    </row>
    <row r="680" spans="1:8" x14ac:dyDescent="0.35">
      <c r="A680" t="s">
        <v>484</v>
      </c>
      <c r="B680" t="s">
        <v>694</v>
      </c>
      <c r="C680">
        <v>443</v>
      </c>
      <c r="D680">
        <v>254</v>
      </c>
      <c r="E680" t="s">
        <v>15</v>
      </c>
      <c r="F680">
        <f>tbl_AQI[[#This Row],[Most AQI Reached]]-tbl_AQI[[#This Row],[Current AQI]]</f>
        <v>189</v>
      </c>
      <c r="G6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80">
        <f>RANK(tbl_AQI[[#This Row],[Current AQI]], tbl_AQI[Current AQI], 0)</f>
        <v>1073</v>
      </c>
    </row>
    <row r="681" spans="1:8" x14ac:dyDescent="0.35">
      <c r="A681" t="s">
        <v>484</v>
      </c>
      <c r="B681" t="s">
        <v>695</v>
      </c>
      <c r="C681">
        <v>428</v>
      </c>
      <c r="D681">
        <v>420</v>
      </c>
      <c r="E681" t="s">
        <v>9</v>
      </c>
      <c r="F681">
        <f>tbl_AQI[[#This Row],[Most AQI Reached]]-tbl_AQI[[#This Row],[Current AQI]]</f>
        <v>8</v>
      </c>
      <c r="G6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81">
        <f>RANK(tbl_AQI[[#This Row],[Current AQI]], tbl_AQI[Current AQI], 0)</f>
        <v>307</v>
      </c>
    </row>
    <row r="682" spans="1:8" x14ac:dyDescent="0.35">
      <c r="A682" t="s">
        <v>484</v>
      </c>
      <c r="B682" t="s">
        <v>696</v>
      </c>
      <c r="C682">
        <v>374</v>
      </c>
      <c r="D682">
        <v>357</v>
      </c>
      <c r="E682" t="s">
        <v>21</v>
      </c>
      <c r="F682">
        <f>tbl_AQI[[#This Row],[Most AQI Reached]]-tbl_AQI[[#This Row],[Current AQI]]</f>
        <v>17</v>
      </c>
      <c r="G6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82">
        <f>RANK(tbl_AQI[[#This Row],[Current AQI]], tbl_AQI[Current AQI], 0)</f>
        <v>592</v>
      </c>
    </row>
    <row r="683" spans="1:8" x14ac:dyDescent="0.35">
      <c r="A683" t="s">
        <v>484</v>
      </c>
      <c r="B683" t="s">
        <v>697</v>
      </c>
      <c r="C683">
        <v>386</v>
      </c>
      <c r="D683">
        <v>384</v>
      </c>
      <c r="E683" t="s">
        <v>21</v>
      </c>
      <c r="F683">
        <f>tbl_AQI[[#This Row],[Most AQI Reached]]-tbl_AQI[[#This Row],[Current AQI]]</f>
        <v>2</v>
      </c>
      <c r="G6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83">
        <f>RANK(tbl_AQI[[#This Row],[Current AQI]], tbl_AQI[Current AQI], 0)</f>
        <v>463</v>
      </c>
    </row>
    <row r="684" spans="1:8" x14ac:dyDescent="0.35">
      <c r="A684" t="s">
        <v>484</v>
      </c>
      <c r="B684" t="s">
        <v>698</v>
      </c>
      <c r="C684">
        <v>238</v>
      </c>
      <c r="D684">
        <v>169</v>
      </c>
      <c r="E684" t="s">
        <v>33</v>
      </c>
      <c r="F684">
        <f>tbl_AQI[[#This Row],[Most AQI Reached]]-tbl_AQI[[#This Row],[Current AQI]]</f>
        <v>69</v>
      </c>
      <c r="G6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84">
        <f>RANK(tbl_AQI[[#This Row],[Current AQI]], tbl_AQI[Current AQI], 0)</f>
        <v>1925</v>
      </c>
    </row>
    <row r="685" spans="1:8" x14ac:dyDescent="0.35">
      <c r="A685" t="s">
        <v>484</v>
      </c>
      <c r="B685" t="s">
        <v>699</v>
      </c>
      <c r="C685">
        <v>310</v>
      </c>
      <c r="D685">
        <v>200</v>
      </c>
      <c r="E685" t="s">
        <v>11</v>
      </c>
      <c r="F685">
        <f>tbl_AQI[[#This Row],[Most AQI Reached]]-tbl_AQI[[#This Row],[Current AQI]]</f>
        <v>110</v>
      </c>
      <c r="G6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85">
        <f>RANK(tbl_AQI[[#This Row],[Current AQI]], tbl_AQI[Current AQI], 0)</f>
        <v>1311</v>
      </c>
    </row>
    <row r="686" spans="1:8" x14ac:dyDescent="0.35">
      <c r="A686" t="s">
        <v>484</v>
      </c>
      <c r="B686" t="s">
        <v>700</v>
      </c>
      <c r="C686">
        <v>493</v>
      </c>
      <c r="D686">
        <v>377</v>
      </c>
      <c r="E686" t="s">
        <v>7</v>
      </c>
      <c r="F686">
        <f>tbl_AQI[[#This Row],[Most AQI Reached]]-tbl_AQI[[#This Row],[Current AQI]]</f>
        <v>116</v>
      </c>
      <c r="G6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86">
        <f>RANK(tbl_AQI[[#This Row],[Current AQI]], tbl_AQI[Current AQI], 0)</f>
        <v>500</v>
      </c>
    </row>
    <row r="687" spans="1:8" x14ac:dyDescent="0.35">
      <c r="A687" t="s">
        <v>484</v>
      </c>
      <c r="B687" t="s">
        <v>701</v>
      </c>
      <c r="C687">
        <v>416</v>
      </c>
      <c r="D687">
        <v>328</v>
      </c>
      <c r="E687" t="s">
        <v>17</v>
      </c>
      <c r="F687">
        <f>tbl_AQI[[#This Row],[Most AQI Reached]]-tbl_AQI[[#This Row],[Current AQI]]</f>
        <v>88</v>
      </c>
      <c r="G6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87">
        <f>RANK(tbl_AQI[[#This Row],[Current AQI]], tbl_AQI[Current AQI], 0)</f>
        <v>741</v>
      </c>
    </row>
    <row r="688" spans="1:8" x14ac:dyDescent="0.35">
      <c r="A688" t="s">
        <v>484</v>
      </c>
      <c r="B688" t="s">
        <v>702</v>
      </c>
      <c r="C688">
        <v>396</v>
      </c>
      <c r="D688">
        <v>363</v>
      </c>
      <c r="E688" t="s">
        <v>7</v>
      </c>
      <c r="F688">
        <f>tbl_AQI[[#This Row],[Most AQI Reached]]-tbl_AQI[[#This Row],[Current AQI]]</f>
        <v>33</v>
      </c>
      <c r="G6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88">
        <f>RANK(tbl_AQI[[#This Row],[Current AQI]], tbl_AQI[Current AQI], 0)</f>
        <v>564</v>
      </c>
    </row>
    <row r="689" spans="1:8" x14ac:dyDescent="0.35">
      <c r="A689" t="s">
        <v>484</v>
      </c>
      <c r="B689" t="s">
        <v>703</v>
      </c>
      <c r="C689">
        <v>386</v>
      </c>
      <c r="D689">
        <v>245</v>
      </c>
      <c r="E689" t="s">
        <v>33</v>
      </c>
      <c r="F689">
        <f>tbl_AQI[[#This Row],[Most AQI Reached]]-tbl_AQI[[#This Row],[Current AQI]]</f>
        <v>141</v>
      </c>
      <c r="G6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89">
        <f>RANK(tbl_AQI[[#This Row],[Current AQI]], tbl_AQI[Current AQI], 0)</f>
        <v>1121</v>
      </c>
    </row>
    <row r="690" spans="1:8" x14ac:dyDescent="0.35">
      <c r="A690" t="s">
        <v>484</v>
      </c>
      <c r="B690" t="s">
        <v>704</v>
      </c>
      <c r="C690">
        <v>366</v>
      </c>
      <c r="D690">
        <v>361</v>
      </c>
      <c r="E690" t="s">
        <v>7</v>
      </c>
      <c r="F690">
        <f>tbl_AQI[[#This Row],[Most AQI Reached]]-tbl_AQI[[#This Row],[Current AQI]]</f>
        <v>5</v>
      </c>
      <c r="G6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90">
        <f>RANK(tbl_AQI[[#This Row],[Current AQI]], tbl_AQI[Current AQI], 0)</f>
        <v>570</v>
      </c>
    </row>
    <row r="691" spans="1:8" x14ac:dyDescent="0.35">
      <c r="A691" t="s">
        <v>484</v>
      </c>
      <c r="B691" t="s">
        <v>705</v>
      </c>
      <c r="C691">
        <v>294</v>
      </c>
      <c r="D691">
        <v>260</v>
      </c>
      <c r="E691" t="s">
        <v>9</v>
      </c>
      <c r="F691">
        <f>tbl_AQI[[#This Row],[Most AQI Reached]]-tbl_AQI[[#This Row],[Current AQI]]</f>
        <v>34</v>
      </c>
      <c r="G6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91">
        <f>RANK(tbl_AQI[[#This Row],[Current AQI]], tbl_AQI[Current AQI], 0)</f>
        <v>1040</v>
      </c>
    </row>
    <row r="692" spans="1:8" x14ac:dyDescent="0.35">
      <c r="A692" t="s">
        <v>484</v>
      </c>
      <c r="B692" t="s">
        <v>706</v>
      </c>
      <c r="C692">
        <v>493</v>
      </c>
      <c r="D692">
        <v>478</v>
      </c>
      <c r="E692" t="s">
        <v>21</v>
      </c>
      <c r="F692">
        <f>tbl_AQI[[#This Row],[Most AQI Reached]]-tbl_AQI[[#This Row],[Current AQI]]</f>
        <v>15</v>
      </c>
      <c r="G6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92">
        <f>RANK(tbl_AQI[[#This Row],[Current AQI]], tbl_AQI[Current AQI], 0)</f>
        <v>11</v>
      </c>
    </row>
    <row r="693" spans="1:8" x14ac:dyDescent="0.35">
      <c r="A693" t="s">
        <v>484</v>
      </c>
      <c r="B693" t="s">
        <v>707</v>
      </c>
      <c r="C693">
        <v>186</v>
      </c>
      <c r="D693">
        <v>155</v>
      </c>
      <c r="E693" t="s">
        <v>33</v>
      </c>
      <c r="F693">
        <f>tbl_AQI[[#This Row],[Most AQI Reached]]-tbl_AQI[[#This Row],[Current AQI]]</f>
        <v>31</v>
      </c>
      <c r="G6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93">
        <f>RANK(tbl_AQI[[#This Row],[Current AQI]], tbl_AQI[Current AQI], 0)</f>
        <v>2275</v>
      </c>
    </row>
    <row r="694" spans="1:8" x14ac:dyDescent="0.35">
      <c r="A694" t="s">
        <v>484</v>
      </c>
      <c r="B694" t="s">
        <v>708</v>
      </c>
      <c r="C694">
        <v>402</v>
      </c>
      <c r="D694">
        <v>289</v>
      </c>
      <c r="E694" t="s">
        <v>9</v>
      </c>
      <c r="F694">
        <f>tbl_AQI[[#This Row],[Most AQI Reached]]-tbl_AQI[[#This Row],[Current AQI]]</f>
        <v>113</v>
      </c>
      <c r="G6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94">
        <f>RANK(tbl_AQI[[#This Row],[Current AQI]], tbl_AQI[Current AQI], 0)</f>
        <v>910</v>
      </c>
    </row>
    <row r="695" spans="1:8" x14ac:dyDescent="0.35">
      <c r="A695" t="s">
        <v>484</v>
      </c>
      <c r="B695" t="s">
        <v>709</v>
      </c>
      <c r="C695">
        <v>404</v>
      </c>
      <c r="D695">
        <v>382</v>
      </c>
      <c r="E695" t="s">
        <v>7</v>
      </c>
      <c r="F695">
        <f>tbl_AQI[[#This Row],[Most AQI Reached]]-tbl_AQI[[#This Row],[Current AQI]]</f>
        <v>22</v>
      </c>
      <c r="G6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95">
        <f>RANK(tbl_AQI[[#This Row],[Current AQI]], tbl_AQI[Current AQI], 0)</f>
        <v>471</v>
      </c>
    </row>
    <row r="696" spans="1:8" x14ac:dyDescent="0.35">
      <c r="A696" t="s">
        <v>484</v>
      </c>
      <c r="B696" t="s">
        <v>710</v>
      </c>
      <c r="C696">
        <v>498</v>
      </c>
      <c r="D696">
        <v>405</v>
      </c>
      <c r="E696" t="s">
        <v>7</v>
      </c>
      <c r="F696">
        <f>tbl_AQI[[#This Row],[Most AQI Reached]]-tbl_AQI[[#This Row],[Current AQI]]</f>
        <v>93</v>
      </c>
      <c r="G6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696">
        <f>RANK(tbl_AQI[[#This Row],[Current AQI]], tbl_AQI[Current AQI], 0)</f>
        <v>370</v>
      </c>
    </row>
    <row r="697" spans="1:8" x14ac:dyDescent="0.35">
      <c r="A697" t="s">
        <v>484</v>
      </c>
      <c r="B697" t="s">
        <v>711</v>
      </c>
      <c r="C697">
        <v>159</v>
      </c>
      <c r="D697">
        <v>152</v>
      </c>
      <c r="E697" t="s">
        <v>17</v>
      </c>
      <c r="F697">
        <f>tbl_AQI[[#This Row],[Most AQI Reached]]-tbl_AQI[[#This Row],[Current AQI]]</f>
        <v>7</v>
      </c>
      <c r="G6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697">
        <f>RANK(tbl_AQI[[#This Row],[Current AQI]], tbl_AQI[Current AQI], 0)</f>
        <v>2349</v>
      </c>
    </row>
    <row r="698" spans="1:8" x14ac:dyDescent="0.35">
      <c r="A698" t="s">
        <v>484</v>
      </c>
      <c r="B698" t="s">
        <v>712</v>
      </c>
      <c r="C698">
        <v>343</v>
      </c>
      <c r="D698">
        <v>287</v>
      </c>
      <c r="E698" t="s">
        <v>15</v>
      </c>
      <c r="F698">
        <f>tbl_AQI[[#This Row],[Most AQI Reached]]-tbl_AQI[[#This Row],[Current AQI]]</f>
        <v>56</v>
      </c>
      <c r="G6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698">
        <f>RANK(tbl_AQI[[#This Row],[Current AQI]], tbl_AQI[Current AQI], 0)</f>
        <v>920</v>
      </c>
    </row>
    <row r="699" spans="1:8" x14ac:dyDescent="0.35">
      <c r="A699" t="s">
        <v>484</v>
      </c>
      <c r="B699" t="s">
        <v>713</v>
      </c>
      <c r="C699">
        <v>463</v>
      </c>
      <c r="D699">
        <v>375</v>
      </c>
      <c r="E699" t="s">
        <v>7</v>
      </c>
      <c r="F699">
        <f>tbl_AQI[[#This Row],[Most AQI Reached]]-tbl_AQI[[#This Row],[Current AQI]]</f>
        <v>88</v>
      </c>
      <c r="G6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699">
        <f>RANK(tbl_AQI[[#This Row],[Current AQI]], tbl_AQI[Current AQI], 0)</f>
        <v>514</v>
      </c>
    </row>
    <row r="700" spans="1:8" x14ac:dyDescent="0.35">
      <c r="A700" t="s">
        <v>484</v>
      </c>
      <c r="B700" t="s">
        <v>714</v>
      </c>
      <c r="C700">
        <v>419</v>
      </c>
      <c r="D700">
        <v>263</v>
      </c>
      <c r="E700" t="s">
        <v>15</v>
      </c>
      <c r="F700">
        <f>tbl_AQI[[#This Row],[Most AQI Reached]]-tbl_AQI[[#This Row],[Current AQI]]</f>
        <v>156</v>
      </c>
      <c r="G7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00">
        <f>RANK(tbl_AQI[[#This Row],[Current AQI]], tbl_AQI[Current AQI], 0)</f>
        <v>1031</v>
      </c>
    </row>
    <row r="701" spans="1:8" x14ac:dyDescent="0.35">
      <c r="A701" t="s">
        <v>484</v>
      </c>
      <c r="B701" t="s">
        <v>715</v>
      </c>
      <c r="C701">
        <v>479</v>
      </c>
      <c r="D701">
        <v>454</v>
      </c>
      <c r="E701" t="s">
        <v>9</v>
      </c>
      <c r="F701">
        <f>tbl_AQI[[#This Row],[Most AQI Reached]]-tbl_AQI[[#This Row],[Current AQI]]</f>
        <v>25</v>
      </c>
      <c r="G7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01">
        <f>RANK(tbl_AQI[[#This Row],[Current AQI]], tbl_AQI[Current AQI], 0)</f>
        <v>131</v>
      </c>
    </row>
    <row r="702" spans="1:8" x14ac:dyDescent="0.35">
      <c r="A702" t="s">
        <v>484</v>
      </c>
      <c r="B702" t="s">
        <v>716</v>
      </c>
      <c r="C702">
        <v>299</v>
      </c>
      <c r="D702">
        <v>218</v>
      </c>
      <c r="E702" t="s">
        <v>15</v>
      </c>
      <c r="F702">
        <f>tbl_AQI[[#This Row],[Most AQI Reached]]-tbl_AQI[[#This Row],[Current AQI]]</f>
        <v>81</v>
      </c>
      <c r="G7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02">
        <f>RANK(tbl_AQI[[#This Row],[Current AQI]], tbl_AQI[Current AQI], 0)</f>
        <v>1238</v>
      </c>
    </row>
    <row r="703" spans="1:8" x14ac:dyDescent="0.35">
      <c r="A703" t="s">
        <v>484</v>
      </c>
      <c r="B703" t="s">
        <v>717</v>
      </c>
      <c r="C703">
        <v>297</v>
      </c>
      <c r="D703">
        <v>277</v>
      </c>
      <c r="E703" t="s">
        <v>9</v>
      </c>
      <c r="F703">
        <f>tbl_AQI[[#This Row],[Most AQI Reached]]-tbl_AQI[[#This Row],[Current AQI]]</f>
        <v>20</v>
      </c>
      <c r="G7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03">
        <f>RANK(tbl_AQI[[#This Row],[Current AQI]], tbl_AQI[Current AQI], 0)</f>
        <v>968</v>
      </c>
    </row>
    <row r="704" spans="1:8" x14ac:dyDescent="0.35">
      <c r="A704" t="s">
        <v>484</v>
      </c>
      <c r="B704" t="s">
        <v>718</v>
      </c>
      <c r="C704">
        <v>486</v>
      </c>
      <c r="D704">
        <v>474</v>
      </c>
      <c r="E704" t="s">
        <v>9</v>
      </c>
      <c r="F704">
        <f>tbl_AQI[[#This Row],[Most AQI Reached]]-tbl_AQI[[#This Row],[Current AQI]]</f>
        <v>12</v>
      </c>
      <c r="G7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04">
        <f>RANK(tbl_AQI[[#This Row],[Current AQI]], tbl_AQI[Current AQI], 0)</f>
        <v>28</v>
      </c>
    </row>
    <row r="705" spans="1:8" x14ac:dyDescent="0.35">
      <c r="A705" t="s">
        <v>484</v>
      </c>
      <c r="B705" t="s">
        <v>719</v>
      </c>
      <c r="C705">
        <v>470</v>
      </c>
      <c r="D705">
        <v>470</v>
      </c>
      <c r="E705" t="s">
        <v>7</v>
      </c>
      <c r="F705">
        <f>tbl_AQI[[#This Row],[Most AQI Reached]]-tbl_AQI[[#This Row],[Current AQI]]</f>
        <v>0</v>
      </c>
      <c r="G7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05">
        <f>RANK(tbl_AQI[[#This Row],[Current AQI]], tbl_AQI[Current AQI], 0)</f>
        <v>53</v>
      </c>
    </row>
    <row r="706" spans="1:8" x14ac:dyDescent="0.35">
      <c r="A706" t="s">
        <v>484</v>
      </c>
      <c r="B706" t="s">
        <v>720</v>
      </c>
      <c r="C706">
        <v>294</v>
      </c>
      <c r="D706">
        <v>239</v>
      </c>
      <c r="E706" t="s">
        <v>33</v>
      </c>
      <c r="F706">
        <f>tbl_AQI[[#This Row],[Most AQI Reached]]-tbl_AQI[[#This Row],[Current AQI]]</f>
        <v>55</v>
      </c>
      <c r="G7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06">
        <f>RANK(tbl_AQI[[#This Row],[Current AQI]], tbl_AQI[Current AQI], 0)</f>
        <v>1145</v>
      </c>
    </row>
    <row r="707" spans="1:8" x14ac:dyDescent="0.35">
      <c r="A707" t="s">
        <v>484</v>
      </c>
      <c r="B707" t="s">
        <v>721</v>
      </c>
      <c r="C707">
        <v>419</v>
      </c>
      <c r="D707">
        <v>244</v>
      </c>
      <c r="E707" t="s">
        <v>11</v>
      </c>
      <c r="F707">
        <f>tbl_AQI[[#This Row],[Most AQI Reached]]-tbl_AQI[[#This Row],[Current AQI]]</f>
        <v>175</v>
      </c>
      <c r="G7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07">
        <f>RANK(tbl_AQI[[#This Row],[Current AQI]], tbl_AQI[Current AQI], 0)</f>
        <v>1127</v>
      </c>
    </row>
    <row r="708" spans="1:8" x14ac:dyDescent="0.35">
      <c r="A708" t="s">
        <v>484</v>
      </c>
      <c r="B708" t="s">
        <v>722</v>
      </c>
      <c r="C708">
        <v>425</v>
      </c>
      <c r="D708">
        <v>379</v>
      </c>
      <c r="E708" t="s">
        <v>9</v>
      </c>
      <c r="F708">
        <f>tbl_AQI[[#This Row],[Most AQI Reached]]-tbl_AQI[[#This Row],[Current AQI]]</f>
        <v>46</v>
      </c>
      <c r="G7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08">
        <f>RANK(tbl_AQI[[#This Row],[Current AQI]], tbl_AQI[Current AQI], 0)</f>
        <v>485</v>
      </c>
    </row>
    <row r="709" spans="1:8" x14ac:dyDescent="0.35">
      <c r="A709" t="s">
        <v>484</v>
      </c>
      <c r="B709" t="s">
        <v>723</v>
      </c>
      <c r="C709">
        <v>488</v>
      </c>
      <c r="D709">
        <v>228</v>
      </c>
      <c r="E709" t="s">
        <v>21</v>
      </c>
      <c r="F709">
        <f>tbl_AQI[[#This Row],[Most AQI Reached]]-tbl_AQI[[#This Row],[Current AQI]]</f>
        <v>260</v>
      </c>
      <c r="G7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09">
        <f>RANK(tbl_AQI[[#This Row],[Current AQI]], tbl_AQI[Current AQI], 0)</f>
        <v>1195</v>
      </c>
    </row>
    <row r="710" spans="1:8" x14ac:dyDescent="0.35">
      <c r="A710" t="s">
        <v>484</v>
      </c>
      <c r="B710" t="s">
        <v>724</v>
      </c>
      <c r="C710">
        <v>477</v>
      </c>
      <c r="D710">
        <v>321</v>
      </c>
      <c r="E710" t="s">
        <v>21</v>
      </c>
      <c r="F710">
        <f>tbl_AQI[[#This Row],[Most AQI Reached]]-tbl_AQI[[#This Row],[Current AQI]]</f>
        <v>156</v>
      </c>
      <c r="G7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10">
        <f>RANK(tbl_AQI[[#This Row],[Current AQI]], tbl_AQI[Current AQI], 0)</f>
        <v>770</v>
      </c>
    </row>
    <row r="711" spans="1:8" x14ac:dyDescent="0.35">
      <c r="A711" t="s">
        <v>484</v>
      </c>
      <c r="B711" t="s">
        <v>725</v>
      </c>
      <c r="C711">
        <v>402</v>
      </c>
      <c r="D711">
        <v>318</v>
      </c>
      <c r="E711" t="s">
        <v>33</v>
      </c>
      <c r="F711">
        <f>tbl_AQI[[#This Row],[Most AQI Reached]]-tbl_AQI[[#This Row],[Current AQI]]</f>
        <v>84</v>
      </c>
      <c r="G7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11">
        <f>RANK(tbl_AQI[[#This Row],[Current AQI]], tbl_AQI[Current AQI], 0)</f>
        <v>786</v>
      </c>
    </row>
    <row r="712" spans="1:8" x14ac:dyDescent="0.35">
      <c r="A712" t="s">
        <v>484</v>
      </c>
      <c r="B712" t="s">
        <v>726</v>
      </c>
      <c r="C712">
        <v>457</v>
      </c>
      <c r="D712">
        <v>420</v>
      </c>
      <c r="E712" t="s">
        <v>7</v>
      </c>
      <c r="F712">
        <f>tbl_AQI[[#This Row],[Most AQI Reached]]-tbl_AQI[[#This Row],[Current AQI]]</f>
        <v>37</v>
      </c>
      <c r="G7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12">
        <f>RANK(tbl_AQI[[#This Row],[Current AQI]], tbl_AQI[Current AQI], 0)</f>
        <v>307</v>
      </c>
    </row>
    <row r="713" spans="1:8" x14ac:dyDescent="0.35">
      <c r="A713" t="s">
        <v>484</v>
      </c>
      <c r="B713" t="s">
        <v>727</v>
      </c>
      <c r="C713">
        <v>373</v>
      </c>
      <c r="D713">
        <v>367</v>
      </c>
      <c r="E713" t="s">
        <v>21</v>
      </c>
      <c r="F713">
        <f>tbl_AQI[[#This Row],[Most AQI Reached]]-tbl_AQI[[#This Row],[Current AQI]]</f>
        <v>6</v>
      </c>
      <c r="G7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13">
        <f>RANK(tbl_AQI[[#This Row],[Current AQI]], tbl_AQI[Current AQI], 0)</f>
        <v>551</v>
      </c>
    </row>
    <row r="714" spans="1:8" x14ac:dyDescent="0.35">
      <c r="A714" t="s">
        <v>484</v>
      </c>
      <c r="B714" t="s">
        <v>728</v>
      </c>
      <c r="C714">
        <v>436</v>
      </c>
      <c r="D714">
        <v>313</v>
      </c>
      <c r="E714" t="s">
        <v>33</v>
      </c>
      <c r="F714">
        <f>tbl_AQI[[#This Row],[Most AQI Reached]]-tbl_AQI[[#This Row],[Current AQI]]</f>
        <v>123</v>
      </c>
      <c r="G7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14">
        <f>RANK(tbl_AQI[[#This Row],[Current AQI]], tbl_AQI[Current AQI], 0)</f>
        <v>809</v>
      </c>
    </row>
    <row r="715" spans="1:8" x14ac:dyDescent="0.35">
      <c r="A715" t="s">
        <v>484</v>
      </c>
      <c r="B715" t="s">
        <v>729</v>
      </c>
      <c r="C715">
        <v>389</v>
      </c>
      <c r="D715">
        <v>295</v>
      </c>
      <c r="E715" t="s">
        <v>11</v>
      </c>
      <c r="F715">
        <f>tbl_AQI[[#This Row],[Most AQI Reached]]-tbl_AQI[[#This Row],[Current AQI]]</f>
        <v>94</v>
      </c>
      <c r="G7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15">
        <f>RANK(tbl_AQI[[#This Row],[Current AQI]], tbl_AQI[Current AQI], 0)</f>
        <v>881</v>
      </c>
    </row>
    <row r="716" spans="1:8" x14ac:dyDescent="0.35">
      <c r="A716" t="s">
        <v>484</v>
      </c>
      <c r="B716" t="s">
        <v>730</v>
      </c>
      <c r="C716">
        <v>376</v>
      </c>
      <c r="D716">
        <v>290</v>
      </c>
      <c r="E716" t="s">
        <v>7</v>
      </c>
      <c r="F716">
        <f>tbl_AQI[[#This Row],[Most AQI Reached]]-tbl_AQI[[#This Row],[Current AQI]]</f>
        <v>86</v>
      </c>
      <c r="G7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16">
        <f>RANK(tbl_AQI[[#This Row],[Current AQI]], tbl_AQI[Current AQI], 0)</f>
        <v>905</v>
      </c>
    </row>
    <row r="717" spans="1:8" x14ac:dyDescent="0.35">
      <c r="A717" t="s">
        <v>484</v>
      </c>
      <c r="B717" t="s">
        <v>731</v>
      </c>
      <c r="C717">
        <v>491</v>
      </c>
      <c r="D717">
        <v>476</v>
      </c>
      <c r="E717" t="s">
        <v>9</v>
      </c>
      <c r="F717">
        <f>tbl_AQI[[#This Row],[Most AQI Reached]]-tbl_AQI[[#This Row],[Current AQI]]</f>
        <v>15</v>
      </c>
      <c r="G7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17">
        <f>RANK(tbl_AQI[[#This Row],[Current AQI]], tbl_AQI[Current AQI], 0)</f>
        <v>18</v>
      </c>
    </row>
    <row r="718" spans="1:8" x14ac:dyDescent="0.35">
      <c r="A718" t="s">
        <v>484</v>
      </c>
      <c r="B718" t="s">
        <v>732</v>
      </c>
      <c r="C718">
        <v>495</v>
      </c>
      <c r="D718">
        <v>423</v>
      </c>
      <c r="E718" t="s">
        <v>21</v>
      </c>
      <c r="F718">
        <f>tbl_AQI[[#This Row],[Most AQI Reached]]-tbl_AQI[[#This Row],[Current AQI]]</f>
        <v>72</v>
      </c>
      <c r="G7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18">
        <f>RANK(tbl_AQI[[#This Row],[Current AQI]], tbl_AQI[Current AQI], 0)</f>
        <v>295</v>
      </c>
    </row>
    <row r="719" spans="1:8" x14ac:dyDescent="0.35">
      <c r="A719" t="s">
        <v>484</v>
      </c>
      <c r="B719" t="s">
        <v>733</v>
      </c>
      <c r="C719">
        <v>414</v>
      </c>
      <c r="D719">
        <v>303</v>
      </c>
      <c r="E719" t="s">
        <v>9</v>
      </c>
      <c r="F719">
        <f>tbl_AQI[[#This Row],[Most AQI Reached]]-tbl_AQI[[#This Row],[Current AQI]]</f>
        <v>111</v>
      </c>
      <c r="G7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19">
        <f>RANK(tbl_AQI[[#This Row],[Current AQI]], tbl_AQI[Current AQI], 0)</f>
        <v>838</v>
      </c>
    </row>
    <row r="720" spans="1:8" x14ac:dyDescent="0.35">
      <c r="A720" t="s">
        <v>484</v>
      </c>
      <c r="B720" t="s">
        <v>734</v>
      </c>
      <c r="C720">
        <v>490</v>
      </c>
      <c r="D720">
        <v>462</v>
      </c>
      <c r="E720" t="s">
        <v>7</v>
      </c>
      <c r="F720">
        <f>tbl_AQI[[#This Row],[Most AQI Reached]]-tbl_AQI[[#This Row],[Current AQI]]</f>
        <v>28</v>
      </c>
      <c r="G7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20">
        <f>RANK(tbl_AQI[[#This Row],[Current AQI]], tbl_AQI[Current AQI], 0)</f>
        <v>92</v>
      </c>
    </row>
    <row r="721" spans="1:8" x14ac:dyDescent="0.35">
      <c r="A721" t="s">
        <v>484</v>
      </c>
      <c r="B721" t="s">
        <v>735</v>
      </c>
      <c r="C721">
        <v>485</v>
      </c>
      <c r="D721">
        <v>454</v>
      </c>
      <c r="E721" t="s">
        <v>9</v>
      </c>
      <c r="F721">
        <f>tbl_AQI[[#This Row],[Most AQI Reached]]-tbl_AQI[[#This Row],[Current AQI]]</f>
        <v>31</v>
      </c>
      <c r="G7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21">
        <f>RANK(tbl_AQI[[#This Row],[Current AQI]], tbl_AQI[Current AQI], 0)</f>
        <v>131</v>
      </c>
    </row>
    <row r="722" spans="1:8" x14ac:dyDescent="0.35">
      <c r="A722" t="s">
        <v>484</v>
      </c>
      <c r="B722" t="s">
        <v>736</v>
      </c>
      <c r="C722">
        <v>394</v>
      </c>
      <c r="D722">
        <v>220</v>
      </c>
      <c r="E722" t="s">
        <v>15</v>
      </c>
      <c r="F722">
        <f>tbl_AQI[[#This Row],[Most AQI Reached]]-tbl_AQI[[#This Row],[Current AQI]]</f>
        <v>174</v>
      </c>
      <c r="G7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22">
        <f>RANK(tbl_AQI[[#This Row],[Current AQI]], tbl_AQI[Current AQI], 0)</f>
        <v>1227</v>
      </c>
    </row>
    <row r="723" spans="1:8" x14ac:dyDescent="0.35">
      <c r="A723" t="s">
        <v>484</v>
      </c>
      <c r="B723" t="s">
        <v>737</v>
      </c>
      <c r="C723">
        <v>429</v>
      </c>
      <c r="D723">
        <v>332</v>
      </c>
      <c r="E723" t="s">
        <v>21</v>
      </c>
      <c r="F723">
        <f>tbl_AQI[[#This Row],[Most AQI Reached]]-tbl_AQI[[#This Row],[Current AQI]]</f>
        <v>97</v>
      </c>
      <c r="G7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23">
        <f>RANK(tbl_AQI[[#This Row],[Current AQI]], tbl_AQI[Current AQI], 0)</f>
        <v>725</v>
      </c>
    </row>
    <row r="724" spans="1:8" x14ac:dyDescent="0.35">
      <c r="A724" t="s">
        <v>484</v>
      </c>
      <c r="B724" t="s">
        <v>738</v>
      </c>
      <c r="C724">
        <v>467</v>
      </c>
      <c r="D724">
        <v>441</v>
      </c>
      <c r="E724" t="s">
        <v>9</v>
      </c>
      <c r="F724">
        <f>tbl_AQI[[#This Row],[Most AQI Reached]]-tbl_AQI[[#This Row],[Current AQI]]</f>
        <v>26</v>
      </c>
      <c r="G7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24">
        <f>RANK(tbl_AQI[[#This Row],[Current AQI]], tbl_AQI[Current AQI], 0)</f>
        <v>203</v>
      </c>
    </row>
    <row r="725" spans="1:8" x14ac:dyDescent="0.35">
      <c r="A725" t="s">
        <v>484</v>
      </c>
      <c r="B725" t="s">
        <v>739</v>
      </c>
      <c r="C725">
        <v>280</v>
      </c>
      <c r="D725">
        <v>256</v>
      </c>
      <c r="E725" t="s">
        <v>17</v>
      </c>
      <c r="F725">
        <f>tbl_AQI[[#This Row],[Most AQI Reached]]-tbl_AQI[[#This Row],[Current AQI]]</f>
        <v>24</v>
      </c>
      <c r="G7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25">
        <f>RANK(tbl_AQI[[#This Row],[Current AQI]], tbl_AQI[Current AQI], 0)</f>
        <v>1063</v>
      </c>
    </row>
    <row r="726" spans="1:8" x14ac:dyDescent="0.35">
      <c r="A726" t="s">
        <v>484</v>
      </c>
      <c r="B726" t="s">
        <v>740</v>
      </c>
      <c r="C726">
        <v>345</v>
      </c>
      <c r="D726">
        <v>338</v>
      </c>
      <c r="E726" t="s">
        <v>17</v>
      </c>
      <c r="F726">
        <f>tbl_AQI[[#This Row],[Most AQI Reached]]-tbl_AQI[[#This Row],[Current AQI]]</f>
        <v>7</v>
      </c>
      <c r="G7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26">
        <f>RANK(tbl_AQI[[#This Row],[Current AQI]], tbl_AQI[Current AQI], 0)</f>
        <v>687</v>
      </c>
    </row>
    <row r="727" spans="1:8" x14ac:dyDescent="0.35">
      <c r="A727" t="s">
        <v>484</v>
      </c>
      <c r="B727" t="s">
        <v>741</v>
      </c>
      <c r="C727">
        <v>466</v>
      </c>
      <c r="D727">
        <v>385</v>
      </c>
      <c r="E727" t="s">
        <v>7</v>
      </c>
      <c r="F727">
        <f>tbl_AQI[[#This Row],[Most AQI Reached]]-tbl_AQI[[#This Row],[Current AQI]]</f>
        <v>81</v>
      </c>
      <c r="G7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27">
        <f>RANK(tbl_AQI[[#This Row],[Current AQI]], tbl_AQI[Current AQI], 0)</f>
        <v>459</v>
      </c>
    </row>
    <row r="728" spans="1:8" x14ac:dyDescent="0.35">
      <c r="A728" t="s">
        <v>484</v>
      </c>
      <c r="B728" t="s">
        <v>742</v>
      </c>
      <c r="C728">
        <v>485</v>
      </c>
      <c r="D728">
        <v>378</v>
      </c>
      <c r="E728" t="s">
        <v>9</v>
      </c>
      <c r="F728">
        <f>tbl_AQI[[#This Row],[Most AQI Reached]]-tbl_AQI[[#This Row],[Current AQI]]</f>
        <v>107</v>
      </c>
      <c r="G7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28">
        <f>RANK(tbl_AQI[[#This Row],[Current AQI]], tbl_AQI[Current AQI], 0)</f>
        <v>493</v>
      </c>
    </row>
    <row r="729" spans="1:8" x14ac:dyDescent="0.35">
      <c r="A729" t="s">
        <v>484</v>
      </c>
      <c r="B729" t="s">
        <v>743</v>
      </c>
      <c r="C729">
        <v>445</v>
      </c>
      <c r="D729">
        <v>413</v>
      </c>
      <c r="E729" t="s">
        <v>21</v>
      </c>
      <c r="F729">
        <f>tbl_AQI[[#This Row],[Most AQI Reached]]-tbl_AQI[[#This Row],[Current AQI]]</f>
        <v>32</v>
      </c>
      <c r="G7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29">
        <f>RANK(tbl_AQI[[#This Row],[Current AQI]], tbl_AQI[Current AQI], 0)</f>
        <v>332</v>
      </c>
    </row>
    <row r="730" spans="1:8" x14ac:dyDescent="0.35">
      <c r="A730" t="s">
        <v>484</v>
      </c>
      <c r="B730" t="s">
        <v>744</v>
      </c>
      <c r="C730">
        <v>483</v>
      </c>
      <c r="D730">
        <v>446</v>
      </c>
      <c r="E730" t="s">
        <v>7</v>
      </c>
      <c r="F730">
        <f>tbl_AQI[[#This Row],[Most AQI Reached]]-tbl_AQI[[#This Row],[Current AQI]]</f>
        <v>37</v>
      </c>
      <c r="G7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30">
        <f>RANK(tbl_AQI[[#This Row],[Current AQI]], tbl_AQI[Current AQI], 0)</f>
        <v>180</v>
      </c>
    </row>
    <row r="731" spans="1:8" x14ac:dyDescent="0.35">
      <c r="A731" t="s">
        <v>484</v>
      </c>
      <c r="B731" t="s">
        <v>745</v>
      </c>
      <c r="C731">
        <v>490</v>
      </c>
      <c r="D731">
        <v>369</v>
      </c>
      <c r="E731" t="s">
        <v>9</v>
      </c>
      <c r="F731">
        <f>tbl_AQI[[#This Row],[Most AQI Reached]]-tbl_AQI[[#This Row],[Current AQI]]</f>
        <v>121</v>
      </c>
      <c r="G7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731">
        <f>RANK(tbl_AQI[[#This Row],[Current AQI]], tbl_AQI[Current AQI], 0)</f>
        <v>543</v>
      </c>
    </row>
    <row r="732" spans="1:8" x14ac:dyDescent="0.35">
      <c r="A732" t="s">
        <v>484</v>
      </c>
      <c r="B732" t="s">
        <v>746</v>
      </c>
      <c r="C732">
        <v>483</v>
      </c>
      <c r="D732">
        <v>465</v>
      </c>
      <c r="E732" t="s">
        <v>21</v>
      </c>
      <c r="F732">
        <f>tbl_AQI[[#This Row],[Most AQI Reached]]-tbl_AQI[[#This Row],[Current AQI]]</f>
        <v>18</v>
      </c>
      <c r="G7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32">
        <f>RANK(tbl_AQI[[#This Row],[Current AQI]], tbl_AQI[Current AQI], 0)</f>
        <v>78</v>
      </c>
    </row>
    <row r="733" spans="1:8" x14ac:dyDescent="0.35">
      <c r="A733" t="s">
        <v>484</v>
      </c>
      <c r="B733" t="s">
        <v>747</v>
      </c>
      <c r="C733">
        <v>235</v>
      </c>
      <c r="D733">
        <v>219</v>
      </c>
      <c r="E733" t="s">
        <v>15</v>
      </c>
      <c r="F733">
        <f>tbl_AQI[[#This Row],[Most AQI Reached]]-tbl_AQI[[#This Row],[Current AQI]]</f>
        <v>16</v>
      </c>
      <c r="G7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33">
        <f>RANK(tbl_AQI[[#This Row],[Current AQI]], tbl_AQI[Current AQI], 0)</f>
        <v>1232</v>
      </c>
    </row>
    <row r="734" spans="1:8" x14ac:dyDescent="0.35">
      <c r="A734" t="s">
        <v>484</v>
      </c>
      <c r="B734" t="s">
        <v>748</v>
      </c>
      <c r="C734">
        <v>243</v>
      </c>
      <c r="D734">
        <v>225</v>
      </c>
      <c r="E734" t="s">
        <v>9</v>
      </c>
      <c r="F734">
        <f>tbl_AQI[[#This Row],[Most AQI Reached]]-tbl_AQI[[#This Row],[Current AQI]]</f>
        <v>18</v>
      </c>
      <c r="G7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34">
        <f>RANK(tbl_AQI[[#This Row],[Current AQI]], tbl_AQI[Current AQI], 0)</f>
        <v>1204</v>
      </c>
    </row>
    <row r="735" spans="1:8" x14ac:dyDescent="0.35">
      <c r="A735" t="s">
        <v>484</v>
      </c>
      <c r="B735" t="s">
        <v>749</v>
      </c>
      <c r="C735">
        <v>465</v>
      </c>
      <c r="D735">
        <v>403</v>
      </c>
      <c r="E735" t="s">
        <v>21</v>
      </c>
      <c r="F735">
        <f>tbl_AQI[[#This Row],[Most AQI Reached]]-tbl_AQI[[#This Row],[Current AQI]]</f>
        <v>62</v>
      </c>
      <c r="G7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735">
        <f>RANK(tbl_AQI[[#This Row],[Current AQI]], tbl_AQI[Current AQI], 0)</f>
        <v>378</v>
      </c>
    </row>
    <row r="736" spans="1:8" x14ac:dyDescent="0.35">
      <c r="A736" t="s">
        <v>484</v>
      </c>
      <c r="B736" t="s">
        <v>750</v>
      </c>
      <c r="C736">
        <v>364</v>
      </c>
      <c r="D736">
        <v>252</v>
      </c>
      <c r="E736" t="s">
        <v>21</v>
      </c>
      <c r="F736">
        <f>tbl_AQI[[#This Row],[Most AQI Reached]]-tbl_AQI[[#This Row],[Current AQI]]</f>
        <v>112</v>
      </c>
      <c r="G7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736">
        <f>RANK(tbl_AQI[[#This Row],[Current AQI]], tbl_AQI[Current AQI], 0)</f>
        <v>1084</v>
      </c>
    </row>
    <row r="737" spans="1:8" x14ac:dyDescent="0.35">
      <c r="A737" t="s">
        <v>751</v>
      </c>
      <c r="B737" t="s">
        <v>752</v>
      </c>
      <c r="C737">
        <v>226</v>
      </c>
      <c r="D737">
        <v>154</v>
      </c>
      <c r="E737" t="s">
        <v>17</v>
      </c>
      <c r="F737">
        <f>tbl_AQI[[#This Row],[Most AQI Reached]]-tbl_AQI[[#This Row],[Current AQI]]</f>
        <v>72</v>
      </c>
      <c r="G7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37">
        <f>RANK(tbl_AQI[[#This Row],[Current AQI]], tbl_AQI[Current AQI], 0)</f>
        <v>2307</v>
      </c>
    </row>
    <row r="738" spans="1:8" x14ac:dyDescent="0.35">
      <c r="A738" t="s">
        <v>751</v>
      </c>
      <c r="B738" t="s">
        <v>753</v>
      </c>
      <c r="C738">
        <v>123</v>
      </c>
      <c r="D738">
        <v>60</v>
      </c>
      <c r="E738" t="s">
        <v>17</v>
      </c>
      <c r="F738">
        <f>tbl_AQI[[#This Row],[Most AQI Reached]]-tbl_AQI[[#This Row],[Current AQI]]</f>
        <v>63</v>
      </c>
      <c r="G7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38">
        <f>RANK(tbl_AQI[[#This Row],[Current AQI]], tbl_AQI[Current AQI], 0)</f>
        <v>4390</v>
      </c>
    </row>
    <row r="739" spans="1:8" x14ac:dyDescent="0.35">
      <c r="A739" t="s">
        <v>751</v>
      </c>
      <c r="B739" t="s">
        <v>754</v>
      </c>
      <c r="C739">
        <v>176</v>
      </c>
      <c r="D739">
        <v>86</v>
      </c>
      <c r="E739" t="s">
        <v>17</v>
      </c>
      <c r="F739">
        <f>tbl_AQI[[#This Row],[Most AQI Reached]]-tbl_AQI[[#This Row],[Current AQI]]</f>
        <v>90</v>
      </c>
      <c r="G7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39">
        <f>RANK(tbl_AQI[[#This Row],[Current AQI]], tbl_AQI[Current AQI], 0)</f>
        <v>3830</v>
      </c>
    </row>
    <row r="740" spans="1:8" x14ac:dyDescent="0.35">
      <c r="A740" t="s">
        <v>751</v>
      </c>
      <c r="B740" t="s">
        <v>755</v>
      </c>
      <c r="C740">
        <v>289</v>
      </c>
      <c r="D740">
        <v>189</v>
      </c>
      <c r="E740" t="s">
        <v>9</v>
      </c>
      <c r="F740">
        <f>tbl_AQI[[#This Row],[Most AQI Reached]]-tbl_AQI[[#This Row],[Current AQI]]</f>
        <v>100</v>
      </c>
      <c r="G7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0">
        <f>RANK(tbl_AQI[[#This Row],[Current AQI]], tbl_AQI[Current AQI], 0)</f>
        <v>1395</v>
      </c>
    </row>
    <row r="741" spans="1:8" x14ac:dyDescent="0.35">
      <c r="A741" t="s">
        <v>751</v>
      </c>
      <c r="B741" t="s">
        <v>756</v>
      </c>
      <c r="C741">
        <v>238</v>
      </c>
      <c r="D741">
        <v>186</v>
      </c>
      <c r="E741" t="s">
        <v>33</v>
      </c>
      <c r="F741">
        <f>tbl_AQI[[#This Row],[Most AQI Reached]]-tbl_AQI[[#This Row],[Current AQI]]</f>
        <v>52</v>
      </c>
      <c r="G7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1">
        <f>RANK(tbl_AQI[[#This Row],[Current AQI]], tbl_AQI[Current AQI], 0)</f>
        <v>1478</v>
      </c>
    </row>
    <row r="742" spans="1:8" x14ac:dyDescent="0.35">
      <c r="A742" t="s">
        <v>751</v>
      </c>
      <c r="B742" t="s">
        <v>757</v>
      </c>
      <c r="C742">
        <v>281</v>
      </c>
      <c r="D742">
        <v>128</v>
      </c>
      <c r="E742" t="s">
        <v>9</v>
      </c>
      <c r="F742">
        <f>tbl_AQI[[#This Row],[Most AQI Reached]]-tbl_AQI[[#This Row],[Current AQI]]</f>
        <v>153</v>
      </c>
      <c r="G7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2">
        <f>RANK(tbl_AQI[[#This Row],[Current AQI]], tbl_AQI[Current AQI], 0)</f>
        <v>2872</v>
      </c>
    </row>
    <row r="743" spans="1:8" x14ac:dyDescent="0.35">
      <c r="A743" t="s">
        <v>751</v>
      </c>
      <c r="B743" t="s">
        <v>758</v>
      </c>
      <c r="C743">
        <v>140</v>
      </c>
      <c r="D743">
        <v>135</v>
      </c>
      <c r="E743" t="s">
        <v>7</v>
      </c>
      <c r="F743">
        <f>tbl_AQI[[#This Row],[Most AQI Reached]]-tbl_AQI[[#This Row],[Current AQI]]</f>
        <v>5</v>
      </c>
      <c r="G7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3">
        <f>RANK(tbl_AQI[[#This Row],[Current AQI]], tbl_AQI[Current AQI], 0)</f>
        <v>2714</v>
      </c>
    </row>
    <row r="744" spans="1:8" x14ac:dyDescent="0.35">
      <c r="A744" t="s">
        <v>759</v>
      </c>
      <c r="B744" t="s">
        <v>760</v>
      </c>
      <c r="C744">
        <v>312</v>
      </c>
      <c r="D744">
        <v>177</v>
      </c>
      <c r="E744" t="s">
        <v>11</v>
      </c>
      <c r="F744">
        <f>tbl_AQI[[#This Row],[Most AQI Reached]]-tbl_AQI[[#This Row],[Current AQI]]</f>
        <v>135</v>
      </c>
      <c r="G7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4">
        <f>RANK(tbl_AQI[[#This Row],[Current AQI]], tbl_AQI[Current AQI], 0)</f>
        <v>1733</v>
      </c>
    </row>
    <row r="745" spans="1:8" x14ac:dyDescent="0.35">
      <c r="A745" t="s">
        <v>759</v>
      </c>
      <c r="B745" t="s">
        <v>761</v>
      </c>
      <c r="C745">
        <v>275</v>
      </c>
      <c r="D745">
        <v>169</v>
      </c>
      <c r="E745" t="s">
        <v>17</v>
      </c>
      <c r="F745">
        <f>tbl_AQI[[#This Row],[Most AQI Reached]]-tbl_AQI[[#This Row],[Current AQI]]</f>
        <v>106</v>
      </c>
      <c r="G7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5">
        <f>RANK(tbl_AQI[[#This Row],[Current AQI]], tbl_AQI[Current AQI], 0)</f>
        <v>1925</v>
      </c>
    </row>
    <row r="746" spans="1:8" x14ac:dyDescent="0.35">
      <c r="A746" t="s">
        <v>759</v>
      </c>
      <c r="B746" t="s">
        <v>762</v>
      </c>
      <c r="C746">
        <v>259</v>
      </c>
      <c r="D746">
        <v>146</v>
      </c>
      <c r="E746" t="s">
        <v>11</v>
      </c>
      <c r="F746">
        <f>tbl_AQI[[#This Row],[Most AQI Reached]]-tbl_AQI[[#This Row],[Current AQI]]</f>
        <v>113</v>
      </c>
      <c r="G7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6">
        <f>RANK(tbl_AQI[[#This Row],[Current AQI]], tbl_AQI[Current AQI], 0)</f>
        <v>2499</v>
      </c>
    </row>
    <row r="747" spans="1:8" x14ac:dyDescent="0.35">
      <c r="A747" t="s">
        <v>759</v>
      </c>
      <c r="B747" t="s">
        <v>763</v>
      </c>
      <c r="C747">
        <v>308</v>
      </c>
      <c r="D747">
        <v>110</v>
      </c>
      <c r="E747" t="s">
        <v>7</v>
      </c>
      <c r="F747">
        <f>tbl_AQI[[#This Row],[Most AQI Reached]]-tbl_AQI[[#This Row],[Current AQI]]</f>
        <v>198</v>
      </c>
      <c r="G7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7">
        <f>RANK(tbl_AQI[[#This Row],[Current AQI]], tbl_AQI[Current AQI], 0)</f>
        <v>3302</v>
      </c>
    </row>
    <row r="748" spans="1:8" x14ac:dyDescent="0.35">
      <c r="A748" t="s">
        <v>759</v>
      </c>
      <c r="B748" t="s">
        <v>764</v>
      </c>
      <c r="C748">
        <v>185</v>
      </c>
      <c r="D748">
        <v>107</v>
      </c>
      <c r="E748" t="s">
        <v>7</v>
      </c>
      <c r="F748">
        <f>tbl_AQI[[#This Row],[Most AQI Reached]]-tbl_AQI[[#This Row],[Current AQI]]</f>
        <v>78</v>
      </c>
      <c r="G7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48">
        <f>RANK(tbl_AQI[[#This Row],[Current AQI]], tbl_AQI[Current AQI], 0)</f>
        <v>3387</v>
      </c>
    </row>
    <row r="749" spans="1:8" x14ac:dyDescent="0.35">
      <c r="A749" t="s">
        <v>759</v>
      </c>
      <c r="B749" t="s">
        <v>765</v>
      </c>
      <c r="C749">
        <v>119</v>
      </c>
      <c r="D749">
        <v>58</v>
      </c>
      <c r="E749" t="s">
        <v>11</v>
      </c>
      <c r="F749">
        <f>tbl_AQI[[#This Row],[Most AQI Reached]]-tbl_AQI[[#This Row],[Current AQI]]</f>
        <v>61</v>
      </c>
      <c r="G7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49">
        <f>RANK(tbl_AQI[[#This Row],[Current AQI]], tbl_AQI[Current AQI], 0)</f>
        <v>4431</v>
      </c>
    </row>
    <row r="750" spans="1:8" x14ac:dyDescent="0.35">
      <c r="A750" t="s">
        <v>759</v>
      </c>
      <c r="B750" t="s">
        <v>766</v>
      </c>
      <c r="C750">
        <v>274</v>
      </c>
      <c r="D750">
        <v>95</v>
      </c>
      <c r="E750" t="s">
        <v>9</v>
      </c>
      <c r="F750">
        <f>tbl_AQI[[#This Row],[Most AQI Reached]]-tbl_AQI[[#This Row],[Current AQI]]</f>
        <v>179</v>
      </c>
      <c r="G7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50">
        <f>RANK(tbl_AQI[[#This Row],[Current AQI]], tbl_AQI[Current AQI], 0)</f>
        <v>3634</v>
      </c>
    </row>
    <row r="751" spans="1:8" x14ac:dyDescent="0.35">
      <c r="A751" t="s">
        <v>759</v>
      </c>
      <c r="B751" t="s">
        <v>767</v>
      </c>
      <c r="C751">
        <v>89</v>
      </c>
      <c r="D751">
        <v>32</v>
      </c>
      <c r="E751" t="s">
        <v>17</v>
      </c>
      <c r="F751">
        <f>tbl_AQI[[#This Row],[Most AQI Reached]]-tbl_AQI[[#This Row],[Current AQI]]</f>
        <v>57</v>
      </c>
      <c r="G7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51">
        <f>RANK(tbl_AQI[[#This Row],[Current AQI]], tbl_AQI[Current AQI], 0)</f>
        <v>4983</v>
      </c>
    </row>
    <row r="752" spans="1:8" x14ac:dyDescent="0.35">
      <c r="A752" t="s">
        <v>759</v>
      </c>
      <c r="B752" t="s">
        <v>768</v>
      </c>
      <c r="C752">
        <v>267</v>
      </c>
      <c r="D752">
        <v>173</v>
      </c>
      <c r="E752" t="s">
        <v>7</v>
      </c>
      <c r="F752">
        <f>tbl_AQI[[#This Row],[Most AQI Reached]]-tbl_AQI[[#This Row],[Current AQI]]</f>
        <v>94</v>
      </c>
      <c r="G7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2">
        <f>RANK(tbl_AQI[[#This Row],[Current AQI]], tbl_AQI[Current AQI], 0)</f>
        <v>1826</v>
      </c>
    </row>
    <row r="753" spans="1:8" x14ac:dyDescent="0.35">
      <c r="A753" t="s">
        <v>759</v>
      </c>
      <c r="B753" t="s">
        <v>769</v>
      </c>
      <c r="C753">
        <v>172</v>
      </c>
      <c r="D753">
        <v>160</v>
      </c>
      <c r="E753" t="s">
        <v>11</v>
      </c>
      <c r="F753">
        <f>tbl_AQI[[#This Row],[Most AQI Reached]]-tbl_AQI[[#This Row],[Current AQI]]</f>
        <v>12</v>
      </c>
      <c r="G7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3">
        <f>RANK(tbl_AQI[[#This Row],[Current AQI]], tbl_AQI[Current AQI], 0)</f>
        <v>2154</v>
      </c>
    </row>
    <row r="754" spans="1:8" x14ac:dyDescent="0.35">
      <c r="A754" t="s">
        <v>759</v>
      </c>
      <c r="B754" t="s">
        <v>770</v>
      </c>
      <c r="C754">
        <v>252</v>
      </c>
      <c r="D754">
        <v>115</v>
      </c>
      <c r="E754" t="s">
        <v>33</v>
      </c>
      <c r="F754">
        <f>tbl_AQI[[#This Row],[Most AQI Reached]]-tbl_AQI[[#This Row],[Current AQI]]</f>
        <v>137</v>
      </c>
      <c r="G7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4">
        <f>RANK(tbl_AQI[[#This Row],[Current AQI]], tbl_AQI[Current AQI], 0)</f>
        <v>3206</v>
      </c>
    </row>
    <row r="755" spans="1:8" x14ac:dyDescent="0.35">
      <c r="A755" t="s">
        <v>759</v>
      </c>
      <c r="B755" t="s">
        <v>771</v>
      </c>
      <c r="C755">
        <v>235</v>
      </c>
      <c r="D755">
        <v>183</v>
      </c>
      <c r="E755" t="s">
        <v>15</v>
      </c>
      <c r="F755">
        <f>tbl_AQI[[#This Row],[Most AQI Reached]]-tbl_AQI[[#This Row],[Current AQI]]</f>
        <v>52</v>
      </c>
      <c r="G7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5">
        <f>RANK(tbl_AQI[[#This Row],[Current AQI]], tbl_AQI[Current AQI], 0)</f>
        <v>1572</v>
      </c>
    </row>
    <row r="756" spans="1:8" x14ac:dyDescent="0.35">
      <c r="A756" t="s">
        <v>759</v>
      </c>
      <c r="B756" t="s">
        <v>772</v>
      </c>
      <c r="C756">
        <v>314</v>
      </c>
      <c r="D756">
        <v>111</v>
      </c>
      <c r="E756" t="s">
        <v>9</v>
      </c>
      <c r="F756">
        <f>tbl_AQI[[#This Row],[Most AQI Reached]]-tbl_AQI[[#This Row],[Current AQI]]</f>
        <v>203</v>
      </c>
      <c r="G7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6">
        <f>RANK(tbl_AQI[[#This Row],[Current AQI]], tbl_AQI[Current AQI], 0)</f>
        <v>3285</v>
      </c>
    </row>
    <row r="757" spans="1:8" x14ac:dyDescent="0.35">
      <c r="A757" t="s">
        <v>759</v>
      </c>
      <c r="B757" t="s">
        <v>773</v>
      </c>
      <c r="C757">
        <v>263</v>
      </c>
      <c r="D757">
        <v>161</v>
      </c>
      <c r="E757" t="s">
        <v>17</v>
      </c>
      <c r="F757">
        <f>tbl_AQI[[#This Row],[Most AQI Reached]]-tbl_AQI[[#This Row],[Current AQI]]</f>
        <v>102</v>
      </c>
      <c r="G7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7">
        <f>RANK(tbl_AQI[[#This Row],[Current AQI]], tbl_AQI[Current AQI], 0)</f>
        <v>2129</v>
      </c>
    </row>
    <row r="758" spans="1:8" x14ac:dyDescent="0.35">
      <c r="A758" t="s">
        <v>759</v>
      </c>
      <c r="B758" t="s">
        <v>774</v>
      </c>
      <c r="C758">
        <v>244</v>
      </c>
      <c r="D758">
        <v>140</v>
      </c>
      <c r="E758" t="s">
        <v>17</v>
      </c>
      <c r="F758">
        <f>tbl_AQI[[#This Row],[Most AQI Reached]]-tbl_AQI[[#This Row],[Current AQI]]</f>
        <v>104</v>
      </c>
      <c r="G7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8">
        <f>RANK(tbl_AQI[[#This Row],[Current AQI]], tbl_AQI[Current AQI], 0)</f>
        <v>2627</v>
      </c>
    </row>
    <row r="759" spans="1:8" x14ac:dyDescent="0.35">
      <c r="A759" t="s">
        <v>759</v>
      </c>
      <c r="B759" t="s">
        <v>775</v>
      </c>
      <c r="C759">
        <v>254</v>
      </c>
      <c r="D759">
        <v>150</v>
      </c>
      <c r="E759" t="s">
        <v>7</v>
      </c>
      <c r="F759">
        <f>tbl_AQI[[#This Row],[Most AQI Reached]]-tbl_AQI[[#This Row],[Current AQI]]</f>
        <v>104</v>
      </c>
      <c r="G7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59">
        <f>RANK(tbl_AQI[[#This Row],[Current AQI]], tbl_AQI[Current AQI], 0)</f>
        <v>2400</v>
      </c>
    </row>
    <row r="760" spans="1:8" x14ac:dyDescent="0.35">
      <c r="A760" t="s">
        <v>759</v>
      </c>
      <c r="B760" t="s">
        <v>776</v>
      </c>
      <c r="C760">
        <v>200</v>
      </c>
      <c r="D760">
        <v>88</v>
      </c>
      <c r="E760" t="s">
        <v>11</v>
      </c>
      <c r="F760">
        <f>tbl_AQI[[#This Row],[Most AQI Reached]]-tbl_AQI[[#This Row],[Current AQI]]</f>
        <v>112</v>
      </c>
      <c r="G7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60">
        <f>RANK(tbl_AQI[[#This Row],[Current AQI]], tbl_AQI[Current AQI], 0)</f>
        <v>3792</v>
      </c>
    </row>
    <row r="761" spans="1:8" x14ac:dyDescent="0.35">
      <c r="A761" t="s">
        <v>759</v>
      </c>
      <c r="B761" t="s">
        <v>777</v>
      </c>
      <c r="C761">
        <v>250</v>
      </c>
      <c r="D761">
        <v>99</v>
      </c>
      <c r="E761" t="s">
        <v>11</v>
      </c>
      <c r="F761">
        <f>tbl_AQI[[#This Row],[Most AQI Reached]]-tbl_AQI[[#This Row],[Current AQI]]</f>
        <v>151</v>
      </c>
      <c r="G7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61">
        <f>RANK(tbl_AQI[[#This Row],[Current AQI]], tbl_AQI[Current AQI], 0)</f>
        <v>3553</v>
      </c>
    </row>
    <row r="762" spans="1:8" x14ac:dyDescent="0.35">
      <c r="A762" t="s">
        <v>759</v>
      </c>
      <c r="B762" t="s">
        <v>778</v>
      </c>
      <c r="C762">
        <v>80</v>
      </c>
      <c r="D762">
        <v>30</v>
      </c>
      <c r="E762" t="s">
        <v>15</v>
      </c>
      <c r="F762">
        <f>tbl_AQI[[#This Row],[Most AQI Reached]]-tbl_AQI[[#This Row],[Current AQI]]</f>
        <v>50</v>
      </c>
      <c r="G7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62">
        <f>RANK(tbl_AQI[[#This Row],[Current AQI]], tbl_AQI[Current AQI], 0)</f>
        <v>5042</v>
      </c>
    </row>
    <row r="763" spans="1:8" x14ac:dyDescent="0.35">
      <c r="A763" t="s">
        <v>759</v>
      </c>
      <c r="B763" t="s">
        <v>779</v>
      </c>
      <c r="C763">
        <v>91</v>
      </c>
      <c r="D763">
        <v>46</v>
      </c>
      <c r="E763" t="s">
        <v>7</v>
      </c>
      <c r="F763">
        <f>tbl_AQI[[#This Row],[Most AQI Reached]]-tbl_AQI[[#This Row],[Current AQI]]</f>
        <v>45</v>
      </c>
      <c r="G7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63">
        <f>RANK(tbl_AQI[[#This Row],[Current AQI]], tbl_AQI[Current AQI], 0)</f>
        <v>4680</v>
      </c>
    </row>
    <row r="764" spans="1:8" x14ac:dyDescent="0.35">
      <c r="A764" t="s">
        <v>759</v>
      </c>
      <c r="B764" t="s">
        <v>780</v>
      </c>
      <c r="C764">
        <v>281</v>
      </c>
      <c r="D764">
        <v>109</v>
      </c>
      <c r="E764" t="s">
        <v>11</v>
      </c>
      <c r="F764">
        <f>tbl_AQI[[#This Row],[Most AQI Reached]]-tbl_AQI[[#This Row],[Current AQI]]</f>
        <v>172</v>
      </c>
      <c r="G7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64">
        <f>RANK(tbl_AQI[[#This Row],[Current AQI]], tbl_AQI[Current AQI], 0)</f>
        <v>3338</v>
      </c>
    </row>
    <row r="765" spans="1:8" x14ac:dyDescent="0.35">
      <c r="A765" t="s">
        <v>759</v>
      </c>
      <c r="B765" t="s">
        <v>781</v>
      </c>
      <c r="C765">
        <v>247</v>
      </c>
      <c r="D765">
        <v>94</v>
      </c>
      <c r="E765" t="s">
        <v>21</v>
      </c>
      <c r="F765">
        <f>tbl_AQI[[#This Row],[Most AQI Reached]]-tbl_AQI[[#This Row],[Current AQI]]</f>
        <v>153</v>
      </c>
      <c r="G7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65">
        <f>RANK(tbl_AQI[[#This Row],[Current AQI]], tbl_AQI[Current AQI], 0)</f>
        <v>3654</v>
      </c>
    </row>
    <row r="766" spans="1:8" x14ac:dyDescent="0.35">
      <c r="A766" t="s">
        <v>759</v>
      </c>
      <c r="B766" t="s">
        <v>782</v>
      </c>
      <c r="C766">
        <v>291</v>
      </c>
      <c r="D766">
        <v>60</v>
      </c>
      <c r="E766" t="s">
        <v>33</v>
      </c>
      <c r="F766">
        <f>tbl_AQI[[#This Row],[Most AQI Reached]]-tbl_AQI[[#This Row],[Current AQI]]</f>
        <v>231</v>
      </c>
      <c r="G7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66">
        <f>RANK(tbl_AQI[[#This Row],[Current AQI]], tbl_AQI[Current AQI], 0)</f>
        <v>4390</v>
      </c>
    </row>
    <row r="767" spans="1:8" x14ac:dyDescent="0.35">
      <c r="A767" t="s">
        <v>759</v>
      </c>
      <c r="B767" t="s">
        <v>783</v>
      </c>
      <c r="C767">
        <v>225</v>
      </c>
      <c r="D767">
        <v>166</v>
      </c>
      <c r="E767" t="s">
        <v>9</v>
      </c>
      <c r="F767">
        <f>tbl_AQI[[#This Row],[Most AQI Reached]]-tbl_AQI[[#This Row],[Current AQI]]</f>
        <v>59</v>
      </c>
      <c r="G7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67">
        <f>RANK(tbl_AQI[[#This Row],[Current AQI]], tbl_AQI[Current AQI], 0)</f>
        <v>2007</v>
      </c>
    </row>
    <row r="768" spans="1:8" x14ac:dyDescent="0.35">
      <c r="A768" t="s">
        <v>759</v>
      </c>
      <c r="B768" t="s">
        <v>784</v>
      </c>
      <c r="C768">
        <v>113</v>
      </c>
      <c r="D768">
        <v>107</v>
      </c>
      <c r="E768" t="s">
        <v>21</v>
      </c>
      <c r="F768">
        <f>tbl_AQI[[#This Row],[Most AQI Reached]]-tbl_AQI[[#This Row],[Current AQI]]</f>
        <v>6</v>
      </c>
      <c r="G7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68">
        <f>RANK(tbl_AQI[[#This Row],[Current AQI]], tbl_AQI[Current AQI], 0)</f>
        <v>3387</v>
      </c>
    </row>
    <row r="769" spans="1:8" x14ac:dyDescent="0.35">
      <c r="A769" t="s">
        <v>759</v>
      </c>
      <c r="B769" t="s">
        <v>785</v>
      </c>
      <c r="C769">
        <v>180</v>
      </c>
      <c r="D769">
        <v>174</v>
      </c>
      <c r="E769" t="s">
        <v>21</v>
      </c>
      <c r="F769">
        <f>tbl_AQI[[#This Row],[Most AQI Reached]]-tbl_AQI[[#This Row],[Current AQI]]</f>
        <v>6</v>
      </c>
      <c r="G7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69">
        <f>RANK(tbl_AQI[[#This Row],[Current AQI]], tbl_AQI[Current AQI], 0)</f>
        <v>1803</v>
      </c>
    </row>
    <row r="770" spans="1:8" x14ac:dyDescent="0.35">
      <c r="A770" t="s">
        <v>759</v>
      </c>
      <c r="B770" t="s">
        <v>786</v>
      </c>
      <c r="C770">
        <v>258</v>
      </c>
      <c r="D770">
        <v>159</v>
      </c>
      <c r="E770" t="s">
        <v>15</v>
      </c>
      <c r="F770">
        <f>tbl_AQI[[#This Row],[Most AQI Reached]]-tbl_AQI[[#This Row],[Current AQI]]</f>
        <v>99</v>
      </c>
      <c r="G7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70">
        <f>RANK(tbl_AQI[[#This Row],[Current AQI]], tbl_AQI[Current AQI], 0)</f>
        <v>2183</v>
      </c>
    </row>
    <row r="771" spans="1:8" x14ac:dyDescent="0.35">
      <c r="A771" t="s">
        <v>759</v>
      </c>
      <c r="B771" t="s">
        <v>787</v>
      </c>
      <c r="C771">
        <v>56</v>
      </c>
      <c r="D771">
        <v>43</v>
      </c>
      <c r="E771" t="s">
        <v>7</v>
      </c>
      <c r="F771">
        <f>tbl_AQI[[#This Row],[Most AQI Reached]]-tbl_AQI[[#This Row],[Current AQI]]</f>
        <v>13</v>
      </c>
      <c r="G7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71">
        <f>RANK(tbl_AQI[[#This Row],[Current AQI]], tbl_AQI[Current AQI], 0)</f>
        <v>4752</v>
      </c>
    </row>
    <row r="772" spans="1:8" x14ac:dyDescent="0.35">
      <c r="A772" t="s">
        <v>759</v>
      </c>
      <c r="B772" t="s">
        <v>788</v>
      </c>
      <c r="C772">
        <v>315</v>
      </c>
      <c r="D772">
        <v>65</v>
      </c>
      <c r="E772" t="s">
        <v>7</v>
      </c>
      <c r="F772">
        <f>tbl_AQI[[#This Row],[Most AQI Reached]]-tbl_AQI[[#This Row],[Current AQI]]</f>
        <v>250</v>
      </c>
      <c r="G7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72">
        <f>RANK(tbl_AQI[[#This Row],[Current AQI]], tbl_AQI[Current AQI], 0)</f>
        <v>4267</v>
      </c>
    </row>
    <row r="773" spans="1:8" x14ac:dyDescent="0.35">
      <c r="A773" t="s">
        <v>759</v>
      </c>
      <c r="B773" t="s">
        <v>789</v>
      </c>
      <c r="C773">
        <v>116</v>
      </c>
      <c r="D773">
        <v>41</v>
      </c>
      <c r="E773" t="s">
        <v>21</v>
      </c>
      <c r="F773">
        <f>tbl_AQI[[#This Row],[Most AQI Reached]]-tbl_AQI[[#This Row],[Current AQI]]</f>
        <v>75</v>
      </c>
      <c r="G7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73">
        <f>RANK(tbl_AQI[[#This Row],[Current AQI]], tbl_AQI[Current AQI], 0)</f>
        <v>4789</v>
      </c>
    </row>
    <row r="774" spans="1:8" x14ac:dyDescent="0.35">
      <c r="A774" t="s">
        <v>759</v>
      </c>
      <c r="B774" t="s">
        <v>790</v>
      </c>
      <c r="C774">
        <v>174</v>
      </c>
      <c r="D774">
        <v>168</v>
      </c>
      <c r="E774" t="s">
        <v>33</v>
      </c>
      <c r="F774">
        <f>tbl_AQI[[#This Row],[Most AQI Reached]]-tbl_AQI[[#This Row],[Current AQI]]</f>
        <v>6</v>
      </c>
      <c r="G7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74">
        <f>RANK(tbl_AQI[[#This Row],[Current AQI]], tbl_AQI[Current AQI], 0)</f>
        <v>1954</v>
      </c>
    </row>
    <row r="775" spans="1:8" x14ac:dyDescent="0.35">
      <c r="A775" t="s">
        <v>759</v>
      </c>
      <c r="B775" t="s">
        <v>791</v>
      </c>
      <c r="C775">
        <v>185</v>
      </c>
      <c r="D775">
        <v>68</v>
      </c>
      <c r="E775" t="s">
        <v>9</v>
      </c>
      <c r="F775">
        <f>tbl_AQI[[#This Row],[Most AQI Reached]]-tbl_AQI[[#This Row],[Current AQI]]</f>
        <v>117</v>
      </c>
      <c r="G7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75">
        <f>RANK(tbl_AQI[[#This Row],[Current AQI]], tbl_AQI[Current AQI], 0)</f>
        <v>4204</v>
      </c>
    </row>
    <row r="776" spans="1:8" x14ac:dyDescent="0.35">
      <c r="A776" t="s">
        <v>759</v>
      </c>
      <c r="B776" t="s">
        <v>792</v>
      </c>
      <c r="C776">
        <v>247</v>
      </c>
      <c r="D776">
        <v>35</v>
      </c>
      <c r="E776" t="s">
        <v>9</v>
      </c>
      <c r="F776">
        <f>tbl_AQI[[#This Row],[Most AQI Reached]]-tbl_AQI[[#This Row],[Current AQI]]</f>
        <v>212</v>
      </c>
      <c r="G7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76">
        <f>RANK(tbl_AQI[[#This Row],[Current AQI]], tbl_AQI[Current AQI], 0)</f>
        <v>4916</v>
      </c>
    </row>
    <row r="777" spans="1:8" x14ac:dyDescent="0.35">
      <c r="A777" t="s">
        <v>759</v>
      </c>
      <c r="B777" t="s">
        <v>793</v>
      </c>
      <c r="C777">
        <v>189</v>
      </c>
      <c r="D777">
        <v>145</v>
      </c>
      <c r="E777" t="s">
        <v>33</v>
      </c>
      <c r="F777">
        <f>tbl_AQI[[#This Row],[Most AQI Reached]]-tbl_AQI[[#This Row],[Current AQI]]</f>
        <v>44</v>
      </c>
      <c r="G7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77">
        <f>RANK(tbl_AQI[[#This Row],[Current AQI]], tbl_AQI[Current AQI], 0)</f>
        <v>2526</v>
      </c>
    </row>
    <row r="778" spans="1:8" x14ac:dyDescent="0.35">
      <c r="A778" t="s">
        <v>759</v>
      </c>
      <c r="B778" t="s">
        <v>794</v>
      </c>
      <c r="C778">
        <v>287</v>
      </c>
      <c r="D778">
        <v>82</v>
      </c>
      <c r="E778" t="s">
        <v>15</v>
      </c>
      <c r="F778">
        <f>tbl_AQI[[#This Row],[Most AQI Reached]]-tbl_AQI[[#This Row],[Current AQI]]</f>
        <v>205</v>
      </c>
      <c r="G7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78">
        <f>RANK(tbl_AQI[[#This Row],[Current AQI]], tbl_AQI[Current AQI], 0)</f>
        <v>3904</v>
      </c>
    </row>
    <row r="779" spans="1:8" x14ac:dyDescent="0.35">
      <c r="A779" t="s">
        <v>759</v>
      </c>
      <c r="B779" t="s">
        <v>795</v>
      </c>
      <c r="C779">
        <v>206</v>
      </c>
      <c r="D779">
        <v>115</v>
      </c>
      <c r="E779" t="s">
        <v>21</v>
      </c>
      <c r="F779">
        <f>tbl_AQI[[#This Row],[Most AQI Reached]]-tbl_AQI[[#This Row],[Current AQI]]</f>
        <v>91</v>
      </c>
      <c r="G7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79">
        <f>RANK(tbl_AQI[[#This Row],[Current AQI]], tbl_AQI[Current AQI], 0)</f>
        <v>3206</v>
      </c>
    </row>
    <row r="780" spans="1:8" x14ac:dyDescent="0.35">
      <c r="A780" t="s">
        <v>759</v>
      </c>
      <c r="B780" t="s">
        <v>796</v>
      </c>
      <c r="C780">
        <v>289</v>
      </c>
      <c r="D780">
        <v>171</v>
      </c>
      <c r="E780" t="s">
        <v>7</v>
      </c>
      <c r="F780">
        <f>tbl_AQI[[#This Row],[Most AQI Reached]]-tbl_AQI[[#This Row],[Current AQI]]</f>
        <v>118</v>
      </c>
      <c r="G7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0">
        <f>RANK(tbl_AQI[[#This Row],[Current AQI]], tbl_AQI[Current AQI], 0)</f>
        <v>1866</v>
      </c>
    </row>
    <row r="781" spans="1:8" x14ac:dyDescent="0.35">
      <c r="A781" t="s">
        <v>759</v>
      </c>
      <c r="B781" t="s">
        <v>797</v>
      </c>
      <c r="C781">
        <v>301</v>
      </c>
      <c r="D781">
        <v>92</v>
      </c>
      <c r="E781" t="s">
        <v>21</v>
      </c>
      <c r="F781">
        <f>tbl_AQI[[#This Row],[Most AQI Reached]]-tbl_AQI[[#This Row],[Current AQI]]</f>
        <v>209</v>
      </c>
      <c r="G7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81">
        <f>RANK(tbl_AQI[[#This Row],[Current AQI]], tbl_AQI[Current AQI], 0)</f>
        <v>3706</v>
      </c>
    </row>
    <row r="782" spans="1:8" x14ac:dyDescent="0.35">
      <c r="A782" t="s">
        <v>759</v>
      </c>
      <c r="B782" t="s">
        <v>798</v>
      </c>
      <c r="C782">
        <v>279</v>
      </c>
      <c r="D782">
        <v>188</v>
      </c>
      <c r="E782" t="s">
        <v>7</v>
      </c>
      <c r="F782">
        <f>tbl_AQI[[#This Row],[Most AQI Reached]]-tbl_AQI[[#This Row],[Current AQI]]</f>
        <v>91</v>
      </c>
      <c r="G7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2">
        <f>RANK(tbl_AQI[[#This Row],[Current AQI]], tbl_AQI[Current AQI], 0)</f>
        <v>1423</v>
      </c>
    </row>
    <row r="783" spans="1:8" x14ac:dyDescent="0.35">
      <c r="A783" t="s">
        <v>759</v>
      </c>
      <c r="B783" t="s">
        <v>799</v>
      </c>
      <c r="C783">
        <v>193</v>
      </c>
      <c r="D783">
        <v>127</v>
      </c>
      <c r="E783" t="s">
        <v>7</v>
      </c>
      <c r="F783">
        <f>tbl_AQI[[#This Row],[Most AQI Reached]]-tbl_AQI[[#This Row],[Current AQI]]</f>
        <v>66</v>
      </c>
      <c r="G7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3">
        <f>RANK(tbl_AQI[[#This Row],[Current AQI]], tbl_AQI[Current AQI], 0)</f>
        <v>2909</v>
      </c>
    </row>
    <row r="784" spans="1:8" x14ac:dyDescent="0.35">
      <c r="A784" t="s">
        <v>759</v>
      </c>
      <c r="B784" t="s">
        <v>800</v>
      </c>
      <c r="C784">
        <v>67</v>
      </c>
      <c r="D784">
        <v>58</v>
      </c>
      <c r="E784" t="s">
        <v>17</v>
      </c>
      <c r="F784">
        <f>tbl_AQI[[#This Row],[Most AQI Reached]]-tbl_AQI[[#This Row],[Current AQI]]</f>
        <v>9</v>
      </c>
      <c r="G7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84">
        <f>RANK(tbl_AQI[[#This Row],[Current AQI]], tbl_AQI[Current AQI], 0)</f>
        <v>4431</v>
      </c>
    </row>
    <row r="785" spans="1:8" x14ac:dyDescent="0.35">
      <c r="A785" t="s">
        <v>759</v>
      </c>
      <c r="B785" t="s">
        <v>801</v>
      </c>
      <c r="C785">
        <v>253</v>
      </c>
      <c r="D785">
        <v>128</v>
      </c>
      <c r="E785" t="s">
        <v>15</v>
      </c>
      <c r="F785">
        <f>tbl_AQI[[#This Row],[Most AQI Reached]]-tbl_AQI[[#This Row],[Current AQI]]</f>
        <v>125</v>
      </c>
      <c r="G7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5">
        <f>RANK(tbl_AQI[[#This Row],[Current AQI]], tbl_AQI[Current AQI], 0)</f>
        <v>2872</v>
      </c>
    </row>
    <row r="786" spans="1:8" x14ac:dyDescent="0.35">
      <c r="A786" t="s">
        <v>759</v>
      </c>
      <c r="B786" t="s">
        <v>802</v>
      </c>
      <c r="C786">
        <v>254</v>
      </c>
      <c r="D786">
        <v>167</v>
      </c>
      <c r="E786" t="s">
        <v>21</v>
      </c>
      <c r="F786">
        <f>tbl_AQI[[#This Row],[Most AQI Reached]]-tbl_AQI[[#This Row],[Current AQI]]</f>
        <v>87</v>
      </c>
      <c r="G7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6">
        <f>RANK(tbl_AQI[[#This Row],[Current AQI]], tbl_AQI[Current AQI], 0)</f>
        <v>1979</v>
      </c>
    </row>
    <row r="787" spans="1:8" x14ac:dyDescent="0.35">
      <c r="A787" t="s">
        <v>759</v>
      </c>
      <c r="B787" t="s">
        <v>803</v>
      </c>
      <c r="C787">
        <v>209</v>
      </c>
      <c r="D787">
        <v>155</v>
      </c>
      <c r="E787" t="s">
        <v>15</v>
      </c>
      <c r="F787">
        <f>tbl_AQI[[#This Row],[Most AQI Reached]]-tbl_AQI[[#This Row],[Current AQI]]</f>
        <v>54</v>
      </c>
      <c r="G7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7">
        <f>RANK(tbl_AQI[[#This Row],[Current AQI]], tbl_AQI[Current AQI], 0)</f>
        <v>2275</v>
      </c>
    </row>
    <row r="788" spans="1:8" x14ac:dyDescent="0.35">
      <c r="A788" t="s">
        <v>759</v>
      </c>
      <c r="B788" t="s">
        <v>804</v>
      </c>
      <c r="C788">
        <v>233</v>
      </c>
      <c r="D788">
        <v>177</v>
      </c>
      <c r="E788" t="s">
        <v>15</v>
      </c>
      <c r="F788">
        <f>tbl_AQI[[#This Row],[Most AQI Reached]]-tbl_AQI[[#This Row],[Current AQI]]</f>
        <v>56</v>
      </c>
      <c r="G7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8">
        <f>RANK(tbl_AQI[[#This Row],[Current AQI]], tbl_AQI[Current AQI], 0)</f>
        <v>1733</v>
      </c>
    </row>
    <row r="789" spans="1:8" x14ac:dyDescent="0.35">
      <c r="A789" t="s">
        <v>759</v>
      </c>
      <c r="B789" t="s">
        <v>805</v>
      </c>
      <c r="C789">
        <v>237</v>
      </c>
      <c r="D789">
        <v>174</v>
      </c>
      <c r="E789" t="s">
        <v>33</v>
      </c>
      <c r="F789">
        <f>tbl_AQI[[#This Row],[Most AQI Reached]]-tbl_AQI[[#This Row],[Current AQI]]</f>
        <v>63</v>
      </c>
      <c r="G7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89">
        <f>RANK(tbl_AQI[[#This Row],[Current AQI]], tbl_AQI[Current AQI], 0)</f>
        <v>1803</v>
      </c>
    </row>
    <row r="790" spans="1:8" x14ac:dyDescent="0.35">
      <c r="A790" t="s">
        <v>759</v>
      </c>
      <c r="B790" t="s">
        <v>806</v>
      </c>
      <c r="C790">
        <v>308</v>
      </c>
      <c r="D790">
        <v>144</v>
      </c>
      <c r="E790" t="s">
        <v>33</v>
      </c>
      <c r="F790">
        <f>tbl_AQI[[#This Row],[Most AQI Reached]]-tbl_AQI[[#This Row],[Current AQI]]</f>
        <v>164</v>
      </c>
      <c r="G7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90">
        <f>RANK(tbl_AQI[[#This Row],[Current AQI]], tbl_AQI[Current AQI], 0)</f>
        <v>2550</v>
      </c>
    </row>
    <row r="791" spans="1:8" x14ac:dyDescent="0.35">
      <c r="A791" t="s">
        <v>759</v>
      </c>
      <c r="B791" t="s">
        <v>807</v>
      </c>
      <c r="C791">
        <v>304</v>
      </c>
      <c r="D791">
        <v>97</v>
      </c>
      <c r="E791" t="s">
        <v>11</v>
      </c>
      <c r="F791">
        <f>tbl_AQI[[#This Row],[Most AQI Reached]]-tbl_AQI[[#This Row],[Current AQI]]</f>
        <v>207</v>
      </c>
      <c r="G7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91">
        <f>RANK(tbl_AQI[[#This Row],[Current AQI]], tbl_AQI[Current AQI], 0)</f>
        <v>3593</v>
      </c>
    </row>
    <row r="792" spans="1:8" x14ac:dyDescent="0.35">
      <c r="A792" t="s">
        <v>759</v>
      </c>
      <c r="B792" t="s">
        <v>808</v>
      </c>
      <c r="C792">
        <v>310</v>
      </c>
      <c r="D792">
        <v>149</v>
      </c>
      <c r="E792" t="s">
        <v>33</v>
      </c>
      <c r="F792">
        <f>tbl_AQI[[#This Row],[Most AQI Reached]]-tbl_AQI[[#This Row],[Current AQI]]</f>
        <v>161</v>
      </c>
      <c r="G7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92">
        <f>RANK(tbl_AQI[[#This Row],[Current AQI]], tbl_AQI[Current AQI], 0)</f>
        <v>2426</v>
      </c>
    </row>
    <row r="793" spans="1:8" x14ac:dyDescent="0.35">
      <c r="A793" t="s">
        <v>759</v>
      </c>
      <c r="B793" t="s">
        <v>809</v>
      </c>
      <c r="C793">
        <v>183</v>
      </c>
      <c r="D793">
        <v>59</v>
      </c>
      <c r="E793" t="s">
        <v>17</v>
      </c>
      <c r="F793">
        <f>tbl_AQI[[#This Row],[Most AQI Reached]]-tbl_AQI[[#This Row],[Current AQI]]</f>
        <v>124</v>
      </c>
      <c r="G7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93">
        <f>RANK(tbl_AQI[[#This Row],[Current AQI]], tbl_AQI[Current AQI], 0)</f>
        <v>4416</v>
      </c>
    </row>
    <row r="794" spans="1:8" x14ac:dyDescent="0.35">
      <c r="A794" t="s">
        <v>759</v>
      </c>
      <c r="B794" t="s">
        <v>810</v>
      </c>
      <c r="C794">
        <v>267</v>
      </c>
      <c r="D794">
        <v>66</v>
      </c>
      <c r="E794" t="s">
        <v>17</v>
      </c>
      <c r="F794">
        <f>tbl_AQI[[#This Row],[Most AQI Reached]]-tbl_AQI[[#This Row],[Current AQI]]</f>
        <v>201</v>
      </c>
      <c r="G7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94">
        <f>RANK(tbl_AQI[[#This Row],[Current AQI]], tbl_AQI[Current AQI], 0)</f>
        <v>4247</v>
      </c>
    </row>
    <row r="795" spans="1:8" x14ac:dyDescent="0.35">
      <c r="A795" t="s">
        <v>759</v>
      </c>
      <c r="B795" t="s">
        <v>811</v>
      </c>
      <c r="C795">
        <v>154</v>
      </c>
      <c r="D795">
        <v>49</v>
      </c>
      <c r="E795" t="s">
        <v>7</v>
      </c>
      <c r="F795">
        <f>tbl_AQI[[#This Row],[Most AQI Reached]]-tbl_AQI[[#This Row],[Current AQI]]</f>
        <v>105</v>
      </c>
      <c r="G7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795">
        <f>RANK(tbl_AQI[[#This Row],[Current AQI]], tbl_AQI[Current AQI], 0)</f>
        <v>4614</v>
      </c>
    </row>
    <row r="796" spans="1:8" x14ac:dyDescent="0.35">
      <c r="A796" t="s">
        <v>759</v>
      </c>
      <c r="B796" t="s">
        <v>812</v>
      </c>
      <c r="C796">
        <v>249</v>
      </c>
      <c r="D796">
        <v>166</v>
      </c>
      <c r="E796" t="s">
        <v>15</v>
      </c>
      <c r="F796">
        <f>tbl_AQI[[#This Row],[Most AQI Reached]]-tbl_AQI[[#This Row],[Current AQI]]</f>
        <v>83</v>
      </c>
      <c r="G7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96">
        <f>RANK(tbl_AQI[[#This Row],[Current AQI]], tbl_AQI[Current AQI], 0)</f>
        <v>2007</v>
      </c>
    </row>
    <row r="797" spans="1:8" x14ac:dyDescent="0.35">
      <c r="A797" t="s">
        <v>759</v>
      </c>
      <c r="B797" t="s">
        <v>813</v>
      </c>
      <c r="C797">
        <v>292</v>
      </c>
      <c r="D797">
        <v>114</v>
      </c>
      <c r="E797" t="s">
        <v>15</v>
      </c>
      <c r="F797">
        <f>tbl_AQI[[#This Row],[Most AQI Reached]]-tbl_AQI[[#This Row],[Current AQI]]</f>
        <v>178</v>
      </c>
      <c r="G7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97">
        <f>RANK(tbl_AQI[[#This Row],[Current AQI]], tbl_AQI[Current AQI], 0)</f>
        <v>3226</v>
      </c>
    </row>
    <row r="798" spans="1:8" x14ac:dyDescent="0.35">
      <c r="A798" t="s">
        <v>759</v>
      </c>
      <c r="B798" t="s">
        <v>814</v>
      </c>
      <c r="C798">
        <v>302</v>
      </c>
      <c r="D798">
        <v>78</v>
      </c>
      <c r="E798" t="s">
        <v>33</v>
      </c>
      <c r="F798">
        <f>tbl_AQI[[#This Row],[Most AQI Reached]]-tbl_AQI[[#This Row],[Current AQI]]</f>
        <v>224</v>
      </c>
      <c r="G7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798">
        <f>RANK(tbl_AQI[[#This Row],[Current AQI]], tbl_AQI[Current AQI], 0)</f>
        <v>3989</v>
      </c>
    </row>
    <row r="799" spans="1:8" x14ac:dyDescent="0.35">
      <c r="A799" t="s">
        <v>759</v>
      </c>
      <c r="B799" t="s">
        <v>815</v>
      </c>
      <c r="C799">
        <v>187</v>
      </c>
      <c r="D799">
        <v>122</v>
      </c>
      <c r="E799" t="s">
        <v>33</v>
      </c>
      <c r="F799">
        <f>tbl_AQI[[#This Row],[Most AQI Reached]]-tbl_AQI[[#This Row],[Current AQI]]</f>
        <v>65</v>
      </c>
      <c r="G7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799">
        <f>RANK(tbl_AQI[[#This Row],[Current AQI]], tbl_AQI[Current AQI], 0)</f>
        <v>3013</v>
      </c>
    </row>
    <row r="800" spans="1:8" x14ac:dyDescent="0.35">
      <c r="A800" t="s">
        <v>759</v>
      </c>
      <c r="B800" t="s">
        <v>816</v>
      </c>
      <c r="C800">
        <v>56</v>
      </c>
      <c r="D800">
        <v>48</v>
      </c>
      <c r="E800" t="s">
        <v>7</v>
      </c>
      <c r="F800">
        <f>tbl_AQI[[#This Row],[Most AQI Reached]]-tbl_AQI[[#This Row],[Current AQI]]</f>
        <v>8</v>
      </c>
      <c r="G8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00">
        <f>RANK(tbl_AQI[[#This Row],[Current AQI]], tbl_AQI[Current AQI], 0)</f>
        <v>4638</v>
      </c>
    </row>
    <row r="801" spans="1:8" x14ac:dyDescent="0.35">
      <c r="A801" t="s">
        <v>759</v>
      </c>
      <c r="B801" t="s">
        <v>817</v>
      </c>
      <c r="C801">
        <v>144</v>
      </c>
      <c r="D801">
        <v>100</v>
      </c>
      <c r="E801" t="s">
        <v>33</v>
      </c>
      <c r="F801">
        <f>tbl_AQI[[#This Row],[Most AQI Reached]]-tbl_AQI[[#This Row],[Current AQI]]</f>
        <v>44</v>
      </c>
      <c r="G8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01">
        <f>RANK(tbl_AQI[[#This Row],[Current AQI]], tbl_AQI[Current AQI], 0)</f>
        <v>3535</v>
      </c>
    </row>
    <row r="802" spans="1:8" x14ac:dyDescent="0.35">
      <c r="A802" t="s">
        <v>759</v>
      </c>
      <c r="B802" t="s">
        <v>818</v>
      </c>
      <c r="C802">
        <v>290</v>
      </c>
      <c r="D802">
        <v>164</v>
      </c>
      <c r="E802" t="s">
        <v>11</v>
      </c>
      <c r="F802">
        <f>tbl_AQI[[#This Row],[Most AQI Reached]]-tbl_AQI[[#This Row],[Current AQI]]</f>
        <v>126</v>
      </c>
      <c r="G8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02">
        <f>RANK(tbl_AQI[[#This Row],[Current AQI]], tbl_AQI[Current AQI], 0)</f>
        <v>2049</v>
      </c>
    </row>
    <row r="803" spans="1:8" x14ac:dyDescent="0.35">
      <c r="A803" t="s">
        <v>759</v>
      </c>
      <c r="B803" t="s">
        <v>819</v>
      </c>
      <c r="C803">
        <v>54</v>
      </c>
      <c r="D803">
        <v>32</v>
      </c>
      <c r="E803" t="s">
        <v>15</v>
      </c>
      <c r="F803">
        <f>tbl_AQI[[#This Row],[Most AQI Reached]]-tbl_AQI[[#This Row],[Current AQI]]</f>
        <v>22</v>
      </c>
      <c r="G8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03">
        <f>RANK(tbl_AQI[[#This Row],[Current AQI]], tbl_AQI[Current AQI], 0)</f>
        <v>4983</v>
      </c>
    </row>
    <row r="804" spans="1:8" x14ac:dyDescent="0.35">
      <c r="A804" t="s">
        <v>759</v>
      </c>
      <c r="B804" t="s">
        <v>820</v>
      </c>
      <c r="C804">
        <v>123</v>
      </c>
      <c r="D804">
        <v>47</v>
      </c>
      <c r="E804" t="s">
        <v>7</v>
      </c>
      <c r="F804">
        <f>tbl_AQI[[#This Row],[Most AQI Reached]]-tbl_AQI[[#This Row],[Current AQI]]</f>
        <v>76</v>
      </c>
      <c r="G8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04">
        <f>RANK(tbl_AQI[[#This Row],[Current AQI]], tbl_AQI[Current AQI], 0)</f>
        <v>4656</v>
      </c>
    </row>
    <row r="805" spans="1:8" x14ac:dyDescent="0.35">
      <c r="A805" t="s">
        <v>759</v>
      </c>
      <c r="B805" t="s">
        <v>821</v>
      </c>
      <c r="C805">
        <v>159</v>
      </c>
      <c r="D805">
        <v>158</v>
      </c>
      <c r="E805" t="s">
        <v>17</v>
      </c>
      <c r="F805">
        <f>tbl_AQI[[#This Row],[Most AQI Reached]]-tbl_AQI[[#This Row],[Current AQI]]</f>
        <v>1</v>
      </c>
      <c r="G8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05">
        <f>RANK(tbl_AQI[[#This Row],[Current AQI]], tbl_AQI[Current AQI], 0)</f>
        <v>2207</v>
      </c>
    </row>
    <row r="806" spans="1:8" x14ac:dyDescent="0.35">
      <c r="A806" t="s">
        <v>759</v>
      </c>
      <c r="B806" t="s">
        <v>822</v>
      </c>
      <c r="C806">
        <v>200</v>
      </c>
      <c r="D806">
        <v>121</v>
      </c>
      <c r="E806" t="s">
        <v>11</v>
      </c>
      <c r="F806">
        <f>tbl_AQI[[#This Row],[Most AQI Reached]]-tbl_AQI[[#This Row],[Current AQI]]</f>
        <v>79</v>
      </c>
      <c r="G8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06">
        <f>RANK(tbl_AQI[[#This Row],[Current AQI]], tbl_AQI[Current AQI], 0)</f>
        <v>3037</v>
      </c>
    </row>
    <row r="807" spans="1:8" x14ac:dyDescent="0.35">
      <c r="A807" t="s">
        <v>759</v>
      </c>
      <c r="B807" t="s">
        <v>823</v>
      </c>
      <c r="C807">
        <v>283</v>
      </c>
      <c r="D807">
        <v>116</v>
      </c>
      <c r="E807" t="s">
        <v>11</v>
      </c>
      <c r="F807">
        <f>tbl_AQI[[#This Row],[Most AQI Reached]]-tbl_AQI[[#This Row],[Current AQI]]</f>
        <v>167</v>
      </c>
      <c r="G8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07">
        <f>RANK(tbl_AQI[[#This Row],[Current AQI]], tbl_AQI[Current AQI], 0)</f>
        <v>3173</v>
      </c>
    </row>
    <row r="808" spans="1:8" x14ac:dyDescent="0.35">
      <c r="A808" t="s">
        <v>759</v>
      </c>
      <c r="B808" t="s">
        <v>824</v>
      </c>
      <c r="C808">
        <v>97</v>
      </c>
      <c r="D808">
        <v>61</v>
      </c>
      <c r="E808" t="s">
        <v>15</v>
      </c>
      <c r="F808">
        <f>tbl_AQI[[#This Row],[Most AQI Reached]]-tbl_AQI[[#This Row],[Current AQI]]</f>
        <v>36</v>
      </c>
      <c r="G8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08">
        <f>RANK(tbl_AQI[[#This Row],[Current AQI]], tbl_AQI[Current AQI], 0)</f>
        <v>4368</v>
      </c>
    </row>
    <row r="809" spans="1:8" x14ac:dyDescent="0.35">
      <c r="A809" t="s">
        <v>759</v>
      </c>
      <c r="B809" t="s">
        <v>825</v>
      </c>
      <c r="C809">
        <v>212</v>
      </c>
      <c r="D809">
        <v>178</v>
      </c>
      <c r="E809" t="s">
        <v>17</v>
      </c>
      <c r="F809">
        <f>tbl_AQI[[#This Row],[Most AQI Reached]]-tbl_AQI[[#This Row],[Current AQI]]</f>
        <v>34</v>
      </c>
      <c r="G8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09">
        <f>RANK(tbl_AQI[[#This Row],[Current AQI]], tbl_AQI[Current AQI], 0)</f>
        <v>1702</v>
      </c>
    </row>
    <row r="810" spans="1:8" x14ac:dyDescent="0.35">
      <c r="A810" t="s">
        <v>759</v>
      </c>
      <c r="B810" t="s">
        <v>826</v>
      </c>
      <c r="C810">
        <v>212</v>
      </c>
      <c r="D810">
        <v>170</v>
      </c>
      <c r="E810" t="s">
        <v>17</v>
      </c>
      <c r="F810">
        <f>tbl_AQI[[#This Row],[Most AQI Reached]]-tbl_AQI[[#This Row],[Current AQI]]</f>
        <v>42</v>
      </c>
      <c r="G8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10">
        <f>RANK(tbl_AQI[[#This Row],[Current AQI]], tbl_AQI[Current AQI], 0)</f>
        <v>1898</v>
      </c>
    </row>
    <row r="811" spans="1:8" x14ac:dyDescent="0.35">
      <c r="A811" t="s">
        <v>759</v>
      </c>
      <c r="B811" t="s">
        <v>827</v>
      </c>
      <c r="C811">
        <v>224</v>
      </c>
      <c r="D811">
        <v>151</v>
      </c>
      <c r="E811" t="s">
        <v>15</v>
      </c>
      <c r="F811">
        <f>tbl_AQI[[#This Row],[Most AQI Reached]]-tbl_AQI[[#This Row],[Current AQI]]</f>
        <v>73</v>
      </c>
      <c r="G8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11">
        <f>RANK(tbl_AQI[[#This Row],[Current AQI]], tbl_AQI[Current AQI], 0)</f>
        <v>2376</v>
      </c>
    </row>
    <row r="812" spans="1:8" x14ac:dyDescent="0.35">
      <c r="A812" t="s">
        <v>759</v>
      </c>
      <c r="B812" t="s">
        <v>828</v>
      </c>
      <c r="C812">
        <v>251</v>
      </c>
      <c r="D812">
        <v>106</v>
      </c>
      <c r="E812" t="s">
        <v>7</v>
      </c>
      <c r="F812">
        <f>tbl_AQI[[#This Row],[Most AQI Reached]]-tbl_AQI[[#This Row],[Current AQI]]</f>
        <v>145</v>
      </c>
      <c r="G8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12">
        <f>RANK(tbl_AQI[[#This Row],[Current AQI]], tbl_AQI[Current AQI], 0)</f>
        <v>3413</v>
      </c>
    </row>
    <row r="813" spans="1:8" x14ac:dyDescent="0.35">
      <c r="A813" t="s">
        <v>759</v>
      </c>
      <c r="B813" t="s">
        <v>829</v>
      </c>
      <c r="C813">
        <v>142</v>
      </c>
      <c r="D813">
        <v>45</v>
      </c>
      <c r="E813" t="s">
        <v>9</v>
      </c>
      <c r="F813">
        <f>tbl_AQI[[#This Row],[Most AQI Reached]]-tbl_AQI[[#This Row],[Current AQI]]</f>
        <v>97</v>
      </c>
      <c r="G8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13">
        <f>RANK(tbl_AQI[[#This Row],[Current AQI]], tbl_AQI[Current AQI], 0)</f>
        <v>4702</v>
      </c>
    </row>
    <row r="814" spans="1:8" x14ac:dyDescent="0.35">
      <c r="A814" t="s">
        <v>759</v>
      </c>
      <c r="B814" t="s">
        <v>830</v>
      </c>
      <c r="C814">
        <v>204</v>
      </c>
      <c r="D814">
        <v>156</v>
      </c>
      <c r="E814" t="s">
        <v>21</v>
      </c>
      <c r="F814">
        <f>tbl_AQI[[#This Row],[Most AQI Reached]]-tbl_AQI[[#This Row],[Current AQI]]</f>
        <v>48</v>
      </c>
      <c r="G8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14">
        <f>RANK(tbl_AQI[[#This Row],[Current AQI]], tbl_AQI[Current AQI], 0)</f>
        <v>2251</v>
      </c>
    </row>
    <row r="815" spans="1:8" x14ac:dyDescent="0.35">
      <c r="A815" t="s">
        <v>759</v>
      </c>
      <c r="B815" t="s">
        <v>831</v>
      </c>
      <c r="C815">
        <v>72</v>
      </c>
      <c r="D815">
        <v>41</v>
      </c>
      <c r="E815" t="s">
        <v>7</v>
      </c>
      <c r="F815">
        <f>tbl_AQI[[#This Row],[Most AQI Reached]]-tbl_AQI[[#This Row],[Current AQI]]</f>
        <v>31</v>
      </c>
      <c r="G8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15">
        <f>RANK(tbl_AQI[[#This Row],[Current AQI]], tbl_AQI[Current AQI], 0)</f>
        <v>4789</v>
      </c>
    </row>
    <row r="816" spans="1:8" x14ac:dyDescent="0.35">
      <c r="A816" t="s">
        <v>759</v>
      </c>
      <c r="B816" t="s">
        <v>832</v>
      </c>
      <c r="C816">
        <v>259</v>
      </c>
      <c r="D816">
        <v>135</v>
      </c>
      <c r="E816" t="s">
        <v>33</v>
      </c>
      <c r="F816">
        <f>tbl_AQI[[#This Row],[Most AQI Reached]]-tbl_AQI[[#This Row],[Current AQI]]</f>
        <v>124</v>
      </c>
      <c r="G8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16">
        <f>RANK(tbl_AQI[[#This Row],[Current AQI]], tbl_AQI[Current AQI], 0)</f>
        <v>2714</v>
      </c>
    </row>
    <row r="817" spans="1:8" x14ac:dyDescent="0.35">
      <c r="A817" t="s">
        <v>759</v>
      </c>
      <c r="B817" t="s">
        <v>833</v>
      </c>
      <c r="C817">
        <v>196</v>
      </c>
      <c r="D817">
        <v>71</v>
      </c>
      <c r="E817" t="s">
        <v>9</v>
      </c>
      <c r="F817">
        <f>tbl_AQI[[#This Row],[Most AQI Reached]]-tbl_AQI[[#This Row],[Current AQI]]</f>
        <v>125</v>
      </c>
      <c r="G8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17">
        <f>RANK(tbl_AQI[[#This Row],[Current AQI]], tbl_AQI[Current AQI], 0)</f>
        <v>4129</v>
      </c>
    </row>
    <row r="818" spans="1:8" x14ac:dyDescent="0.35">
      <c r="A818" t="s">
        <v>759</v>
      </c>
      <c r="B818" t="s">
        <v>834</v>
      </c>
      <c r="C818">
        <v>287</v>
      </c>
      <c r="D818">
        <v>53</v>
      </c>
      <c r="E818" t="s">
        <v>9</v>
      </c>
      <c r="F818">
        <f>tbl_AQI[[#This Row],[Most AQI Reached]]-tbl_AQI[[#This Row],[Current AQI]]</f>
        <v>234</v>
      </c>
      <c r="G8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18">
        <f>RANK(tbl_AQI[[#This Row],[Current AQI]], tbl_AQI[Current AQI], 0)</f>
        <v>4544</v>
      </c>
    </row>
    <row r="819" spans="1:8" x14ac:dyDescent="0.35">
      <c r="A819" t="s">
        <v>759</v>
      </c>
      <c r="B819" t="s">
        <v>835</v>
      </c>
      <c r="C819">
        <v>47</v>
      </c>
      <c r="D819">
        <v>40</v>
      </c>
      <c r="E819" t="s">
        <v>11</v>
      </c>
      <c r="F819">
        <f>tbl_AQI[[#This Row],[Most AQI Reached]]-tbl_AQI[[#This Row],[Current AQI]]</f>
        <v>7</v>
      </c>
      <c r="G8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19">
        <f>RANK(tbl_AQI[[#This Row],[Current AQI]], tbl_AQI[Current AQI], 0)</f>
        <v>4808</v>
      </c>
    </row>
    <row r="820" spans="1:8" x14ac:dyDescent="0.35">
      <c r="A820" t="s">
        <v>759</v>
      </c>
      <c r="B820" t="s">
        <v>836</v>
      </c>
      <c r="C820">
        <v>259</v>
      </c>
      <c r="D820">
        <v>74</v>
      </c>
      <c r="E820" t="s">
        <v>11</v>
      </c>
      <c r="F820">
        <f>tbl_AQI[[#This Row],[Most AQI Reached]]-tbl_AQI[[#This Row],[Current AQI]]</f>
        <v>185</v>
      </c>
      <c r="G8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20">
        <f>RANK(tbl_AQI[[#This Row],[Current AQI]], tbl_AQI[Current AQI], 0)</f>
        <v>4064</v>
      </c>
    </row>
    <row r="821" spans="1:8" x14ac:dyDescent="0.35">
      <c r="A821" t="s">
        <v>759</v>
      </c>
      <c r="B821" t="s">
        <v>837</v>
      </c>
      <c r="C821">
        <v>157</v>
      </c>
      <c r="D821">
        <v>102</v>
      </c>
      <c r="E821" t="s">
        <v>15</v>
      </c>
      <c r="F821">
        <f>tbl_AQI[[#This Row],[Most AQI Reached]]-tbl_AQI[[#This Row],[Current AQI]]</f>
        <v>55</v>
      </c>
      <c r="G8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21">
        <f>RANK(tbl_AQI[[#This Row],[Current AQI]], tbl_AQI[Current AQI], 0)</f>
        <v>3493</v>
      </c>
    </row>
    <row r="822" spans="1:8" x14ac:dyDescent="0.35">
      <c r="A822" t="s">
        <v>759</v>
      </c>
      <c r="B822" t="s">
        <v>838</v>
      </c>
      <c r="C822">
        <v>183</v>
      </c>
      <c r="D822">
        <v>143</v>
      </c>
      <c r="E822" t="s">
        <v>7</v>
      </c>
      <c r="F822">
        <f>tbl_AQI[[#This Row],[Most AQI Reached]]-tbl_AQI[[#This Row],[Current AQI]]</f>
        <v>40</v>
      </c>
      <c r="G8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22">
        <f>RANK(tbl_AQI[[#This Row],[Current AQI]], tbl_AQI[Current AQI], 0)</f>
        <v>2567</v>
      </c>
    </row>
    <row r="823" spans="1:8" x14ac:dyDescent="0.35">
      <c r="A823" t="s">
        <v>759</v>
      </c>
      <c r="B823" t="s">
        <v>839</v>
      </c>
      <c r="C823">
        <v>148</v>
      </c>
      <c r="D823">
        <v>119</v>
      </c>
      <c r="E823" t="s">
        <v>33</v>
      </c>
      <c r="F823">
        <f>tbl_AQI[[#This Row],[Most AQI Reached]]-tbl_AQI[[#This Row],[Current AQI]]</f>
        <v>29</v>
      </c>
      <c r="G8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23">
        <f>RANK(tbl_AQI[[#This Row],[Current AQI]], tbl_AQI[Current AQI], 0)</f>
        <v>3093</v>
      </c>
    </row>
    <row r="824" spans="1:8" x14ac:dyDescent="0.35">
      <c r="A824" t="s">
        <v>759</v>
      </c>
      <c r="B824" t="s">
        <v>840</v>
      </c>
      <c r="C824">
        <v>161</v>
      </c>
      <c r="D824">
        <v>135</v>
      </c>
      <c r="E824" t="s">
        <v>21</v>
      </c>
      <c r="F824">
        <f>tbl_AQI[[#This Row],[Most AQI Reached]]-tbl_AQI[[#This Row],[Current AQI]]</f>
        <v>26</v>
      </c>
      <c r="G8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24">
        <f>RANK(tbl_AQI[[#This Row],[Current AQI]], tbl_AQI[Current AQI], 0)</f>
        <v>2714</v>
      </c>
    </row>
    <row r="825" spans="1:8" x14ac:dyDescent="0.35">
      <c r="A825" t="s">
        <v>759</v>
      </c>
      <c r="B825" t="s">
        <v>841</v>
      </c>
      <c r="C825">
        <v>125</v>
      </c>
      <c r="D825">
        <v>92</v>
      </c>
      <c r="E825" t="s">
        <v>9</v>
      </c>
      <c r="F825">
        <f>tbl_AQI[[#This Row],[Most AQI Reached]]-tbl_AQI[[#This Row],[Current AQI]]</f>
        <v>33</v>
      </c>
      <c r="G8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25">
        <f>RANK(tbl_AQI[[#This Row],[Current AQI]], tbl_AQI[Current AQI], 0)</f>
        <v>3706</v>
      </c>
    </row>
    <row r="826" spans="1:8" x14ac:dyDescent="0.35">
      <c r="A826" t="s">
        <v>759</v>
      </c>
      <c r="B826" t="s">
        <v>842</v>
      </c>
      <c r="C826">
        <v>164</v>
      </c>
      <c r="D826">
        <v>40</v>
      </c>
      <c r="E826" t="s">
        <v>21</v>
      </c>
      <c r="F826">
        <f>tbl_AQI[[#This Row],[Most AQI Reached]]-tbl_AQI[[#This Row],[Current AQI]]</f>
        <v>124</v>
      </c>
      <c r="G8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26">
        <f>RANK(tbl_AQI[[#This Row],[Current AQI]], tbl_AQI[Current AQI], 0)</f>
        <v>4808</v>
      </c>
    </row>
    <row r="827" spans="1:8" x14ac:dyDescent="0.35">
      <c r="A827" t="s">
        <v>759</v>
      </c>
      <c r="B827" t="s">
        <v>843</v>
      </c>
      <c r="C827">
        <v>226</v>
      </c>
      <c r="D827">
        <v>128</v>
      </c>
      <c r="E827" t="s">
        <v>9</v>
      </c>
      <c r="F827">
        <f>tbl_AQI[[#This Row],[Most AQI Reached]]-tbl_AQI[[#This Row],[Current AQI]]</f>
        <v>98</v>
      </c>
      <c r="G8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27">
        <f>RANK(tbl_AQI[[#This Row],[Current AQI]], tbl_AQI[Current AQI], 0)</f>
        <v>2872</v>
      </c>
    </row>
    <row r="828" spans="1:8" x14ac:dyDescent="0.35">
      <c r="A828" t="s">
        <v>759</v>
      </c>
      <c r="B828" t="s">
        <v>844</v>
      </c>
      <c r="C828">
        <v>57</v>
      </c>
      <c r="D828">
        <v>55</v>
      </c>
      <c r="E828" t="s">
        <v>21</v>
      </c>
      <c r="F828">
        <f>tbl_AQI[[#This Row],[Most AQI Reached]]-tbl_AQI[[#This Row],[Current AQI]]</f>
        <v>2</v>
      </c>
      <c r="G8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28">
        <f>RANK(tbl_AQI[[#This Row],[Current AQI]], tbl_AQI[Current AQI], 0)</f>
        <v>4497</v>
      </c>
    </row>
    <row r="829" spans="1:8" x14ac:dyDescent="0.35">
      <c r="A829" t="s">
        <v>759</v>
      </c>
      <c r="B829" t="s">
        <v>845</v>
      </c>
      <c r="C829">
        <v>302</v>
      </c>
      <c r="D829">
        <v>163</v>
      </c>
      <c r="E829" t="s">
        <v>33</v>
      </c>
      <c r="F829">
        <f>tbl_AQI[[#This Row],[Most AQI Reached]]-tbl_AQI[[#This Row],[Current AQI]]</f>
        <v>139</v>
      </c>
      <c r="G8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29">
        <f>RANK(tbl_AQI[[#This Row],[Current AQI]], tbl_AQI[Current AQI], 0)</f>
        <v>2075</v>
      </c>
    </row>
    <row r="830" spans="1:8" x14ac:dyDescent="0.35">
      <c r="A830" t="s">
        <v>759</v>
      </c>
      <c r="B830" t="s">
        <v>846</v>
      </c>
      <c r="C830">
        <v>221</v>
      </c>
      <c r="D830">
        <v>121</v>
      </c>
      <c r="E830" t="s">
        <v>15</v>
      </c>
      <c r="F830">
        <f>tbl_AQI[[#This Row],[Most AQI Reached]]-tbl_AQI[[#This Row],[Current AQI]]</f>
        <v>100</v>
      </c>
      <c r="G8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30">
        <f>RANK(tbl_AQI[[#This Row],[Current AQI]], tbl_AQI[Current AQI], 0)</f>
        <v>3037</v>
      </c>
    </row>
    <row r="831" spans="1:8" x14ac:dyDescent="0.35">
      <c r="A831" t="s">
        <v>759</v>
      </c>
      <c r="B831" t="s">
        <v>847</v>
      </c>
      <c r="C831">
        <v>125</v>
      </c>
      <c r="D831">
        <v>67</v>
      </c>
      <c r="E831" t="s">
        <v>17</v>
      </c>
      <c r="F831">
        <f>tbl_AQI[[#This Row],[Most AQI Reached]]-tbl_AQI[[#This Row],[Current AQI]]</f>
        <v>58</v>
      </c>
      <c r="G8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31">
        <f>RANK(tbl_AQI[[#This Row],[Current AQI]], tbl_AQI[Current AQI], 0)</f>
        <v>4225</v>
      </c>
    </row>
    <row r="832" spans="1:8" x14ac:dyDescent="0.35">
      <c r="A832" t="s">
        <v>759</v>
      </c>
      <c r="B832" t="s">
        <v>848</v>
      </c>
      <c r="C832">
        <v>319</v>
      </c>
      <c r="D832">
        <v>61</v>
      </c>
      <c r="E832" t="s">
        <v>11</v>
      </c>
      <c r="F832">
        <f>tbl_AQI[[#This Row],[Most AQI Reached]]-tbl_AQI[[#This Row],[Current AQI]]</f>
        <v>258</v>
      </c>
      <c r="G8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32">
        <f>RANK(tbl_AQI[[#This Row],[Current AQI]], tbl_AQI[Current AQI], 0)</f>
        <v>4368</v>
      </c>
    </row>
    <row r="833" spans="1:8" x14ac:dyDescent="0.35">
      <c r="A833" t="s">
        <v>759</v>
      </c>
      <c r="B833" t="s">
        <v>849</v>
      </c>
      <c r="C833">
        <v>268</v>
      </c>
      <c r="D833">
        <v>74</v>
      </c>
      <c r="E833" t="s">
        <v>33</v>
      </c>
      <c r="F833">
        <f>tbl_AQI[[#This Row],[Most AQI Reached]]-tbl_AQI[[#This Row],[Current AQI]]</f>
        <v>194</v>
      </c>
      <c r="G8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33">
        <f>RANK(tbl_AQI[[#This Row],[Current AQI]], tbl_AQI[Current AQI], 0)</f>
        <v>4064</v>
      </c>
    </row>
    <row r="834" spans="1:8" x14ac:dyDescent="0.35">
      <c r="A834" t="s">
        <v>759</v>
      </c>
      <c r="B834" t="s">
        <v>850</v>
      </c>
      <c r="C834">
        <v>166</v>
      </c>
      <c r="D834">
        <v>85</v>
      </c>
      <c r="E834" t="s">
        <v>9</v>
      </c>
      <c r="F834">
        <f>tbl_AQI[[#This Row],[Most AQI Reached]]-tbl_AQI[[#This Row],[Current AQI]]</f>
        <v>81</v>
      </c>
      <c r="G8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34">
        <f>RANK(tbl_AQI[[#This Row],[Current AQI]], tbl_AQI[Current AQI], 0)</f>
        <v>3852</v>
      </c>
    </row>
    <row r="835" spans="1:8" x14ac:dyDescent="0.35">
      <c r="A835" t="s">
        <v>759</v>
      </c>
      <c r="B835" t="s">
        <v>851</v>
      </c>
      <c r="C835">
        <v>278</v>
      </c>
      <c r="D835">
        <v>110</v>
      </c>
      <c r="E835" t="s">
        <v>7</v>
      </c>
      <c r="F835">
        <f>tbl_AQI[[#This Row],[Most AQI Reached]]-tbl_AQI[[#This Row],[Current AQI]]</f>
        <v>168</v>
      </c>
      <c r="G8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35">
        <f>RANK(tbl_AQI[[#This Row],[Current AQI]], tbl_AQI[Current AQI], 0)</f>
        <v>3302</v>
      </c>
    </row>
    <row r="836" spans="1:8" x14ac:dyDescent="0.35">
      <c r="A836" t="s">
        <v>759</v>
      </c>
      <c r="B836" t="s">
        <v>852</v>
      </c>
      <c r="C836">
        <v>258</v>
      </c>
      <c r="D836">
        <v>153</v>
      </c>
      <c r="E836" t="s">
        <v>11</v>
      </c>
      <c r="F836">
        <f>tbl_AQI[[#This Row],[Most AQI Reached]]-tbl_AQI[[#This Row],[Current AQI]]</f>
        <v>105</v>
      </c>
      <c r="G8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36">
        <f>RANK(tbl_AQI[[#This Row],[Current AQI]], tbl_AQI[Current AQI], 0)</f>
        <v>2329</v>
      </c>
    </row>
    <row r="837" spans="1:8" x14ac:dyDescent="0.35">
      <c r="A837" t="s">
        <v>759</v>
      </c>
      <c r="B837" t="s">
        <v>853</v>
      </c>
      <c r="C837">
        <v>273</v>
      </c>
      <c r="D837">
        <v>182</v>
      </c>
      <c r="E837" t="s">
        <v>7</v>
      </c>
      <c r="F837">
        <f>tbl_AQI[[#This Row],[Most AQI Reached]]-tbl_AQI[[#This Row],[Current AQI]]</f>
        <v>91</v>
      </c>
      <c r="G8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37">
        <f>RANK(tbl_AQI[[#This Row],[Current AQI]], tbl_AQI[Current AQI], 0)</f>
        <v>1593</v>
      </c>
    </row>
    <row r="838" spans="1:8" x14ac:dyDescent="0.35">
      <c r="A838" t="s">
        <v>759</v>
      </c>
      <c r="B838" t="s">
        <v>854</v>
      </c>
      <c r="C838">
        <v>294</v>
      </c>
      <c r="D838">
        <v>129</v>
      </c>
      <c r="E838" t="s">
        <v>33</v>
      </c>
      <c r="F838">
        <f>tbl_AQI[[#This Row],[Most AQI Reached]]-tbl_AQI[[#This Row],[Current AQI]]</f>
        <v>165</v>
      </c>
      <c r="G8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38">
        <f>RANK(tbl_AQI[[#This Row],[Current AQI]], tbl_AQI[Current AQI], 0)</f>
        <v>2852</v>
      </c>
    </row>
    <row r="839" spans="1:8" x14ac:dyDescent="0.35">
      <c r="A839" t="s">
        <v>759</v>
      </c>
      <c r="B839" t="s">
        <v>855</v>
      </c>
      <c r="C839">
        <v>260</v>
      </c>
      <c r="D839">
        <v>184</v>
      </c>
      <c r="E839" t="s">
        <v>11</v>
      </c>
      <c r="F839">
        <f>tbl_AQI[[#This Row],[Most AQI Reached]]-tbl_AQI[[#This Row],[Current AQI]]</f>
        <v>76</v>
      </c>
      <c r="G8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39">
        <f>RANK(tbl_AQI[[#This Row],[Current AQI]], tbl_AQI[Current AQI], 0)</f>
        <v>1544</v>
      </c>
    </row>
    <row r="840" spans="1:8" x14ac:dyDescent="0.35">
      <c r="A840" t="s">
        <v>759</v>
      </c>
      <c r="B840" t="s">
        <v>856</v>
      </c>
      <c r="C840">
        <v>102</v>
      </c>
      <c r="D840">
        <v>38</v>
      </c>
      <c r="E840" t="s">
        <v>9</v>
      </c>
      <c r="F840">
        <f>tbl_AQI[[#This Row],[Most AQI Reached]]-tbl_AQI[[#This Row],[Current AQI]]</f>
        <v>64</v>
      </c>
      <c r="G8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40">
        <f>RANK(tbl_AQI[[#This Row],[Current AQI]], tbl_AQI[Current AQI], 0)</f>
        <v>4845</v>
      </c>
    </row>
    <row r="841" spans="1:8" x14ac:dyDescent="0.35">
      <c r="A841" t="s">
        <v>759</v>
      </c>
      <c r="B841" t="s">
        <v>857</v>
      </c>
      <c r="C841">
        <v>312</v>
      </c>
      <c r="D841">
        <v>126</v>
      </c>
      <c r="E841" t="s">
        <v>17</v>
      </c>
      <c r="F841">
        <f>tbl_AQI[[#This Row],[Most AQI Reached]]-tbl_AQI[[#This Row],[Current AQI]]</f>
        <v>186</v>
      </c>
      <c r="G8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41">
        <f>RANK(tbl_AQI[[#This Row],[Current AQI]], tbl_AQI[Current AQI], 0)</f>
        <v>2934</v>
      </c>
    </row>
    <row r="842" spans="1:8" x14ac:dyDescent="0.35">
      <c r="A842" t="s">
        <v>759</v>
      </c>
      <c r="B842" t="s">
        <v>858</v>
      </c>
      <c r="C842">
        <v>172</v>
      </c>
      <c r="D842">
        <v>104</v>
      </c>
      <c r="E842" t="s">
        <v>11</v>
      </c>
      <c r="F842">
        <f>tbl_AQI[[#This Row],[Most AQI Reached]]-tbl_AQI[[#This Row],[Current AQI]]</f>
        <v>68</v>
      </c>
      <c r="G8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42">
        <f>RANK(tbl_AQI[[#This Row],[Current AQI]], tbl_AQI[Current AQI], 0)</f>
        <v>3454</v>
      </c>
    </row>
    <row r="843" spans="1:8" x14ac:dyDescent="0.35">
      <c r="A843" t="s">
        <v>759</v>
      </c>
      <c r="B843" t="s">
        <v>859</v>
      </c>
      <c r="C843">
        <v>212</v>
      </c>
      <c r="D843">
        <v>184</v>
      </c>
      <c r="E843" t="s">
        <v>17</v>
      </c>
      <c r="F843">
        <f>tbl_AQI[[#This Row],[Most AQI Reached]]-tbl_AQI[[#This Row],[Current AQI]]</f>
        <v>28</v>
      </c>
      <c r="G8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43">
        <f>RANK(tbl_AQI[[#This Row],[Current AQI]], tbl_AQI[Current AQI], 0)</f>
        <v>1544</v>
      </c>
    </row>
    <row r="844" spans="1:8" x14ac:dyDescent="0.35">
      <c r="A844" t="s">
        <v>759</v>
      </c>
      <c r="B844" t="s">
        <v>860</v>
      </c>
      <c r="C844">
        <v>46</v>
      </c>
      <c r="D844">
        <v>43</v>
      </c>
      <c r="E844" t="s">
        <v>9</v>
      </c>
      <c r="F844">
        <f>tbl_AQI[[#This Row],[Most AQI Reached]]-tbl_AQI[[#This Row],[Current AQI]]</f>
        <v>3</v>
      </c>
      <c r="G8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44">
        <f>RANK(tbl_AQI[[#This Row],[Current AQI]], tbl_AQI[Current AQI], 0)</f>
        <v>4752</v>
      </c>
    </row>
    <row r="845" spans="1:8" x14ac:dyDescent="0.35">
      <c r="A845" t="s">
        <v>759</v>
      </c>
      <c r="B845" t="s">
        <v>861</v>
      </c>
      <c r="C845">
        <v>214</v>
      </c>
      <c r="D845">
        <v>72</v>
      </c>
      <c r="E845" t="s">
        <v>11</v>
      </c>
      <c r="F845">
        <f>tbl_AQI[[#This Row],[Most AQI Reached]]-tbl_AQI[[#This Row],[Current AQI]]</f>
        <v>142</v>
      </c>
      <c r="G8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45">
        <f>RANK(tbl_AQI[[#This Row],[Current AQI]], tbl_AQI[Current AQI], 0)</f>
        <v>4100</v>
      </c>
    </row>
    <row r="846" spans="1:8" x14ac:dyDescent="0.35">
      <c r="A846" t="s">
        <v>759</v>
      </c>
      <c r="B846" t="s">
        <v>862</v>
      </c>
      <c r="C846">
        <v>260</v>
      </c>
      <c r="D846">
        <v>49</v>
      </c>
      <c r="E846" t="s">
        <v>33</v>
      </c>
      <c r="F846">
        <f>tbl_AQI[[#This Row],[Most AQI Reached]]-tbl_AQI[[#This Row],[Current AQI]]</f>
        <v>211</v>
      </c>
      <c r="G8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46">
        <f>RANK(tbl_AQI[[#This Row],[Current AQI]], tbl_AQI[Current AQI], 0)</f>
        <v>4614</v>
      </c>
    </row>
    <row r="847" spans="1:8" x14ac:dyDescent="0.35">
      <c r="A847" t="s">
        <v>759</v>
      </c>
      <c r="B847" t="s">
        <v>863</v>
      </c>
      <c r="C847">
        <v>186</v>
      </c>
      <c r="D847">
        <v>141</v>
      </c>
      <c r="E847" t="s">
        <v>15</v>
      </c>
      <c r="F847">
        <f>tbl_AQI[[#This Row],[Most AQI Reached]]-tbl_AQI[[#This Row],[Current AQI]]</f>
        <v>45</v>
      </c>
      <c r="G8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47">
        <f>RANK(tbl_AQI[[#This Row],[Current AQI]], tbl_AQI[Current AQI], 0)</f>
        <v>2609</v>
      </c>
    </row>
    <row r="848" spans="1:8" x14ac:dyDescent="0.35">
      <c r="A848" t="s">
        <v>759</v>
      </c>
      <c r="B848" t="s">
        <v>864</v>
      </c>
      <c r="C848">
        <v>266</v>
      </c>
      <c r="D848">
        <v>72</v>
      </c>
      <c r="E848" t="s">
        <v>7</v>
      </c>
      <c r="F848">
        <f>tbl_AQI[[#This Row],[Most AQI Reached]]-tbl_AQI[[#This Row],[Current AQI]]</f>
        <v>194</v>
      </c>
      <c r="G8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48">
        <f>RANK(tbl_AQI[[#This Row],[Current AQI]], tbl_AQI[Current AQI], 0)</f>
        <v>4100</v>
      </c>
    </row>
    <row r="849" spans="1:8" x14ac:dyDescent="0.35">
      <c r="A849" t="s">
        <v>759</v>
      </c>
      <c r="B849" t="s">
        <v>865</v>
      </c>
      <c r="C849">
        <v>194</v>
      </c>
      <c r="D849">
        <v>153</v>
      </c>
      <c r="E849" t="s">
        <v>21</v>
      </c>
      <c r="F849">
        <f>tbl_AQI[[#This Row],[Most AQI Reached]]-tbl_AQI[[#This Row],[Current AQI]]</f>
        <v>41</v>
      </c>
      <c r="G8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49">
        <f>RANK(tbl_AQI[[#This Row],[Current AQI]], tbl_AQI[Current AQI], 0)</f>
        <v>2329</v>
      </c>
    </row>
    <row r="850" spans="1:8" x14ac:dyDescent="0.35">
      <c r="A850" t="s">
        <v>759</v>
      </c>
      <c r="B850" t="s">
        <v>866</v>
      </c>
      <c r="C850">
        <v>310</v>
      </c>
      <c r="D850">
        <v>79</v>
      </c>
      <c r="E850" t="s">
        <v>9</v>
      </c>
      <c r="F850">
        <f>tbl_AQI[[#This Row],[Most AQI Reached]]-tbl_AQI[[#This Row],[Current AQI]]</f>
        <v>231</v>
      </c>
      <c r="G8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50">
        <f>RANK(tbl_AQI[[#This Row],[Current AQI]], tbl_AQI[Current AQI], 0)</f>
        <v>3967</v>
      </c>
    </row>
    <row r="851" spans="1:8" x14ac:dyDescent="0.35">
      <c r="A851" t="s">
        <v>759</v>
      </c>
      <c r="B851" t="s">
        <v>867</v>
      </c>
      <c r="C851">
        <v>275</v>
      </c>
      <c r="D851">
        <v>162</v>
      </c>
      <c r="E851" t="s">
        <v>33</v>
      </c>
      <c r="F851">
        <f>tbl_AQI[[#This Row],[Most AQI Reached]]-tbl_AQI[[#This Row],[Current AQI]]</f>
        <v>113</v>
      </c>
      <c r="G8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51">
        <f>RANK(tbl_AQI[[#This Row],[Current AQI]], tbl_AQI[Current AQI], 0)</f>
        <v>2106</v>
      </c>
    </row>
    <row r="852" spans="1:8" x14ac:dyDescent="0.35">
      <c r="A852" t="s">
        <v>759</v>
      </c>
      <c r="B852" t="s">
        <v>868</v>
      </c>
      <c r="C852">
        <v>200</v>
      </c>
      <c r="D852">
        <v>95</v>
      </c>
      <c r="E852" t="s">
        <v>21</v>
      </c>
      <c r="F852">
        <f>tbl_AQI[[#This Row],[Most AQI Reached]]-tbl_AQI[[#This Row],[Current AQI]]</f>
        <v>105</v>
      </c>
      <c r="G8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52">
        <f>RANK(tbl_AQI[[#This Row],[Current AQI]], tbl_AQI[Current AQI], 0)</f>
        <v>3634</v>
      </c>
    </row>
    <row r="853" spans="1:8" x14ac:dyDescent="0.35">
      <c r="A853" t="s">
        <v>759</v>
      </c>
      <c r="B853" t="s">
        <v>869</v>
      </c>
      <c r="C853">
        <v>291</v>
      </c>
      <c r="D853">
        <v>84</v>
      </c>
      <c r="E853" t="s">
        <v>33</v>
      </c>
      <c r="F853">
        <f>tbl_AQI[[#This Row],[Most AQI Reached]]-tbl_AQI[[#This Row],[Current AQI]]</f>
        <v>207</v>
      </c>
      <c r="G8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53">
        <f>RANK(tbl_AQI[[#This Row],[Current AQI]], tbl_AQI[Current AQI], 0)</f>
        <v>3872</v>
      </c>
    </row>
    <row r="854" spans="1:8" x14ac:dyDescent="0.35">
      <c r="A854" t="s">
        <v>759</v>
      </c>
      <c r="B854" t="s">
        <v>870</v>
      </c>
      <c r="C854">
        <v>166</v>
      </c>
      <c r="D854">
        <v>112</v>
      </c>
      <c r="E854" t="s">
        <v>21</v>
      </c>
      <c r="F854">
        <f>tbl_AQI[[#This Row],[Most AQI Reached]]-tbl_AQI[[#This Row],[Current AQI]]</f>
        <v>54</v>
      </c>
      <c r="G8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54">
        <f>RANK(tbl_AQI[[#This Row],[Current AQI]], tbl_AQI[Current AQI], 0)</f>
        <v>3267</v>
      </c>
    </row>
    <row r="855" spans="1:8" x14ac:dyDescent="0.35">
      <c r="A855" t="s">
        <v>759</v>
      </c>
      <c r="B855" t="s">
        <v>871</v>
      </c>
      <c r="C855">
        <v>245</v>
      </c>
      <c r="D855">
        <v>47</v>
      </c>
      <c r="E855" t="s">
        <v>33</v>
      </c>
      <c r="F855">
        <f>tbl_AQI[[#This Row],[Most AQI Reached]]-tbl_AQI[[#This Row],[Current AQI]]</f>
        <v>198</v>
      </c>
      <c r="G8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55">
        <f>RANK(tbl_AQI[[#This Row],[Current AQI]], tbl_AQI[Current AQI], 0)</f>
        <v>4656</v>
      </c>
    </row>
    <row r="856" spans="1:8" x14ac:dyDescent="0.35">
      <c r="A856" t="s">
        <v>759</v>
      </c>
      <c r="B856" t="s">
        <v>872</v>
      </c>
      <c r="C856">
        <v>35</v>
      </c>
      <c r="D856">
        <v>34</v>
      </c>
      <c r="E856" t="s">
        <v>9</v>
      </c>
      <c r="F856">
        <f>tbl_AQI[[#This Row],[Most AQI Reached]]-tbl_AQI[[#This Row],[Current AQI]]</f>
        <v>1</v>
      </c>
      <c r="G8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56">
        <f>RANK(tbl_AQI[[#This Row],[Current AQI]], tbl_AQI[Current AQI], 0)</f>
        <v>4944</v>
      </c>
    </row>
    <row r="857" spans="1:8" x14ac:dyDescent="0.35">
      <c r="A857" t="s">
        <v>759</v>
      </c>
      <c r="B857" t="s">
        <v>873</v>
      </c>
      <c r="C857">
        <v>279</v>
      </c>
      <c r="D857">
        <v>144</v>
      </c>
      <c r="E857" t="s">
        <v>17</v>
      </c>
      <c r="F857">
        <f>tbl_AQI[[#This Row],[Most AQI Reached]]-tbl_AQI[[#This Row],[Current AQI]]</f>
        <v>135</v>
      </c>
      <c r="G8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57">
        <f>RANK(tbl_AQI[[#This Row],[Current AQI]], tbl_AQI[Current AQI], 0)</f>
        <v>2550</v>
      </c>
    </row>
    <row r="858" spans="1:8" x14ac:dyDescent="0.35">
      <c r="A858" t="s">
        <v>759</v>
      </c>
      <c r="B858" t="s">
        <v>874</v>
      </c>
      <c r="C858">
        <v>278</v>
      </c>
      <c r="D858">
        <v>66</v>
      </c>
      <c r="E858" t="s">
        <v>17</v>
      </c>
      <c r="F858">
        <f>tbl_AQI[[#This Row],[Most AQI Reached]]-tbl_AQI[[#This Row],[Current AQI]]</f>
        <v>212</v>
      </c>
      <c r="G8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58">
        <f>RANK(tbl_AQI[[#This Row],[Current AQI]], tbl_AQI[Current AQI], 0)</f>
        <v>4247</v>
      </c>
    </row>
    <row r="859" spans="1:8" x14ac:dyDescent="0.35">
      <c r="A859" t="s">
        <v>759</v>
      </c>
      <c r="B859" t="s">
        <v>875</v>
      </c>
      <c r="C859">
        <v>239</v>
      </c>
      <c r="D859">
        <v>90</v>
      </c>
      <c r="E859" t="s">
        <v>11</v>
      </c>
      <c r="F859">
        <f>tbl_AQI[[#This Row],[Most AQI Reached]]-tbl_AQI[[#This Row],[Current AQI]]</f>
        <v>149</v>
      </c>
      <c r="G8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59">
        <f>RANK(tbl_AQI[[#This Row],[Current AQI]], tbl_AQI[Current AQI], 0)</f>
        <v>3750</v>
      </c>
    </row>
    <row r="860" spans="1:8" x14ac:dyDescent="0.35">
      <c r="A860" t="s">
        <v>759</v>
      </c>
      <c r="B860" t="s">
        <v>876</v>
      </c>
      <c r="C860">
        <v>174</v>
      </c>
      <c r="D860">
        <v>86</v>
      </c>
      <c r="E860" t="s">
        <v>21</v>
      </c>
      <c r="F860">
        <f>tbl_AQI[[#This Row],[Most AQI Reached]]-tbl_AQI[[#This Row],[Current AQI]]</f>
        <v>88</v>
      </c>
      <c r="G8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60">
        <f>RANK(tbl_AQI[[#This Row],[Current AQI]], tbl_AQI[Current AQI], 0)</f>
        <v>3830</v>
      </c>
    </row>
    <row r="861" spans="1:8" x14ac:dyDescent="0.35">
      <c r="A861" t="s">
        <v>759</v>
      </c>
      <c r="B861" t="s">
        <v>877</v>
      </c>
      <c r="C861">
        <v>186</v>
      </c>
      <c r="D861">
        <v>80</v>
      </c>
      <c r="E861" t="s">
        <v>17</v>
      </c>
      <c r="F861">
        <f>tbl_AQI[[#This Row],[Most AQI Reached]]-tbl_AQI[[#This Row],[Current AQI]]</f>
        <v>106</v>
      </c>
      <c r="G8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61">
        <f>RANK(tbl_AQI[[#This Row],[Current AQI]], tbl_AQI[Current AQI], 0)</f>
        <v>3948</v>
      </c>
    </row>
    <row r="862" spans="1:8" x14ac:dyDescent="0.35">
      <c r="A862" t="s">
        <v>759</v>
      </c>
      <c r="B862" t="s">
        <v>878</v>
      </c>
      <c r="C862">
        <v>251</v>
      </c>
      <c r="D862">
        <v>142</v>
      </c>
      <c r="E862" t="s">
        <v>17</v>
      </c>
      <c r="F862">
        <f>tbl_AQI[[#This Row],[Most AQI Reached]]-tbl_AQI[[#This Row],[Current AQI]]</f>
        <v>109</v>
      </c>
      <c r="G8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62">
        <f>RANK(tbl_AQI[[#This Row],[Current AQI]], tbl_AQI[Current AQI], 0)</f>
        <v>2585</v>
      </c>
    </row>
    <row r="863" spans="1:8" x14ac:dyDescent="0.35">
      <c r="A863" t="s">
        <v>759</v>
      </c>
      <c r="B863" t="s">
        <v>879</v>
      </c>
      <c r="C863">
        <v>275</v>
      </c>
      <c r="D863">
        <v>91</v>
      </c>
      <c r="E863" t="s">
        <v>9</v>
      </c>
      <c r="F863">
        <f>tbl_AQI[[#This Row],[Most AQI Reached]]-tbl_AQI[[#This Row],[Current AQI]]</f>
        <v>184</v>
      </c>
      <c r="G8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63">
        <f>RANK(tbl_AQI[[#This Row],[Current AQI]], tbl_AQI[Current AQI], 0)</f>
        <v>3726</v>
      </c>
    </row>
    <row r="864" spans="1:8" x14ac:dyDescent="0.35">
      <c r="A864" t="s">
        <v>759</v>
      </c>
      <c r="B864" t="s">
        <v>880</v>
      </c>
      <c r="C864">
        <v>257</v>
      </c>
      <c r="D864">
        <v>183</v>
      </c>
      <c r="E864" t="s">
        <v>33</v>
      </c>
      <c r="F864">
        <f>tbl_AQI[[#This Row],[Most AQI Reached]]-tbl_AQI[[#This Row],[Current AQI]]</f>
        <v>74</v>
      </c>
      <c r="G8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64">
        <f>RANK(tbl_AQI[[#This Row],[Current AQI]], tbl_AQI[Current AQI], 0)</f>
        <v>1572</v>
      </c>
    </row>
    <row r="865" spans="1:8" x14ac:dyDescent="0.35">
      <c r="A865" t="s">
        <v>759</v>
      </c>
      <c r="B865" t="s">
        <v>881</v>
      </c>
      <c r="C865">
        <v>154</v>
      </c>
      <c r="D865">
        <v>83</v>
      </c>
      <c r="E865" t="s">
        <v>33</v>
      </c>
      <c r="F865">
        <f>tbl_AQI[[#This Row],[Most AQI Reached]]-tbl_AQI[[#This Row],[Current AQI]]</f>
        <v>71</v>
      </c>
      <c r="G8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65">
        <f>RANK(tbl_AQI[[#This Row],[Current AQI]], tbl_AQI[Current AQI], 0)</f>
        <v>3892</v>
      </c>
    </row>
    <row r="866" spans="1:8" x14ac:dyDescent="0.35">
      <c r="A866" t="s">
        <v>759</v>
      </c>
      <c r="B866" t="s">
        <v>882</v>
      </c>
      <c r="C866">
        <v>182</v>
      </c>
      <c r="D866">
        <v>43</v>
      </c>
      <c r="E866" t="s">
        <v>15</v>
      </c>
      <c r="F866">
        <f>tbl_AQI[[#This Row],[Most AQI Reached]]-tbl_AQI[[#This Row],[Current AQI]]</f>
        <v>139</v>
      </c>
      <c r="G8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66">
        <f>RANK(tbl_AQI[[#This Row],[Current AQI]], tbl_AQI[Current AQI], 0)</f>
        <v>4752</v>
      </c>
    </row>
    <row r="867" spans="1:8" x14ac:dyDescent="0.35">
      <c r="A867" t="s">
        <v>759</v>
      </c>
      <c r="B867" t="s">
        <v>883</v>
      </c>
      <c r="C867">
        <v>237</v>
      </c>
      <c r="D867">
        <v>184</v>
      </c>
      <c r="E867" t="s">
        <v>11</v>
      </c>
      <c r="F867">
        <f>tbl_AQI[[#This Row],[Most AQI Reached]]-tbl_AQI[[#This Row],[Current AQI]]</f>
        <v>53</v>
      </c>
      <c r="G8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67">
        <f>RANK(tbl_AQI[[#This Row],[Current AQI]], tbl_AQI[Current AQI], 0)</f>
        <v>1544</v>
      </c>
    </row>
    <row r="868" spans="1:8" x14ac:dyDescent="0.35">
      <c r="A868" t="s">
        <v>759</v>
      </c>
      <c r="B868" t="s">
        <v>884</v>
      </c>
      <c r="C868">
        <v>167</v>
      </c>
      <c r="D868">
        <v>80</v>
      </c>
      <c r="E868" t="s">
        <v>9</v>
      </c>
      <c r="F868">
        <f>tbl_AQI[[#This Row],[Most AQI Reached]]-tbl_AQI[[#This Row],[Current AQI]]</f>
        <v>87</v>
      </c>
      <c r="G8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68">
        <f>RANK(tbl_AQI[[#This Row],[Current AQI]], tbl_AQI[Current AQI], 0)</f>
        <v>3948</v>
      </c>
    </row>
    <row r="869" spans="1:8" x14ac:dyDescent="0.35">
      <c r="A869" t="s">
        <v>759</v>
      </c>
      <c r="B869" t="s">
        <v>885</v>
      </c>
      <c r="C869">
        <v>89</v>
      </c>
      <c r="D869">
        <v>45</v>
      </c>
      <c r="E869" t="s">
        <v>15</v>
      </c>
      <c r="F869">
        <f>tbl_AQI[[#This Row],[Most AQI Reached]]-tbl_AQI[[#This Row],[Current AQI]]</f>
        <v>44</v>
      </c>
      <c r="G8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69">
        <f>RANK(tbl_AQI[[#This Row],[Current AQI]], tbl_AQI[Current AQI], 0)</f>
        <v>4702</v>
      </c>
    </row>
    <row r="870" spans="1:8" x14ac:dyDescent="0.35">
      <c r="A870" t="s">
        <v>759</v>
      </c>
      <c r="B870" t="s">
        <v>886</v>
      </c>
      <c r="C870">
        <v>158</v>
      </c>
      <c r="D870">
        <v>37</v>
      </c>
      <c r="E870" t="s">
        <v>9</v>
      </c>
      <c r="F870">
        <f>tbl_AQI[[#This Row],[Most AQI Reached]]-tbl_AQI[[#This Row],[Current AQI]]</f>
        <v>121</v>
      </c>
      <c r="G8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70">
        <f>RANK(tbl_AQI[[#This Row],[Current AQI]], tbl_AQI[Current AQI], 0)</f>
        <v>4863</v>
      </c>
    </row>
    <row r="871" spans="1:8" x14ac:dyDescent="0.35">
      <c r="A871" t="s">
        <v>759</v>
      </c>
      <c r="B871" t="s">
        <v>887</v>
      </c>
      <c r="C871">
        <v>61</v>
      </c>
      <c r="D871">
        <v>45</v>
      </c>
      <c r="E871" t="s">
        <v>15</v>
      </c>
      <c r="F871">
        <f>tbl_AQI[[#This Row],[Most AQI Reached]]-tbl_AQI[[#This Row],[Current AQI]]</f>
        <v>16</v>
      </c>
      <c r="G8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71">
        <f>RANK(tbl_AQI[[#This Row],[Current AQI]], tbl_AQI[Current AQI], 0)</f>
        <v>4702</v>
      </c>
    </row>
    <row r="872" spans="1:8" x14ac:dyDescent="0.35">
      <c r="A872" t="s">
        <v>759</v>
      </c>
      <c r="B872" t="s">
        <v>888</v>
      </c>
      <c r="C872">
        <v>101</v>
      </c>
      <c r="D872">
        <v>100</v>
      </c>
      <c r="E872" t="s">
        <v>21</v>
      </c>
      <c r="F872">
        <f>tbl_AQI[[#This Row],[Most AQI Reached]]-tbl_AQI[[#This Row],[Current AQI]]</f>
        <v>1</v>
      </c>
      <c r="G8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72">
        <f>RANK(tbl_AQI[[#This Row],[Current AQI]], tbl_AQI[Current AQI], 0)</f>
        <v>3535</v>
      </c>
    </row>
    <row r="873" spans="1:8" x14ac:dyDescent="0.35">
      <c r="A873" t="s">
        <v>759</v>
      </c>
      <c r="B873" t="s">
        <v>889</v>
      </c>
      <c r="C873">
        <v>105</v>
      </c>
      <c r="D873">
        <v>105</v>
      </c>
      <c r="E873" t="s">
        <v>15</v>
      </c>
      <c r="F873">
        <f>tbl_AQI[[#This Row],[Most AQI Reached]]-tbl_AQI[[#This Row],[Current AQI]]</f>
        <v>0</v>
      </c>
      <c r="G8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73">
        <f>RANK(tbl_AQI[[#This Row],[Current AQI]], tbl_AQI[Current AQI], 0)</f>
        <v>3436</v>
      </c>
    </row>
    <row r="874" spans="1:8" x14ac:dyDescent="0.35">
      <c r="A874" t="s">
        <v>759</v>
      </c>
      <c r="B874" t="s">
        <v>890</v>
      </c>
      <c r="C874">
        <v>191</v>
      </c>
      <c r="D874">
        <v>100</v>
      </c>
      <c r="E874" t="s">
        <v>17</v>
      </c>
      <c r="F874">
        <f>tbl_AQI[[#This Row],[Most AQI Reached]]-tbl_AQI[[#This Row],[Current AQI]]</f>
        <v>91</v>
      </c>
      <c r="G8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74">
        <f>RANK(tbl_AQI[[#This Row],[Current AQI]], tbl_AQI[Current AQI], 0)</f>
        <v>3535</v>
      </c>
    </row>
    <row r="875" spans="1:8" x14ac:dyDescent="0.35">
      <c r="A875" t="s">
        <v>759</v>
      </c>
      <c r="B875" t="s">
        <v>891</v>
      </c>
      <c r="C875">
        <v>293</v>
      </c>
      <c r="D875">
        <v>123</v>
      </c>
      <c r="E875" t="s">
        <v>15</v>
      </c>
      <c r="F875">
        <f>tbl_AQI[[#This Row],[Most AQI Reached]]-tbl_AQI[[#This Row],[Current AQI]]</f>
        <v>170</v>
      </c>
      <c r="G8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75">
        <f>RANK(tbl_AQI[[#This Row],[Current AQI]], tbl_AQI[Current AQI], 0)</f>
        <v>2983</v>
      </c>
    </row>
    <row r="876" spans="1:8" x14ac:dyDescent="0.35">
      <c r="A876" t="s">
        <v>759</v>
      </c>
      <c r="B876" t="s">
        <v>892</v>
      </c>
      <c r="C876">
        <v>99</v>
      </c>
      <c r="D876">
        <v>73</v>
      </c>
      <c r="E876" t="s">
        <v>33</v>
      </c>
      <c r="F876">
        <f>tbl_AQI[[#This Row],[Most AQI Reached]]-tbl_AQI[[#This Row],[Current AQI]]</f>
        <v>26</v>
      </c>
      <c r="G8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76">
        <f>RANK(tbl_AQI[[#This Row],[Current AQI]], tbl_AQI[Current AQI], 0)</f>
        <v>4083</v>
      </c>
    </row>
    <row r="877" spans="1:8" x14ac:dyDescent="0.35">
      <c r="A877" t="s">
        <v>759</v>
      </c>
      <c r="B877" t="s">
        <v>893</v>
      </c>
      <c r="C877">
        <v>307</v>
      </c>
      <c r="D877">
        <v>115</v>
      </c>
      <c r="E877" t="s">
        <v>11</v>
      </c>
      <c r="F877">
        <f>tbl_AQI[[#This Row],[Most AQI Reached]]-tbl_AQI[[#This Row],[Current AQI]]</f>
        <v>192</v>
      </c>
      <c r="G8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77">
        <f>RANK(tbl_AQI[[#This Row],[Current AQI]], tbl_AQI[Current AQI], 0)</f>
        <v>3206</v>
      </c>
    </row>
    <row r="878" spans="1:8" x14ac:dyDescent="0.35">
      <c r="A878" t="s">
        <v>759</v>
      </c>
      <c r="B878" t="s">
        <v>894</v>
      </c>
      <c r="C878">
        <v>203</v>
      </c>
      <c r="D878">
        <v>106</v>
      </c>
      <c r="E878" t="s">
        <v>9</v>
      </c>
      <c r="F878">
        <f>tbl_AQI[[#This Row],[Most AQI Reached]]-tbl_AQI[[#This Row],[Current AQI]]</f>
        <v>97</v>
      </c>
      <c r="G8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78">
        <f>RANK(tbl_AQI[[#This Row],[Current AQI]], tbl_AQI[Current AQI], 0)</f>
        <v>3413</v>
      </c>
    </row>
    <row r="879" spans="1:8" x14ac:dyDescent="0.35">
      <c r="A879" t="s">
        <v>759</v>
      </c>
      <c r="B879" t="s">
        <v>895</v>
      </c>
      <c r="C879">
        <v>122</v>
      </c>
      <c r="D879">
        <v>87</v>
      </c>
      <c r="E879" t="s">
        <v>15</v>
      </c>
      <c r="F879">
        <f>tbl_AQI[[#This Row],[Most AQI Reached]]-tbl_AQI[[#This Row],[Current AQI]]</f>
        <v>35</v>
      </c>
      <c r="G8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79">
        <f>RANK(tbl_AQI[[#This Row],[Current AQI]], tbl_AQI[Current AQI], 0)</f>
        <v>3813</v>
      </c>
    </row>
    <row r="880" spans="1:8" x14ac:dyDescent="0.35">
      <c r="A880" t="s">
        <v>759</v>
      </c>
      <c r="B880" t="s">
        <v>896</v>
      </c>
      <c r="C880">
        <v>183</v>
      </c>
      <c r="D880">
        <v>156</v>
      </c>
      <c r="E880" t="s">
        <v>9</v>
      </c>
      <c r="F880">
        <f>tbl_AQI[[#This Row],[Most AQI Reached]]-tbl_AQI[[#This Row],[Current AQI]]</f>
        <v>27</v>
      </c>
      <c r="G8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80">
        <f>RANK(tbl_AQI[[#This Row],[Current AQI]], tbl_AQI[Current AQI], 0)</f>
        <v>2251</v>
      </c>
    </row>
    <row r="881" spans="1:8" x14ac:dyDescent="0.35">
      <c r="A881" t="s">
        <v>759</v>
      </c>
      <c r="B881" t="s">
        <v>897</v>
      </c>
      <c r="C881">
        <v>127</v>
      </c>
      <c r="D881">
        <v>101</v>
      </c>
      <c r="E881" t="s">
        <v>17</v>
      </c>
      <c r="F881">
        <f>tbl_AQI[[#This Row],[Most AQI Reached]]-tbl_AQI[[#This Row],[Current AQI]]</f>
        <v>26</v>
      </c>
      <c r="G8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81">
        <f>RANK(tbl_AQI[[#This Row],[Current AQI]], tbl_AQI[Current AQI], 0)</f>
        <v>3515</v>
      </c>
    </row>
    <row r="882" spans="1:8" x14ac:dyDescent="0.35">
      <c r="A882" t="s">
        <v>759</v>
      </c>
      <c r="B882" t="s">
        <v>898</v>
      </c>
      <c r="C882">
        <v>255</v>
      </c>
      <c r="D882">
        <v>139</v>
      </c>
      <c r="E882" t="s">
        <v>33</v>
      </c>
      <c r="F882">
        <f>tbl_AQI[[#This Row],[Most AQI Reached]]-tbl_AQI[[#This Row],[Current AQI]]</f>
        <v>116</v>
      </c>
      <c r="G8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82">
        <f>RANK(tbl_AQI[[#This Row],[Current AQI]], tbl_AQI[Current AQI], 0)</f>
        <v>2647</v>
      </c>
    </row>
    <row r="883" spans="1:8" x14ac:dyDescent="0.35">
      <c r="A883" t="s">
        <v>759</v>
      </c>
      <c r="B883" t="s">
        <v>899</v>
      </c>
      <c r="C883">
        <v>133</v>
      </c>
      <c r="D883">
        <v>42</v>
      </c>
      <c r="E883" t="s">
        <v>21</v>
      </c>
      <c r="F883">
        <f>tbl_AQI[[#This Row],[Most AQI Reached]]-tbl_AQI[[#This Row],[Current AQI]]</f>
        <v>91</v>
      </c>
      <c r="G8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83">
        <f>RANK(tbl_AQI[[#This Row],[Current AQI]], tbl_AQI[Current AQI], 0)</f>
        <v>4776</v>
      </c>
    </row>
    <row r="884" spans="1:8" x14ac:dyDescent="0.35">
      <c r="A884" t="s">
        <v>759</v>
      </c>
      <c r="B884" t="s">
        <v>900</v>
      </c>
      <c r="C884">
        <v>252</v>
      </c>
      <c r="D884">
        <v>154</v>
      </c>
      <c r="E884" t="s">
        <v>21</v>
      </c>
      <c r="F884">
        <f>tbl_AQI[[#This Row],[Most AQI Reached]]-tbl_AQI[[#This Row],[Current AQI]]</f>
        <v>98</v>
      </c>
      <c r="G8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84">
        <f>RANK(tbl_AQI[[#This Row],[Current AQI]], tbl_AQI[Current AQI], 0)</f>
        <v>2307</v>
      </c>
    </row>
    <row r="885" spans="1:8" x14ac:dyDescent="0.35">
      <c r="A885" t="s">
        <v>759</v>
      </c>
      <c r="B885" t="s">
        <v>901</v>
      </c>
      <c r="C885">
        <v>313</v>
      </c>
      <c r="D885">
        <v>57</v>
      </c>
      <c r="E885" t="s">
        <v>9</v>
      </c>
      <c r="F885">
        <f>tbl_AQI[[#This Row],[Most AQI Reached]]-tbl_AQI[[#This Row],[Current AQI]]</f>
        <v>256</v>
      </c>
      <c r="G8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85">
        <f>RANK(tbl_AQI[[#This Row],[Current AQI]], tbl_AQI[Current AQI], 0)</f>
        <v>4452</v>
      </c>
    </row>
    <row r="886" spans="1:8" x14ac:dyDescent="0.35">
      <c r="A886" t="s">
        <v>759</v>
      </c>
      <c r="B886" t="s">
        <v>902</v>
      </c>
      <c r="C886">
        <v>241</v>
      </c>
      <c r="D886">
        <v>36</v>
      </c>
      <c r="E886" t="s">
        <v>17</v>
      </c>
      <c r="F886">
        <f>tbl_AQI[[#This Row],[Most AQI Reached]]-tbl_AQI[[#This Row],[Current AQI]]</f>
        <v>205</v>
      </c>
      <c r="G8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886">
        <f>RANK(tbl_AQI[[#This Row],[Current AQI]], tbl_AQI[Current AQI], 0)</f>
        <v>4893</v>
      </c>
    </row>
    <row r="887" spans="1:8" x14ac:dyDescent="0.35">
      <c r="A887" t="s">
        <v>759</v>
      </c>
      <c r="B887" t="s">
        <v>903</v>
      </c>
      <c r="C887">
        <v>221</v>
      </c>
      <c r="D887">
        <v>52</v>
      </c>
      <c r="E887" t="s">
        <v>21</v>
      </c>
      <c r="F887">
        <f>tbl_AQI[[#This Row],[Most AQI Reached]]-tbl_AQI[[#This Row],[Current AQI]]</f>
        <v>169</v>
      </c>
      <c r="G8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87">
        <f>RANK(tbl_AQI[[#This Row],[Current AQI]], tbl_AQI[Current AQI], 0)</f>
        <v>4564</v>
      </c>
    </row>
    <row r="888" spans="1:8" x14ac:dyDescent="0.35">
      <c r="A888" t="s">
        <v>759</v>
      </c>
      <c r="B888" t="s">
        <v>904</v>
      </c>
      <c r="C888">
        <v>258</v>
      </c>
      <c r="D888">
        <v>163</v>
      </c>
      <c r="E888" t="s">
        <v>9</v>
      </c>
      <c r="F888">
        <f>tbl_AQI[[#This Row],[Most AQI Reached]]-tbl_AQI[[#This Row],[Current AQI]]</f>
        <v>95</v>
      </c>
      <c r="G8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88">
        <f>RANK(tbl_AQI[[#This Row],[Current AQI]], tbl_AQI[Current AQI], 0)</f>
        <v>2075</v>
      </c>
    </row>
    <row r="889" spans="1:8" x14ac:dyDescent="0.35">
      <c r="A889" t="s">
        <v>759</v>
      </c>
      <c r="B889" t="s">
        <v>905</v>
      </c>
      <c r="C889">
        <v>306</v>
      </c>
      <c r="D889">
        <v>152</v>
      </c>
      <c r="E889" t="s">
        <v>33</v>
      </c>
      <c r="F889">
        <f>tbl_AQI[[#This Row],[Most AQI Reached]]-tbl_AQI[[#This Row],[Current AQI]]</f>
        <v>154</v>
      </c>
      <c r="G8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89">
        <f>RANK(tbl_AQI[[#This Row],[Current AQI]], tbl_AQI[Current AQI], 0)</f>
        <v>2349</v>
      </c>
    </row>
    <row r="890" spans="1:8" x14ac:dyDescent="0.35">
      <c r="A890" t="s">
        <v>759</v>
      </c>
      <c r="B890" t="s">
        <v>906</v>
      </c>
      <c r="C890">
        <v>224</v>
      </c>
      <c r="D890">
        <v>133</v>
      </c>
      <c r="E890" t="s">
        <v>33</v>
      </c>
      <c r="F890">
        <f>tbl_AQI[[#This Row],[Most AQI Reached]]-tbl_AQI[[#This Row],[Current AQI]]</f>
        <v>91</v>
      </c>
      <c r="G8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0">
        <f>RANK(tbl_AQI[[#This Row],[Current AQI]], tbl_AQI[Current AQI], 0)</f>
        <v>2758</v>
      </c>
    </row>
    <row r="891" spans="1:8" x14ac:dyDescent="0.35">
      <c r="A891" t="s">
        <v>759</v>
      </c>
      <c r="B891" t="s">
        <v>907</v>
      </c>
      <c r="C891">
        <v>276</v>
      </c>
      <c r="D891">
        <v>119</v>
      </c>
      <c r="E891" t="s">
        <v>33</v>
      </c>
      <c r="F891">
        <f>tbl_AQI[[#This Row],[Most AQI Reached]]-tbl_AQI[[#This Row],[Current AQI]]</f>
        <v>157</v>
      </c>
      <c r="G8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1">
        <f>RANK(tbl_AQI[[#This Row],[Current AQI]], tbl_AQI[Current AQI], 0)</f>
        <v>3093</v>
      </c>
    </row>
    <row r="892" spans="1:8" x14ac:dyDescent="0.35">
      <c r="A892" t="s">
        <v>759</v>
      </c>
      <c r="B892" t="s">
        <v>908</v>
      </c>
      <c r="C892">
        <v>303</v>
      </c>
      <c r="D892">
        <v>116</v>
      </c>
      <c r="E892" t="s">
        <v>17</v>
      </c>
      <c r="F892">
        <f>tbl_AQI[[#This Row],[Most AQI Reached]]-tbl_AQI[[#This Row],[Current AQI]]</f>
        <v>187</v>
      </c>
      <c r="G8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2">
        <f>RANK(tbl_AQI[[#This Row],[Current AQI]], tbl_AQI[Current AQI], 0)</f>
        <v>3173</v>
      </c>
    </row>
    <row r="893" spans="1:8" x14ac:dyDescent="0.35">
      <c r="A893" t="s">
        <v>759</v>
      </c>
      <c r="B893" t="s">
        <v>909</v>
      </c>
      <c r="C893">
        <v>173</v>
      </c>
      <c r="D893">
        <v>161</v>
      </c>
      <c r="E893" t="s">
        <v>7</v>
      </c>
      <c r="F893">
        <f>tbl_AQI[[#This Row],[Most AQI Reached]]-tbl_AQI[[#This Row],[Current AQI]]</f>
        <v>12</v>
      </c>
      <c r="G8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3">
        <f>RANK(tbl_AQI[[#This Row],[Current AQI]], tbl_AQI[Current AQI], 0)</f>
        <v>2129</v>
      </c>
    </row>
    <row r="894" spans="1:8" x14ac:dyDescent="0.35">
      <c r="A894" t="s">
        <v>759</v>
      </c>
      <c r="B894" t="s">
        <v>910</v>
      </c>
      <c r="C894">
        <v>255</v>
      </c>
      <c r="D894">
        <v>186</v>
      </c>
      <c r="E894" t="s">
        <v>17</v>
      </c>
      <c r="F894">
        <f>tbl_AQI[[#This Row],[Most AQI Reached]]-tbl_AQI[[#This Row],[Current AQI]]</f>
        <v>69</v>
      </c>
      <c r="G8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4">
        <f>RANK(tbl_AQI[[#This Row],[Current AQI]], tbl_AQI[Current AQI], 0)</f>
        <v>1478</v>
      </c>
    </row>
    <row r="895" spans="1:8" x14ac:dyDescent="0.35">
      <c r="A895" t="s">
        <v>759</v>
      </c>
      <c r="B895" t="s">
        <v>911</v>
      </c>
      <c r="C895">
        <v>221</v>
      </c>
      <c r="D895">
        <v>167</v>
      </c>
      <c r="E895" t="s">
        <v>11</v>
      </c>
      <c r="F895">
        <f>tbl_AQI[[#This Row],[Most AQI Reached]]-tbl_AQI[[#This Row],[Current AQI]]</f>
        <v>54</v>
      </c>
      <c r="G8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5">
        <f>RANK(tbl_AQI[[#This Row],[Current AQI]], tbl_AQI[Current AQI], 0)</f>
        <v>1979</v>
      </c>
    </row>
    <row r="896" spans="1:8" x14ac:dyDescent="0.35">
      <c r="A896" t="s">
        <v>759</v>
      </c>
      <c r="B896" t="s">
        <v>912</v>
      </c>
      <c r="C896">
        <v>176</v>
      </c>
      <c r="D896">
        <v>65</v>
      </c>
      <c r="E896" t="s">
        <v>9</v>
      </c>
      <c r="F896">
        <f>tbl_AQI[[#This Row],[Most AQI Reached]]-tbl_AQI[[#This Row],[Current AQI]]</f>
        <v>111</v>
      </c>
      <c r="G8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96">
        <f>RANK(tbl_AQI[[#This Row],[Current AQI]], tbl_AQI[Current AQI], 0)</f>
        <v>4267</v>
      </c>
    </row>
    <row r="897" spans="1:8" x14ac:dyDescent="0.35">
      <c r="A897" t="s">
        <v>759</v>
      </c>
      <c r="B897" t="s">
        <v>913</v>
      </c>
      <c r="C897">
        <v>212</v>
      </c>
      <c r="D897">
        <v>190</v>
      </c>
      <c r="E897" t="s">
        <v>15</v>
      </c>
      <c r="F897">
        <f>tbl_AQI[[#This Row],[Most AQI Reached]]-tbl_AQI[[#This Row],[Current AQI]]</f>
        <v>22</v>
      </c>
      <c r="G8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7">
        <f>RANK(tbl_AQI[[#This Row],[Current AQI]], tbl_AQI[Current AQI], 0)</f>
        <v>1355</v>
      </c>
    </row>
    <row r="898" spans="1:8" x14ac:dyDescent="0.35">
      <c r="A898" t="s">
        <v>759</v>
      </c>
      <c r="B898" t="s">
        <v>914</v>
      </c>
      <c r="C898">
        <v>316</v>
      </c>
      <c r="D898">
        <v>88</v>
      </c>
      <c r="E898" t="s">
        <v>11</v>
      </c>
      <c r="F898">
        <f>tbl_AQI[[#This Row],[Most AQI Reached]]-tbl_AQI[[#This Row],[Current AQI]]</f>
        <v>228</v>
      </c>
      <c r="G8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898">
        <f>RANK(tbl_AQI[[#This Row],[Current AQI]], tbl_AQI[Current AQI], 0)</f>
        <v>3792</v>
      </c>
    </row>
    <row r="899" spans="1:8" x14ac:dyDescent="0.35">
      <c r="A899" t="s">
        <v>759</v>
      </c>
      <c r="B899" t="s">
        <v>915</v>
      </c>
      <c r="C899">
        <v>203</v>
      </c>
      <c r="D899">
        <v>164</v>
      </c>
      <c r="E899" t="s">
        <v>33</v>
      </c>
      <c r="F899">
        <f>tbl_AQI[[#This Row],[Most AQI Reached]]-tbl_AQI[[#This Row],[Current AQI]]</f>
        <v>39</v>
      </c>
      <c r="G8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899">
        <f>RANK(tbl_AQI[[#This Row],[Current AQI]], tbl_AQI[Current AQI], 0)</f>
        <v>2049</v>
      </c>
    </row>
    <row r="900" spans="1:8" x14ac:dyDescent="0.35">
      <c r="A900" t="s">
        <v>759</v>
      </c>
      <c r="B900" t="s">
        <v>916</v>
      </c>
      <c r="C900">
        <v>129</v>
      </c>
      <c r="D900">
        <v>129</v>
      </c>
      <c r="E900" t="s">
        <v>15</v>
      </c>
      <c r="F900">
        <f>tbl_AQI[[#This Row],[Most AQI Reached]]-tbl_AQI[[#This Row],[Current AQI]]</f>
        <v>0</v>
      </c>
      <c r="G9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00">
        <f>RANK(tbl_AQI[[#This Row],[Current AQI]], tbl_AQI[Current AQI], 0)</f>
        <v>2852</v>
      </c>
    </row>
    <row r="901" spans="1:8" x14ac:dyDescent="0.35">
      <c r="A901" t="s">
        <v>759</v>
      </c>
      <c r="B901" t="s">
        <v>917</v>
      </c>
      <c r="C901">
        <v>120</v>
      </c>
      <c r="D901">
        <v>58</v>
      </c>
      <c r="E901" t="s">
        <v>21</v>
      </c>
      <c r="F901">
        <f>tbl_AQI[[#This Row],[Most AQI Reached]]-tbl_AQI[[#This Row],[Current AQI]]</f>
        <v>62</v>
      </c>
      <c r="G9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01">
        <f>RANK(tbl_AQI[[#This Row],[Current AQI]], tbl_AQI[Current AQI], 0)</f>
        <v>4431</v>
      </c>
    </row>
    <row r="902" spans="1:8" x14ac:dyDescent="0.35">
      <c r="A902" t="s">
        <v>759</v>
      </c>
      <c r="B902" t="s">
        <v>918</v>
      </c>
      <c r="C902">
        <v>320</v>
      </c>
      <c r="D902">
        <v>182</v>
      </c>
      <c r="E902" t="s">
        <v>15</v>
      </c>
      <c r="F902">
        <f>tbl_AQI[[#This Row],[Most AQI Reached]]-tbl_AQI[[#This Row],[Current AQI]]</f>
        <v>138</v>
      </c>
      <c r="G9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02">
        <f>RANK(tbl_AQI[[#This Row],[Current AQI]], tbl_AQI[Current AQI], 0)</f>
        <v>1593</v>
      </c>
    </row>
    <row r="903" spans="1:8" x14ac:dyDescent="0.35">
      <c r="A903" t="s">
        <v>759</v>
      </c>
      <c r="B903" t="s">
        <v>919</v>
      </c>
      <c r="C903">
        <v>126</v>
      </c>
      <c r="D903">
        <v>38</v>
      </c>
      <c r="E903" t="s">
        <v>9</v>
      </c>
      <c r="F903">
        <f>tbl_AQI[[#This Row],[Most AQI Reached]]-tbl_AQI[[#This Row],[Current AQI]]</f>
        <v>88</v>
      </c>
      <c r="G9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03">
        <f>RANK(tbl_AQI[[#This Row],[Current AQI]], tbl_AQI[Current AQI], 0)</f>
        <v>4845</v>
      </c>
    </row>
    <row r="904" spans="1:8" x14ac:dyDescent="0.35">
      <c r="A904" t="s">
        <v>759</v>
      </c>
      <c r="B904" t="s">
        <v>920</v>
      </c>
      <c r="C904">
        <v>240</v>
      </c>
      <c r="D904">
        <v>93</v>
      </c>
      <c r="E904" t="s">
        <v>15</v>
      </c>
      <c r="F904">
        <f>tbl_AQI[[#This Row],[Most AQI Reached]]-tbl_AQI[[#This Row],[Current AQI]]</f>
        <v>147</v>
      </c>
      <c r="G9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04">
        <f>RANK(tbl_AQI[[#This Row],[Current AQI]], tbl_AQI[Current AQI], 0)</f>
        <v>3678</v>
      </c>
    </row>
    <row r="905" spans="1:8" x14ac:dyDescent="0.35">
      <c r="A905" t="s">
        <v>759</v>
      </c>
      <c r="B905" t="s">
        <v>921</v>
      </c>
      <c r="C905">
        <v>109</v>
      </c>
      <c r="D905">
        <v>102</v>
      </c>
      <c r="E905" t="s">
        <v>11</v>
      </c>
      <c r="F905">
        <f>tbl_AQI[[#This Row],[Most AQI Reached]]-tbl_AQI[[#This Row],[Current AQI]]</f>
        <v>7</v>
      </c>
      <c r="G9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05">
        <f>RANK(tbl_AQI[[#This Row],[Current AQI]], tbl_AQI[Current AQI], 0)</f>
        <v>3493</v>
      </c>
    </row>
    <row r="906" spans="1:8" x14ac:dyDescent="0.35">
      <c r="A906" t="s">
        <v>759</v>
      </c>
      <c r="B906" t="s">
        <v>922</v>
      </c>
      <c r="C906">
        <v>222</v>
      </c>
      <c r="D906">
        <v>98</v>
      </c>
      <c r="E906" t="s">
        <v>21</v>
      </c>
      <c r="F906">
        <f>tbl_AQI[[#This Row],[Most AQI Reached]]-tbl_AQI[[#This Row],[Current AQI]]</f>
        <v>124</v>
      </c>
      <c r="G9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06">
        <f>RANK(tbl_AQI[[#This Row],[Current AQI]], tbl_AQI[Current AQI], 0)</f>
        <v>3574</v>
      </c>
    </row>
    <row r="907" spans="1:8" x14ac:dyDescent="0.35">
      <c r="A907" t="s">
        <v>759</v>
      </c>
      <c r="B907" t="s">
        <v>923</v>
      </c>
      <c r="C907">
        <v>152</v>
      </c>
      <c r="D907">
        <v>58</v>
      </c>
      <c r="E907" t="s">
        <v>17</v>
      </c>
      <c r="F907">
        <f>tbl_AQI[[#This Row],[Most AQI Reached]]-tbl_AQI[[#This Row],[Current AQI]]</f>
        <v>94</v>
      </c>
      <c r="G9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07">
        <f>RANK(tbl_AQI[[#This Row],[Current AQI]], tbl_AQI[Current AQI], 0)</f>
        <v>4431</v>
      </c>
    </row>
    <row r="908" spans="1:8" x14ac:dyDescent="0.35">
      <c r="A908" t="s">
        <v>759</v>
      </c>
      <c r="B908" t="s">
        <v>924</v>
      </c>
      <c r="C908">
        <v>48</v>
      </c>
      <c r="D908">
        <v>36</v>
      </c>
      <c r="E908" t="s">
        <v>7</v>
      </c>
      <c r="F908">
        <f>tbl_AQI[[#This Row],[Most AQI Reached]]-tbl_AQI[[#This Row],[Current AQI]]</f>
        <v>12</v>
      </c>
      <c r="G9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08">
        <f>RANK(tbl_AQI[[#This Row],[Current AQI]], tbl_AQI[Current AQI], 0)</f>
        <v>4893</v>
      </c>
    </row>
    <row r="909" spans="1:8" x14ac:dyDescent="0.35">
      <c r="A909" t="s">
        <v>759</v>
      </c>
      <c r="B909" t="s">
        <v>925</v>
      </c>
      <c r="C909">
        <v>205</v>
      </c>
      <c r="D909">
        <v>42</v>
      </c>
      <c r="E909" t="s">
        <v>17</v>
      </c>
      <c r="F909">
        <f>tbl_AQI[[#This Row],[Most AQI Reached]]-tbl_AQI[[#This Row],[Current AQI]]</f>
        <v>163</v>
      </c>
      <c r="G9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09">
        <f>RANK(tbl_AQI[[#This Row],[Current AQI]], tbl_AQI[Current AQI], 0)</f>
        <v>4776</v>
      </c>
    </row>
    <row r="910" spans="1:8" x14ac:dyDescent="0.35">
      <c r="A910" t="s">
        <v>759</v>
      </c>
      <c r="B910" t="s">
        <v>926</v>
      </c>
      <c r="C910">
        <v>303</v>
      </c>
      <c r="D910">
        <v>163</v>
      </c>
      <c r="E910" t="s">
        <v>9</v>
      </c>
      <c r="F910">
        <f>tbl_AQI[[#This Row],[Most AQI Reached]]-tbl_AQI[[#This Row],[Current AQI]]</f>
        <v>140</v>
      </c>
      <c r="G9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10">
        <f>RANK(tbl_AQI[[#This Row],[Current AQI]], tbl_AQI[Current AQI], 0)</f>
        <v>2075</v>
      </c>
    </row>
    <row r="911" spans="1:8" x14ac:dyDescent="0.35">
      <c r="A911" t="s">
        <v>759</v>
      </c>
      <c r="B911" t="s">
        <v>927</v>
      </c>
      <c r="C911">
        <v>313</v>
      </c>
      <c r="D911">
        <v>74</v>
      </c>
      <c r="E911" t="s">
        <v>33</v>
      </c>
      <c r="F911">
        <f>tbl_AQI[[#This Row],[Most AQI Reached]]-tbl_AQI[[#This Row],[Current AQI]]</f>
        <v>239</v>
      </c>
      <c r="G9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11">
        <f>RANK(tbl_AQI[[#This Row],[Current AQI]], tbl_AQI[Current AQI], 0)</f>
        <v>4064</v>
      </c>
    </row>
    <row r="912" spans="1:8" x14ac:dyDescent="0.35">
      <c r="A912" t="s">
        <v>759</v>
      </c>
      <c r="B912" t="s">
        <v>928</v>
      </c>
      <c r="C912">
        <v>203</v>
      </c>
      <c r="D912">
        <v>125</v>
      </c>
      <c r="E912" t="s">
        <v>7</v>
      </c>
      <c r="F912">
        <f>tbl_AQI[[#This Row],[Most AQI Reached]]-tbl_AQI[[#This Row],[Current AQI]]</f>
        <v>78</v>
      </c>
      <c r="G9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12">
        <f>RANK(tbl_AQI[[#This Row],[Current AQI]], tbl_AQI[Current AQI], 0)</f>
        <v>2951</v>
      </c>
    </row>
    <row r="913" spans="1:8" x14ac:dyDescent="0.35">
      <c r="A913" t="s">
        <v>759</v>
      </c>
      <c r="B913" t="s">
        <v>929</v>
      </c>
      <c r="C913">
        <v>247</v>
      </c>
      <c r="D913">
        <v>37</v>
      </c>
      <c r="E913" t="s">
        <v>7</v>
      </c>
      <c r="F913">
        <f>tbl_AQI[[#This Row],[Most AQI Reached]]-tbl_AQI[[#This Row],[Current AQI]]</f>
        <v>210</v>
      </c>
      <c r="G9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13">
        <f>RANK(tbl_AQI[[#This Row],[Current AQI]], tbl_AQI[Current AQI], 0)</f>
        <v>4863</v>
      </c>
    </row>
    <row r="914" spans="1:8" x14ac:dyDescent="0.35">
      <c r="A914" t="s">
        <v>759</v>
      </c>
      <c r="B914" t="s">
        <v>930</v>
      </c>
      <c r="C914">
        <v>284</v>
      </c>
      <c r="D914">
        <v>86</v>
      </c>
      <c r="E914" t="s">
        <v>21</v>
      </c>
      <c r="F914">
        <f>tbl_AQI[[#This Row],[Most AQI Reached]]-tbl_AQI[[#This Row],[Current AQI]]</f>
        <v>198</v>
      </c>
      <c r="G9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14">
        <f>RANK(tbl_AQI[[#This Row],[Current AQI]], tbl_AQI[Current AQI], 0)</f>
        <v>3830</v>
      </c>
    </row>
    <row r="915" spans="1:8" x14ac:dyDescent="0.35">
      <c r="A915" t="s">
        <v>759</v>
      </c>
      <c r="B915" t="s">
        <v>931</v>
      </c>
      <c r="C915">
        <v>178</v>
      </c>
      <c r="D915">
        <v>107</v>
      </c>
      <c r="E915" t="s">
        <v>9</v>
      </c>
      <c r="F915">
        <f>tbl_AQI[[#This Row],[Most AQI Reached]]-tbl_AQI[[#This Row],[Current AQI]]</f>
        <v>71</v>
      </c>
      <c r="G9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15">
        <f>RANK(tbl_AQI[[#This Row],[Current AQI]], tbl_AQI[Current AQI], 0)</f>
        <v>3387</v>
      </c>
    </row>
    <row r="916" spans="1:8" x14ac:dyDescent="0.35">
      <c r="A916" t="s">
        <v>759</v>
      </c>
      <c r="B916" t="s">
        <v>932</v>
      </c>
      <c r="C916">
        <v>151</v>
      </c>
      <c r="D916">
        <v>35</v>
      </c>
      <c r="E916" t="s">
        <v>7</v>
      </c>
      <c r="F916">
        <f>tbl_AQI[[#This Row],[Most AQI Reached]]-tbl_AQI[[#This Row],[Current AQI]]</f>
        <v>116</v>
      </c>
      <c r="G9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16">
        <f>RANK(tbl_AQI[[#This Row],[Current AQI]], tbl_AQI[Current AQI], 0)</f>
        <v>4916</v>
      </c>
    </row>
    <row r="917" spans="1:8" x14ac:dyDescent="0.35">
      <c r="A917" t="s">
        <v>759</v>
      </c>
      <c r="B917" t="s">
        <v>933</v>
      </c>
      <c r="C917">
        <v>108</v>
      </c>
      <c r="D917">
        <v>99</v>
      </c>
      <c r="E917" t="s">
        <v>15</v>
      </c>
      <c r="F917">
        <f>tbl_AQI[[#This Row],[Most AQI Reached]]-tbl_AQI[[#This Row],[Current AQI]]</f>
        <v>9</v>
      </c>
      <c r="G9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17">
        <f>RANK(tbl_AQI[[#This Row],[Current AQI]], tbl_AQI[Current AQI], 0)</f>
        <v>3553</v>
      </c>
    </row>
    <row r="918" spans="1:8" x14ac:dyDescent="0.35">
      <c r="A918" t="s">
        <v>759</v>
      </c>
      <c r="B918" t="s">
        <v>934</v>
      </c>
      <c r="C918">
        <v>180</v>
      </c>
      <c r="D918">
        <v>176</v>
      </c>
      <c r="E918" t="s">
        <v>33</v>
      </c>
      <c r="F918">
        <f>tbl_AQI[[#This Row],[Most AQI Reached]]-tbl_AQI[[#This Row],[Current AQI]]</f>
        <v>4</v>
      </c>
      <c r="G9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18">
        <f>RANK(tbl_AQI[[#This Row],[Current AQI]], tbl_AQI[Current AQI], 0)</f>
        <v>1754</v>
      </c>
    </row>
    <row r="919" spans="1:8" x14ac:dyDescent="0.35">
      <c r="A919" t="s">
        <v>759</v>
      </c>
      <c r="B919" t="s">
        <v>935</v>
      </c>
      <c r="C919">
        <v>213</v>
      </c>
      <c r="D919">
        <v>171</v>
      </c>
      <c r="E919" t="s">
        <v>11</v>
      </c>
      <c r="F919">
        <f>tbl_AQI[[#This Row],[Most AQI Reached]]-tbl_AQI[[#This Row],[Current AQI]]</f>
        <v>42</v>
      </c>
      <c r="G9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19">
        <f>RANK(tbl_AQI[[#This Row],[Current AQI]], tbl_AQI[Current AQI], 0)</f>
        <v>1866</v>
      </c>
    </row>
    <row r="920" spans="1:8" x14ac:dyDescent="0.35">
      <c r="A920" t="s">
        <v>759</v>
      </c>
      <c r="B920" t="s">
        <v>936</v>
      </c>
      <c r="C920">
        <v>225</v>
      </c>
      <c r="D920">
        <v>136</v>
      </c>
      <c r="E920" t="s">
        <v>11</v>
      </c>
      <c r="F920">
        <f>tbl_AQI[[#This Row],[Most AQI Reached]]-tbl_AQI[[#This Row],[Current AQI]]</f>
        <v>89</v>
      </c>
      <c r="G9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20">
        <f>RANK(tbl_AQI[[#This Row],[Current AQI]], tbl_AQI[Current AQI], 0)</f>
        <v>2692</v>
      </c>
    </row>
    <row r="921" spans="1:8" x14ac:dyDescent="0.35">
      <c r="A921" t="s">
        <v>759</v>
      </c>
      <c r="B921" t="s">
        <v>937</v>
      </c>
      <c r="C921">
        <v>96</v>
      </c>
      <c r="D921">
        <v>62</v>
      </c>
      <c r="E921" t="s">
        <v>15</v>
      </c>
      <c r="F921">
        <f>tbl_AQI[[#This Row],[Most AQI Reached]]-tbl_AQI[[#This Row],[Current AQI]]</f>
        <v>34</v>
      </c>
      <c r="G9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21">
        <f>RANK(tbl_AQI[[#This Row],[Current AQI]], tbl_AQI[Current AQI], 0)</f>
        <v>4343</v>
      </c>
    </row>
    <row r="922" spans="1:8" x14ac:dyDescent="0.35">
      <c r="A922" t="s">
        <v>759</v>
      </c>
      <c r="B922" t="s">
        <v>938</v>
      </c>
      <c r="C922">
        <v>245</v>
      </c>
      <c r="D922">
        <v>122</v>
      </c>
      <c r="E922" t="s">
        <v>15</v>
      </c>
      <c r="F922">
        <f>tbl_AQI[[#This Row],[Most AQI Reached]]-tbl_AQI[[#This Row],[Current AQI]]</f>
        <v>123</v>
      </c>
      <c r="G9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22">
        <f>RANK(tbl_AQI[[#This Row],[Current AQI]], tbl_AQI[Current AQI], 0)</f>
        <v>3013</v>
      </c>
    </row>
    <row r="923" spans="1:8" x14ac:dyDescent="0.35">
      <c r="A923" t="s">
        <v>759</v>
      </c>
      <c r="B923" t="s">
        <v>939</v>
      </c>
      <c r="C923">
        <v>311</v>
      </c>
      <c r="D923">
        <v>108</v>
      </c>
      <c r="E923" t="s">
        <v>21</v>
      </c>
      <c r="F923">
        <f>tbl_AQI[[#This Row],[Most AQI Reached]]-tbl_AQI[[#This Row],[Current AQI]]</f>
        <v>203</v>
      </c>
      <c r="G9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23">
        <f>RANK(tbl_AQI[[#This Row],[Current AQI]], tbl_AQI[Current AQI], 0)</f>
        <v>3362</v>
      </c>
    </row>
    <row r="924" spans="1:8" x14ac:dyDescent="0.35">
      <c r="A924" t="s">
        <v>759</v>
      </c>
      <c r="B924" t="s">
        <v>940</v>
      </c>
      <c r="C924">
        <v>135</v>
      </c>
      <c r="D924">
        <v>132</v>
      </c>
      <c r="E924" t="s">
        <v>9</v>
      </c>
      <c r="F924">
        <f>tbl_AQI[[#This Row],[Most AQI Reached]]-tbl_AQI[[#This Row],[Current AQI]]</f>
        <v>3</v>
      </c>
      <c r="G9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24">
        <f>RANK(tbl_AQI[[#This Row],[Current AQI]], tbl_AQI[Current AQI], 0)</f>
        <v>2792</v>
      </c>
    </row>
    <row r="925" spans="1:8" x14ac:dyDescent="0.35">
      <c r="A925" t="s">
        <v>759</v>
      </c>
      <c r="B925" t="s">
        <v>941</v>
      </c>
      <c r="C925">
        <v>208</v>
      </c>
      <c r="D925">
        <v>186</v>
      </c>
      <c r="E925" t="s">
        <v>21</v>
      </c>
      <c r="F925">
        <f>tbl_AQI[[#This Row],[Most AQI Reached]]-tbl_AQI[[#This Row],[Current AQI]]</f>
        <v>22</v>
      </c>
      <c r="G9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25">
        <f>RANK(tbl_AQI[[#This Row],[Current AQI]], tbl_AQI[Current AQI], 0)</f>
        <v>1478</v>
      </c>
    </row>
    <row r="926" spans="1:8" x14ac:dyDescent="0.35">
      <c r="A926" t="s">
        <v>759</v>
      </c>
      <c r="B926" t="s">
        <v>942</v>
      </c>
      <c r="C926">
        <v>287</v>
      </c>
      <c r="D926">
        <v>77</v>
      </c>
      <c r="E926" t="s">
        <v>9</v>
      </c>
      <c r="F926">
        <f>tbl_AQI[[#This Row],[Most AQI Reached]]-tbl_AQI[[#This Row],[Current AQI]]</f>
        <v>210</v>
      </c>
      <c r="G9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26">
        <f>RANK(tbl_AQI[[#This Row],[Current AQI]], tbl_AQI[Current AQI], 0)</f>
        <v>4006</v>
      </c>
    </row>
    <row r="927" spans="1:8" x14ac:dyDescent="0.35">
      <c r="A927" t="s">
        <v>759</v>
      </c>
      <c r="B927" t="s">
        <v>943</v>
      </c>
      <c r="C927">
        <v>301</v>
      </c>
      <c r="D927">
        <v>132</v>
      </c>
      <c r="E927" t="s">
        <v>15</v>
      </c>
      <c r="F927">
        <f>tbl_AQI[[#This Row],[Most AQI Reached]]-tbl_AQI[[#This Row],[Current AQI]]</f>
        <v>169</v>
      </c>
      <c r="G9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27">
        <f>RANK(tbl_AQI[[#This Row],[Current AQI]], tbl_AQI[Current AQI], 0)</f>
        <v>2792</v>
      </c>
    </row>
    <row r="928" spans="1:8" x14ac:dyDescent="0.35">
      <c r="A928" t="s">
        <v>759</v>
      </c>
      <c r="B928" t="s">
        <v>944</v>
      </c>
      <c r="C928">
        <v>74</v>
      </c>
      <c r="D928">
        <v>72</v>
      </c>
      <c r="E928" t="s">
        <v>21</v>
      </c>
      <c r="F928">
        <f>tbl_AQI[[#This Row],[Most AQI Reached]]-tbl_AQI[[#This Row],[Current AQI]]</f>
        <v>2</v>
      </c>
      <c r="G9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28">
        <f>RANK(tbl_AQI[[#This Row],[Current AQI]], tbl_AQI[Current AQI], 0)</f>
        <v>4100</v>
      </c>
    </row>
    <row r="929" spans="1:8" x14ac:dyDescent="0.35">
      <c r="A929" t="s">
        <v>759</v>
      </c>
      <c r="B929" t="s">
        <v>945</v>
      </c>
      <c r="C929">
        <v>262</v>
      </c>
      <c r="D929">
        <v>79</v>
      </c>
      <c r="E929" t="s">
        <v>21</v>
      </c>
      <c r="F929">
        <f>tbl_AQI[[#This Row],[Most AQI Reached]]-tbl_AQI[[#This Row],[Current AQI]]</f>
        <v>183</v>
      </c>
      <c r="G9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29">
        <f>RANK(tbl_AQI[[#This Row],[Current AQI]], tbl_AQI[Current AQI], 0)</f>
        <v>3967</v>
      </c>
    </row>
    <row r="930" spans="1:8" x14ac:dyDescent="0.35">
      <c r="A930" t="s">
        <v>759</v>
      </c>
      <c r="B930" t="s">
        <v>946</v>
      </c>
      <c r="C930">
        <v>242</v>
      </c>
      <c r="D930">
        <v>153</v>
      </c>
      <c r="E930" t="s">
        <v>17</v>
      </c>
      <c r="F930">
        <f>tbl_AQI[[#This Row],[Most AQI Reached]]-tbl_AQI[[#This Row],[Current AQI]]</f>
        <v>89</v>
      </c>
      <c r="G9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0">
        <f>RANK(tbl_AQI[[#This Row],[Current AQI]], tbl_AQI[Current AQI], 0)</f>
        <v>2329</v>
      </c>
    </row>
    <row r="931" spans="1:8" x14ac:dyDescent="0.35">
      <c r="A931" t="s">
        <v>759</v>
      </c>
      <c r="B931" t="s">
        <v>947</v>
      </c>
      <c r="C931">
        <v>254</v>
      </c>
      <c r="D931">
        <v>97</v>
      </c>
      <c r="E931" t="s">
        <v>7</v>
      </c>
      <c r="F931">
        <f>tbl_AQI[[#This Row],[Most AQI Reached]]-tbl_AQI[[#This Row],[Current AQI]]</f>
        <v>157</v>
      </c>
      <c r="G9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31">
        <f>RANK(tbl_AQI[[#This Row],[Current AQI]], tbl_AQI[Current AQI], 0)</f>
        <v>3593</v>
      </c>
    </row>
    <row r="932" spans="1:8" x14ac:dyDescent="0.35">
      <c r="A932" t="s">
        <v>759</v>
      </c>
      <c r="B932" t="s">
        <v>948</v>
      </c>
      <c r="C932">
        <v>192</v>
      </c>
      <c r="D932">
        <v>178</v>
      </c>
      <c r="E932" t="s">
        <v>9</v>
      </c>
      <c r="F932">
        <f>tbl_AQI[[#This Row],[Most AQI Reached]]-tbl_AQI[[#This Row],[Current AQI]]</f>
        <v>14</v>
      </c>
      <c r="G9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2">
        <f>RANK(tbl_AQI[[#This Row],[Current AQI]], tbl_AQI[Current AQI], 0)</f>
        <v>1702</v>
      </c>
    </row>
    <row r="933" spans="1:8" x14ac:dyDescent="0.35">
      <c r="A933" t="s">
        <v>949</v>
      </c>
      <c r="B933" t="s">
        <v>950</v>
      </c>
      <c r="C933">
        <v>80</v>
      </c>
      <c r="D933">
        <v>37</v>
      </c>
      <c r="E933" t="s">
        <v>21</v>
      </c>
      <c r="F933">
        <f>tbl_AQI[[#This Row],[Most AQI Reached]]-tbl_AQI[[#This Row],[Current AQI]]</f>
        <v>43</v>
      </c>
      <c r="G9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33">
        <f>RANK(tbl_AQI[[#This Row],[Current AQI]], tbl_AQI[Current AQI], 0)</f>
        <v>4863</v>
      </c>
    </row>
    <row r="934" spans="1:8" x14ac:dyDescent="0.35">
      <c r="A934" t="s">
        <v>949</v>
      </c>
      <c r="B934" t="s">
        <v>951</v>
      </c>
      <c r="C934">
        <v>216</v>
      </c>
      <c r="D934">
        <v>149</v>
      </c>
      <c r="E934" t="s">
        <v>9</v>
      </c>
      <c r="F934">
        <f>tbl_AQI[[#This Row],[Most AQI Reached]]-tbl_AQI[[#This Row],[Current AQI]]</f>
        <v>67</v>
      </c>
      <c r="G9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4">
        <f>RANK(tbl_AQI[[#This Row],[Current AQI]], tbl_AQI[Current AQI], 0)</f>
        <v>2426</v>
      </c>
    </row>
    <row r="935" spans="1:8" x14ac:dyDescent="0.35">
      <c r="A935" t="s">
        <v>949</v>
      </c>
      <c r="B935" t="s">
        <v>952</v>
      </c>
      <c r="C935">
        <v>234</v>
      </c>
      <c r="D935">
        <v>151</v>
      </c>
      <c r="E935" t="s">
        <v>17</v>
      </c>
      <c r="F935">
        <f>tbl_AQI[[#This Row],[Most AQI Reached]]-tbl_AQI[[#This Row],[Current AQI]]</f>
        <v>83</v>
      </c>
      <c r="G9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5">
        <f>RANK(tbl_AQI[[#This Row],[Current AQI]], tbl_AQI[Current AQI], 0)</f>
        <v>2376</v>
      </c>
    </row>
    <row r="936" spans="1:8" x14ac:dyDescent="0.35">
      <c r="A936" t="s">
        <v>949</v>
      </c>
      <c r="B936" t="s">
        <v>953</v>
      </c>
      <c r="C936">
        <v>318</v>
      </c>
      <c r="D936">
        <v>177</v>
      </c>
      <c r="E936" t="s">
        <v>33</v>
      </c>
      <c r="F936">
        <f>tbl_AQI[[#This Row],[Most AQI Reached]]-tbl_AQI[[#This Row],[Current AQI]]</f>
        <v>141</v>
      </c>
      <c r="G9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6">
        <f>RANK(tbl_AQI[[#This Row],[Current AQI]], tbl_AQI[Current AQI], 0)</f>
        <v>1733</v>
      </c>
    </row>
    <row r="937" spans="1:8" x14ac:dyDescent="0.35">
      <c r="A937" t="s">
        <v>949</v>
      </c>
      <c r="B937" t="s">
        <v>954</v>
      </c>
      <c r="C937">
        <v>285</v>
      </c>
      <c r="D937">
        <v>32</v>
      </c>
      <c r="E937" t="s">
        <v>17</v>
      </c>
      <c r="F937">
        <f>tbl_AQI[[#This Row],[Most AQI Reached]]-tbl_AQI[[#This Row],[Current AQI]]</f>
        <v>253</v>
      </c>
      <c r="G9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37">
        <f>RANK(tbl_AQI[[#This Row],[Current AQI]], tbl_AQI[Current AQI], 0)</f>
        <v>4983</v>
      </c>
    </row>
    <row r="938" spans="1:8" x14ac:dyDescent="0.35">
      <c r="A938" t="s">
        <v>949</v>
      </c>
      <c r="B938" t="s">
        <v>955</v>
      </c>
      <c r="C938">
        <v>186</v>
      </c>
      <c r="D938">
        <v>183</v>
      </c>
      <c r="E938" t="s">
        <v>33</v>
      </c>
      <c r="F938">
        <f>tbl_AQI[[#This Row],[Most AQI Reached]]-tbl_AQI[[#This Row],[Current AQI]]</f>
        <v>3</v>
      </c>
      <c r="G9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8">
        <f>RANK(tbl_AQI[[#This Row],[Current AQI]], tbl_AQI[Current AQI], 0)</f>
        <v>1572</v>
      </c>
    </row>
    <row r="939" spans="1:8" x14ac:dyDescent="0.35">
      <c r="A939" t="s">
        <v>949</v>
      </c>
      <c r="B939" t="s">
        <v>956</v>
      </c>
      <c r="C939">
        <v>189</v>
      </c>
      <c r="D939">
        <v>160</v>
      </c>
      <c r="E939" t="s">
        <v>21</v>
      </c>
      <c r="F939">
        <f>tbl_AQI[[#This Row],[Most AQI Reached]]-tbl_AQI[[#This Row],[Current AQI]]</f>
        <v>29</v>
      </c>
      <c r="G9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39">
        <f>RANK(tbl_AQI[[#This Row],[Current AQI]], tbl_AQI[Current AQI], 0)</f>
        <v>2154</v>
      </c>
    </row>
    <row r="940" spans="1:8" x14ac:dyDescent="0.35">
      <c r="A940" t="s">
        <v>957</v>
      </c>
      <c r="B940" t="s">
        <v>958</v>
      </c>
      <c r="C940">
        <v>320</v>
      </c>
      <c r="D940">
        <v>55</v>
      </c>
      <c r="E940" t="s">
        <v>9</v>
      </c>
      <c r="F940">
        <f>tbl_AQI[[#This Row],[Most AQI Reached]]-tbl_AQI[[#This Row],[Current AQI]]</f>
        <v>265</v>
      </c>
      <c r="G9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40">
        <f>RANK(tbl_AQI[[#This Row],[Current AQI]], tbl_AQI[Current AQI], 0)</f>
        <v>4497</v>
      </c>
    </row>
    <row r="941" spans="1:8" x14ac:dyDescent="0.35">
      <c r="A941" t="s">
        <v>957</v>
      </c>
      <c r="B941" t="s">
        <v>959</v>
      </c>
      <c r="C941">
        <v>285</v>
      </c>
      <c r="D941">
        <v>165</v>
      </c>
      <c r="E941" t="s">
        <v>15</v>
      </c>
      <c r="F941">
        <f>tbl_AQI[[#This Row],[Most AQI Reached]]-tbl_AQI[[#This Row],[Current AQI]]</f>
        <v>120</v>
      </c>
      <c r="G9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41">
        <f>RANK(tbl_AQI[[#This Row],[Current AQI]], tbl_AQI[Current AQI], 0)</f>
        <v>2028</v>
      </c>
    </row>
    <row r="942" spans="1:8" x14ac:dyDescent="0.35">
      <c r="A942" t="s">
        <v>957</v>
      </c>
      <c r="B942" t="s">
        <v>960</v>
      </c>
      <c r="C942">
        <v>153</v>
      </c>
      <c r="D942">
        <v>68</v>
      </c>
      <c r="E942" t="s">
        <v>33</v>
      </c>
      <c r="F942">
        <f>tbl_AQI[[#This Row],[Most AQI Reached]]-tbl_AQI[[#This Row],[Current AQI]]</f>
        <v>85</v>
      </c>
      <c r="G9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42">
        <f>RANK(tbl_AQI[[#This Row],[Current AQI]], tbl_AQI[Current AQI], 0)</f>
        <v>4204</v>
      </c>
    </row>
    <row r="943" spans="1:8" x14ac:dyDescent="0.35">
      <c r="A943" t="s">
        <v>957</v>
      </c>
      <c r="B943" t="s">
        <v>961</v>
      </c>
      <c r="C943">
        <v>274</v>
      </c>
      <c r="D943">
        <v>117</v>
      </c>
      <c r="E943" t="s">
        <v>33</v>
      </c>
      <c r="F943">
        <f>tbl_AQI[[#This Row],[Most AQI Reached]]-tbl_AQI[[#This Row],[Current AQI]]</f>
        <v>157</v>
      </c>
      <c r="G9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43">
        <f>RANK(tbl_AQI[[#This Row],[Current AQI]], tbl_AQI[Current AQI], 0)</f>
        <v>3144</v>
      </c>
    </row>
    <row r="944" spans="1:8" x14ac:dyDescent="0.35">
      <c r="A944" t="s">
        <v>957</v>
      </c>
      <c r="B944" t="s">
        <v>962</v>
      </c>
      <c r="C944">
        <v>98</v>
      </c>
      <c r="D944">
        <v>41</v>
      </c>
      <c r="E944" t="s">
        <v>11</v>
      </c>
      <c r="F944">
        <f>tbl_AQI[[#This Row],[Most AQI Reached]]-tbl_AQI[[#This Row],[Current AQI]]</f>
        <v>57</v>
      </c>
      <c r="G9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944">
        <f>RANK(tbl_AQI[[#This Row],[Current AQI]], tbl_AQI[Current AQI], 0)</f>
        <v>4789</v>
      </c>
    </row>
    <row r="945" spans="1:8" x14ac:dyDescent="0.35">
      <c r="A945" t="s">
        <v>957</v>
      </c>
      <c r="B945" t="s">
        <v>963</v>
      </c>
      <c r="C945">
        <v>195</v>
      </c>
      <c r="D945">
        <v>136</v>
      </c>
      <c r="E945" t="s">
        <v>11</v>
      </c>
      <c r="F945">
        <f>tbl_AQI[[#This Row],[Most AQI Reached]]-tbl_AQI[[#This Row],[Current AQI]]</f>
        <v>59</v>
      </c>
      <c r="G9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45">
        <f>RANK(tbl_AQI[[#This Row],[Current AQI]], tbl_AQI[Current AQI], 0)</f>
        <v>2692</v>
      </c>
    </row>
    <row r="946" spans="1:8" x14ac:dyDescent="0.35">
      <c r="A946" t="s">
        <v>957</v>
      </c>
      <c r="B946" t="s">
        <v>964</v>
      </c>
      <c r="C946">
        <v>167</v>
      </c>
      <c r="D946">
        <v>84</v>
      </c>
      <c r="E946" t="s">
        <v>21</v>
      </c>
      <c r="F946">
        <f>tbl_AQI[[#This Row],[Most AQI Reached]]-tbl_AQI[[#This Row],[Current AQI]]</f>
        <v>83</v>
      </c>
      <c r="G9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46">
        <f>RANK(tbl_AQI[[#This Row],[Current AQI]], tbl_AQI[Current AQI], 0)</f>
        <v>3872</v>
      </c>
    </row>
    <row r="947" spans="1:8" x14ac:dyDescent="0.35">
      <c r="A947" t="s">
        <v>957</v>
      </c>
      <c r="B947" t="s">
        <v>965</v>
      </c>
      <c r="C947">
        <v>250</v>
      </c>
      <c r="D947">
        <v>178</v>
      </c>
      <c r="E947" t="s">
        <v>9</v>
      </c>
      <c r="F947">
        <f>tbl_AQI[[#This Row],[Most AQI Reached]]-tbl_AQI[[#This Row],[Current AQI]]</f>
        <v>72</v>
      </c>
      <c r="G9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47">
        <f>RANK(tbl_AQI[[#This Row],[Current AQI]], tbl_AQI[Current AQI], 0)</f>
        <v>1702</v>
      </c>
    </row>
    <row r="948" spans="1:8" x14ac:dyDescent="0.35">
      <c r="A948" t="s">
        <v>957</v>
      </c>
      <c r="B948" t="s">
        <v>966</v>
      </c>
      <c r="C948">
        <v>292</v>
      </c>
      <c r="D948">
        <v>151</v>
      </c>
      <c r="E948" t="s">
        <v>9</v>
      </c>
      <c r="F948">
        <f>tbl_AQI[[#This Row],[Most AQI Reached]]-tbl_AQI[[#This Row],[Current AQI]]</f>
        <v>141</v>
      </c>
      <c r="G9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48">
        <f>RANK(tbl_AQI[[#This Row],[Current AQI]], tbl_AQI[Current AQI], 0)</f>
        <v>2376</v>
      </c>
    </row>
    <row r="949" spans="1:8" x14ac:dyDescent="0.35">
      <c r="A949" t="s">
        <v>957</v>
      </c>
      <c r="B949" t="s">
        <v>967</v>
      </c>
      <c r="C949">
        <v>183</v>
      </c>
      <c r="D949">
        <v>64</v>
      </c>
      <c r="E949" t="s">
        <v>7</v>
      </c>
      <c r="F949">
        <f>tbl_AQI[[#This Row],[Most AQI Reached]]-tbl_AQI[[#This Row],[Current AQI]]</f>
        <v>119</v>
      </c>
      <c r="G9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49">
        <f>RANK(tbl_AQI[[#This Row],[Current AQI]], tbl_AQI[Current AQI], 0)</f>
        <v>4293</v>
      </c>
    </row>
    <row r="950" spans="1:8" x14ac:dyDescent="0.35">
      <c r="A950" t="s">
        <v>957</v>
      </c>
      <c r="B950" t="s">
        <v>968</v>
      </c>
      <c r="C950">
        <v>245</v>
      </c>
      <c r="D950">
        <v>179</v>
      </c>
      <c r="E950" t="s">
        <v>11</v>
      </c>
      <c r="F950">
        <f>tbl_AQI[[#This Row],[Most AQI Reached]]-tbl_AQI[[#This Row],[Current AQI]]</f>
        <v>66</v>
      </c>
      <c r="G9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50">
        <f>RANK(tbl_AQI[[#This Row],[Current AQI]], tbl_AQI[Current AQI], 0)</f>
        <v>1667</v>
      </c>
    </row>
    <row r="951" spans="1:8" x14ac:dyDescent="0.35">
      <c r="A951" t="s">
        <v>957</v>
      </c>
      <c r="B951" t="s">
        <v>969</v>
      </c>
      <c r="C951">
        <v>119</v>
      </c>
      <c r="D951">
        <v>116</v>
      </c>
      <c r="E951" t="s">
        <v>33</v>
      </c>
      <c r="F951">
        <f>tbl_AQI[[#This Row],[Most AQI Reached]]-tbl_AQI[[#This Row],[Current AQI]]</f>
        <v>3</v>
      </c>
      <c r="G9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51">
        <f>RANK(tbl_AQI[[#This Row],[Current AQI]], tbl_AQI[Current AQI], 0)</f>
        <v>3173</v>
      </c>
    </row>
    <row r="952" spans="1:8" x14ac:dyDescent="0.35">
      <c r="A952" t="s">
        <v>957</v>
      </c>
      <c r="B952" t="s">
        <v>970</v>
      </c>
      <c r="C952">
        <v>301</v>
      </c>
      <c r="D952">
        <v>127</v>
      </c>
      <c r="E952" t="s">
        <v>17</v>
      </c>
      <c r="F952">
        <f>tbl_AQI[[#This Row],[Most AQI Reached]]-tbl_AQI[[#This Row],[Current AQI]]</f>
        <v>174</v>
      </c>
      <c r="G9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52">
        <f>RANK(tbl_AQI[[#This Row],[Current AQI]], tbl_AQI[Current AQI], 0)</f>
        <v>2909</v>
      </c>
    </row>
    <row r="953" spans="1:8" x14ac:dyDescent="0.35">
      <c r="A953" t="s">
        <v>957</v>
      </c>
      <c r="B953" t="s">
        <v>971</v>
      </c>
      <c r="C953">
        <v>185</v>
      </c>
      <c r="D953">
        <v>93</v>
      </c>
      <c r="E953" t="s">
        <v>15</v>
      </c>
      <c r="F953">
        <f>tbl_AQI[[#This Row],[Most AQI Reached]]-tbl_AQI[[#This Row],[Current AQI]]</f>
        <v>92</v>
      </c>
      <c r="G9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953">
        <f>RANK(tbl_AQI[[#This Row],[Current AQI]], tbl_AQI[Current AQI], 0)</f>
        <v>3678</v>
      </c>
    </row>
    <row r="954" spans="1:8" x14ac:dyDescent="0.35">
      <c r="A954" t="s">
        <v>972</v>
      </c>
      <c r="B954" t="s">
        <v>973</v>
      </c>
      <c r="C954">
        <v>409</v>
      </c>
      <c r="D954">
        <v>285</v>
      </c>
      <c r="E954" t="s">
        <v>7</v>
      </c>
      <c r="F954">
        <f>tbl_AQI[[#This Row],[Most AQI Reached]]-tbl_AQI[[#This Row],[Current AQI]]</f>
        <v>124</v>
      </c>
      <c r="G9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54">
        <f>RANK(tbl_AQI[[#This Row],[Current AQI]], tbl_AQI[Current AQI], 0)</f>
        <v>928</v>
      </c>
    </row>
    <row r="955" spans="1:8" x14ac:dyDescent="0.35">
      <c r="A955" t="s">
        <v>972</v>
      </c>
      <c r="B955" t="s">
        <v>974</v>
      </c>
      <c r="C955">
        <v>483</v>
      </c>
      <c r="D955">
        <v>467</v>
      </c>
      <c r="E955" t="s">
        <v>21</v>
      </c>
      <c r="F955">
        <f>tbl_AQI[[#This Row],[Most AQI Reached]]-tbl_AQI[[#This Row],[Current AQI]]</f>
        <v>16</v>
      </c>
      <c r="G9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55">
        <f>RANK(tbl_AQI[[#This Row],[Current AQI]], tbl_AQI[Current AQI], 0)</f>
        <v>70</v>
      </c>
    </row>
    <row r="956" spans="1:8" x14ac:dyDescent="0.35">
      <c r="A956" t="s">
        <v>972</v>
      </c>
      <c r="B956" t="s">
        <v>975</v>
      </c>
      <c r="C956">
        <v>495</v>
      </c>
      <c r="D956">
        <v>480</v>
      </c>
      <c r="E956" t="s">
        <v>7</v>
      </c>
      <c r="F956">
        <f>tbl_AQI[[#This Row],[Most AQI Reached]]-tbl_AQI[[#This Row],[Current AQI]]</f>
        <v>15</v>
      </c>
      <c r="G9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56">
        <f>RANK(tbl_AQI[[#This Row],[Current AQI]], tbl_AQI[Current AQI], 0)</f>
        <v>1</v>
      </c>
    </row>
    <row r="957" spans="1:8" x14ac:dyDescent="0.35">
      <c r="A957" t="s">
        <v>972</v>
      </c>
      <c r="B957" t="s">
        <v>976</v>
      </c>
      <c r="C957">
        <v>459</v>
      </c>
      <c r="D957">
        <v>458</v>
      </c>
      <c r="E957" t="s">
        <v>17</v>
      </c>
      <c r="F957">
        <f>tbl_AQI[[#This Row],[Most AQI Reached]]-tbl_AQI[[#This Row],[Current AQI]]</f>
        <v>1</v>
      </c>
      <c r="G9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57">
        <f>RANK(tbl_AQI[[#This Row],[Current AQI]], tbl_AQI[Current AQI], 0)</f>
        <v>115</v>
      </c>
    </row>
    <row r="958" spans="1:8" x14ac:dyDescent="0.35">
      <c r="A958" t="s">
        <v>972</v>
      </c>
      <c r="B958" t="s">
        <v>977</v>
      </c>
      <c r="C958">
        <v>316</v>
      </c>
      <c r="D958">
        <v>159</v>
      </c>
      <c r="E958" t="s">
        <v>17</v>
      </c>
      <c r="F958">
        <f>tbl_AQI[[#This Row],[Most AQI Reached]]-tbl_AQI[[#This Row],[Current AQI]]</f>
        <v>157</v>
      </c>
      <c r="G9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58">
        <f>RANK(tbl_AQI[[#This Row],[Current AQI]], tbl_AQI[Current AQI], 0)</f>
        <v>2183</v>
      </c>
    </row>
    <row r="959" spans="1:8" x14ac:dyDescent="0.35">
      <c r="A959" t="s">
        <v>972</v>
      </c>
      <c r="B959" t="s">
        <v>978</v>
      </c>
      <c r="C959">
        <v>466</v>
      </c>
      <c r="D959">
        <v>462</v>
      </c>
      <c r="E959" t="s">
        <v>9</v>
      </c>
      <c r="F959">
        <f>tbl_AQI[[#This Row],[Most AQI Reached]]-tbl_AQI[[#This Row],[Current AQI]]</f>
        <v>4</v>
      </c>
      <c r="G9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59">
        <f>RANK(tbl_AQI[[#This Row],[Current AQI]], tbl_AQI[Current AQI], 0)</f>
        <v>92</v>
      </c>
    </row>
    <row r="960" spans="1:8" x14ac:dyDescent="0.35">
      <c r="A960" t="s">
        <v>972</v>
      </c>
      <c r="B960" t="s">
        <v>979</v>
      </c>
      <c r="C960">
        <v>437</v>
      </c>
      <c r="D960">
        <v>437</v>
      </c>
      <c r="E960" t="s">
        <v>9</v>
      </c>
      <c r="F960">
        <f>tbl_AQI[[#This Row],[Most AQI Reached]]-tbl_AQI[[#This Row],[Current AQI]]</f>
        <v>0</v>
      </c>
      <c r="G9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60">
        <f>RANK(tbl_AQI[[#This Row],[Current AQI]], tbl_AQI[Current AQI], 0)</f>
        <v>225</v>
      </c>
    </row>
    <row r="961" spans="1:8" x14ac:dyDescent="0.35">
      <c r="A961" t="s">
        <v>972</v>
      </c>
      <c r="B961" t="s">
        <v>980</v>
      </c>
      <c r="C961">
        <v>487</v>
      </c>
      <c r="D961">
        <v>471</v>
      </c>
      <c r="E961" t="s">
        <v>21</v>
      </c>
      <c r="F961">
        <f>tbl_AQI[[#This Row],[Most AQI Reached]]-tbl_AQI[[#This Row],[Current AQI]]</f>
        <v>16</v>
      </c>
      <c r="G9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61">
        <f>RANK(tbl_AQI[[#This Row],[Current AQI]], tbl_AQI[Current AQI], 0)</f>
        <v>52</v>
      </c>
    </row>
    <row r="962" spans="1:8" x14ac:dyDescent="0.35">
      <c r="A962" t="s">
        <v>972</v>
      </c>
      <c r="B962" t="s">
        <v>981</v>
      </c>
      <c r="C962">
        <v>256</v>
      </c>
      <c r="D962">
        <v>226</v>
      </c>
      <c r="E962" t="s">
        <v>21</v>
      </c>
      <c r="F962">
        <f>tbl_AQI[[#This Row],[Most AQI Reached]]-tbl_AQI[[#This Row],[Current AQI]]</f>
        <v>30</v>
      </c>
      <c r="G9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62">
        <f>RANK(tbl_AQI[[#This Row],[Current AQI]], tbl_AQI[Current AQI], 0)</f>
        <v>1200</v>
      </c>
    </row>
    <row r="963" spans="1:8" x14ac:dyDescent="0.35">
      <c r="A963" t="s">
        <v>972</v>
      </c>
      <c r="B963" t="s">
        <v>982</v>
      </c>
      <c r="C963">
        <v>404</v>
      </c>
      <c r="D963">
        <v>262</v>
      </c>
      <c r="E963" t="s">
        <v>17</v>
      </c>
      <c r="F963">
        <f>tbl_AQI[[#This Row],[Most AQI Reached]]-tbl_AQI[[#This Row],[Current AQI]]</f>
        <v>142</v>
      </c>
      <c r="G9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63">
        <f>RANK(tbl_AQI[[#This Row],[Current AQI]], tbl_AQI[Current AQI], 0)</f>
        <v>1035</v>
      </c>
    </row>
    <row r="964" spans="1:8" x14ac:dyDescent="0.35">
      <c r="A964" t="s">
        <v>972</v>
      </c>
      <c r="B964" t="s">
        <v>983</v>
      </c>
      <c r="C964">
        <v>438</v>
      </c>
      <c r="D964">
        <v>294</v>
      </c>
      <c r="E964" t="s">
        <v>15</v>
      </c>
      <c r="F964">
        <f>tbl_AQI[[#This Row],[Most AQI Reached]]-tbl_AQI[[#This Row],[Current AQI]]</f>
        <v>144</v>
      </c>
      <c r="G9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64">
        <f>RANK(tbl_AQI[[#This Row],[Current AQI]], tbl_AQI[Current AQI], 0)</f>
        <v>884</v>
      </c>
    </row>
    <row r="965" spans="1:8" x14ac:dyDescent="0.35">
      <c r="A965" t="s">
        <v>972</v>
      </c>
      <c r="B965" t="s">
        <v>984</v>
      </c>
      <c r="C965">
        <v>449</v>
      </c>
      <c r="D965">
        <v>326</v>
      </c>
      <c r="E965" t="s">
        <v>17</v>
      </c>
      <c r="F965">
        <f>tbl_AQI[[#This Row],[Most AQI Reached]]-tbl_AQI[[#This Row],[Current AQI]]</f>
        <v>123</v>
      </c>
      <c r="G9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65">
        <f>RANK(tbl_AQI[[#This Row],[Current AQI]], tbl_AQI[Current AQI], 0)</f>
        <v>747</v>
      </c>
    </row>
    <row r="966" spans="1:8" x14ac:dyDescent="0.35">
      <c r="A966" t="s">
        <v>972</v>
      </c>
      <c r="B966" t="s">
        <v>985</v>
      </c>
      <c r="C966">
        <v>377</v>
      </c>
      <c r="D966">
        <v>326</v>
      </c>
      <c r="E966" t="s">
        <v>33</v>
      </c>
      <c r="F966">
        <f>tbl_AQI[[#This Row],[Most AQI Reached]]-tbl_AQI[[#This Row],[Current AQI]]</f>
        <v>51</v>
      </c>
      <c r="G9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66">
        <f>RANK(tbl_AQI[[#This Row],[Current AQI]], tbl_AQI[Current AQI], 0)</f>
        <v>747</v>
      </c>
    </row>
    <row r="967" spans="1:8" x14ac:dyDescent="0.35">
      <c r="A967" t="s">
        <v>972</v>
      </c>
      <c r="B967" t="s">
        <v>986</v>
      </c>
      <c r="C967">
        <v>409</v>
      </c>
      <c r="D967">
        <v>406</v>
      </c>
      <c r="E967" t="s">
        <v>21</v>
      </c>
      <c r="F967">
        <f>tbl_AQI[[#This Row],[Most AQI Reached]]-tbl_AQI[[#This Row],[Current AQI]]</f>
        <v>3</v>
      </c>
      <c r="G9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67">
        <f>RANK(tbl_AQI[[#This Row],[Current AQI]], tbl_AQI[Current AQI], 0)</f>
        <v>366</v>
      </c>
    </row>
    <row r="968" spans="1:8" x14ac:dyDescent="0.35">
      <c r="A968" t="s">
        <v>972</v>
      </c>
      <c r="B968" t="s">
        <v>987</v>
      </c>
      <c r="C968">
        <v>452</v>
      </c>
      <c r="D968">
        <v>428</v>
      </c>
      <c r="E968" t="s">
        <v>17</v>
      </c>
      <c r="F968">
        <f>tbl_AQI[[#This Row],[Most AQI Reached]]-tbl_AQI[[#This Row],[Current AQI]]</f>
        <v>24</v>
      </c>
      <c r="G9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68">
        <f>RANK(tbl_AQI[[#This Row],[Current AQI]], tbl_AQI[Current AQI], 0)</f>
        <v>273</v>
      </c>
    </row>
    <row r="969" spans="1:8" x14ac:dyDescent="0.35">
      <c r="A969" t="s">
        <v>972</v>
      </c>
      <c r="B969" t="s">
        <v>988</v>
      </c>
      <c r="C969">
        <v>451</v>
      </c>
      <c r="D969">
        <v>158</v>
      </c>
      <c r="E969" t="s">
        <v>7</v>
      </c>
      <c r="F969">
        <f>tbl_AQI[[#This Row],[Most AQI Reached]]-tbl_AQI[[#This Row],[Current AQI]]</f>
        <v>293</v>
      </c>
      <c r="G9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69">
        <f>RANK(tbl_AQI[[#This Row],[Current AQI]], tbl_AQI[Current AQI], 0)</f>
        <v>2207</v>
      </c>
    </row>
    <row r="970" spans="1:8" x14ac:dyDescent="0.35">
      <c r="A970" t="s">
        <v>972</v>
      </c>
      <c r="B970" t="s">
        <v>989</v>
      </c>
      <c r="C970">
        <v>459</v>
      </c>
      <c r="D970">
        <v>190</v>
      </c>
      <c r="E970" t="s">
        <v>7</v>
      </c>
      <c r="F970">
        <f>tbl_AQI[[#This Row],[Most AQI Reached]]-tbl_AQI[[#This Row],[Current AQI]]</f>
        <v>269</v>
      </c>
      <c r="G9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70">
        <f>RANK(tbl_AQI[[#This Row],[Current AQI]], tbl_AQI[Current AQI], 0)</f>
        <v>1355</v>
      </c>
    </row>
    <row r="971" spans="1:8" x14ac:dyDescent="0.35">
      <c r="A971" t="s">
        <v>972</v>
      </c>
      <c r="B971" t="s">
        <v>990</v>
      </c>
      <c r="C971">
        <v>376</v>
      </c>
      <c r="D971">
        <v>372</v>
      </c>
      <c r="E971" t="s">
        <v>21</v>
      </c>
      <c r="F971">
        <f>tbl_AQI[[#This Row],[Most AQI Reached]]-tbl_AQI[[#This Row],[Current AQI]]</f>
        <v>4</v>
      </c>
      <c r="G9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71">
        <f>RANK(tbl_AQI[[#This Row],[Current AQI]], tbl_AQI[Current AQI], 0)</f>
        <v>529</v>
      </c>
    </row>
    <row r="972" spans="1:8" x14ac:dyDescent="0.35">
      <c r="A972" t="s">
        <v>972</v>
      </c>
      <c r="B972" t="s">
        <v>991</v>
      </c>
      <c r="C972">
        <v>496</v>
      </c>
      <c r="D972">
        <v>262</v>
      </c>
      <c r="E972" t="s">
        <v>21</v>
      </c>
      <c r="F972">
        <f>tbl_AQI[[#This Row],[Most AQI Reached]]-tbl_AQI[[#This Row],[Current AQI]]</f>
        <v>234</v>
      </c>
      <c r="G9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72">
        <f>RANK(tbl_AQI[[#This Row],[Current AQI]], tbl_AQI[Current AQI], 0)</f>
        <v>1035</v>
      </c>
    </row>
    <row r="973" spans="1:8" x14ac:dyDescent="0.35">
      <c r="A973" t="s">
        <v>972</v>
      </c>
      <c r="B973" t="s">
        <v>992</v>
      </c>
      <c r="C973">
        <v>260</v>
      </c>
      <c r="D973">
        <v>258</v>
      </c>
      <c r="E973" t="s">
        <v>17</v>
      </c>
      <c r="F973">
        <f>tbl_AQI[[#This Row],[Most AQI Reached]]-tbl_AQI[[#This Row],[Current AQI]]</f>
        <v>2</v>
      </c>
      <c r="G9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73">
        <f>RANK(tbl_AQI[[#This Row],[Current AQI]], tbl_AQI[Current AQI], 0)</f>
        <v>1052</v>
      </c>
    </row>
    <row r="974" spans="1:8" x14ac:dyDescent="0.35">
      <c r="A974" t="s">
        <v>972</v>
      </c>
      <c r="B974" t="s">
        <v>993</v>
      </c>
      <c r="C974">
        <v>458</v>
      </c>
      <c r="D974">
        <v>401</v>
      </c>
      <c r="E974" t="s">
        <v>7</v>
      </c>
      <c r="F974">
        <f>tbl_AQI[[#This Row],[Most AQI Reached]]-tbl_AQI[[#This Row],[Current AQI]]</f>
        <v>57</v>
      </c>
      <c r="G9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74">
        <f>RANK(tbl_AQI[[#This Row],[Current AQI]], tbl_AQI[Current AQI], 0)</f>
        <v>388</v>
      </c>
    </row>
    <row r="975" spans="1:8" x14ac:dyDescent="0.35">
      <c r="A975" t="s">
        <v>972</v>
      </c>
      <c r="B975" t="s">
        <v>994</v>
      </c>
      <c r="C975">
        <v>439</v>
      </c>
      <c r="D975">
        <v>399</v>
      </c>
      <c r="E975" t="s">
        <v>17</v>
      </c>
      <c r="F975">
        <f>tbl_AQI[[#This Row],[Most AQI Reached]]-tbl_AQI[[#This Row],[Current AQI]]</f>
        <v>40</v>
      </c>
      <c r="G9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75">
        <f>RANK(tbl_AQI[[#This Row],[Current AQI]], tbl_AQI[Current AQI], 0)</f>
        <v>399</v>
      </c>
    </row>
    <row r="976" spans="1:8" x14ac:dyDescent="0.35">
      <c r="A976" t="s">
        <v>972</v>
      </c>
      <c r="B976" t="s">
        <v>995</v>
      </c>
      <c r="C976">
        <v>482</v>
      </c>
      <c r="D976">
        <v>164</v>
      </c>
      <c r="E976" t="s">
        <v>11</v>
      </c>
      <c r="F976">
        <f>tbl_AQI[[#This Row],[Most AQI Reached]]-tbl_AQI[[#This Row],[Current AQI]]</f>
        <v>318</v>
      </c>
      <c r="G9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76">
        <f>RANK(tbl_AQI[[#This Row],[Current AQI]], tbl_AQI[Current AQI], 0)</f>
        <v>2049</v>
      </c>
    </row>
    <row r="977" spans="1:8" x14ac:dyDescent="0.35">
      <c r="A977" t="s">
        <v>972</v>
      </c>
      <c r="B977" t="s">
        <v>996</v>
      </c>
      <c r="C977">
        <v>315</v>
      </c>
      <c r="D977">
        <v>177</v>
      </c>
      <c r="E977" t="s">
        <v>17</v>
      </c>
      <c r="F977">
        <f>tbl_AQI[[#This Row],[Most AQI Reached]]-tbl_AQI[[#This Row],[Current AQI]]</f>
        <v>138</v>
      </c>
      <c r="G9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77">
        <f>RANK(tbl_AQI[[#This Row],[Current AQI]], tbl_AQI[Current AQI], 0)</f>
        <v>1733</v>
      </c>
    </row>
    <row r="978" spans="1:8" x14ac:dyDescent="0.35">
      <c r="A978" t="s">
        <v>972</v>
      </c>
      <c r="B978" t="s">
        <v>997</v>
      </c>
      <c r="C978">
        <v>370</v>
      </c>
      <c r="D978">
        <v>174</v>
      </c>
      <c r="E978" t="s">
        <v>33</v>
      </c>
      <c r="F978">
        <f>tbl_AQI[[#This Row],[Most AQI Reached]]-tbl_AQI[[#This Row],[Current AQI]]</f>
        <v>196</v>
      </c>
      <c r="G9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78">
        <f>RANK(tbl_AQI[[#This Row],[Current AQI]], tbl_AQI[Current AQI], 0)</f>
        <v>1803</v>
      </c>
    </row>
    <row r="979" spans="1:8" x14ac:dyDescent="0.35">
      <c r="A979" t="s">
        <v>972</v>
      </c>
      <c r="B979" t="s">
        <v>998</v>
      </c>
      <c r="C979">
        <v>433</v>
      </c>
      <c r="D979">
        <v>260</v>
      </c>
      <c r="E979" t="s">
        <v>17</v>
      </c>
      <c r="F979">
        <f>tbl_AQI[[#This Row],[Most AQI Reached]]-tbl_AQI[[#This Row],[Current AQI]]</f>
        <v>173</v>
      </c>
      <c r="G9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79">
        <f>RANK(tbl_AQI[[#This Row],[Current AQI]], tbl_AQI[Current AQI], 0)</f>
        <v>1040</v>
      </c>
    </row>
    <row r="980" spans="1:8" x14ac:dyDescent="0.35">
      <c r="A980" t="s">
        <v>972</v>
      </c>
      <c r="B980" t="s">
        <v>999</v>
      </c>
      <c r="C980">
        <v>463</v>
      </c>
      <c r="D980">
        <v>285</v>
      </c>
      <c r="E980" t="s">
        <v>11</v>
      </c>
      <c r="F980">
        <f>tbl_AQI[[#This Row],[Most AQI Reached]]-tbl_AQI[[#This Row],[Current AQI]]</f>
        <v>178</v>
      </c>
      <c r="G9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80">
        <f>RANK(tbl_AQI[[#This Row],[Current AQI]], tbl_AQI[Current AQI], 0)</f>
        <v>928</v>
      </c>
    </row>
    <row r="981" spans="1:8" x14ac:dyDescent="0.35">
      <c r="A981" t="s">
        <v>972</v>
      </c>
      <c r="B981" t="s">
        <v>1000</v>
      </c>
      <c r="C981">
        <v>391</v>
      </c>
      <c r="D981">
        <v>326</v>
      </c>
      <c r="E981" t="s">
        <v>7</v>
      </c>
      <c r="F981">
        <f>tbl_AQI[[#This Row],[Most AQI Reached]]-tbl_AQI[[#This Row],[Current AQI]]</f>
        <v>65</v>
      </c>
      <c r="G9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81">
        <f>RANK(tbl_AQI[[#This Row],[Current AQI]], tbl_AQI[Current AQI], 0)</f>
        <v>747</v>
      </c>
    </row>
    <row r="982" spans="1:8" x14ac:dyDescent="0.35">
      <c r="A982" t="s">
        <v>972</v>
      </c>
      <c r="B982" t="s">
        <v>1001</v>
      </c>
      <c r="C982">
        <v>202</v>
      </c>
      <c r="D982">
        <v>188</v>
      </c>
      <c r="E982" t="s">
        <v>17</v>
      </c>
      <c r="F982">
        <f>tbl_AQI[[#This Row],[Most AQI Reached]]-tbl_AQI[[#This Row],[Current AQI]]</f>
        <v>14</v>
      </c>
      <c r="G9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982">
        <f>RANK(tbl_AQI[[#This Row],[Current AQI]], tbl_AQI[Current AQI], 0)</f>
        <v>1423</v>
      </c>
    </row>
    <row r="983" spans="1:8" x14ac:dyDescent="0.35">
      <c r="A983" t="s">
        <v>972</v>
      </c>
      <c r="B983" t="s">
        <v>1002</v>
      </c>
      <c r="C983">
        <v>400</v>
      </c>
      <c r="D983">
        <v>384</v>
      </c>
      <c r="E983" t="s">
        <v>21</v>
      </c>
      <c r="F983">
        <f>tbl_AQI[[#This Row],[Most AQI Reached]]-tbl_AQI[[#This Row],[Current AQI]]</f>
        <v>16</v>
      </c>
      <c r="G9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83">
        <f>RANK(tbl_AQI[[#This Row],[Current AQI]], tbl_AQI[Current AQI], 0)</f>
        <v>463</v>
      </c>
    </row>
    <row r="984" spans="1:8" x14ac:dyDescent="0.35">
      <c r="A984" t="s">
        <v>972</v>
      </c>
      <c r="B984" t="s">
        <v>1003</v>
      </c>
      <c r="C984">
        <v>445</v>
      </c>
      <c r="D984">
        <v>373</v>
      </c>
      <c r="E984" t="s">
        <v>17</v>
      </c>
      <c r="F984">
        <f>tbl_AQI[[#This Row],[Most AQI Reached]]-tbl_AQI[[#This Row],[Current AQI]]</f>
        <v>72</v>
      </c>
      <c r="G9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84">
        <f>RANK(tbl_AQI[[#This Row],[Current AQI]], tbl_AQI[Current AQI], 0)</f>
        <v>526</v>
      </c>
    </row>
    <row r="985" spans="1:8" x14ac:dyDescent="0.35">
      <c r="A985" t="s">
        <v>972</v>
      </c>
      <c r="B985" t="s">
        <v>1004</v>
      </c>
      <c r="C985">
        <v>462</v>
      </c>
      <c r="D985">
        <v>427</v>
      </c>
      <c r="E985" t="s">
        <v>17</v>
      </c>
      <c r="F985">
        <f>tbl_AQI[[#This Row],[Most AQI Reached]]-tbl_AQI[[#This Row],[Current AQI]]</f>
        <v>35</v>
      </c>
      <c r="G9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85">
        <f>RANK(tbl_AQI[[#This Row],[Current AQI]], tbl_AQI[Current AQI], 0)</f>
        <v>281</v>
      </c>
    </row>
    <row r="986" spans="1:8" x14ac:dyDescent="0.35">
      <c r="A986" t="s">
        <v>972</v>
      </c>
      <c r="B986" t="s">
        <v>1005</v>
      </c>
      <c r="C986">
        <v>477</v>
      </c>
      <c r="D986">
        <v>427</v>
      </c>
      <c r="E986" t="s">
        <v>17</v>
      </c>
      <c r="F986">
        <f>tbl_AQI[[#This Row],[Most AQI Reached]]-tbl_AQI[[#This Row],[Current AQI]]</f>
        <v>50</v>
      </c>
      <c r="G9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86">
        <f>RANK(tbl_AQI[[#This Row],[Current AQI]], tbl_AQI[Current AQI], 0)</f>
        <v>281</v>
      </c>
    </row>
    <row r="987" spans="1:8" x14ac:dyDescent="0.35">
      <c r="A987" t="s">
        <v>972</v>
      </c>
      <c r="B987" t="s">
        <v>1006</v>
      </c>
      <c r="C987">
        <v>460</v>
      </c>
      <c r="D987">
        <v>392</v>
      </c>
      <c r="E987" t="s">
        <v>7</v>
      </c>
      <c r="F987">
        <f>tbl_AQI[[#This Row],[Most AQI Reached]]-tbl_AQI[[#This Row],[Current AQI]]</f>
        <v>68</v>
      </c>
      <c r="G9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87">
        <f>RANK(tbl_AQI[[#This Row],[Current AQI]], tbl_AQI[Current AQI], 0)</f>
        <v>431</v>
      </c>
    </row>
    <row r="988" spans="1:8" x14ac:dyDescent="0.35">
      <c r="A988" t="s">
        <v>972</v>
      </c>
      <c r="B988" t="s">
        <v>1007</v>
      </c>
      <c r="C988">
        <v>485</v>
      </c>
      <c r="D988">
        <v>208</v>
      </c>
      <c r="E988" t="s">
        <v>7</v>
      </c>
      <c r="F988">
        <f>tbl_AQI[[#This Row],[Most AQI Reached]]-tbl_AQI[[#This Row],[Current AQI]]</f>
        <v>277</v>
      </c>
      <c r="G9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88">
        <f>RANK(tbl_AQI[[#This Row],[Current AQI]], tbl_AQI[Current AQI], 0)</f>
        <v>1282</v>
      </c>
    </row>
    <row r="989" spans="1:8" x14ac:dyDescent="0.35">
      <c r="A989" t="s">
        <v>972</v>
      </c>
      <c r="B989" t="s">
        <v>1008</v>
      </c>
      <c r="C989">
        <v>268</v>
      </c>
      <c r="D989">
        <v>227</v>
      </c>
      <c r="E989" t="s">
        <v>7</v>
      </c>
      <c r="F989">
        <f>tbl_AQI[[#This Row],[Most AQI Reached]]-tbl_AQI[[#This Row],[Current AQI]]</f>
        <v>41</v>
      </c>
      <c r="G9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89">
        <f>RANK(tbl_AQI[[#This Row],[Current AQI]], tbl_AQI[Current AQI], 0)</f>
        <v>1197</v>
      </c>
    </row>
    <row r="990" spans="1:8" x14ac:dyDescent="0.35">
      <c r="A990" t="s">
        <v>972</v>
      </c>
      <c r="B990" t="s">
        <v>1009</v>
      </c>
      <c r="C990">
        <v>487</v>
      </c>
      <c r="D990">
        <v>474</v>
      </c>
      <c r="E990" t="s">
        <v>17</v>
      </c>
      <c r="F990">
        <f>tbl_AQI[[#This Row],[Most AQI Reached]]-tbl_AQI[[#This Row],[Current AQI]]</f>
        <v>13</v>
      </c>
      <c r="G9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990">
        <f>RANK(tbl_AQI[[#This Row],[Current AQI]], tbl_AQI[Current AQI], 0)</f>
        <v>28</v>
      </c>
    </row>
    <row r="991" spans="1:8" x14ac:dyDescent="0.35">
      <c r="A991" t="s">
        <v>972</v>
      </c>
      <c r="B991" t="s">
        <v>1010</v>
      </c>
      <c r="C991">
        <v>246</v>
      </c>
      <c r="D991">
        <v>234</v>
      </c>
      <c r="E991" t="s">
        <v>9</v>
      </c>
      <c r="F991">
        <f>tbl_AQI[[#This Row],[Most AQI Reached]]-tbl_AQI[[#This Row],[Current AQI]]</f>
        <v>12</v>
      </c>
      <c r="G9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91">
        <f>RANK(tbl_AQI[[#This Row],[Current AQI]], tbl_AQI[Current AQI], 0)</f>
        <v>1172</v>
      </c>
    </row>
    <row r="992" spans="1:8" x14ac:dyDescent="0.35">
      <c r="A992" t="s">
        <v>972</v>
      </c>
      <c r="B992" t="s">
        <v>1011</v>
      </c>
      <c r="C992">
        <v>316</v>
      </c>
      <c r="D992">
        <v>306</v>
      </c>
      <c r="E992" t="s">
        <v>21</v>
      </c>
      <c r="F992">
        <f>tbl_AQI[[#This Row],[Most AQI Reached]]-tbl_AQI[[#This Row],[Current AQI]]</f>
        <v>10</v>
      </c>
      <c r="G9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92">
        <f>RANK(tbl_AQI[[#This Row],[Current AQI]], tbl_AQI[Current AQI], 0)</f>
        <v>829</v>
      </c>
    </row>
    <row r="993" spans="1:8" x14ac:dyDescent="0.35">
      <c r="A993" t="s">
        <v>972</v>
      </c>
      <c r="B993" t="s">
        <v>1012</v>
      </c>
      <c r="C993">
        <v>422</v>
      </c>
      <c r="D993">
        <v>338</v>
      </c>
      <c r="E993" t="s">
        <v>17</v>
      </c>
      <c r="F993">
        <f>tbl_AQI[[#This Row],[Most AQI Reached]]-tbl_AQI[[#This Row],[Current AQI]]</f>
        <v>84</v>
      </c>
      <c r="G9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93">
        <f>RANK(tbl_AQI[[#This Row],[Current AQI]], tbl_AQI[Current AQI], 0)</f>
        <v>687</v>
      </c>
    </row>
    <row r="994" spans="1:8" x14ac:dyDescent="0.35">
      <c r="A994" t="s">
        <v>972</v>
      </c>
      <c r="B994" t="s">
        <v>1013</v>
      </c>
      <c r="C994">
        <v>332</v>
      </c>
      <c r="D994">
        <v>292</v>
      </c>
      <c r="E994" t="s">
        <v>17</v>
      </c>
      <c r="F994">
        <f>tbl_AQI[[#This Row],[Most AQI Reached]]-tbl_AQI[[#This Row],[Current AQI]]</f>
        <v>40</v>
      </c>
      <c r="G9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94">
        <f>RANK(tbl_AQI[[#This Row],[Current AQI]], tbl_AQI[Current AQI], 0)</f>
        <v>892</v>
      </c>
    </row>
    <row r="995" spans="1:8" x14ac:dyDescent="0.35">
      <c r="A995" t="s">
        <v>972</v>
      </c>
      <c r="B995" t="s">
        <v>1014</v>
      </c>
      <c r="C995">
        <v>467</v>
      </c>
      <c r="D995">
        <v>399</v>
      </c>
      <c r="E995" t="s">
        <v>9</v>
      </c>
      <c r="F995">
        <f>tbl_AQI[[#This Row],[Most AQI Reached]]-tbl_AQI[[#This Row],[Current AQI]]</f>
        <v>68</v>
      </c>
      <c r="G9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95">
        <f>RANK(tbl_AQI[[#This Row],[Current AQI]], tbl_AQI[Current AQI], 0)</f>
        <v>399</v>
      </c>
    </row>
    <row r="996" spans="1:8" x14ac:dyDescent="0.35">
      <c r="A996" t="s">
        <v>972</v>
      </c>
      <c r="B996" t="s">
        <v>1015</v>
      </c>
      <c r="C996">
        <v>440</v>
      </c>
      <c r="D996">
        <v>363</v>
      </c>
      <c r="E996" t="s">
        <v>9</v>
      </c>
      <c r="F996">
        <f>tbl_AQI[[#This Row],[Most AQI Reached]]-tbl_AQI[[#This Row],[Current AQI]]</f>
        <v>77</v>
      </c>
      <c r="G9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96">
        <f>RANK(tbl_AQI[[#This Row],[Current AQI]], tbl_AQI[Current AQI], 0)</f>
        <v>564</v>
      </c>
    </row>
    <row r="997" spans="1:8" x14ac:dyDescent="0.35">
      <c r="A997" t="s">
        <v>972</v>
      </c>
      <c r="B997" t="s">
        <v>1016</v>
      </c>
      <c r="C997">
        <v>324</v>
      </c>
      <c r="D997">
        <v>237</v>
      </c>
      <c r="E997" t="s">
        <v>21</v>
      </c>
      <c r="F997">
        <f>tbl_AQI[[#This Row],[Most AQI Reached]]-tbl_AQI[[#This Row],[Current AQI]]</f>
        <v>87</v>
      </c>
      <c r="G9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97">
        <f>RANK(tbl_AQI[[#This Row],[Current AQI]], tbl_AQI[Current AQI], 0)</f>
        <v>1157</v>
      </c>
    </row>
    <row r="998" spans="1:8" x14ac:dyDescent="0.35">
      <c r="A998" t="s">
        <v>972</v>
      </c>
      <c r="B998" t="s">
        <v>1017</v>
      </c>
      <c r="C998">
        <v>309</v>
      </c>
      <c r="D998">
        <v>256</v>
      </c>
      <c r="E998" t="s">
        <v>15</v>
      </c>
      <c r="F998">
        <f>tbl_AQI[[#This Row],[Most AQI Reached]]-tbl_AQI[[#This Row],[Current AQI]]</f>
        <v>53</v>
      </c>
      <c r="G9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998">
        <f>RANK(tbl_AQI[[#This Row],[Current AQI]], tbl_AQI[Current AQI], 0)</f>
        <v>1063</v>
      </c>
    </row>
    <row r="999" spans="1:8" x14ac:dyDescent="0.35">
      <c r="A999" t="s">
        <v>972</v>
      </c>
      <c r="B999" t="s">
        <v>1018</v>
      </c>
      <c r="C999">
        <v>392</v>
      </c>
      <c r="D999">
        <v>377</v>
      </c>
      <c r="E999" t="s">
        <v>21</v>
      </c>
      <c r="F999">
        <f>tbl_AQI[[#This Row],[Most AQI Reached]]-tbl_AQI[[#This Row],[Current AQI]]</f>
        <v>15</v>
      </c>
      <c r="G9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999">
        <f>RANK(tbl_AQI[[#This Row],[Current AQI]], tbl_AQI[Current AQI], 0)</f>
        <v>500</v>
      </c>
    </row>
    <row r="1000" spans="1:8" x14ac:dyDescent="0.35">
      <c r="A1000" t="s">
        <v>972</v>
      </c>
      <c r="B1000" t="s">
        <v>1019</v>
      </c>
      <c r="C1000">
        <v>488</v>
      </c>
      <c r="D1000">
        <v>394</v>
      </c>
      <c r="E1000" t="s">
        <v>9</v>
      </c>
      <c r="F1000">
        <f>tbl_AQI[[#This Row],[Most AQI Reached]]-tbl_AQI[[#This Row],[Current AQI]]</f>
        <v>94</v>
      </c>
      <c r="G10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00">
        <f>RANK(tbl_AQI[[#This Row],[Current AQI]], tbl_AQI[Current AQI], 0)</f>
        <v>425</v>
      </c>
    </row>
    <row r="1001" spans="1:8" x14ac:dyDescent="0.35">
      <c r="A1001" t="s">
        <v>972</v>
      </c>
      <c r="B1001" t="s">
        <v>1020</v>
      </c>
      <c r="C1001">
        <v>422</v>
      </c>
      <c r="D1001">
        <v>336</v>
      </c>
      <c r="E1001" t="s">
        <v>9</v>
      </c>
      <c r="F1001">
        <f>tbl_AQI[[#This Row],[Most AQI Reached]]-tbl_AQI[[#This Row],[Current AQI]]</f>
        <v>86</v>
      </c>
      <c r="G10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01">
        <f>RANK(tbl_AQI[[#This Row],[Current AQI]], tbl_AQI[Current AQI], 0)</f>
        <v>700</v>
      </c>
    </row>
    <row r="1002" spans="1:8" x14ac:dyDescent="0.35">
      <c r="A1002" t="s">
        <v>972</v>
      </c>
      <c r="B1002" t="s">
        <v>1021</v>
      </c>
      <c r="C1002">
        <v>200</v>
      </c>
      <c r="D1002">
        <v>175</v>
      </c>
      <c r="E1002" t="s">
        <v>17</v>
      </c>
      <c r="F1002">
        <f>tbl_AQI[[#This Row],[Most AQI Reached]]-tbl_AQI[[#This Row],[Current AQI]]</f>
        <v>25</v>
      </c>
      <c r="G10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02">
        <f>RANK(tbl_AQI[[#This Row],[Current AQI]], tbl_AQI[Current AQI], 0)</f>
        <v>1780</v>
      </c>
    </row>
    <row r="1003" spans="1:8" x14ac:dyDescent="0.35">
      <c r="A1003" t="s">
        <v>972</v>
      </c>
      <c r="B1003" t="s">
        <v>1022</v>
      </c>
      <c r="C1003">
        <v>465</v>
      </c>
      <c r="D1003">
        <v>247</v>
      </c>
      <c r="E1003" t="s">
        <v>17</v>
      </c>
      <c r="F1003">
        <f>tbl_AQI[[#This Row],[Most AQI Reached]]-tbl_AQI[[#This Row],[Current AQI]]</f>
        <v>218</v>
      </c>
      <c r="G10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03">
        <f>RANK(tbl_AQI[[#This Row],[Current AQI]], tbl_AQI[Current AQI], 0)</f>
        <v>1112</v>
      </c>
    </row>
    <row r="1004" spans="1:8" x14ac:dyDescent="0.35">
      <c r="A1004" t="s">
        <v>972</v>
      </c>
      <c r="B1004" t="s">
        <v>1023</v>
      </c>
      <c r="C1004">
        <v>388</v>
      </c>
      <c r="D1004">
        <v>378</v>
      </c>
      <c r="E1004" t="s">
        <v>17</v>
      </c>
      <c r="F1004">
        <f>tbl_AQI[[#This Row],[Most AQI Reached]]-tbl_AQI[[#This Row],[Current AQI]]</f>
        <v>10</v>
      </c>
      <c r="G10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04">
        <f>RANK(tbl_AQI[[#This Row],[Current AQI]], tbl_AQI[Current AQI], 0)</f>
        <v>493</v>
      </c>
    </row>
    <row r="1005" spans="1:8" x14ac:dyDescent="0.35">
      <c r="A1005" t="s">
        <v>972</v>
      </c>
      <c r="B1005" t="s">
        <v>1024</v>
      </c>
      <c r="C1005">
        <v>421</v>
      </c>
      <c r="D1005">
        <v>243</v>
      </c>
      <c r="E1005" t="s">
        <v>17</v>
      </c>
      <c r="F1005">
        <f>tbl_AQI[[#This Row],[Most AQI Reached]]-tbl_AQI[[#This Row],[Current AQI]]</f>
        <v>178</v>
      </c>
      <c r="G10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05">
        <f>RANK(tbl_AQI[[#This Row],[Current AQI]], tbl_AQI[Current AQI], 0)</f>
        <v>1132</v>
      </c>
    </row>
    <row r="1006" spans="1:8" x14ac:dyDescent="0.35">
      <c r="A1006" t="s">
        <v>972</v>
      </c>
      <c r="B1006" t="s">
        <v>1025</v>
      </c>
      <c r="C1006">
        <v>415</v>
      </c>
      <c r="D1006">
        <v>236</v>
      </c>
      <c r="E1006" t="s">
        <v>9</v>
      </c>
      <c r="F1006">
        <f>tbl_AQI[[#This Row],[Most AQI Reached]]-tbl_AQI[[#This Row],[Current AQI]]</f>
        <v>179</v>
      </c>
      <c r="G10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06">
        <f>RANK(tbl_AQI[[#This Row],[Current AQI]], tbl_AQI[Current AQI], 0)</f>
        <v>1162</v>
      </c>
    </row>
    <row r="1007" spans="1:8" x14ac:dyDescent="0.35">
      <c r="A1007" t="s">
        <v>972</v>
      </c>
      <c r="B1007" t="s">
        <v>1026</v>
      </c>
      <c r="C1007">
        <v>462</v>
      </c>
      <c r="D1007">
        <v>290</v>
      </c>
      <c r="E1007" t="s">
        <v>17</v>
      </c>
      <c r="F1007">
        <f>tbl_AQI[[#This Row],[Most AQI Reached]]-tbl_AQI[[#This Row],[Current AQI]]</f>
        <v>172</v>
      </c>
      <c r="G10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07">
        <f>RANK(tbl_AQI[[#This Row],[Current AQI]], tbl_AQI[Current AQI], 0)</f>
        <v>905</v>
      </c>
    </row>
    <row r="1008" spans="1:8" x14ac:dyDescent="0.35">
      <c r="A1008" t="s">
        <v>972</v>
      </c>
      <c r="B1008" t="s">
        <v>1027</v>
      </c>
      <c r="C1008">
        <v>449</v>
      </c>
      <c r="D1008">
        <v>220</v>
      </c>
      <c r="E1008" t="s">
        <v>17</v>
      </c>
      <c r="F1008">
        <f>tbl_AQI[[#This Row],[Most AQI Reached]]-tbl_AQI[[#This Row],[Current AQI]]</f>
        <v>229</v>
      </c>
      <c r="G10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08">
        <f>RANK(tbl_AQI[[#This Row],[Current AQI]], tbl_AQI[Current AQI], 0)</f>
        <v>1227</v>
      </c>
    </row>
    <row r="1009" spans="1:8" x14ac:dyDescent="0.35">
      <c r="A1009" t="s">
        <v>972</v>
      </c>
      <c r="B1009" t="s">
        <v>1028</v>
      </c>
      <c r="C1009">
        <v>451</v>
      </c>
      <c r="D1009">
        <v>343</v>
      </c>
      <c r="E1009" t="s">
        <v>17</v>
      </c>
      <c r="F1009">
        <f>tbl_AQI[[#This Row],[Most AQI Reached]]-tbl_AQI[[#This Row],[Current AQI]]</f>
        <v>108</v>
      </c>
      <c r="G10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09">
        <f>RANK(tbl_AQI[[#This Row],[Current AQI]], tbl_AQI[Current AQI], 0)</f>
        <v>662</v>
      </c>
    </row>
    <row r="1010" spans="1:8" x14ac:dyDescent="0.35">
      <c r="A1010" t="s">
        <v>972</v>
      </c>
      <c r="B1010" t="s">
        <v>1029</v>
      </c>
      <c r="C1010">
        <v>372</v>
      </c>
      <c r="D1010">
        <v>282</v>
      </c>
      <c r="E1010" t="s">
        <v>17</v>
      </c>
      <c r="F1010">
        <f>tbl_AQI[[#This Row],[Most AQI Reached]]-tbl_AQI[[#This Row],[Current AQI]]</f>
        <v>90</v>
      </c>
      <c r="G10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10">
        <f>RANK(tbl_AQI[[#This Row],[Current AQI]], tbl_AQI[Current AQI], 0)</f>
        <v>938</v>
      </c>
    </row>
    <row r="1011" spans="1:8" x14ac:dyDescent="0.35">
      <c r="A1011" t="s">
        <v>972</v>
      </c>
      <c r="B1011" t="s">
        <v>1030</v>
      </c>
      <c r="C1011">
        <v>346</v>
      </c>
      <c r="D1011">
        <v>169</v>
      </c>
      <c r="E1011" t="s">
        <v>17</v>
      </c>
      <c r="F1011">
        <f>tbl_AQI[[#This Row],[Most AQI Reached]]-tbl_AQI[[#This Row],[Current AQI]]</f>
        <v>177</v>
      </c>
      <c r="G10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11">
        <f>RANK(tbl_AQI[[#This Row],[Current AQI]], tbl_AQI[Current AQI], 0)</f>
        <v>1925</v>
      </c>
    </row>
    <row r="1012" spans="1:8" x14ac:dyDescent="0.35">
      <c r="A1012" t="s">
        <v>972</v>
      </c>
      <c r="B1012" t="s">
        <v>1031</v>
      </c>
      <c r="C1012">
        <v>452</v>
      </c>
      <c r="D1012">
        <v>380</v>
      </c>
      <c r="E1012" t="s">
        <v>9</v>
      </c>
      <c r="F1012">
        <f>tbl_AQI[[#This Row],[Most AQI Reached]]-tbl_AQI[[#This Row],[Current AQI]]</f>
        <v>72</v>
      </c>
      <c r="G10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12">
        <f>RANK(tbl_AQI[[#This Row],[Current AQI]], tbl_AQI[Current AQI], 0)</f>
        <v>482</v>
      </c>
    </row>
    <row r="1013" spans="1:8" x14ac:dyDescent="0.35">
      <c r="A1013" t="s">
        <v>972</v>
      </c>
      <c r="B1013" t="s">
        <v>1032</v>
      </c>
      <c r="C1013">
        <v>298</v>
      </c>
      <c r="D1013">
        <v>261</v>
      </c>
      <c r="E1013" t="s">
        <v>17</v>
      </c>
      <c r="F1013">
        <f>tbl_AQI[[#This Row],[Most AQI Reached]]-tbl_AQI[[#This Row],[Current AQI]]</f>
        <v>37</v>
      </c>
      <c r="G10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13">
        <f>RANK(tbl_AQI[[#This Row],[Current AQI]], tbl_AQI[Current AQI], 0)</f>
        <v>1039</v>
      </c>
    </row>
    <row r="1014" spans="1:8" x14ac:dyDescent="0.35">
      <c r="A1014" t="s">
        <v>972</v>
      </c>
      <c r="B1014" t="s">
        <v>1033</v>
      </c>
      <c r="C1014">
        <v>353</v>
      </c>
      <c r="D1014">
        <v>324</v>
      </c>
      <c r="E1014" t="s">
        <v>17</v>
      </c>
      <c r="F1014">
        <f>tbl_AQI[[#This Row],[Most AQI Reached]]-tbl_AQI[[#This Row],[Current AQI]]</f>
        <v>29</v>
      </c>
      <c r="G10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14">
        <f>RANK(tbl_AQI[[#This Row],[Current AQI]], tbl_AQI[Current AQI], 0)</f>
        <v>760</v>
      </c>
    </row>
    <row r="1015" spans="1:8" x14ac:dyDescent="0.35">
      <c r="A1015" t="s">
        <v>972</v>
      </c>
      <c r="B1015" t="s">
        <v>1034</v>
      </c>
      <c r="C1015">
        <v>353</v>
      </c>
      <c r="D1015">
        <v>219</v>
      </c>
      <c r="E1015" t="s">
        <v>17</v>
      </c>
      <c r="F1015">
        <f>tbl_AQI[[#This Row],[Most AQI Reached]]-tbl_AQI[[#This Row],[Current AQI]]</f>
        <v>134</v>
      </c>
      <c r="G10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15">
        <f>RANK(tbl_AQI[[#This Row],[Current AQI]], tbl_AQI[Current AQI], 0)</f>
        <v>1232</v>
      </c>
    </row>
    <row r="1016" spans="1:8" x14ac:dyDescent="0.35">
      <c r="A1016" t="s">
        <v>972</v>
      </c>
      <c r="B1016" t="s">
        <v>1035</v>
      </c>
      <c r="C1016">
        <v>224</v>
      </c>
      <c r="D1016">
        <v>150</v>
      </c>
      <c r="E1016" t="s">
        <v>15</v>
      </c>
      <c r="F1016">
        <f>tbl_AQI[[#This Row],[Most AQI Reached]]-tbl_AQI[[#This Row],[Current AQI]]</f>
        <v>74</v>
      </c>
      <c r="G10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16">
        <f>RANK(tbl_AQI[[#This Row],[Current AQI]], tbl_AQI[Current AQI], 0)</f>
        <v>2400</v>
      </c>
    </row>
    <row r="1017" spans="1:8" x14ac:dyDescent="0.35">
      <c r="A1017" t="s">
        <v>972</v>
      </c>
      <c r="B1017" t="s">
        <v>1036</v>
      </c>
      <c r="C1017">
        <v>468</v>
      </c>
      <c r="D1017">
        <v>448</v>
      </c>
      <c r="E1017" t="s">
        <v>17</v>
      </c>
      <c r="F1017">
        <f>tbl_AQI[[#This Row],[Most AQI Reached]]-tbl_AQI[[#This Row],[Current AQI]]</f>
        <v>20</v>
      </c>
      <c r="G10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017">
        <f>RANK(tbl_AQI[[#This Row],[Current AQI]], tbl_AQI[Current AQI], 0)</f>
        <v>166</v>
      </c>
    </row>
    <row r="1018" spans="1:8" x14ac:dyDescent="0.35">
      <c r="A1018" t="s">
        <v>972</v>
      </c>
      <c r="B1018" t="s">
        <v>1037</v>
      </c>
      <c r="C1018">
        <v>493</v>
      </c>
      <c r="D1018">
        <v>465</v>
      </c>
      <c r="E1018" t="s">
        <v>21</v>
      </c>
      <c r="F1018">
        <f>tbl_AQI[[#This Row],[Most AQI Reached]]-tbl_AQI[[#This Row],[Current AQI]]</f>
        <v>28</v>
      </c>
      <c r="G10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018">
        <f>RANK(tbl_AQI[[#This Row],[Current AQI]], tbl_AQI[Current AQI], 0)</f>
        <v>78</v>
      </c>
    </row>
    <row r="1019" spans="1:8" x14ac:dyDescent="0.35">
      <c r="A1019" t="s">
        <v>972</v>
      </c>
      <c r="B1019" t="s">
        <v>1038</v>
      </c>
      <c r="C1019">
        <v>437</v>
      </c>
      <c r="D1019">
        <v>436</v>
      </c>
      <c r="E1019" t="s">
        <v>7</v>
      </c>
      <c r="F1019">
        <f>tbl_AQI[[#This Row],[Most AQI Reached]]-tbl_AQI[[#This Row],[Current AQI]]</f>
        <v>1</v>
      </c>
      <c r="G10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019">
        <f>RANK(tbl_AQI[[#This Row],[Current AQI]], tbl_AQI[Current AQI], 0)</f>
        <v>230</v>
      </c>
    </row>
    <row r="1020" spans="1:8" x14ac:dyDescent="0.35">
      <c r="A1020" t="s">
        <v>972</v>
      </c>
      <c r="B1020" t="s">
        <v>1039</v>
      </c>
      <c r="C1020">
        <v>497</v>
      </c>
      <c r="D1020">
        <v>385</v>
      </c>
      <c r="E1020" t="s">
        <v>9</v>
      </c>
      <c r="F1020">
        <f>tbl_AQI[[#This Row],[Most AQI Reached]]-tbl_AQI[[#This Row],[Current AQI]]</f>
        <v>112</v>
      </c>
      <c r="G10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20">
        <f>RANK(tbl_AQI[[#This Row],[Current AQI]], tbl_AQI[Current AQI], 0)</f>
        <v>459</v>
      </c>
    </row>
    <row r="1021" spans="1:8" x14ac:dyDescent="0.35">
      <c r="A1021" t="s">
        <v>972</v>
      </c>
      <c r="B1021" t="s">
        <v>1040</v>
      </c>
      <c r="C1021">
        <v>500</v>
      </c>
      <c r="D1021">
        <v>462</v>
      </c>
      <c r="E1021" t="s">
        <v>21</v>
      </c>
      <c r="F1021">
        <f>tbl_AQI[[#This Row],[Most AQI Reached]]-tbl_AQI[[#This Row],[Current AQI]]</f>
        <v>38</v>
      </c>
      <c r="G10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021">
        <f>RANK(tbl_AQI[[#This Row],[Current AQI]], tbl_AQI[Current AQI], 0)</f>
        <v>92</v>
      </c>
    </row>
    <row r="1022" spans="1:8" x14ac:dyDescent="0.35">
      <c r="A1022" t="s">
        <v>972</v>
      </c>
      <c r="B1022" t="s">
        <v>1041</v>
      </c>
      <c r="C1022">
        <v>276</v>
      </c>
      <c r="D1022">
        <v>190</v>
      </c>
      <c r="E1022" t="s">
        <v>17</v>
      </c>
      <c r="F1022">
        <f>tbl_AQI[[#This Row],[Most AQI Reached]]-tbl_AQI[[#This Row],[Current AQI]]</f>
        <v>86</v>
      </c>
      <c r="G10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22">
        <f>RANK(tbl_AQI[[#This Row],[Current AQI]], tbl_AQI[Current AQI], 0)</f>
        <v>1355</v>
      </c>
    </row>
    <row r="1023" spans="1:8" x14ac:dyDescent="0.35">
      <c r="A1023" t="s">
        <v>972</v>
      </c>
      <c r="B1023" t="s">
        <v>1042</v>
      </c>
      <c r="C1023">
        <v>372</v>
      </c>
      <c r="D1023">
        <v>358</v>
      </c>
      <c r="E1023" t="s">
        <v>7</v>
      </c>
      <c r="F1023">
        <f>tbl_AQI[[#This Row],[Most AQI Reached]]-tbl_AQI[[#This Row],[Current AQI]]</f>
        <v>14</v>
      </c>
      <c r="G10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23">
        <f>RANK(tbl_AQI[[#This Row],[Current AQI]], tbl_AQI[Current AQI], 0)</f>
        <v>586</v>
      </c>
    </row>
    <row r="1024" spans="1:8" x14ac:dyDescent="0.35">
      <c r="A1024" t="s">
        <v>972</v>
      </c>
      <c r="B1024" t="s">
        <v>1043</v>
      </c>
      <c r="C1024">
        <v>373</v>
      </c>
      <c r="D1024">
        <v>321</v>
      </c>
      <c r="E1024" t="s">
        <v>33</v>
      </c>
      <c r="F1024">
        <f>tbl_AQI[[#This Row],[Most AQI Reached]]-tbl_AQI[[#This Row],[Current AQI]]</f>
        <v>52</v>
      </c>
      <c r="G10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24">
        <f>RANK(tbl_AQI[[#This Row],[Current AQI]], tbl_AQI[Current AQI], 0)</f>
        <v>770</v>
      </c>
    </row>
    <row r="1025" spans="1:8" x14ac:dyDescent="0.35">
      <c r="A1025" t="s">
        <v>972</v>
      </c>
      <c r="B1025" t="s">
        <v>1044</v>
      </c>
      <c r="C1025">
        <v>216</v>
      </c>
      <c r="D1025">
        <v>159</v>
      </c>
      <c r="E1025" t="s">
        <v>33</v>
      </c>
      <c r="F1025">
        <f>tbl_AQI[[#This Row],[Most AQI Reached]]-tbl_AQI[[#This Row],[Current AQI]]</f>
        <v>57</v>
      </c>
      <c r="G10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25">
        <f>RANK(tbl_AQI[[#This Row],[Current AQI]], tbl_AQI[Current AQI], 0)</f>
        <v>2183</v>
      </c>
    </row>
    <row r="1026" spans="1:8" x14ac:dyDescent="0.35">
      <c r="A1026" t="s">
        <v>972</v>
      </c>
      <c r="B1026" t="s">
        <v>1045</v>
      </c>
      <c r="C1026">
        <v>288</v>
      </c>
      <c r="D1026">
        <v>207</v>
      </c>
      <c r="E1026" t="s">
        <v>21</v>
      </c>
      <c r="F1026">
        <f>tbl_AQI[[#This Row],[Most AQI Reached]]-tbl_AQI[[#This Row],[Current AQI]]</f>
        <v>81</v>
      </c>
      <c r="G10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26">
        <f>RANK(tbl_AQI[[#This Row],[Current AQI]], tbl_AQI[Current AQI], 0)</f>
        <v>1287</v>
      </c>
    </row>
    <row r="1027" spans="1:8" x14ac:dyDescent="0.35">
      <c r="A1027" t="s">
        <v>972</v>
      </c>
      <c r="B1027" t="s">
        <v>1046</v>
      </c>
      <c r="C1027">
        <v>491</v>
      </c>
      <c r="D1027">
        <v>349</v>
      </c>
      <c r="E1027" t="s">
        <v>17</v>
      </c>
      <c r="F1027">
        <f>tbl_AQI[[#This Row],[Most AQI Reached]]-tbl_AQI[[#This Row],[Current AQI]]</f>
        <v>142</v>
      </c>
      <c r="G10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027">
        <f>RANK(tbl_AQI[[#This Row],[Current AQI]], tbl_AQI[Current AQI], 0)</f>
        <v>631</v>
      </c>
    </row>
    <row r="1028" spans="1:8" x14ac:dyDescent="0.35">
      <c r="A1028" t="s">
        <v>972</v>
      </c>
      <c r="B1028" t="s">
        <v>1047</v>
      </c>
      <c r="C1028">
        <v>484</v>
      </c>
      <c r="D1028">
        <v>155</v>
      </c>
      <c r="E1028" t="s">
        <v>17</v>
      </c>
      <c r="F1028">
        <f>tbl_AQI[[#This Row],[Most AQI Reached]]-tbl_AQI[[#This Row],[Current AQI]]</f>
        <v>329</v>
      </c>
      <c r="G10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28">
        <f>RANK(tbl_AQI[[#This Row],[Current AQI]], tbl_AQI[Current AQI], 0)</f>
        <v>2275</v>
      </c>
    </row>
    <row r="1029" spans="1:8" x14ac:dyDescent="0.35">
      <c r="A1029" t="s">
        <v>972</v>
      </c>
      <c r="B1029" t="s">
        <v>1048</v>
      </c>
      <c r="C1029">
        <v>439</v>
      </c>
      <c r="D1029">
        <v>279</v>
      </c>
      <c r="E1029" t="s">
        <v>21</v>
      </c>
      <c r="F1029">
        <f>tbl_AQI[[#This Row],[Most AQI Reached]]-tbl_AQI[[#This Row],[Current AQI]]</f>
        <v>160</v>
      </c>
      <c r="G10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029">
        <f>RANK(tbl_AQI[[#This Row],[Current AQI]], tbl_AQI[Current AQI], 0)</f>
        <v>957</v>
      </c>
    </row>
    <row r="1030" spans="1:8" x14ac:dyDescent="0.35">
      <c r="A1030" t="s">
        <v>972</v>
      </c>
      <c r="B1030" t="s">
        <v>1049</v>
      </c>
      <c r="C1030">
        <v>452</v>
      </c>
      <c r="D1030">
        <v>444</v>
      </c>
      <c r="E1030" t="s">
        <v>21</v>
      </c>
      <c r="F1030">
        <f>tbl_AQI[[#This Row],[Most AQI Reached]]-tbl_AQI[[#This Row],[Current AQI]]</f>
        <v>8</v>
      </c>
      <c r="G10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030">
        <f>RANK(tbl_AQI[[#This Row],[Current AQI]], tbl_AQI[Current AQI], 0)</f>
        <v>187</v>
      </c>
    </row>
    <row r="1031" spans="1:8" x14ac:dyDescent="0.35">
      <c r="A1031" t="s">
        <v>1050</v>
      </c>
      <c r="B1031" t="s">
        <v>1051</v>
      </c>
      <c r="C1031">
        <v>177</v>
      </c>
      <c r="D1031">
        <v>36</v>
      </c>
      <c r="E1031" t="s">
        <v>11</v>
      </c>
      <c r="F1031">
        <f>tbl_AQI[[#This Row],[Most AQI Reached]]-tbl_AQI[[#This Row],[Current AQI]]</f>
        <v>141</v>
      </c>
      <c r="G10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31">
        <f>RANK(tbl_AQI[[#This Row],[Current AQI]], tbl_AQI[Current AQI], 0)</f>
        <v>4893</v>
      </c>
    </row>
    <row r="1032" spans="1:8" x14ac:dyDescent="0.35">
      <c r="A1032" t="s">
        <v>1050</v>
      </c>
      <c r="B1032" t="s">
        <v>1052</v>
      </c>
      <c r="C1032">
        <v>216</v>
      </c>
      <c r="D1032">
        <v>159</v>
      </c>
      <c r="E1032" t="s">
        <v>11</v>
      </c>
      <c r="F1032">
        <f>tbl_AQI[[#This Row],[Most AQI Reached]]-tbl_AQI[[#This Row],[Current AQI]]</f>
        <v>57</v>
      </c>
      <c r="G10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32">
        <f>RANK(tbl_AQI[[#This Row],[Current AQI]], tbl_AQI[Current AQI], 0)</f>
        <v>2183</v>
      </c>
    </row>
    <row r="1033" spans="1:8" x14ac:dyDescent="0.35">
      <c r="A1033" t="s">
        <v>1050</v>
      </c>
      <c r="B1033" t="s">
        <v>1053</v>
      </c>
      <c r="C1033">
        <v>259</v>
      </c>
      <c r="D1033">
        <v>91</v>
      </c>
      <c r="E1033" t="s">
        <v>33</v>
      </c>
      <c r="F1033">
        <f>tbl_AQI[[#This Row],[Most AQI Reached]]-tbl_AQI[[#This Row],[Current AQI]]</f>
        <v>168</v>
      </c>
      <c r="G10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33">
        <f>RANK(tbl_AQI[[#This Row],[Current AQI]], tbl_AQI[Current AQI], 0)</f>
        <v>3726</v>
      </c>
    </row>
    <row r="1034" spans="1:8" x14ac:dyDescent="0.35">
      <c r="A1034" t="s">
        <v>1050</v>
      </c>
      <c r="B1034" t="s">
        <v>1054</v>
      </c>
      <c r="C1034">
        <v>165</v>
      </c>
      <c r="D1034">
        <v>103</v>
      </c>
      <c r="E1034" t="s">
        <v>15</v>
      </c>
      <c r="F1034">
        <f>tbl_AQI[[#This Row],[Most AQI Reached]]-tbl_AQI[[#This Row],[Current AQI]]</f>
        <v>62</v>
      </c>
      <c r="G10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34">
        <f>RANK(tbl_AQI[[#This Row],[Current AQI]], tbl_AQI[Current AQI], 0)</f>
        <v>3474</v>
      </c>
    </row>
    <row r="1035" spans="1:8" x14ac:dyDescent="0.35">
      <c r="A1035" t="s">
        <v>1050</v>
      </c>
      <c r="B1035" t="s">
        <v>1055</v>
      </c>
      <c r="C1035">
        <v>99</v>
      </c>
      <c r="D1035">
        <v>94</v>
      </c>
      <c r="E1035" t="s">
        <v>15</v>
      </c>
      <c r="F1035">
        <f>tbl_AQI[[#This Row],[Most AQI Reached]]-tbl_AQI[[#This Row],[Current AQI]]</f>
        <v>5</v>
      </c>
      <c r="G10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35">
        <f>RANK(tbl_AQI[[#This Row],[Current AQI]], tbl_AQI[Current AQI], 0)</f>
        <v>3654</v>
      </c>
    </row>
    <row r="1036" spans="1:8" x14ac:dyDescent="0.35">
      <c r="A1036" t="s">
        <v>1050</v>
      </c>
      <c r="B1036" t="s">
        <v>1056</v>
      </c>
      <c r="C1036">
        <v>311</v>
      </c>
      <c r="D1036">
        <v>135</v>
      </c>
      <c r="E1036" t="s">
        <v>9</v>
      </c>
      <c r="F1036">
        <f>tbl_AQI[[#This Row],[Most AQI Reached]]-tbl_AQI[[#This Row],[Current AQI]]</f>
        <v>176</v>
      </c>
      <c r="G10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36">
        <f>RANK(tbl_AQI[[#This Row],[Current AQI]], tbl_AQI[Current AQI], 0)</f>
        <v>2714</v>
      </c>
    </row>
    <row r="1037" spans="1:8" x14ac:dyDescent="0.35">
      <c r="A1037" t="s">
        <v>1050</v>
      </c>
      <c r="B1037" t="s">
        <v>1057</v>
      </c>
      <c r="C1037">
        <v>167</v>
      </c>
      <c r="D1037">
        <v>156</v>
      </c>
      <c r="E1037" t="s">
        <v>15</v>
      </c>
      <c r="F1037">
        <f>tbl_AQI[[#This Row],[Most AQI Reached]]-tbl_AQI[[#This Row],[Current AQI]]</f>
        <v>11</v>
      </c>
      <c r="G10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37">
        <f>RANK(tbl_AQI[[#This Row],[Current AQI]], tbl_AQI[Current AQI], 0)</f>
        <v>2251</v>
      </c>
    </row>
    <row r="1038" spans="1:8" x14ac:dyDescent="0.35">
      <c r="A1038" t="s">
        <v>1050</v>
      </c>
      <c r="B1038" t="s">
        <v>1058</v>
      </c>
      <c r="C1038">
        <v>148</v>
      </c>
      <c r="D1038">
        <v>57</v>
      </c>
      <c r="E1038" t="s">
        <v>33</v>
      </c>
      <c r="F1038">
        <f>tbl_AQI[[#This Row],[Most AQI Reached]]-tbl_AQI[[#This Row],[Current AQI]]</f>
        <v>91</v>
      </c>
      <c r="G10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38">
        <f>RANK(tbl_AQI[[#This Row],[Current AQI]], tbl_AQI[Current AQI], 0)</f>
        <v>4452</v>
      </c>
    </row>
    <row r="1039" spans="1:8" x14ac:dyDescent="0.35">
      <c r="A1039" t="s">
        <v>1050</v>
      </c>
      <c r="B1039" t="s">
        <v>1059</v>
      </c>
      <c r="C1039">
        <v>228</v>
      </c>
      <c r="D1039">
        <v>147</v>
      </c>
      <c r="E1039" t="s">
        <v>11</v>
      </c>
      <c r="F1039">
        <f>tbl_AQI[[#This Row],[Most AQI Reached]]-tbl_AQI[[#This Row],[Current AQI]]</f>
        <v>81</v>
      </c>
      <c r="G10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39">
        <f>RANK(tbl_AQI[[#This Row],[Current AQI]], tbl_AQI[Current AQI], 0)</f>
        <v>2478</v>
      </c>
    </row>
    <row r="1040" spans="1:8" x14ac:dyDescent="0.35">
      <c r="A1040" t="s">
        <v>1050</v>
      </c>
      <c r="B1040" t="s">
        <v>1060</v>
      </c>
      <c r="C1040">
        <v>140</v>
      </c>
      <c r="D1040">
        <v>44</v>
      </c>
      <c r="E1040" t="s">
        <v>15</v>
      </c>
      <c r="F1040">
        <f>tbl_AQI[[#This Row],[Most AQI Reached]]-tbl_AQI[[#This Row],[Current AQI]]</f>
        <v>96</v>
      </c>
      <c r="G10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40">
        <f>RANK(tbl_AQI[[#This Row],[Current AQI]], tbl_AQI[Current AQI], 0)</f>
        <v>4732</v>
      </c>
    </row>
    <row r="1041" spans="1:8" x14ac:dyDescent="0.35">
      <c r="A1041" t="s">
        <v>1050</v>
      </c>
      <c r="B1041" t="s">
        <v>1061</v>
      </c>
      <c r="C1041">
        <v>289</v>
      </c>
      <c r="D1041">
        <v>51</v>
      </c>
      <c r="E1041" t="s">
        <v>15</v>
      </c>
      <c r="F1041">
        <f>tbl_AQI[[#This Row],[Most AQI Reached]]-tbl_AQI[[#This Row],[Current AQI]]</f>
        <v>238</v>
      </c>
      <c r="G10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41">
        <f>RANK(tbl_AQI[[#This Row],[Current AQI]], tbl_AQI[Current AQI], 0)</f>
        <v>4578</v>
      </c>
    </row>
    <row r="1042" spans="1:8" x14ac:dyDescent="0.35">
      <c r="A1042" t="s">
        <v>1050</v>
      </c>
      <c r="B1042" t="s">
        <v>1062</v>
      </c>
      <c r="C1042">
        <v>193</v>
      </c>
      <c r="D1042">
        <v>88</v>
      </c>
      <c r="E1042" t="s">
        <v>17</v>
      </c>
      <c r="F1042">
        <f>tbl_AQI[[#This Row],[Most AQI Reached]]-tbl_AQI[[#This Row],[Current AQI]]</f>
        <v>105</v>
      </c>
      <c r="G10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42">
        <f>RANK(tbl_AQI[[#This Row],[Current AQI]], tbl_AQI[Current AQI], 0)</f>
        <v>3792</v>
      </c>
    </row>
    <row r="1043" spans="1:8" x14ac:dyDescent="0.35">
      <c r="A1043" t="s">
        <v>1050</v>
      </c>
      <c r="B1043" t="s">
        <v>1063</v>
      </c>
      <c r="C1043">
        <v>225</v>
      </c>
      <c r="D1043">
        <v>93</v>
      </c>
      <c r="E1043" t="s">
        <v>21</v>
      </c>
      <c r="F1043">
        <f>tbl_AQI[[#This Row],[Most AQI Reached]]-tbl_AQI[[#This Row],[Current AQI]]</f>
        <v>132</v>
      </c>
      <c r="G10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43">
        <f>RANK(tbl_AQI[[#This Row],[Current AQI]], tbl_AQI[Current AQI], 0)</f>
        <v>3678</v>
      </c>
    </row>
    <row r="1044" spans="1:8" x14ac:dyDescent="0.35">
      <c r="A1044" t="s">
        <v>1050</v>
      </c>
      <c r="B1044" t="s">
        <v>1064</v>
      </c>
      <c r="C1044">
        <v>308</v>
      </c>
      <c r="D1044">
        <v>144</v>
      </c>
      <c r="E1044" t="s">
        <v>7</v>
      </c>
      <c r="F1044">
        <f>tbl_AQI[[#This Row],[Most AQI Reached]]-tbl_AQI[[#This Row],[Current AQI]]</f>
        <v>164</v>
      </c>
      <c r="G10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44">
        <f>RANK(tbl_AQI[[#This Row],[Current AQI]], tbl_AQI[Current AQI], 0)</f>
        <v>2550</v>
      </c>
    </row>
    <row r="1045" spans="1:8" x14ac:dyDescent="0.35">
      <c r="A1045" t="s">
        <v>1065</v>
      </c>
      <c r="B1045" t="s">
        <v>1066</v>
      </c>
      <c r="C1045">
        <v>299</v>
      </c>
      <c r="D1045">
        <v>98</v>
      </c>
      <c r="E1045" t="s">
        <v>7</v>
      </c>
      <c r="F1045">
        <f>tbl_AQI[[#This Row],[Most AQI Reached]]-tbl_AQI[[#This Row],[Current AQI]]</f>
        <v>201</v>
      </c>
      <c r="G10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45">
        <f>RANK(tbl_AQI[[#This Row],[Current AQI]], tbl_AQI[Current AQI], 0)</f>
        <v>3574</v>
      </c>
    </row>
    <row r="1046" spans="1:8" x14ac:dyDescent="0.35">
      <c r="A1046" t="s">
        <v>1065</v>
      </c>
      <c r="B1046" t="s">
        <v>1067</v>
      </c>
      <c r="C1046">
        <v>304</v>
      </c>
      <c r="D1046">
        <v>120</v>
      </c>
      <c r="E1046" t="s">
        <v>21</v>
      </c>
      <c r="F1046">
        <f>tbl_AQI[[#This Row],[Most AQI Reached]]-tbl_AQI[[#This Row],[Current AQI]]</f>
        <v>184</v>
      </c>
      <c r="G10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46">
        <f>RANK(tbl_AQI[[#This Row],[Current AQI]], tbl_AQI[Current AQI], 0)</f>
        <v>3066</v>
      </c>
    </row>
    <row r="1047" spans="1:8" x14ac:dyDescent="0.35">
      <c r="A1047" t="s">
        <v>1065</v>
      </c>
      <c r="B1047" t="s">
        <v>1068</v>
      </c>
      <c r="C1047">
        <v>88</v>
      </c>
      <c r="D1047">
        <v>64</v>
      </c>
      <c r="E1047" t="s">
        <v>7</v>
      </c>
      <c r="F1047">
        <f>tbl_AQI[[#This Row],[Most AQI Reached]]-tbl_AQI[[#This Row],[Current AQI]]</f>
        <v>24</v>
      </c>
      <c r="G10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47">
        <f>RANK(tbl_AQI[[#This Row],[Current AQI]], tbl_AQI[Current AQI], 0)</f>
        <v>4293</v>
      </c>
    </row>
    <row r="1048" spans="1:8" x14ac:dyDescent="0.35">
      <c r="A1048" t="s">
        <v>1065</v>
      </c>
      <c r="B1048" t="s">
        <v>1069</v>
      </c>
      <c r="C1048">
        <v>251</v>
      </c>
      <c r="D1048">
        <v>109</v>
      </c>
      <c r="E1048" t="s">
        <v>17</v>
      </c>
      <c r="F1048">
        <f>tbl_AQI[[#This Row],[Most AQI Reached]]-tbl_AQI[[#This Row],[Current AQI]]</f>
        <v>142</v>
      </c>
      <c r="G10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48">
        <f>RANK(tbl_AQI[[#This Row],[Current AQI]], tbl_AQI[Current AQI], 0)</f>
        <v>3338</v>
      </c>
    </row>
    <row r="1049" spans="1:8" x14ac:dyDescent="0.35">
      <c r="A1049" t="s">
        <v>1065</v>
      </c>
      <c r="B1049" t="s">
        <v>1070</v>
      </c>
      <c r="C1049">
        <v>220</v>
      </c>
      <c r="D1049">
        <v>179</v>
      </c>
      <c r="E1049" t="s">
        <v>15</v>
      </c>
      <c r="F1049">
        <f>tbl_AQI[[#This Row],[Most AQI Reached]]-tbl_AQI[[#This Row],[Current AQI]]</f>
        <v>41</v>
      </c>
      <c r="G10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49">
        <f>RANK(tbl_AQI[[#This Row],[Current AQI]], tbl_AQI[Current AQI], 0)</f>
        <v>1667</v>
      </c>
    </row>
    <row r="1050" spans="1:8" x14ac:dyDescent="0.35">
      <c r="A1050" t="s">
        <v>1065</v>
      </c>
      <c r="B1050" t="s">
        <v>1071</v>
      </c>
      <c r="C1050">
        <v>278</v>
      </c>
      <c r="D1050">
        <v>159</v>
      </c>
      <c r="E1050" t="s">
        <v>15</v>
      </c>
      <c r="F1050">
        <f>tbl_AQI[[#This Row],[Most AQI Reached]]-tbl_AQI[[#This Row],[Current AQI]]</f>
        <v>119</v>
      </c>
      <c r="G10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50">
        <f>RANK(tbl_AQI[[#This Row],[Current AQI]], tbl_AQI[Current AQI], 0)</f>
        <v>2183</v>
      </c>
    </row>
    <row r="1051" spans="1:8" x14ac:dyDescent="0.35">
      <c r="A1051" t="s">
        <v>1065</v>
      </c>
      <c r="B1051" t="s">
        <v>1072</v>
      </c>
      <c r="C1051">
        <v>187</v>
      </c>
      <c r="D1051">
        <v>111</v>
      </c>
      <c r="E1051" t="s">
        <v>21</v>
      </c>
      <c r="F1051">
        <f>tbl_AQI[[#This Row],[Most AQI Reached]]-tbl_AQI[[#This Row],[Current AQI]]</f>
        <v>76</v>
      </c>
      <c r="G10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51">
        <f>RANK(tbl_AQI[[#This Row],[Current AQI]], tbl_AQI[Current AQI], 0)</f>
        <v>3285</v>
      </c>
    </row>
    <row r="1052" spans="1:8" x14ac:dyDescent="0.35">
      <c r="A1052" t="s">
        <v>1065</v>
      </c>
      <c r="B1052" t="s">
        <v>1073</v>
      </c>
      <c r="C1052">
        <v>292</v>
      </c>
      <c r="D1052">
        <v>92</v>
      </c>
      <c r="E1052" t="s">
        <v>21</v>
      </c>
      <c r="F1052">
        <f>tbl_AQI[[#This Row],[Most AQI Reached]]-tbl_AQI[[#This Row],[Current AQI]]</f>
        <v>200</v>
      </c>
      <c r="G10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52">
        <f>RANK(tbl_AQI[[#This Row],[Current AQI]], tbl_AQI[Current AQI], 0)</f>
        <v>3706</v>
      </c>
    </row>
    <row r="1053" spans="1:8" x14ac:dyDescent="0.35">
      <c r="A1053" t="s">
        <v>1065</v>
      </c>
      <c r="B1053" t="s">
        <v>1074</v>
      </c>
      <c r="C1053">
        <v>226</v>
      </c>
      <c r="D1053">
        <v>170</v>
      </c>
      <c r="E1053" t="s">
        <v>11</v>
      </c>
      <c r="F1053">
        <f>tbl_AQI[[#This Row],[Most AQI Reached]]-tbl_AQI[[#This Row],[Current AQI]]</f>
        <v>56</v>
      </c>
      <c r="G10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53">
        <f>RANK(tbl_AQI[[#This Row],[Current AQI]], tbl_AQI[Current AQI], 0)</f>
        <v>1898</v>
      </c>
    </row>
    <row r="1054" spans="1:8" x14ac:dyDescent="0.35">
      <c r="A1054" t="s">
        <v>1065</v>
      </c>
      <c r="B1054" t="s">
        <v>1075</v>
      </c>
      <c r="C1054">
        <v>291</v>
      </c>
      <c r="D1054">
        <v>135</v>
      </c>
      <c r="E1054" t="s">
        <v>21</v>
      </c>
      <c r="F1054">
        <f>tbl_AQI[[#This Row],[Most AQI Reached]]-tbl_AQI[[#This Row],[Current AQI]]</f>
        <v>156</v>
      </c>
      <c r="G10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54">
        <f>RANK(tbl_AQI[[#This Row],[Current AQI]], tbl_AQI[Current AQI], 0)</f>
        <v>2714</v>
      </c>
    </row>
    <row r="1055" spans="1:8" x14ac:dyDescent="0.35">
      <c r="A1055" t="s">
        <v>1065</v>
      </c>
      <c r="B1055" t="s">
        <v>1076</v>
      </c>
      <c r="C1055">
        <v>320</v>
      </c>
      <c r="D1055">
        <v>176</v>
      </c>
      <c r="E1055" t="s">
        <v>15</v>
      </c>
      <c r="F1055">
        <f>tbl_AQI[[#This Row],[Most AQI Reached]]-tbl_AQI[[#This Row],[Current AQI]]</f>
        <v>144</v>
      </c>
      <c r="G10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55">
        <f>RANK(tbl_AQI[[#This Row],[Current AQI]], tbl_AQI[Current AQI], 0)</f>
        <v>1754</v>
      </c>
    </row>
    <row r="1056" spans="1:8" x14ac:dyDescent="0.35">
      <c r="A1056" t="s">
        <v>1065</v>
      </c>
      <c r="B1056" t="s">
        <v>1077</v>
      </c>
      <c r="C1056">
        <v>245</v>
      </c>
      <c r="D1056">
        <v>46</v>
      </c>
      <c r="E1056" t="s">
        <v>7</v>
      </c>
      <c r="F1056">
        <f>tbl_AQI[[#This Row],[Most AQI Reached]]-tbl_AQI[[#This Row],[Current AQI]]</f>
        <v>199</v>
      </c>
      <c r="G10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56">
        <f>RANK(tbl_AQI[[#This Row],[Current AQI]], tbl_AQI[Current AQI], 0)</f>
        <v>4680</v>
      </c>
    </row>
    <row r="1057" spans="1:8" x14ac:dyDescent="0.35">
      <c r="A1057" t="s">
        <v>1065</v>
      </c>
      <c r="B1057" t="s">
        <v>1078</v>
      </c>
      <c r="C1057">
        <v>222</v>
      </c>
      <c r="D1057">
        <v>62</v>
      </c>
      <c r="E1057" t="s">
        <v>21</v>
      </c>
      <c r="F1057">
        <f>tbl_AQI[[#This Row],[Most AQI Reached]]-tbl_AQI[[#This Row],[Current AQI]]</f>
        <v>160</v>
      </c>
      <c r="G10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57">
        <f>RANK(tbl_AQI[[#This Row],[Current AQI]], tbl_AQI[Current AQI], 0)</f>
        <v>4343</v>
      </c>
    </row>
    <row r="1058" spans="1:8" x14ac:dyDescent="0.35">
      <c r="A1058" t="s">
        <v>1065</v>
      </c>
      <c r="B1058" t="s">
        <v>1079</v>
      </c>
      <c r="C1058">
        <v>316</v>
      </c>
      <c r="D1058">
        <v>107</v>
      </c>
      <c r="E1058" t="s">
        <v>17</v>
      </c>
      <c r="F1058">
        <f>tbl_AQI[[#This Row],[Most AQI Reached]]-tbl_AQI[[#This Row],[Current AQI]]</f>
        <v>209</v>
      </c>
      <c r="G10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58">
        <f>RANK(tbl_AQI[[#This Row],[Current AQI]], tbl_AQI[Current AQI], 0)</f>
        <v>3387</v>
      </c>
    </row>
    <row r="1059" spans="1:8" x14ac:dyDescent="0.35">
      <c r="A1059" t="s">
        <v>1065</v>
      </c>
      <c r="B1059" t="s">
        <v>1080</v>
      </c>
      <c r="C1059">
        <v>260</v>
      </c>
      <c r="D1059">
        <v>81</v>
      </c>
      <c r="E1059" t="s">
        <v>33</v>
      </c>
      <c r="F1059">
        <f>tbl_AQI[[#This Row],[Most AQI Reached]]-tbl_AQI[[#This Row],[Current AQI]]</f>
        <v>179</v>
      </c>
      <c r="G10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59">
        <f>RANK(tbl_AQI[[#This Row],[Current AQI]], tbl_AQI[Current AQI], 0)</f>
        <v>3923</v>
      </c>
    </row>
    <row r="1060" spans="1:8" x14ac:dyDescent="0.35">
      <c r="A1060" t="s">
        <v>1065</v>
      </c>
      <c r="B1060" t="s">
        <v>1081</v>
      </c>
      <c r="C1060">
        <v>190</v>
      </c>
      <c r="D1060">
        <v>59</v>
      </c>
      <c r="E1060" t="s">
        <v>15</v>
      </c>
      <c r="F1060">
        <f>tbl_AQI[[#This Row],[Most AQI Reached]]-tbl_AQI[[#This Row],[Current AQI]]</f>
        <v>131</v>
      </c>
      <c r="G10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60">
        <f>RANK(tbl_AQI[[#This Row],[Current AQI]], tbl_AQI[Current AQI], 0)</f>
        <v>4416</v>
      </c>
    </row>
    <row r="1061" spans="1:8" x14ac:dyDescent="0.35">
      <c r="A1061" t="s">
        <v>1065</v>
      </c>
      <c r="B1061" t="s">
        <v>1082</v>
      </c>
      <c r="C1061">
        <v>275</v>
      </c>
      <c r="D1061">
        <v>178</v>
      </c>
      <c r="E1061" t="s">
        <v>7</v>
      </c>
      <c r="F1061">
        <f>tbl_AQI[[#This Row],[Most AQI Reached]]-tbl_AQI[[#This Row],[Current AQI]]</f>
        <v>97</v>
      </c>
      <c r="G10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61">
        <f>RANK(tbl_AQI[[#This Row],[Current AQI]], tbl_AQI[Current AQI], 0)</f>
        <v>1702</v>
      </c>
    </row>
    <row r="1062" spans="1:8" x14ac:dyDescent="0.35">
      <c r="A1062" t="s">
        <v>1065</v>
      </c>
      <c r="B1062" t="s">
        <v>1083</v>
      </c>
      <c r="C1062">
        <v>223</v>
      </c>
      <c r="D1062">
        <v>114</v>
      </c>
      <c r="E1062" t="s">
        <v>9</v>
      </c>
      <c r="F1062">
        <f>tbl_AQI[[#This Row],[Most AQI Reached]]-tbl_AQI[[#This Row],[Current AQI]]</f>
        <v>109</v>
      </c>
      <c r="G10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62">
        <f>RANK(tbl_AQI[[#This Row],[Current AQI]], tbl_AQI[Current AQI], 0)</f>
        <v>3226</v>
      </c>
    </row>
    <row r="1063" spans="1:8" x14ac:dyDescent="0.35">
      <c r="A1063" t="s">
        <v>1065</v>
      </c>
      <c r="B1063" t="s">
        <v>1084</v>
      </c>
      <c r="C1063">
        <v>138</v>
      </c>
      <c r="D1063">
        <v>71</v>
      </c>
      <c r="E1063" t="s">
        <v>21</v>
      </c>
      <c r="F1063">
        <f>tbl_AQI[[#This Row],[Most AQI Reached]]-tbl_AQI[[#This Row],[Current AQI]]</f>
        <v>67</v>
      </c>
      <c r="G10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63">
        <f>RANK(tbl_AQI[[#This Row],[Current AQI]], tbl_AQI[Current AQI], 0)</f>
        <v>4129</v>
      </c>
    </row>
    <row r="1064" spans="1:8" x14ac:dyDescent="0.35">
      <c r="A1064" t="s">
        <v>1065</v>
      </c>
      <c r="B1064" t="s">
        <v>1085</v>
      </c>
      <c r="C1064">
        <v>293</v>
      </c>
      <c r="D1064">
        <v>117</v>
      </c>
      <c r="E1064" t="s">
        <v>21</v>
      </c>
      <c r="F1064">
        <f>tbl_AQI[[#This Row],[Most AQI Reached]]-tbl_AQI[[#This Row],[Current AQI]]</f>
        <v>176</v>
      </c>
      <c r="G10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64">
        <f>RANK(tbl_AQI[[#This Row],[Current AQI]], tbl_AQI[Current AQI], 0)</f>
        <v>3144</v>
      </c>
    </row>
    <row r="1065" spans="1:8" x14ac:dyDescent="0.35">
      <c r="A1065" t="s">
        <v>1065</v>
      </c>
      <c r="B1065" t="s">
        <v>1086</v>
      </c>
      <c r="C1065">
        <v>121</v>
      </c>
      <c r="D1065">
        <v>100</v>
      </c>
      <c r="E1065" t="s">
        <v>11</v>
      </c>
      <c r="F1065">
        <f>tbl_AQI[[#This Row],[Most AQI Reached]]-tbl_AQI[[#This Row],[Current AQI]]</f>
        <v>21</v>
      </c>
      <c r="G10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65">
        <f>RANK(tbl_AQI[[#This Row],[Current AQI]], tbl_AQI[Current AQI], 0)</f>
        <v>3535</v>
      </c>
    </row>
    <row r="1066" spans="1:8" x14ac:dyDescent="0.35">
      <c r="A1066" t="s">
        <v>1065</v>
      </c>
      <c r="B1066" t="s">
        <v>1087</v>
      </c>
      <c r="C1066">
        <v>97</v>
      </c>
      <c r="D1066">
        <v>78</v>
      </c>
      <c r="E1066" t="s">
        <v>11</v>
      </c>
      <c r="F1066">
        <f>tbl_AQI[[#This Row],[Most AQI Reached]]-tbl_AQI[[#This Row],[Current AQI]]</f>
        <v>19</v>
      </c>
      <c r="G10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66">
        <f>RANK(tbl_AQI[[#This Row],[Current AQI]], tbl_AQI[Current AQI], 0)</f>
        <v>3989</v>
      </c>
    </row>
    <row r="1067" spans="1:8" x14ac:dyDescent="0.35">
      <c r="A1067" t="s">
        <v>1065</v>
      </c>
      <c r="B1067" t="s">
        <v>1088</v>
      </c>
      <c r="C1067">
        <v>289</v>
      </c>
      <c r="D1067">
        <v>151</v>
      </c>
      <c r="E1067" t="s">
        <v>33</v>
      </c>
      <c r="F1067">
        <f>tbl_AQI[[#This Row],[Most AQI Reached]]-tbl_AQI[[#This Row],[Current AQI]]</f>
        <v>138</v>
      </c>
      <c r="G10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67">
        <f>RANK(tbl_AQI[[#This Row],[Current AQI]], tbl_AQI[Current AQI], 0)</f>
        <v>2376</v>
      </c>
    </row>
    <row r="1068" spans="1:8" x14ac:dyDescent="0.35">
      <c r="A1068" t="s">
        <v>1065</v>
      </c>
      <c r="B1068" t="s">
        <v>1089</v>
      </c>
      <c r="C1068">
        <v>154</v>
      </c>
      <c r="D1068">
        <v>142</v>
      </c>
      <c r="E1068" t="s">
        <v>9</v>
      </c>
      <c r="F1068">
        <f>tbl_AQI[[#This Row],[Most AQI Reached]]-tbl_AQI[[#This Row],[Current AQI]]</f>
        <v>12</v>
      </c>
      <c r="G10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68">
        <f>RANK(tbl_AQI[[#This Row],[Current AQI]], tbl_AQI[Current AQI], 0)</f>
        <v>2585</v>
      </c>
    </row>
    <row r="1069" spans="1:8" x14ac:dyDescent="0.35">
      <c r="A1069" t="s">
        <v>1065</v>
      </c>
      <c r="B1069" t="s">
        <v>1090</v>
      </c>
      <c r="C1069">
        <v>220</v>
      </c>
      <c r="D1069">
        <v>35</v>
      </c>
      <c r="E1069" t="s">
        <v>9</v>
      </c>
      <c r="F1069">
        <f>tbl_AQI[[#This Row],[Most AQI Reached]]-tbl_AQI[[#This Row],[Current AQI]]</f>
        <v>185</v>
      </c>
      <c r="G10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69">
        <f>RANK(tbl_AQI[[#This Row],[Current AQI]], tbl_AQI[Current AQI], 0)</f>
        <v>4916</v>
      </c>
    </row>
    <row r="1070" spans="1:8" x14ac:dyDescent="0.35">
      <c r="A1070" t="s">
        <v>1065</v>
      </c>
      <c r="B1070" t="s">
        <v>1091</v>
      </c>
      <c r="C1070">
        <v>198</v>
      </c>
      <c r="D1070">
        <v>65</v>
      </c>
      <c r="E1070" t="s">
        <v>7</v>
      </c>
      <c r="F1070">
        <f>tbl_AQI[[#This Row],[Most AQI Reached]]-tbl_AQI[[#This Row],[Current AQI]]</f>
        <v>133</v>
      </c>
      <c r="G10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70">
        <f>RANK(tbl_AQI[[#This Row],[Current AQI]], tbl_AQI[Current AQI], 0)</f>
        <v>4267</v>
      </c>
    </row>
    <row r="1071" spans="1:8" x14ac:dyDescent="0.35">
      <c r="A1071" t="s">
        <v>1065</v>
      </c>
      <c r="B1071" t="s">
        <v>1092</v>
      </c>
      <c r="C1071">
        <v>268</v>
      </c>
      <c r="D1071">
        <v>114</v>
      </c>
      <c r="E1071" t="s">
        <v>33</v>
      </c>
      <c r="F1071">
        <f>tbl_AQI[[#This Row],[Most AQI Reached]]-tbl_AQI[[#This Row],[Current AQI]]</f>
        <v>154</v>
      </c>
      <c r="G10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1">
        <f>RANK(tbl_AQI[[#This Row],[Current AQI]], tbl_AQI[Current AQI], 0)</f>
        <v>3226</v>
      </c>
    </row>
    <row r="1072" spans="1:8" x14ac:dyDescent="0.35">
      <c r="A1072" t="s">
        <v>1065</v>
      </c>
      <c r="B1072" t="s">
        <v>1093</v>
      </c>
      <c r="C1072">
        <v>225</v>
      </c>
      <c r="D1072">
        <v>172</v>
      </c>
      <c r="E1072" t="s">
        <v>7</v>
      </c>
      <c r="F1072">
        <f>tbl_AQI[[#This Row],[Most AQI Reached]]-tbl_AQI[[#This Row],[Current AQI]]</f>
        <v>53</v>
      </c>
      <c r="G10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2">
        <f>RANK(tbl_AQI[[#This Row],[Current AQI]], tbl_AQI[Current AQI], 0)</f>
        <v>1852</v>
      </c>
    </row>
    <row r="1073" spans="1:8" x14ac:dyDescent="0.35">
      <c r="A1073" t="s">
        <v>1065</v>
      </c>
      <c r="B1073" t="s">
        <v>1094</v>
      </c>
      <c r="C1073">
        <v>216</v>
      </c>
      <c r="D1073">
        <v>115</v>
      </c>
      <c r="E1073" t="s">
        <v>17</v>
      </c>
      <c r="F1073">
        <f>tbl_AQI[[#This Row],[Most AQI Reached]]-tbl_AQI[[#This Row],[Current AQI]]</f>
        <v>101</v>
      </c>
      <c r="G10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3">
        <f>RANK(tbl_AQI[[#This Row],[Current AQI]], tbl_AQI[Current AQI], 0)</f>
        <v>3206</v>
      </c>
    </row>
    <row r="1074" spans="1:8" x14ac:dyDescent="0.35">
      <c r="A1074" t="s">
        <v>1065</v>
      </c>
      <c r="B1074" t="s">
        <v>1095</v>
      </c>
      <c r="C1074">
        <v>214</v>
      </c>
      <c r="D1074">
        <v>116</v>
      </c>
      <c r="E1074" t="s">
        <v>17</v>
      </c>
      <c r="F1074">
        <f>tbl_AQI[[#This Row],[Most AQI Reached]]-tbl_AQI[[#This Row],[Current AQI]]</f>
        <v>98</v>
      </c>
      <c r="G10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4">
        <f>RANK(tbl_AQI[[#This Row],[Current AQI]], tbl_AQI[Current AQI], 0)</f>
        <v>3173</v>
      </c>
    </row>
    <row r="1075" spans="1:8" x14ac:dyDescent="0.35">
      <c r="A1075" t="s">
        <v>1065</v>
      </c>
      <c r="B1075" t="s">
        <v>1096</v>
      </c>
      <c r="C1075">
        <v>214</v>
      </c>
      <c r="D1075">
        <v>139</v>
      </c>
      <c r="E1075" t="s">
        <v>33</v>
      </c>
      <c r="F1075">
        <f>tbl_AQI[[#This Row],[Most AQI Reached]]-tbl_AQI[[#This Row],[Current AQI]]</f>
        <v>75</v>
      </c>
      <c r="G10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5">
        <f>RANK(tbl_AQI[[#This Row],[Current AQI]], tbl_AQI[Current AQI], 0)</f>
        <v>2647</v>
      </c>
    </row>
    <row r="1076" spans="1:8" x14ac:dyDescent="0.35">
      <c r="A1076" t="s">
        <v>1065</v>
      </c>
      <c r="B1076" t="s">
        <v>1097</v>
      </c>
      <c r="C1076">
        <v>222</v>
      </c>
      <c r="D1076">
        <v>144</v>
      </c>
      <c r="E1076" t="s">
        <v>9</v>
      </c>
      <c r="F1076">
        <f>tbl_AQI[[#This Row],[Most AQI Reached]]-tbl_AQI[[#This Row],[Current AQI]]</f>
        <v>78</v>
      </c>
      <c r="G10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6">
        <f>RANK(tbl_AQI[[#This Row],[Current AQI]], tbl_AQI[Current AQI], 0)</f>
        <v>2550</v>
      </c>
    </row>
    <row r="1077" spans="1:8" x14ac:dyDescent="0.35">
      <c r="A1077" t="s">
        <v>1065</v>
      </c>
      <c r="B1077" t="s">
        <v>1098</v>
      </c>
      <c r="C1077">
        <v>156</v>
      </c>
      <c r="D1077">
        <v>128</v>
      </c>
      <c r="E1077" t="s">
        <v>7</v>
      </c>
      <c r="F1077">
        <f>tbl_AQI[[#This Row],[Most AQI Reached]]-tbl_AQI[[#This Row],[Current AQI]]</f>
        <v>28</v>
      </c>
      <c r="G10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7">
        <f>RANK(tbl_AQI[[#This Row],[Current AQI]], tbl_AQI[Current AQI], 0)</f>
        <v>2872</v>
      </c>
    </row>
    <row r="1078" spans="1:8" x14ac:dyDescent="0.35">
      <c r="A1078" t="s">
        <v>1065</v>
      </c>
      <c r="B1078" t="s">
        <v>1099</v>
      </c>
      <c r="C1078">
        <v>240</v>
      </c>
      <c r="D1078">
        <v>146</v>
      </c>
      <c r="E1078" t="s">
        <v>7</v>
      </c>
      <c r="F1078">
        <f>tbl_AQI[[#This Row],[Most AQI Reached]]-tbl_AQI[[#This Row],[Current AQI]]</f>
        <v>94</v>
      </c>
      <c r="G10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8">
        <f>RANK(tbl_AQI[[#This Row],[Current AQI]], tbl_AQI[Current AQI], 0)</f>
        <v>2499</v>
      </c>
    </row>
    <row r="1079" spans="1:8" x14ac:dyDescent="0.35">
      <c r="A1079" t="s">
        <v>1065</v>
      </c>
      <c r="B1079" t="s">
        <v>1100</v>
      </c>
      <c r="C1079">
        <v>311</v>
      </c>
      <c r="D1079">
        <v>135</v>
      </c>
      <c r="E1079" t="s">
        <v>11</v>
      </c>
      <c r="F1079">
        <f>tbl_AQI[[#This Row],[Most AQI Reached]]-tbl_AQI[[#This Row],[Current AQI]]</f>
        <v>176</v>
      </c>
      <c r="G10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79">
        <f>RANK(tbl_AQI[[#This Row],[Current AQI]], tbl_AQI[Current AQI], 0)</f>
        <v>2714</v>
      </c>
    </row>
    <row r="1080" spans="1:8" x14ac:dyDescent="0.35">
      <c r="A1080" t="s">
        <v>1065</v>
      </c>
      <c r="B1080" t="s">
        <v>1101</v>
      </c>
      <c r="C1080">
        <v>252</v>
      </c>
      <c r="D1080">
        <v>107</v>
      </c>
      <c r="E1080" t="s">
        <v>15</v>
      </c>
      <c r="F1080">
        <f>tbl_AQI[[#This Row],[Most AQI Reached]]-tbl_AQI[[#This Row],[Current AQI]]</f>
        <v>145</v>
      </c>
      <c r="G10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80">
        <f>RANK(tbl_AQI[[#This Row],[Current AQI]], tbl_AQI[Current AQI], 0)</f>
        <v>3387</v>
      </c>
    </row>
    <row r="1081" spans="1:8" x14ac:dyDescent="0.35">
      <c r="A1081" t="s">
        <v>1065</v>
      </c>
      <c r="B1081" t="s">
        <v>1102</v>
      </c>
      <c r="C1081">
        <v>291</v>
      </c>
      <c r="D1081">
        <v>113</v>
      </c>
      <c r="E1081" t="s">
        <v>17</v>
      </c>
      <c r="F1081">
        <f>tbl_AQI[[#This Row],[Most AQI Reached]]-tbl_AQI[[#This Row],[Current AQI]]</f>
        <v>178</v>
      </c>
      <c r="G10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81">
        <f>RANK(tbl_AQI[[#This Row],[Current AQI]], tbl_AQI[Current AQI], 0)</f>
        <v>3243</v>
      </c>
    </row>
    <row r="1082" spans="1:8" x14ac:dyDescent="0.35">
      <c r="A1082" t="s">
        <v>1065</v>
      </c>
      <c r="B1082" t="s">
        <v>1103</v>
      </c>
      <c r="C1082">
        <v>150</v>
      </c>
      <c r="D1082">
        <v>70</v>
      </c>
      <c r="E1082" t="s">
        <v>21</v>
      </c>
      <c r="F1082">
        <f>tbl_AQI[[#This Row],[Most AQI Reached]]-tbl_AQI[[#This Row],[Current AQI]]</f>
        <v>80</v>
      </c>
      <c r="G10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82">
        <f>RANK(tbl_AQI[[#This Row],[Current AQI]], tbl_AQI[Current AQI], 0)</f>
        <v>4153</v>
      </c>
    </row>
    <row r="1083" spans="1:8" x14ac:dyDescent="0.35">
      <c r="A1083" t="s">
        <v>1065</v>
      </c>
      <c r="B1083" t="s">
        <v>1104</v>
      </c>
      <c r="C1083">
        <v>246</v>
      </c>
      <c r="D1083">
        <v>138</v>
      </c>
      <c r="E1083" t="s">
        <v>15</v>
      </c>
      <c r="F1083">
        <f>tbl_AQI[[#This Row],[Most AQI Reached]]-tbl_AQI[[#This Row],[Current AQI]]</f>
        <v>108</v>
      </c>
      <c r="G10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83">
        <f>RANK(tbl_AQI[[#This Row],[Current AQI]], tbl_AQI[Current AQI], 0)</f>
        <v>2660</v>
      </c>
    </row>
    <row r="1084" spans="1:8" x14ac:dyDescent="0.35">
      <c r="A1084" t="s">
        <v>1065</v>
      </c>
      <c r="B1084" t="s">
        <v>1105</v>
      </c>
      <c r="C1084">
        <v>113</v>
      </c>
      <c r="D1084">
        <v>113</v>
      </c>
      <c r="E1084" t="s">
        <v>17</v>
      </c>
      <c r="F1084">
        <f>tbl_AQI[[#This Row],[Most AQI Reached]]-tbl_AQI[[#This Row],[Current AQI]]</f>
        <v>0</v>
      </c>
      <c r="G10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84">
        <f>RANK(tbl_AQI[[#This Row],[Current AQI]], tbl_AQI[Current AQI], 0)</f>
        <v>3243</v>
      </c>
    </row>
    <row r="1085" spans="1:8" x14ac:dyDescent="0.35">
      <c r="A1085" t="s">
        <v>1065</v>
      </c>
      <c r="B1085" t="s">
        <v>1106</v>
      </c>
      <c r="C1085">
        <v>269</v>
      </c>
      <c r="D1085">
        <v>100</v>
      </c>
      <c r="E1085" t="s">
        <v>11</v>
      </c>
      <c r="F1085">
        <f>tbl_AQI[[#This Row],[Most AQI Reached]]-tbl_AQI[[#This Row],[Current AQI]]</f>
        <v>169</v>
      </c>
      <c r="G10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85">
        <f>RANK(tbl_AQI[[#This Row],[Current AQI]], tbl_AQI[Current AQI], 0)</f>
        <v>3535</v>
      </c>
    </row>
    <row r="1086" spans="1:8" x14ac:dyDescent="0.35">
      <c r="A1086" t="s">
        <v>1065</v>
      </c>
      <c r="B1086" t="s">
        <v>1107</v>
      </c>
      <c r="C1086">
        <v>100</v>
      </c>
      <c r="D1086">
        <v>63</v>
      </c>
      <c r="E1086" t="s">
        <v>9</v>
      </c>
      <c r="F1086">
        <f>tbl_AQI[[#This Row],[Most AQI Reached]]-tbl_AQI[[#This Row],[Current AQI]]</f>
        <v>37</v>
      </c>
      <c r="G10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86">
        <f>RANK(tbl_AQI[[#This Row],[Current AQI]], tbl_AQI[Current AQI], 0)</f>
        <v>4322</v>
      </c>
    </row>
    <row r="1087" spans="1:8" x14ac:dyDescent="0.35">
      <c r="A1087" t="s">
        <v>1065</v>
      </c>
      <c r="B1087" t="s">
        <v>1108</v>
      </c>
      <c r="C1087">
        <v>87</v>
      </c>
      <c r="D1087">
        <v>74</v>
      </c>
      <c r="E1087" t="s">
        <v>7</v>
      </c>
      <c r="F1087">
        <f>tbl_AQI[[#This Row],[Most AQI Reached]]-tbl_AQI[[#This Row],[Current AQI]]</f>
        <v>13</v>
      </c>
      <c r="G10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87">
        <f>RANK(tbl_AQI[[#This Row],[Current AQI]], tbl_AQI[Current AQI], 0)</f>
        <v>4064</v>
      </c>
    </row>
    <row r="1088" spans="1:8" x14ac:dyDescent="0.35">
      <c r="A1088" t="s">
        <v>1065</v>
      </c>
      <c r="B1088" t="s">
        <v>1109</v>
      </c>
      <c r="C1088">
        <v>303</v>
      </c>
      <c r="D1088">
        <v>32</v>
      </c>
      <c r="E1088" t="s">
        <v>33</v>
      </c>
      <c r="F1088">
        <f>tbl_AQI[[#This Row],[Most AQI Reached]]-tbl_AQI[[#This Row],[Current AQI]]</f>
        <v>271</v>
      </c>
      <c r="G10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088">
        <f>RANK(tbl_AQI[[#This Row],[Current AQI]], tbl_AQI[Current AQI], 0)</f>
        <v>4983</v>
      </c>
    </row>
    <row r="1089" spans="1:8" x14ac:dyDescent="0.35">
      <c r="A1089" t="s">
        <v>1065</v>
      </c>
      <c r="B1089" t="s">
        <v>1110</v>
      </c>
      <c r="C1089">
        <v>237</v>
      </c>
      <c r="D1089">
        <v>146</v>
      </c>
      <c r="E1089" t="s">
        <v>9</v>
      </c>
      <c r="F1089">
        <f>tbl_AQI[[#This Row],[Most AQI Reached]]-tbl_AQI[[#This Row],[Current AQI]]</f>
        <v>91</v>
      </c>
      <c r="G10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89">
        <f>RANK(tbl_AQI[[#This Row],[Current AQI]], tbl_AQI[Current AQI], 0)</f>
        <v>2499</v>
      </c>
    </row>
    <row r="1090" spans="1:8" x14ac:dyDescent="0.35">
      <c r="A1090" t="s">
        <v>1065</v>
      </c>
      <c r="B1090" t="s">
        <v>1111</v>
      </c>
      <c r="C1090">
        <v>302</v>
      </c>
      <c r="D1090">
        <v>176</v>
      </c>
      <c r="E1090" t="s">
        <v>9</v>
      </c>
      <c r="F1090">
        <f>tbl_AQI[[#This Row],[Most AQI Reached]]-tbl_AQI[[#This Row],[Current AQI]]</f>
        <v>126</v>
      </c>
      <c r="G10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90">
        <f>RANK(tbl_AQI[[#This Row],[Current AQI]], tbl_AQI[Current AQI], 0)</f>
        <v>1754</v>
      </c>
    </row>
    <row r="1091" spans="1:8" x14ac:dyDescent="0.35">
      <c r="A1091" t="s">
        <v>1065</v>
      </c>
      <c r="B1091" t="s">
        <v>1112</v>
      </c>
      <c r="C1091">
        <v>150</v>
      </c>
      <c r="D1091">
        <v>53</v>
      </c>
      <c r="E1091" t="s">
        <v>33</v>
      </c>
      <c r="F1091">
        <f>tbl_AQI[[#This Row],[Most AQI Reached]]-tbl_AQI[[#This Row],[Current AQI]]</f>
        <v>97</v>
      </c>
      <c r="G10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91">
        <f>RANK(tbl_AQI[[#This Row],[Current AQI]], tbl_AQI[Current AQI], 0)</f>
        <v>4544</v>
      </c>
    </row>
    <row r="1092" spans="1:8" x14ac:dyDescent="0.35">
      <c r="A1092" t="s">
        <v>1065</v>
      </c>
      <c r="B1092" t="s">
        <v>1113</v>
      </c>
      <c r="C1092">
        <v>241</v>
      </c>
      <c r="D1092">
        <v>83</v>
      </c>
      <c r="E1092" t="s">
        <v>9</v>
      </c>
      <c r="F1092">
        <f>tbl_AQI[[#This Row],[Most AQI Reached]]-tbl_AQI[[#This Row],[Current AQI]]</f>
        <v>158</v>
      </c>
      <c r="G10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92">
        <f>RANK(tbl_AQI[[#This Row],[Current AQI]], tbl_AQI[Current AQI], 0)</f>
        <v>3892</v>
      </c>
    </row>
    <row r="1093" spans="1:8" x14ac:dyDescent="0.35">
      <c r="A1093" t="s">
        <v>1065</v>
      </c>
      <c r="B1093" t="s">
        <v>1114</v>
      </c>
      <c r="C1093">
        <v>186</v>
      </c>
      <c r="D1093">
        <v>144</v>
      </c>
      <c r="E1093" t="s">
        <v>21</v>
      </c>
      <c r="F1093">
        <f>tbl_AQI[[#This Row],[Most AQI Reached]]-tbl_AQI[[#This Row],[Current AQI]]</f>
        <v>42</v>
      </c>
      <c r="G10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93">
        <f>RANK(tbl_AQI[[#This Row],[Current AQI]], tbl_AQI[Current AQI], 0)</f>
        <v>2550</v>
      </c>
    </row>
    <row r="1094" spans="1:8" x14ac:dyDescent="0.35">
      <c r="A1094" t="s">
        <v>1065</v>
      </c>
      <c r="B1094" t="s">
        <v>1115</v>
      </c>
      <c r="C1094">
        <v>228</v>
      </c>
      <c r="D1094">
        <v>128</v>
      </c>
      <c r="E1094" t="s">
        <v>21</v>
      </c>
      <c r="F1094">
        <f>tbl_AQI[[#This Row],[Most AQI Reached]]-tbl_AQI[[#This Row],[Current AQI]]</f>
        <v>100</v>
      </c>
      <c r="G10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94">
        <f>RANK(tbl_AQI[[#This Row],[Current AQI]], tbl_AQI[Current AQI], 0)</f>
        <v>2872</v>
      </c>
    </row>
    <row r="1095" spans="1:8" x14ac:dyDescent="0.35">
      <c r="A1095" t="s">
        <v>1065</v>
      </c>
      <c r="B1095" t="s">
        <v>1116</v>
      </c>
      <c r="C1095">
        <v>254</v>
      </c>
      <c r="D1095">
        <v>103</v>
      </c>
      <c r="E1095" t="s">
        <v>15</v>
      </c>
      <c r="F1095">
        <f>tbl_AQI[[#This Row],[Most AQI Reached]]-tbl_AQI[[#This Row],[Current AQI]]</f>
        <v>151</v>
      </c>
      <c r="G10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95">
        <f>RANK(tbl_AQI[[#This Row],[Current AQI]], tbl_AQI[Current AQI], 0)</f>
        <v>3474</v>
      </c>
    </row>
    <row r="1096" spans="1:8" x14ac:dyDescent="0.35">
      <c r="A1096" t="s">
        <v>1065</v>
      </c>
      <c r="B1096" t="s">
        <v>1117</v>
      </c>
      <c r="C1096">
        <v>104</v>
      </c>
      <c r="D1096">
        <v>73</v>
      </c>
      <c r="E1096" t="s">
        <v>21</v>
      </c>
      <c r="F1096">
        <f>tbl_AQI[[#This Row],[Most AQI Reached]]-tbl_AQI[[#This Row],[Current AQI]]</f>
        <v>31</v>
      </c>
      <c r="G10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96">
        <f>RANK(tbl_AQI[[#This Row],[Current AQI]], tbl_AQI[Current AQI], 0)</f>
        <v>4083</v>
      </c>
    </row>
    <row r="1097" spans="1:8" x14ac:dyDescent="0.35">
      <c r="A1097" t="s">
        <v>1065</v>
      </c>
      <c r="B1097" t="s">
        <v>1118</v>
      </c>
      <c r="C1097">
        <v>209</v>
      </c>
      <c r="D1097">
        <v>175</v>
      </c>
      <c r="E1097" t="s">
        <v>9</v>
      </c>
      <c r="F1097">
        <f>tbl_AQI[[#This Row],[Most AQI Reached]]-tbl_AQI[[#This Row],[Current AQI]]</f>
        <v>34</v>
      </c>
      <c r="G10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97">
        <f>RANK(tbl_AQI[[#This Row],[Current AQI]], tbl_AQI[Current AQI], 0)</f>
        <v>1780</v>
      </c>
    </row>
    <row r="1098" spans="1:8" x14ac:dyDescent="0.35">
      <c r="A1098" t="s">
        <v>1065</v>
      </c>
      <c r="B1098" t="s">
        <v>1119</v>
      </c>
      <c r="C1098">
        <v>296</v>
      </c>
      <c r="D1098">
        <v>163</v>
      </c>
      <c r="E1098" t="s">
        <v>21</v>
      </c>
      <c r="F1098">
        <f>tbl_AQI[[#This Row],[Most AQI Reached]]-tbl_AQI[[#This Row],[Current AQI]]</f>
        <v>133</v>
      </c>
      <c r="G10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098">
        <f>RANK(tbl_AQI[[#This Row],[Current AQI]], tbl_AQI[Current AQI], 0)</f>
        <v>2075</v>
      </c>
    </row>
    <row r="1099" spans="1:8" x14ac:dyDescent="0.35">
      <c r="A1099" t="s">
        <v>1065</v>
      </c>
      <c r="B1099" t="s">
        <v>1120</v>
      </c>
      <c r="C1099">
        <v>114</v>
      </c>
      <c r="D1099">
        <v>58</v>
      </c>
      <c r="E1099" t="s">
        <v>15</v>
      </c>
      <c r="F1099">
        <f>tbl_AQI[[#This Row],[Most AQI Reached]]-tbl_AQI[[#This Row],[Current AQI]]</f>
        <v>56</v>
      </c>
      <c r="G10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099">
        <f>RANK(tbl_AQI[[#This Row],[Current AQI]], tbl_AQI[Current AQI], 0)</f>
        <v>4431</v>
      </c>
    </row>
    <row r="1100" spans="1:8" x14ac:dyDescent="0.35">
      <c r="A1100" t="s">
        <v>1065</v>
      </c>
      <c r="B1100" t="s">
        <v>1121</v>
      </c>
      <c r="C1100">
        <v>185</v>
      </c>
      <c r="D1100">
        <v>82</v>
      </c>
      <c r="E1100" t="s">
        <v>11</v>
      </c>
      <c r="F1100">
        <f>tbl_AQI[[#This Row],[Most AQI Reached]]-tbl_AQI[[#This Row],[Current AQI]]</f>
        <v>103</v>
      </c>
      <c r="G11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00">
        <f>RANK(tbl_AQI[[#This Row],[Current AQI]], tbl_AQI[Current AQI], 0)</f>
        <v>3904</v>
      </c>
    </row>
    <row r="1101" spans="1:8" x14ac:dyDescent="0.35">
      <c r="A1101" t="s">
        <v>1065</v>
      </c>
      <c r="B1101" t="s">
        <v>1122</v>
      </c>
      <c r="C1101">
        <v>157</v>
      </c>
      <c r="D1101">
        <v>65</v>
      </c>
      <c r="E1101" t="s">
        <v>21</v>
      </c>
      <c r="F1101">
        <f>tbl_AQI[[#This Row],[Most AQI Reached]]-tbl_AQI[[#This Row],[Current AQI]]</f>
        <v>92</v>
      </c>
      <c r="G11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01">
        <f>RANK(tbl_AQI[[#This Row],[Current AQI]], tbl_AQI[Current AQI], 0)</f>
        <v>4267</v>
      </c>
    </row>
    <row r="1102" spans="1:8" x14ac:dyDescent="0.35">
      <c r="A1102" t="s">
        <v>1065</v>
      </c>
      <c r="B1102" t="s">
        <v>1123</v>
      </c>
      <c r="C1102">
        <v>159</v>
      </c>
      <c r="D1102">
        <v>120</v>
      </c>
      <c r="E1102" t="s">
        <v>7</v>
      </c>
      <c r="F1102">
        <f>tbl_AQI[[#This Row],[Most AQI Reached]]-tbl_AQI[[#This Row],[Current AQI]]</f>
        <v>39</v>
      </c>
      <c r="G11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02">
        <f>RANK(tbl_AQI[[#This Row],[Current AQI]], tbl_AQI[Current AQI], 0)</f>
        <v>3066</v>
      </c>
    </row>
    <row r="1103" spans="1:8" x14ac:dyDescent="0.35">
      <c r="A1103" t="s">
        <v>1065</v>
      </c>
      <c r="B1103" t="s">
        <v>1124</v>
      </c>
      <c r="C1103">
        <v>225</v>
      </c>
      <c r="D1103">
        <v>75</v>
      </c>
      <c r="E1103" t="s">
        <v>17</v>
      </c>
      <c r="F1103">
        <f>tbl_AQI[[#This Row],[Most AQI Reached]]-tbl_AQI[[#This Row],[Current AQI]]</f>
        <v>150</v>
      </c>
      <c r="G11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03">
        <f>RANK(tbl_AQI[[#This Row],[Current AQI]], tbl_AQI[Current AQI], 0)</f>
        <v>4041</v>
      </c>
    </row>
    <row r="1104" spans="1:8" x14ac:dyDescent="0.35">
      <c r="A1104" t="s">
        <v>1065</v>
      </c>
      <c r="B1104" t="s">
        <v>1125</v>
      </c>
      <c r="C1104">
        <v>46</v>
      </c>
      <c r="D1104">
        <v>39</v>
      </c>
      <c r="E1104" t="s">
        <v>11</v>
      </c>
      <c r="F1104">
        <f>tbl_AQI[[#This Row],[Most AQI Reached]]-tbl_AQI[[#This Row],[Current AQI]]</f>
        <v>7</v>
      </c>
      <c r="G11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04">
        <f>RANK(tbl_AQI[[#This Row],[Current AQI]], tbl_AQI[Current AQI], 0)</f>
        <v>4829</v>
      </c>
    </row>
    <row r="1105" spans="1:8" x14ac:dyDescent="0.35">
      <c r="A1105" t="s">
        <v>1065</v>
      </c>
      <c r="B1105" t="s">
        <v>1126</v>
      </c>
      <c r="C1105">
        <v>152</v>
      </c>
      <c r="D1105">
        <v>94</v>
      </c>
      <c r="E1105" t="s">
        <v>33</v>
      </c>
      <c r="F1105">
        <f>tbl_AQI[[#This Row],[Most AQI Reached]]-tbl_AQI[[#This Row],[Current AQI]]</f>
        <v>58</v>
      </c>
      <c r="G11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05">
        <f>RANK(tbl_AQI[[#This Row],[Current AQI]], tbl_AQI[Current AQI], 0)</f>
        <v>3654</v>
      </c>
    </row>
    <row r="1106" spans="1:8" x14ac:dyDescent="0.35">
      <c r="A1106" t="s">
        <v>1065</v>
      </c>
      <c r="B1106" t="s">
        <v>1127</v>
      </c>
      <c r="C1106">
        <v>157</v>
      </c>
      <c r="D1106">
        <v>110</v>
      </c>
      <c r="E1106" t="s">
        <v>17</v>
      </c>
      <c r="F1106">
        <f>tbl_AQI[[#This Row],[Most AQI Reached]]-tbl_AQI[[#This Row],[Current AQI]]</f>
        <v>47</v>
      </c>
      <c r="G11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06">
        <f>RANK(tbl_AQI[[#This Row],[Current AQI]], tbl_AQI[Current AQI], 0)</f>
        <v>3302</v>
      </c>
    </row>
    <row r="1107" spans="1:8" x14ac:dyDescent="0.35">
      <c r="A1107" t="s">
        <v>1065</v>
      </c>
      <c r="B1107" t="s">
        <v>1128</v>
      </c>
      <c r="C1107">
        <v>272</v>
      </c>
      <c r="D1107">
        <v>190</v>
      </c>
      <c r="E1107" t="s">
        <v>9</v>
      </c>
      <c r="F1107">
        <f>tbl_AQI[[#This Row],[Most AQI Reached]]-tbl_AQI[[#This Row],[Current AQI]]</f>
        <v>82</v>
      </c>
      <c r="G11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07">
        <f>RANK(tbl_AQI[[#This Row],[Current AQI]], tbl_AQI[Current AQI], 0)</f>
        <v>1355</v>
      </c>
    </row>
    <row r="1108" spans="1:8" x14ac:dyDescent="0.35">
      <c r="A1108" t="s">
        <v>1065</v>
      </c>
      <c r="B1108" t="s">
        <v>1129</v>
      </c>
      <c r="C1108">
        <v>244</v>
      </c>
      <c r="D1108">
        <v>45</v>
      </c>
      <c r="E1108" t="s">
        <v>11</v>
      </c>
      <c r="F1108">
        <f>tbl_AQI[[#This Row],[Most AQI Reached]]-tbl_AQI[[#This Row],[Current AQI]]</f>
        <v>199</v>
      </c>
      <c r="G11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08">
        <f>RANK(tbl_AQI[[#This Row],[Current AQI]], tbl_AQI[Current AQI], 0)</f>
        <v>4702</v>
      </c>
    </row>
    <row r="1109" spans="1:8" x14ac:dyDescent="0.35">
      <c r="A1109" t="s">
        <v>1065</v>
      </c>
      <c r="B1109" t="s">
        <v>1130</v>
      </c>
      <c r="C1109">
        <v>183</v>
      </c>
      <c r="D1109">
        <v>113</v>
      </c>
      <c r="E1109" t="s">
        <v>15</v>
      </c>
      <c r="F1109">
        <f>tbl_AQI[[#This Row],[Most AQI Reached]]-tbl_AQI[[#This Row],[Current AQI]]</f>
        <v>70</v>
      </c>
      <c r="G11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09">
        <f>RANK(tbl_AQI[[#This Row],[Current AQI]], tbl_AQI[Current AQI], 0)</f>
        <v>3243</v>
      </c>
    </row>
    <row r="1110" spans="1:8" x14ac:dyDescent="0.35">
      <c r="A1110" t="s">
        <v>1065</v>
      </c>
      <c r="B1110" t="s">
        <v>1131</v>
      </c>
      <c r="C1110">
        <v>174</v>
      </c>
      <c r="D1110">
        <v>173</v>
      </c>
      <c r="E1110" t="s">
        <v>15</v>
      </c>
      <c r="F1110">
        <f>tbl_AQI[[#This Row],[Most AQI Reached]]-tbl_AQI[[#This Row],[Current AQI]]</f>
        <v>1</v>
      </c>
      <c r="G11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10">
        <f>RANK(tbl_AQI[[#This Row],[Current AQI]], tbl_AQI[Current AQI], 0)</f>
        <v>1826</v>
      </c>
    </row>
    <row r="1111" spans="1:8" x14ac:dyDescent="0.35">
      <c r="A1111" t="s">
        <v>1065</v>
      </c>
      <c r="B1111" t="s">
        <v>1132</v>
      </c>
      <c r="C1111">
        <v>120</v>
      </c>
      <c r="D1111">
        <v>78</v>
      </c>
      <c r="E1111" t="s">
        <v>11</v>
      </c>
      <c r="F1111">
        <f>tbl_AQI[[#This Row],[Most AQI Reached]]-tbl_AQI[[#This Row],[Current AQI]]</f>
        <v>42</v>
      </c>
      <c r="G11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11">
        <f>RANK(tbl_AQI[[#This Row],[Current AQI]], tbl_AQI[Current AQI], 0)</f>
        <v>3989</v>
      </c>
    </row>
    <row r="1112" spans="1:8" x14ac:dyDescent="0.35">
      <c r="A1112" t="s">
        <v>1065</v>
      </c>
      <c r="B1112" t="s">
        <v>1133</v>
      </c>
      <c r="C1112">
        <v>282</v>
      </c>
      <c r="D1112">
        <v>137</v>
      </c>
      <c r="E1112" t="s">
        <v>21</v>
      </c>
      <c r="F1112">
        <f>tbl_AQI[[#This Row],[Most AQI Reached]]-tbl_AQI[[#This Row],[Current AQI]]</f>
        <v>145</v>
      </c>
      <c r="G11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12">
        <f>RANK(tbl_AQI[[#This Row],[Current AQI]], tbl_AQI[Current AQI], 0)</f>
        <v>2677</v>
      </c>
    </row>
    <row r="1113" spans="1:8" x14ac:dyDescent="0.35">
      <c r="A1113" t="s">
        <v>1065</v>
      </c>
      <c r="B1113" t="s">
        <v>1134</v>
      </c>
      <c r="C1113">
        <v>202</v>
      </c>
      <c r="D1113">
        <v>38</v>
      </c>
      <c r="E1113" t="s">
        <v>7</v>
      </c>
      <c r="F1113">
        <f>tbl_AQI[[#This Row],[Most AQI Reached]]-tbl_AQI[[#This Row],[Current AQI]]</f>
        <v>164</v>
      </c>
      <c r="G11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13">
        <f>RANK(tbl_AQI[[#This Row],[Current AQI]], tbl_AQI[Current AQI], 0)</f>
        <v>4845</v>
      </c>
    </row>
    <row r="1114" spans="1:8" x14ac:dyDescent="0.35">
      <c r="A1114" t="s">
        <v>1065</v>
      </c>
      <c r="B1114" t="s">
        <v>1135</v>
      </c>
      <c r="C1114">
        <v>234</v>
      </c>
      <c r="D1114">
        <v>127</v>
      </c>
      <c r="E1114" t="s">
        <v>15</v>
      </c>
      <c r="F1114">
        <f>tbl_AQI[[#This Row],[Most AQI Reached]]-tbl_AQI[[#This Row],[Current AQI]]</f>
        <v>107</v>
      </c>
      <c r="G11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14">
        <f>RANK(tbl_AQI[[#This Row],[Current AQI]], tbl_AQI[Current AQI], 0)</f>
        <v>2909</v>
      </c>
    </row>
    <row r="1115" spans="1:8" x14ac:dyDescent="0.35">
      <c r="A1115" t="s">
        <v>1065</v>
      </c>
      <c r="B1115" t="s">
        <v>1136</v>
      </c>
      <c r="C1115">
        <v>217</v>
      </c>
      <c r="D1115">
        <v>70</v>
      </c>
      <c r="E1115" t="s">
        <v>11</v>
      </c>
      <c r="F1115">
        <f>tbl_AQI[[#This Row],[Most AQI Reached]]-tbl_AQI[[#This Row],[Current AQI]]</f>
        <v>147</v>
      </c>
      <c r="G11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15">
        <f>RANK(tbl_AQI[[#This Row],[Current AQI]], tbl_AQI[Current AQI], 0)</f>
        <v>4153</v>
      </c>
    </row>
    <row r="1116" spans="1:8" x14ac:dyDescent="0.35">
      <c r="A1116" t="s">
        <v>1065</v>
      </c>
      <c r="B1116" t="s">
        <v>1137</v>
      </c>
      <c r="C1116">
        <v>82</v>
      </c>
      <c r="D1116">
        <v>38</v>
      </c>
      <c r="E1116" t="s">
        <v>9</v>
      </c>
      <c r="F1116">
        <f>tbl_AQI[[#This Row],[Most AQI Reached]]-tbl_AQI[[#This Row],[Current AQI]]</f>
        <v>44</v>
      </c>
      <c r="G11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16">
        <f>RANK(tbl_AQI[[#This Row],[Current AQI]], tbl_AQI[Current AQI], 0)</f>
        <v>4845</v>
      </c>
    </row>
    <row r="1117" spans="1:8" x14ac:dyDescent="0.35">
      <c r="A1117" t="s">
        <v>1065</v>
      </c>
      <c r="B1117" t="s">
        <v>1138</v>
      </c>
      <c r="C1117">
        <v>128</v>
      </c>
      <c r="D1117">
        <v>120</v>
      </c>
      <c r="E1117" t="s">
        <v>11</v>
      </c>
      <c r="F1117">
        <f>tbl_AQI[[#This Row],[Most AQI Reached]]-tbl_AQI[[#This Row],[Current AQI]]</f>
        <v>8</v>
      </c>
      <c r="G11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17">
        <f>RANK(tbl_AQI[[#This Row],[Current AQI]], tbl_AQI[Current AQI], 0)</f>
        <v>3066</v>
      </c>
    </row>
    <row r="1118" spans="1:8" x14ac:dyDescent="0.35">
      <c r="A1118" t="s">
        <v>1065</v>
      </c>
      <c r="B1118" t="s">
        <v>1139</v>
      </c>
      <c r="C1118">
        <v>301</v>
      </c>
      <c r="D1118">
        <v>31</v>
      </c>
      <c r="E1118" t="s">
        <v>21</v>
      </c>
      <c r="F1118">
        <f>tbl_AQI[[#This Row],[Most AQI Reached]]-tbl_AQI[[#This Row],[Current AQI]]</f>
        <v>270</v>
      </c>
      <c r="G11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18">
        <f>RANK(tbl_AQI[[#This Row],[Current AQI]], tbl_AQI[Current AQI], 0)</f>
        <v>5016</v>
      </c>
    </row>
    <row r="1119" spans="1:8" x14ac:dyDescent="0.35">
      <c r="A1119" t="s">
        <v>1065</v>
      </c>
      <c r="B1119" t="s">
        <v>1140</v>
      </c>
      <c r="C1119">
        <v>157</v>
      </c>
      <c r="D1119">
        <v>92</v>
      </c>
      <c r="E1119" t="s">
        <v>11</v>
      </c>
      <c r="F1119">
        <f>tbl_AQI[[#This Row],[Most AQI Reached]]-tbl_AQI[[#This Row],[Current AQI]]</f>
        <v>65</v>
      </c>
      <c r="G11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19">
        <f>RANK(tbl_AQI[[#This Row],[Current AQI]], tbl_AQI[Current AQI], 0)</f>
        <v>3706</v>
      </c>
    </row>
    <row r="1120" spans="1:8" x14ac:dyDescent="0.35">
      <c r="A1120" t="s">
        <v>1065</v>
      </c>
      <c r="B1120" t="s">
        <v>1141</v>
      </c>
      <c r="C1120">
        <v>244</v>
      </c>
      <c r="D1120">
        <v>45</v>
      </c>
      <c r="E1120" t="s">
        <v>17</v>
      </c>
      <c r="F1120">
        <f>tbl_AQI[[#This Row],[Most AQI Reached]]-tbl_AQI[[#This Row],[Current AQI]]</f>
        <v>199</v>
      </c>
      <c r="G11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20">
        <f>RANK(tbl_AQI[[#This Row],[Current AQI]], tbl_AQI[Current AQI], 0)</f>
        <v>4702</v>
      </c>
    </row>
    <row r="1121" spans="1:8" x14ac:dyDescent="0.35">
      <c r="A1121" t="s">
        <v>1065</v>
      </c>
      <c r="B1121" t="s">
        <v>1142</v>
      </c>
      <c r="C1121">
        <v>46</v>
      </c>
      <c r="D1121">
        <v>31</v>
      </c>
      <c r="E1121" t="s">
        <v>15</v>
      </c>
      <c r="F1121">
        <f>tbl_AQI[[#This Row],[Most AQI Reached]]-tbl_AQI[[#This Row],[Current AQI]]</f>
        <v>15</v>
      </c>
      <c r="G11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21">
        <f>RANK(tbl_AQI[[#This Row],[Current AQI]], tbl_AQI[Current AQI], 0)</f>
        <v>5016</v>
      </c>
    </row>
    <row r="1122" spans="1:8" x14ac:dyDescent="0.35">
      <c r="A1122" t="s">
        <v>1065</v>
      </c>
      <c r="B1122" t="s">
        <v>1143</v>
      </c>
      <c r="C1122">
        <v>246</v>
      </c>
      <c r="D1122">
        <v>159</v>
      </c>
      <c r="E1122" t="s">
        <v>33</v>
      </c>
      <c r="F1122">
        <f>tbl_AQI[[#This Row],[Most AQI Reached]]-tbl_AQI[[#This Row],[Current AQI]]</f>
        <v>87</v>
      </c>
      <c r="G11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22">
        <f>RANK(tbl_AQI[[#This Row],[Current AQI]], tbl_AQI[Current AQI], 0)</f>
        <v>2183</v>
      </c>
    </row>
    <row r="1123" spans="1:8" x14ac:dyDescent="0.35">
      <c r="A1123" t="s">
        <v>1065</v>
      </c>
      <c r="B1123" t="s">
        <v>1144</v>
      </c>
      <c r="C1123">
        <v>185</v>
      </c>
      <c r="D1123">
        <v>93</v>
      </c>
      <c r="E1123" t="s">
        <v>9</v>
      </c>
      <c r="F1123">
        <f>tbl_AQI[[#This Row],[Most AQI Reached]]-tbl_AQI[[#This Row],[Current AQI]]</f>
        <v>92</v>
      </c>
      <c r="G11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23">
        <f>RANK(tbl_AQI[[#This Row],[Current AQI]], tbl_AQI[Current AQI], 0)</f>
        <v>3678</v>
      </c>
    </row>
    <row r="1124" spans="1:8" x14ac:dyDescent="0.35">
      <c r="A1124" t="s">
        <v>1065</v>
      </c>
      <c r="B1124" t="s">
        <v>1145</v>
      </c>
      <c r="C1124">
        <v>215</v>
      </c>
      <c r="D1124">
        <v>130</v>
      </c>
      <c r="E1124" t="s">
        <v>9</v>
      </c>
      <c r="F1124">
        <f>tbl_AQI[[#This Row],[Most AQI Reached]]-tbl_AQI[[#This Row],[Current AQI]]</f>
        <v>85</v>
      </c>
      <c r="G11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24">
        <f>RANK(tbl_AQI[[#This Row],[Current AQI]], tbl_AQI[Current AQI], 0)</f>
        <v>2832</v>
      </c>
    </row>
    <row r="1125" spans="1:8" x14ac:dyDescent="0.35">
      <c r="A1125" t="s">
        <v>1065</v>
      </c>
      <c r="B1125" t="s">
        <v>1146</v>
      </c>
      <c r="C1125">
        <v>165</v>
      </c>
      <c r="D1125">
        <v>60</v>
      </c>
      <c r="E1125" t="s">
        <v>15</v>
      </c>
      <c r="F1125">
        <f>tbl_AQI[[#This Row],[Most AQI Reached]]-tbl_AQI[[#This Row],[Current AQI]]</f>
        <v>105</v>
      </c>
      <c r="G11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25">
        <f>RANK(tbl_AQI[[#This Row],[Current AQI]], tbl_AQI[Current AQI], 0)</f>
        <v>4390</v>
      </c>
    </row>
    <row r="1126" spans="1:8" x14ac:dyDescent="0.35">
      <c r="A1126" t="s">
        <v>1065</v>
      </c>
      <c r="B1126" t="s">
        <v>1147</v>
      </c>
      <c r="C1126">
        <v>228</v>
      </c>
      <c r="D1126">
        <v>163</v>
      </c>
      <c r="E1126" t="s">
        <v>33</v>
      </c>
      <c r="F1126">
        <f>tbl_AQI[[#This Row],[Most AQI Reached]]-tbl_AQI[[#This Row],[Current AQI]]</f>
        <v>65</v>
      </c>
      <c r="G11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26">
        <f>RANK(tbl_AQI[[#This Row],[Current AQI]], tbl_AQI[Current AQI], 0)</f>
        <v>2075</v>
      </c>
    </row>
    <row r="1127" spans="1:8" x14ac:dyDescent="0.35">
      <c r="A1127" t="s">
        <v>1065</v>
      </c>
      <c r="B1127" t="s">
        <v>1148</v>
      </c>
      <c r="C1127">
        <v>177</v>
      </c>
      <c r="D1127">
        <v>112</v>
      </c>
      <c r="E1127" t="s">
        <v>33</v>
      </c>
      <c r="F1127">
        <f>tbl_AQI[[#This Row],[Most AQI Reached]]-tbl_AQI[[#This Row],[Current AQI]]</f>
        <v>65</v>
      </c>
      <c r="G11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27">
        <f>RANK(tbl_AQI[[#This Row],[Current AQI]], tbl_AQI[Current AQI], 0)</f>
        <v>3267</v>
      </c>
    </row>
    <row r="1128" spans="1:8" x14ac:dyDescent="0.35">
      <c r="A1128" t="s">
        <v>1065</v>
      </c>
      <c r="B1128" t="s">
        <v>1149</v>
      </c>
      <c r="C1128">
        <v>163</v>
      </c>
      <c r="D1128">
        <v>145</v>
      </c>
      <c r="E1128" t="s">
        <v>17</v>
      </c>
      <c r="F1128">
        <f>tbl_AQI[[#This Row],[Most AQI Reached]]-tbl_AQI[[#This Row],[Current AQI]]</f>
        <v>18</v>
      </c>
      <c r="G11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28">
        <f>RANK(tbl_AQI[[#This Row],[Current AQI]], tbl_AQI[Current AQI], 0)</f>
        <v>2526</v>
      </c>
    </row>
    <row r="1129" spans="1:8" x14ac:dyDescent="0.35">
      <c r="A1129" t="s">
        <v>1065</v>
      </c>
      <c r="B1129" t="s">
        <v>1150</v>
      </c>
      <c r="C1129">
        <v>306</v>
      </c>
      <c r="D1129">
        <v>178</v>
      </c>
      <c r="E1129" t="s">
        <v>17</v>
      </c>
      <c r="F1129">
        <f>tbl_AQI[[#This Row],[Most AQI Reached]]-tbl_AQI[[#This Row],[Current AQI]]</f>
        <v>128</v>
      </c>
      <c r="G11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29">
        <f>RANK(tbl_AQI[[#This Row],[Current AQI]], tbl_AQI[Current AQI], 0)</f>
        <v>1702</v>
      </c>
    </row>
    <row r="1130" spans="1:8" x14ac:dyDescent="0.35">
      <c r="A1130" t="s">
        <v>1065</v>
      </c>
      <c r="B1130" t="s">
        <v>1151</v>
      </c>
      <c r="C1130">
        <v>91</v>
      </c>
      <c r="D1130">
        <v>31</v>
      </c>
      <c r="E1130" t="s">
        <v>33</v>
      </c>
      <c r="F1130">
        <f>tbl_AQI[[#This Row],[Most AQI Reached]]-tbl_AQI[[#This Row],[Current AQI]]</f>
        <v>60</v>
      </c>
      <c r="G11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30">
        <f>RANK(tbl_AQI[[#This Row],[Current AQI]], tbl_AQI[Current AQI], 0)</f>
        <v>5016</v>
      </c>
    </row>
    <row r="1131" spans="1:8" x14ac:dyDescent="0.35">
      <c r="A1131" t="s">
        <v>1065</v>
      </c>
      <c r="B1131" t="s">
        <v>1152</v>
      </c>
      <c r="C1131">
        <v>109</v>
      </c>
      <c r="D1131">
        <v>99</v>
      </c>
      <c r="E1131" t="s">
        <v>17</v>
      </c>
      <c r="F1131">
        <f>tbl_AQI[[#This Row],[Most AQI Reached]]-tbl_AQI[[#This Row],[Current AQI]]</f>
        <v>10</v>
      </c>
      <c r="G11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31">
        <f>RANK(tbl_AQI[[#This Row],[Current AQI]], tbl_AQI[Current AQI], 0)</f>
        <v>3553</v>
      </c>
    </row>
    <row r="1132" spans="1:8" x14ac:dyDescent="0.35">
      <c r="A1132" t="s">
        <v>1065</v>
      </c>
      <c r="B1132" t="s">
        <v>1153</v>
      </c>
      <c r="C1132">
        <v>301</v>
      </c>
      <c r="D1132">
        <v>110</v>
      </c>
      <c r="E1132" t="s">
        <v>9</v>
      </c>
      <c r="F1132">
        <f>tbl_AQI[[#This Row],[Most AQI Reached]]-tbl_AQI[[#This Row],[Current AQI]]</f>
        <v>191</v>
      </c>
      <c r="G11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32">
        <f>RANK(tbl_AQI[[#This Row],[Current AQI]], tbl_AQI[Current AQI], 0)</f>
        <v>3302</v>
      </c>
    </row>
    <row r="1133" spans="1:8" x14ac:dyDescent="0.35">
      <c r="A1133" t="s">
        <v>1065</v>
      </c>
      <c r="B1133" t="s">
        <v>1154</v>
      </c>
      <c r="C1133">
        <v>189</v>
      </c>
      <c r="D1133">
        <v>165</v>
      </c>
      <c r="E1133" t="s">
        <v>21</v>
      </c>
      <c r="F1133">
        <f>tbl_AQI[[#This Row],[Most AQI Reached]]-tbl_AQI[[#This Row],[Current AQI]]</f>
        <v>24</v>
      </c>
      <c r="G11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33">
        <f>RANK(tbl_AQI[[#This Row],[Current AQI]], tbl_AQI[Current AQI], 0)</f>
        <v>2028</v>
      </c>
    </row>
    <row r="1134" spans="1:8" x14ac:dyDescent="0.35">
      <c r="A1134" t="s">
        <v>1065</v>
      </c>
      <c r="B1134" t="s">
        <v>1155</v>
      </c>
      <c r="C1134">
        <v>275</v>
      </c>
      <c r="D1134">
        <v>91</v>
      </c>
      <c r="E1134" t="s">
        <v>21</v>
      </c>
      <c r="F1134">
        <f>tbl_AQI[[#This Row],[Most AQI Reached]]-tbl_AQI[[#This Row],[Current AQI]]</f>
        <v>184</v>
      </c>
      <c r="G11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34">
        <f>RANK(tbl_AQI[[#This Row],[Current AQI]], tbl_AQI[Current AQI], 0)</f>
        <v>3726</v>
      </c>
    </row>
    <row r="1135" spans="1:8" x14ac:dyDescent="0.35">
      <c r="A1135" t="s">
        <v>1065</v>
      </c>
      <c r="B1135" t="s">
        <v>1156</v>
      </c>
      <c r="C1135">
        <v>192</v>
      </c>
      <c r="D1135">
        <v>127</v>
      </c>
      <c r="E1135" t="s">
        <v>7</v>
      </c>
      <c r="F1135">
        <f>tbl_AQI[[#This Row],[Most AQI Reached]]-tbl_AQI[[#This Row],[Current AQI]]</f>
        <v>65</v>
      </c>
      <c r="G11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35">
        <f>RANK(tbl_AQI[[#This Row],[Current AQI]], tbl_AQI[Current AQI], 0)</f>
        <v>2909</v>
      </c>
    </row>
    <row r="1136" spans="1:8" x14ac:dyDescent="0.35">
      <c r="A1136" t="s">
        <v>1065</v>
      </c>
      <c r="B1136" t="s">
        <v>1157</v>
      </c>
      <c r="C1136">
        <v>262</v>
      </c>
      <c r="D1136">
        <v>190</v>
      </c>
      <c r="E1136" t="s">
        <v>17</v>
      </c>
      <c r="F1136">
        <f>tbl_AQI[[#This Row],[Most AQI Reached]]-tbl_AQI[[#This Row],[Current AQI]]</f>
        <v>72</v>
      </c>
      <c r="G11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36">
        <f>RANK(tbl_AQI[[#This Row],[Current AQI]], tbl_AQI[Current AQI], 0)</f>
        <v>1355</v>
      </c>
    </row>
    <row r="1137" spans="1:8" x14ac:dyDescent="0.35">
      <c r="A1137" t="s">
        <v>1065</v>
      </c>
      <c r="B1137" t="s">
        <v>1158</v>
      </c>
      <c r="C1137">
        <v>313</v>
      </c>
      <c r="D1137">
        <v>66</v>
      </c>
      <c r="E1137" t="s">
        <v>17</v>
      </c>
      <c r="F1137">
        <f>tbl_AQI[[#This Row],[Most AQI Reached]]-tbl_AQI[[#This Row],[Current AQI]]</f>
        <v>247</v>
      </c>
      <c r="G11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37">
        <f>RANK(tbl_AQI[[#This Row],[Current AQI]], tbl_AQI[Current AQI], 0)</f>
        <v>4247</v>
      </c>
    </row>
    <row r="1138" spans="1:8" x14ac:dyDescent="0.35">
      <c r="A1138" t="s">
        <v>1065</v>
      </c>
      <c r="B1138" t="s">
        <v>1159</v>
      </c>
      <c r="C1138">
        <v>287</v>
      </c>
      <c r="D1138">
        <v>91</v>
      </c>
      <c r="E1138" t="s">
        <v>11</v>
      </c>
      <c r="F1138">
        <f>tbl_AQI[[#This Row],[Most AQI Reached]]-tbl_AQI[[#This Row],[Current AQI]]</f>
        <v>196</v>
      </c>
      <c r="G11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38">
        <f>RANK(tbl_AQI[[#This Row],[Current AQI]], tbl_AQI[Current AQI], 0)</f>
        <v>3726</v>
      </c>
    </row>
    <row r="1139" spans="1:8" x14ac:dyDescent="0.35">
      <c r="A1139" t="s">
        <v>1065</v>
      </c>
      <c r="B1139" t="s">
        <v>1160</v>
      </c>
      <c r="C1139">
        <v>221</v>
      </c>
      <c r="D1139">
        <v>142</v>
      </c>
      <c r="E1139" t="s">
        <v>33</v>
      </c>
      <c r="F1139">
        <f>tbl_AQI[[#This Row],[Most AQI Reached]]-tbl_AQI[[#This Row],[Current AQI]]</f>
        <v>79</v>
      </c>
      <c r="G11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39">
        <f>RANK(tbl_AQI[[#This Row],[Current AQI]], tbl_AQI[Current AQI], 0)</f>
        <v>2585</v>
      </c>
    </row>
    <row r="1140" spans="1:8" x14ac:dyDescent="0.35">
      <c r="A1140" t="s">
        <v>1065</v>
      </c>
      <c r="B1140" t="s">
        <v>1161</v>
      </c>
      <c r="C1140">
        <v>252</v>
      </c>
      <c r="D1140">
        <v>160</v>
      </c>
      <c r="E1140" t="s">
        <v>9</v>
      </c>
      <c r="F1140">
        <f>tbl_AQI[[#This Row],[Most AQI Reached]]-tbl_AQI[[#This Row],[Current AQI]]</f>
        <v>92</v>
      </c>
      <c r="G11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40">
        <f>RANK(tbl_AQI[[#This Row],[Current AQI]], tbl_AQI[Current AQI], 0)</f>
        <v>2154</v>
      </c>
    </row>
    <row r="1141" spans="1:8" x14ac:dyDescent="0.35">
      <c r="A1141" t="s">
        <v>1065</v>
      </c>
      <c r="B1141" t="s">
        <v>1162</v>
      </c>
      <c r="C1141">
        <v>189</v>
      </c>
      <c r="D1141">
        <v>138</v>
      </c>
      <c r="E1141" t="s">
        <v>11</v>
      </c>
      <c r="F1141">
        <f>tbl_AQI[[#This Row],[Most AQI Reached]]-tbl_AQI[[#This Row],[Current AQI]]</f>
        <v>51</v>
      </c>
      <c r="G11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41">
        <f>RANK(tbl_AQI[[#This Row],[Current AQI]], tbl_AQI[Current AQI], 0)</f>
        <v>2660</v>
      </c>
    </row>
    <row r="1142" spans="1:8" x14ac:dyDescent="0.35">
      <c r="A1142" t="s">
        <v>1065</v>
      </c>
      <c r="B1142" t="s">
        <v>1163</v>
      </c>
      <c r="C1142">
        <v>187</v>
      </c>
      <c r="D1142">
        <v>127</v>
      </c>
      <c r="E1142" t="s">
        <v>33</v>
      </c>
      <c r="F1142">
        <f>tbl_AQI[[#This Row],[Most AQI Reached]]-tbl_AQI[[#This Row],[Current AQI]]</f>
        <v>60</v>
      </c>
      <c r="G11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42">
        <f>RANK(tbl_AQI[[#This Row],[Current AQI]], tbl_AQI[Current AQI], 0)</f>
        <v>2909</v>
      </c>
    </row>
    <row r="1143" spans="1:8" x14ac:dyDescent="0.35">
      <c r="A1143" t="s">
        <v>1065</v>
      </c>
      <c r="B1143" t="s">
        <v>1164</v>
      </c>
      <c r="C1143">
        <v>248</v>
      </c>
      <c r="D1143">
        <v>32</v>
      </c>
      <c r="E1143" t="s">
        <v>11</v>
      </c>
      <c r="F1143">
        <f>tbl_AQI[[#This Row],[Most AQI Reached]]-tbl_AQI[[#This Row],[Current AQI]]</f>
        <v>216</v>
      </c>
      <c r="G11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43">
        <f>RANK(tbl_AQI[[#This Row],[Current AQI]], tbl_AQI[Current AQI], 0)</f>
        <v>4983</v>
      </c>
    </row>
    <row r="1144" spans="1:8" x14ac:dyDescent="0.35">
      <c r="A1144" t="s">
        <v>1065</v>
      </c>
      <c r="B1144" t="s">
        <v>1165</v>
      </c>
      <c r="C1144">
        <v>180</v>
      </c>
      <c r="D1144">
        <v>89</v>
      </c>
      <c r="E1144" t="s">
        <v>11</v>
      </c>
      <c r="F1144">
        <f>tbl_AQI[[#This Row],[Most AQI Reached]]-tbl_AQI[[#This Row],[Current AQI]]</f>
        <v>91</v>
      </c>
      <c r="G11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44">
        <f>RANK(tbl_AQI[[#This Row],[Current AQI]], tbl_AQI[Current AQI], 0)</f>
        <v>3772</v>
      </c>
    </row>
    <row r="1145" spans="1:8" x14ac:dyDescent="0.35">
      <c r="A1145" t="s">
        <v>1065</v>
      </c>
      <c r="B1145" t="s">
        <v>1166</v>
      </c>
      <c r="C1145">
        <v>98</v>
      </c>
      <c r="D1145">
        <v>51</v>
      </c>
      <c r="E1145" t="s">
        <v>9</v>
      </c>
      <c r="F1145">
        <f>tbl_AQI[[#This Row],[Most AQI Reached]]-tbl_AQI[[#This Row],[Current AQI]]</f>
        <v>47</v>
      </c>
      <c r="G11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45">
        <f>RANK(tbl_AQI[[#This Row],[Current AQI]], tbl_AQI[Current AQI], 0)</f>
        <v>4578</v>
      </c>
    </row>
    <row r="1146" spans="1:8" x14ac:dyDescent="0.35">
      <c r="A1146" t="s">
        <v>1065</v>
      </c>
      <c r="B1146" t="s">
        <v>1167</v>
      </c>
      <c r="C1146">
        <v>123</v>
      </c>
      <c r="D1146">
        <v>97</v>
      </c>
      <c r="E1146" t="s">
        <v>9</v>
      </c>
      <c r="F1146">
        <f>tbl_AQI[[#This Row],[Most AQI Reached]]-tbl_AQI[[#This Row],[Current AQI]]</f>
        <v>26</v>
      </c>
      <c r="G11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46">
        <f>RANK(tbl_AQI[[#This Row],[Current AQI]], tbl_AQI[Current AQI], 0)</f>
        <v>3593</v>
      </c>
    </row>
    <row r="1147" spans="1:8" x14ac:dyDescent="0.35">
      <c r="A1147" t="s">
        <v>1065</v>
      </c>
      <c r="B1147" t="s">
        <v>1168</v>
      </c>
      <c r="C1147">
        <v>234</v>
      </c>
      <c r="D1147">
        <v>76</v>
      </c>
      <c r="E1147" t="s">
        <v>9</v>
      </c>
      <c r="F1147">
        <f>tbl_AQI[[#This Row],[Most AQI Reached]]-tbl_AQI[[#This Row],[Current AQI]]</f>
        <v>158</v>
      </c>
      <c r="G11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47">
        <f>RANK(tbl_AQI[[#This Row],[Current AQI]], tbl_AQI[Current AQI], 0)</f>
        <v>4023</v>
      </c>
    </row>
    <row r="1148" spans="1:8" x14ac:dyDescent="0.35">
      <c r="A1148" t="s">
        <v>1065</v>
      </c>
      <c r="B1148" t="s">
        <v>1169</v>
      </c>
      <c r="C1148">
        <v>132</v>
      </c>
      <c r="D1148">
        <v>86</v>
      </c>
      <c r="E1148" t="s">
        <v>17</v>
      </c>
      <c r="F1148">
        <f>tbl_AQI[[#This Row],[Most AQI Reached]]-tbl_AQI[[#This Row],[Current AQI]]</f>
        <v>46</v>
      </c>
      <c r="G11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48">
        <f>RANK(tbl_AQI[[#This Row],[Current AQI]], tbl_AQI[Current AQI], 0)</f>
        <v>3830</v>
      </c>
    </row>
    <row r="1149" spans="1:8" x14ac:dyDescent="0.35">
      <c r="A1149" t="s">
        <v>1065</v>
      </c>
      <c r="B1149" t="s">
        <v>1170</v>
      </c>
      <c r="C1149">
        <v>280</v>
      </c>
      <c r="D1149">
        <v>114</v>
      </c>
      <c r="E1149" t="s">
        <v>33</v>
      </c>
      <c r="F1149">
        <f>tbl_AQI[[#This Row],[Most AQI Reached]]-tbl_AQI[[#This Row],[Current AQI]]</f>
        <v>166</v>
      </c>
      <c r="G11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49">
        <f>RANK(tbl_AQI[[#This Row],[Current AQI]], tbl_AQI[Current AQI], 0)</f>
        <v>3226</v>
      </c>
    </row>
    <row r="1150" spans="1:8" x14ac:dyDescent="0.35">
      <c r="A1150" t="s">
        <v>1065</v>
      </c>
      <c r="B1150" t="s">
        <v>1171</v>
      </c>
      <c r="C1150">
        <v>274</v>
      </c>
      <c r="D1150">
        <v>42</v>
      </c>
      <c r="E1150" t="s">
        <v>17</v>
      </c>
      <c r="F1150">
        <f>tbl_AQI[[#This Row],[Most AQI Reached]]-tbl_AQI[[#This Row],[Current AQI]]</f>
        <v>232</v>
      </c>
      <c r="G11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50">
        <f>RANK(tbl_AQI[[#This Row],[Current AQI]], tbl_AQI[Current AQI], 0)</f>
        <v>4776</v>
      </c>
    </row>
    <row r="1151" spans="1:8" x14ac:dyDescent="0.35">
      <c r="A1151" t="s">
        <v>1065</v>
      </c>
      <c r="B1151" t="s">
        <v>1172</v>
      </c>
      <c r="C1151">
        <v>211</v>
      </c>
      <c r="D1151">
        <v>60</v>
      </c>
      <c r="E1151" t="s">
        <v>11</v>
      </c>
      <c r="F1151">
        <f>tbl_AQI[[#This Row],[Most AQI Reached]]-tbl_AQI[[#This Row],[Current AQI]]</f>
        <v>151</v>
      </c>
      <c r="G11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51">
        <f>RANK(tbl_AQI[[#This Row],[Current AQI]], tbl_AQI[Current AQI], 0)</f>
        <v>4390</v>
      </c>
    </row>
    <row r="1152" spans="1:8" x14ac:dyDescent="0.35">
      <c r="A1152" t="s">
        <v>1065</v>
      </c>
      <c r="B1152" t="s">
        <v>1173</v>
      </c>
      <c r="C1152">
        <v>81</v>
      </c>
      <c r="D1152">
        <v>74</v>
      </c>
      <c r="E1152" t="s">
        <v>33</v>
      </c>
      <c r="F1152">
        <f>tbl_AQI[[#This Row],[Most AQI Reached]]-tbl_AQI[[#This Row],[Current AQI]]</f>
        <v>7</v>
      </c>
      <c r="G11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52">
        <f>RANK(tbl_AQI[[#This Row],[Current AQI]], tbl_AQI[Current AQI], 0)</f>
        <v>4064</v>
      </c>
    </row>
    <row r="1153" spans="1:8" x14ac:dyDescent="0.35">
      <c r="A1153" t="s">
        <v>1065</v>
      </c>
      <c r="B1153" t="s">
        <v>1174</v>
      </c>
      <c r="C1153">
        <v>283</v>
      </c>
      <c r="D1153">
        <v>190</v>
      </c>
      <c r="E1153" t="s">
        <v>7</v>
      </c>
      <c r="F1153">
        <f>tbl_AQI[[#This Row],[Most AQI Reached]]-tbl_AQI[[#This Row],[Current AQI]]</f>
        <v>93</v>
      </c>
      <c r="G11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53">
        <f>RANK(tbl_AQI[[#This Row],[Current AQI]], tbl_AQI[Current AQI], 0)</f>
        <v>1355</v>
      </c>
    </row>
    <row r="1154" spans="1:8" x14ac:dyDescent="0.35">
      <c r="A1154" t="s">
        <v>1065</v>
      </c>
      <c r="B1154" t="s">
        <v>1175</v>
      </c>
      <c r="C1154">
        <v>245</v>
      </c>
      <c r="D1154">
        <v>166</v>
      </c>
      <c r="E1154" t="s">
        <v>11</v>
      </c>
      <c r="F1154">
        <f>tbl_AQI[[#This Row],[Most AQI Reached]]-tbl_AQI[[#This Row],[Current AQI]]</f>
        <v>79</v>
      </c>
      <c r="G11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54">
        <f>RANK(tbl_AQI[[#This Row],[Current AQI]], tbl_AQI[Current AQI], 0)</f>
        <v>2007</v>
      </c>
    </row>
    <row r="1155" spans="1:8" x14ac:dyDescent="0.35">
      <c r="A1155" t="s">
        <v>1065</v>
      </c>
      <c r="B1155" t="s">
        <v>1176</v>
      </c>
      <c r="C1155">
        <v>288</v>
      </c>
      <c r="D1155">
        <v>88</v>
      </c>
      <c r="E1155" t="s">
        <v>15</v>
      </c>
      <c r="F1155">
        <f>tbl_AQI[[#This Row],[Most AQI Reached]]-tbl_AQI[[#This Row],[Current AQI]]</f>
        <v>200</v>
      </c>
      <c r="G11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55">
        <f>RANK(tbl_AQI[[#This Row],[Current AQI]], tbl_AQI[Current AQI], 0)</f>
        <v>3792</v>
      </c>
    </row>
    <row r="1156" spans="1:8" x14ac:dyDescent="0.35">
      <c r="A1156" t="s">
        <v>1065</v>
      </c>
      <c r="B1156" t="s">
        <v>1177</v>
      </c>
      <c r="C1156">
        <v>96</v>
      </c>
      <c r="D1156">
        <v>84</v>
      </c>
      <c r="E1156" t="s">
        <v>11</v>
      </c>
      <c r="F1156">
        <f>tbl_AQI[[#This Row],[Most AQI Reached]]-tbl_AQI[[#This Row],[Current AQI]]</f>
        <v>12</v>
      </c>
      <c r="G11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56">
        <f>RANK(tbl_AQI[[#This Row],[Current AQI]], tbl_AQI[Current AQI], 0)</f>
        <v>3872</v>
      </c>
    </row>
    <row r="1157" spans="1:8" x14ac:dyDescent="0.35">
      <c r="A1157" t="s">
        <v>1065</v>
      </c>
      <c r="B1157" t="s">
        <v>1178</v>
      </c>
      <c r="C1157">
        <v>254</v>
      </c>
      <c r="D1157">
        <v>143</v>
      </c>
      <c r="E1157" t="s">
        <v>17</v>
      </c>
      <c r="F1157">
        <f>tbl_AQI[[#This Row],[Most AQI Reached]]-tbl_AQI[[#This Row],[Current AQI]]</f>
        <v>111</v>
      </c>
      <c r="G11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57">
        <f>RANK(tbl_AQI[[#This Row],[Current AQI]], tbl_AQI[Current AQI], 0)</f>
        <v>2567</v>
      </c>
    </row>
    <row r="1158" spans="1:8" x14ac:dyDescent="0.35">
      <c r="A1158" t="s">
        <v>1065</v>
      </c>
      <c r="B1158" t="s">
        <v>1179</v>
      </c>
      <c r="C1158">
        <v>257</v>
      </c>
      <c r="D1158">
        <v>62</v>
      </c>
      <c r="E1158" t="s">
        <v>11</v>
      </c>
      <c r="F1158">
        <f>tbl_AQI[[#This Row],[Most AQI Reached]]-tbl_AQI[[#This Row],[Current AQI]]</f>
        <v>195</v>
      </c>
      <c r="G11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58">
        <f>RANK(tbl_AQI[[#This Row],[Current AQI]], tbl_AQI[Current AQI], 0)</f>
        <v>4343</v>
      </c>
    </row>
    <row r="1159" spans="1:8" x14ac:dyDescent="0.35">
      <c r="A1159" t="s">
        <v>1065</v>
      </c>
      <c r="B1159" t="s">
        <v>1180</v>
      </c>
      <c r="C1159">
        <v>221</v>
      </c>
      <c r="D1159">
        <v>153</v>
      </c>
      <c r="E1159" t="s">
        <v>33</v>
      </c>
      <c r="F1159">
        <f>tbl_AQI[[#This Row],[Most AQI Reached]]-tbl_AQI[[#This Row],[Current AQI]]</f>
        <v>68</v>
      </c>
      <c r="G11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59">
        <f>RANK(tbl_AQI[[#This Row],[Current AQI]], tbl_AQI[Current AQI], 0)</f>
        <v>2329</v>
      </c>
    </row>
    <row r="1160" spans="1:8" x14ac:dyDescent="0.35">
      <c r="A1160" t="s">
        <v>1065</v>
      </c>
      <c r="B1160" t="s">
        <v>1181</v>
      </c>
      <c r="C1160">
        <v>315</v>
      </c>
      <c r="D1160">
        <v>47</v>
      </c>
      <c r="E1160" t="s">
        <v>11</v>
      </c>
      <c r="F1160">
        <f>tbl_AQI[[#This Row],[Most AQI Reached]]-tbl_AQI[[#This Row],[Current AQI]]</f>
        <v>268</v>
      </c>
      <c r="G11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60">
        <f>RANK(tbl_AQI[[#This Row],[Current AQI]], tbl_AQI[Current AQI], 0)</f>
        <v>4656</v>
      </c>
    </row>
    <row r="1161" spans="1:8" x14ac:dyDescent="0.35">
      <c r="A1161" t="s">
        <v>1065</v>
      </c>
      <c r="B1161" t="s">
        <v>1182</v>
      </c>
      <c r="C1161">
        <v>258</v>
      </c>
      <c r="D1161">
        <v>104</v>
      </c>
      <c r="E1161" t="s">
        <v>17</v>
      </c>
      <c r="F1161">
        <f>tbl_AQI[[#This Row],[Most AQI Reached]]-tbl_AQI[[#This Row],[Current AQI]]</f>
        <v>154</v>
      </c>
      <c r="G11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61">
        <f>RANK(tbl_AQI[[#This Row],[Current AQI]], tbl_AQI[Current AQI], 0)</f>
        <v>3454</v>
      </c>
    </row>
    <row r="1162" spans="1:8" x14ac:dyDescent="0.35">
      <c r="A1162" t="s">
        <v>1065</v>
      </c>
      <c r="B1162" t="s">
        <v>1183</v>
      </c>
      <c r="C1162">
        <v>235</v>
      </c>
      <c r="D1162">
        <v>172</v>
      </c>
      <c r="E1162" t="s">
        <v>17</v>
      </c>
      <c r="F1162">
        <f>tbl_AQI[[#This Row],[Most AQI Reached]]-tbl_AQI[[#This Row],[Current AQI]]</f>
        <v>63</v>
      </c>
      <c r="G11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62">
        <f>RANK(tbl_AQI[[#This Row],[Current AQI]], tbl_AQI[Current AQI], 0)</f>
        <v>1852</v>
      </c>
    </row>
    <row r="1163" spans="1:8" x14ac:dyDescent="0.35">
      <c r="A1163" t="s">
        <v>1065</v>
      </c>
      <c r="B1163" t="s">
        <v>1184</v>
      </c>
      <c r="C1163">
        <v>136</v>
      </c>
      <c r="D1163">
        <v>59</v>
      </c>
      <c r="E1163" t="s">
        <v>7</v>
      </c>
      <c r="F1163">
        <f>tbl_AQI[[#This Row],[Most AQI Reached]]-tbl_AQI[[#This Row],[Current AQI]]</f>
        <v>77</v>
      </c>
      <c r="G11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63">
        <f>RANK(tbl_AQI[[#This Row],[Current AQI]], tbl_AQI[Current AQI], 0)</f>
        <v>4416</v>
      </c>
    </row>
    <row r="1164" spans="1:8" x14ac:dyDescent="0.35">
      <c r="A1164" t="s">
        <v>1065</v>
      </c>
      <c r="B1164" t="s">
        <v>1185</v>
      </c>
      <c r="C1164">
        <v>307</v>
      </c>
      <c r="D1164">
        <v>137</v>
      </c>
      <c r="E1164" t="s">
        <v>9</v>
      </c>
      <c r="F1164">
        <f>tbl_AQI[[#This Row],[Most AQI Reached]]-tbl_AQI[[#This Row],[Current AQI]]</f>
        <v>170</v>
      </c>
      <c r="G11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64">
        <f>RANK(tbl_AQI[[#This Row],[Current AQI]], tbl_AQI[Current AQI], 0)</f>
        <v>2677</v>
      </c>
    </row>
    <row r="1165" spans="1:8" x14ac:dyDescent="0.35">
      <c r="A1165" t="s">
        <v>1065</v>
      </c>
      <c r="B1165" t="s">
        <v>1186</v>
      </c>
      <c r="C1165">
        <v>225</v>
      </c>
      <c r="D1165">
        <v>185</v>
      </c>
      <c r="E1165" t="s">
        <v>17</v>
      </c>
      <c r="F1165">
        <f>tbl_AQI[[#This Row],[Most AQI Reached]]-tbl_AQI[[#This Row],[Current AQI]]</f>
        <v>40</v>
      </c>
      <c r="G11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65">
        <f>RANK(tbl_AQI[[#This Row],[Current AQI]], tbl_AQI[Current AQI], 0)</f>
        <v>1517</v>
      </c>
    </row>
    <row r="1166" spans="1:8" x14ac:dyDescent="0.35">
      <c r="A1166" t="s">
        <v>1065</v>
      </c>
      <c r="B1166" t="s">
        <v>1187</v>
      </c>
      <c r="C1166">
        <v>184</v>
      </c>
      <c r="D1166">
        <v>113</v>
      </c>
      <c r="E1166" t="s">
        <v>17</v>
      </c>
      <c r="F1166">
        <f>tbl_AQI[[#This Row],[Most AQI Reached]]-tbl_AQI[[#This Row],[Current AQI]]</f>
        <v>71</v>
      </c>
      <c r="G11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66">
        <f>RANK(tbl_AQI[[#This Row],[Current AQI]], tbl_AQI[Current AQI], 0)</f>
        <v>3243</v>
      </c>
    </row>
    <row r="1167" spans="1:8" x14ac:dyDescent="0.35">
      <c r="A1167" t="s">
        <v>1065</v>
      </c>
      <c r="B1167" t="s">
        <v>1188</v>
      </c>
      <c r="C1167">
        <v>101</v>
      </c>
      <c r="D1167">
        <v>34</v>
      </c>
      <c r="E1167" t="s">
        <v>21</v>
      </c>
      <c r="F1167">
        <f>tbl_AQI[[#This Row],[Most AQI Reached]]-tbl_AQI[[#This Row],[Current AQI]]</f>
        <v>67</v>
      </c>
      <c r="G11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67">
        <f>RANK(tbl_AQI[[#This Row],[Current AQI]], tbl_AQI[Current AQI], 0)</f>
        <v>4944</v>
      </c>
    </row>
    <row r="1168" spans="1:8" x14ac:dyDescent="0.35">
      <c r="A1168" t="s">
        <v>1065</v>
      </c>
      <c r="B1168" t="s">
        <v>1189</v>
      </c>
      <c r="C1168">
        <v>202</v>
      </c>
      <c r="D1168">
        <v>70</v>
      </c>
      <c r="E1168" t="s">
        <v>9</v>
      </c>
      <c r="F1168">
        <f>tbl_AQI[[#This Row],[Most AQI Reached]]-tbl_AQI[[#This Row],[Current AQI]]</f>
        <v>132</v>
      </c>
      <c r="G11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68">
        <f>RANK(tbl_AQI[[#This Row],[Current AQI]], tbl_AQI[Current AQI], 0)</f>
        <v>4153</v>
      </c>
    </row>
    <row r="1169" spans="1:8" x14ac:dyDescent="0.35">
      <c r="A1169" t="s">
        <v>1065</v>
      </c>
      <c r="B1169" t="s">
        <v>1190</v>
      </c>
      <c r="C1169">
        <v>244</v>
      </c>
      <c r="D1169">
        <v>98</v>
      </c>
      <c r="E1169" t="s">
        <v>21</v>
      </c>
      <c r="F1169">
        <f>tbl_AQI[[#This Row],[Most AQI Reached]]-tbl_AQI[[#This Row],[Current AQI]]</f>
        <v>146</v>
      </c>
      <c r="G11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69">
        <f>RANK(tbl_AQI[[#This Row],[Current AQI]], tbl_AQI[Current AQI], 0)</f>
        <v>3574</v>
      </c>
    </row>
    <row r="1170" spans="1:8" x14ac:dyDescent="0.35">
      <c r="A1170" t="s">
        <v>1065</v>
      </c>
      <c r="B1170" t="s">
        <v>1191</v>
      </c>
      <c r="C1170">
        <v>284</v>
      </c>
      <c r="D1170">
        <v>127</v>
      </c>
      <c r="E1170" t="s">
        <v>21</v>
      </c>
      <c r="F1170">
        <f>tbl_AQI[[#This Row],[Most AQI Reached]]-tbl_AQI[[#This Row],[Current AQI]]</f>
        <v>157</v>
      </c>
      <c r="G11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70">
        <f>RANK(tbl_AQI[[#This Row],[Current AQI]], tbl_AQI[Current AQI], 0)</f>
        <v>2909</v>
      </c>
    </row>
    <row r="1171" spans="1:8" x14ac:dyDescent="0.35">
      <c r="A1171" t="s">
        <v>1065</v>
      </c>
      <c r="B1171" t="s">
        <v>1192</v>
      </c>
      <c r="C1171">
        <v>195</v>
      </c>
      <c r="D1171">
        <v>64</v>
      </c>
      <c r="E1171" t="s">
        <v>33</v>
      </c>
      <c r="F1171">
        <f>tbl_AQI[[#This Row],[Most AQI Reached]]-tbl_AQI[[#This Row],[Current AQI]]</f>
        <v>131</v>
      </c>
      <c r="G11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71">
        <f>RANK(tbl_AQI[[#This Row],[Current AQI]], tbl_AQI[Current AQI], 0)</f>
        <v>4293</v>
      </c>
    </row>
    <row r="1172" spans="1:8" x14ac:dyDescent="0.35">
      <c r="A1172" t="s">
        <v>1065</v>
      </c>
      <c r="B1172" t="s">
        <v>1193</v>
      </c>
      <c r="C1172">
        <v>164</v>
      </c>
      <c r="D1172">
        <v>158</v>
      </c>
      <c r="E1172" t="s">
        <v>21</v>
      </c>
      <c r="F1172">
        <f>tbl_AQI[[#This Row],[Most AQI Reached]]-tbl_AQI[[#This Row],[Current AQI]]</f>
        <v>6</v>
      </c>
      <c r="G11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72">
        <f>RANK(tbl_AQI[[#This Row],[Current AQI]], tbl_AQI[Current AQI], 0)</f>
        <v>2207</v>
      </c>
    </row>
    <row r="1173" spans="1:8" x14ac:dyDescent="0.35">
      <c r="A1173" t="s">
        <v>1065</v>
      </c>
      <c r="B1173" t="s">
        <v>1194</v>
      </c>
      <c r="C1173">
        <v>190</v>
      </c>
      <c r="D1173">
        <v>163</v>
      </c>
      <c r="E1173" t="s">
        <v>9</v>
      </c>
      <c r="F1173">
        <f>tbl_AQI[[#This Row],[Most AQI Reached]]-tbl_AQI[[#This Row],[Current AQI]]</f>
        <v>27</v>
      </c>
      <c r="G11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73">
        <f>RANK(tbl_AQI[[#This Row],[Current AQI]], tbl_AQI[Current AQI], 0)</f>
        <v>2075</v>
      </c>
    </row>
    <row r="1174" spans="1:8" x14ac:dyDescent="0.35">
      <c r="A1174" t="s">
        <v>1065</v>
      </c>
      <c r="B1174" t="s">
        <v>1195</v>
      </c>
      <c r="C1174">
        <v>230</v>
      </c>
      <c r="D1174">
        <v>123</v>
      </c>
      <c r="E1174" t="s">
        <v>17</v>
      </c>
      <c r="F1174">
        <f>tbl_AQI[[#This Row],[Most AQI Reached]]-tbl_AQI[[#This Row],[Current AQI]]</f>
        <v>107</v>
      </c>
      <c r="G11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74">
        <f>RANK(tbl_AQI[[#This Row],[Current AQI]], tbl_AQI[Current AQI], 0)</f>
        <v>2983</v>
      </c>
    </row>
    <row r="1175" spans="1:8" x14ac:dyDescent="0.35">
      <c r="A1175" t="s">
        <v>1065</v>
      </c>
      <c r="B1175" t="s">
        <v>1196</v>
      </c>
      <c r="C1175">
        <v>303</v>
      </c>
      <c r="D1175">
        <v>159</v>
      </c>
      <c r="E1175" t="s">
        <v>33</v>
      </c>
      <c r="F1175">
        <f>tbl_AQI[[#This Row],[Most AQI Reached]]-tbl_AQI[[#This Row],[Current AQI]]</f>
        <v>144</v>
      </c>
      <c r="G11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75">
        <f>RANK(tbl_AQI[[#This Row],[Current AQI]], tbl_AQI[Current AQI], 0)</f>
        <v>2183</v>
      </c>
    </row>
    <row r="1176" spans="1:8" x14ac:dyDescent="0.35">
      <c r="A1176" t="s">
        <v>1065</v>
      </c>
      <c r="B1176" t="s">
        <v>1197</v>
      </c>
      <c r="C1176">
        <v>172</v>
      </c>
      <c r="D1176">
        <v>146</v>
      </c>
      <c r="E1176" t="s">
        <v>33</v>
      </c>
      <c r="F1176">
        <f>tbl_AQI[[#This Row],[Most AQI Reached]]-tbl_AQI[[#This Row],[Current AQI]]</f>
        <v>26</v>
      </c>
      <c r="G11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76">
        <f>RANK(tbl_AQI[[#This Row],[Current AQI]], tbl_AQI[Current AQI], 0)</f>
        <v>2499</v>
      </c>
    </row>
    <row r="1177" spans="1:8" x14ac:dyDescent="0.35">
      <c r="A1177" t="s">
        <v>1065</v>
      </c>
      <c r="B1177" t="s">
        <v>1198</v>
      </c>
      <c r="C1177">
        <v>295</v>
      </c>
      <c r="D1177">
        <v>190</v>
      </c>
      <c r="E1177" t="s">
        <v>11</v>
      </c>
      <c r="F1177">
        <f>tbl_AQI[[#This Row],[Most AQI Reached]]-tbl_AQI[[#This Row],[Current AQI]]</f>
        <v>105</v>
      </c>
      <c r="G11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77">
        <f>RANK(tbl_AQI[[#This Row],[Current AQI]], tbl_AQI[Current AQI], 0)</f>
        <v>1355</v>
      </c>
    </row>
    <row r="1178" spans="1:8" x14ac:dyDescent="0.35">
      <c r="A1178" t="s">
        <v>1065</v>
      </c>
      <c r="B1178" t="s">
        <v>1199</v>
      </c>
      <c r="C1178">
        <v>110</v>
      </c>
      <c r="D1178">
        <v>81</v>
      </c>
      <c r="E1178" t="s">
        <v>11</v>
      </c>
      <c r="F1178">
        <f>tbl_AQI[[#This Row],[Most AQI Reached]]-tbl_AQI[[#This Row],[Current AQI]]</f>
        <v>29</v>
      </c>
      <c r="G11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78">
        <f>RANK(tbl_AQI[[#This Row],[Current AQI]], tbl_AQI[Current AQI], 0)</f>
        <v>3923</v>
      </c>
    </row>
    <row r="1179" spans="1:8" x14ac:dyDescent="0.35">
      <c r="A1179" t="s">
        <v>1065</v>
      </c>
      <c r="B1179" t="s">
        <v>1200</v>
      </c>
      <c r="C1179">
        <v>129</v>
      </c>
      <c r="D1179">
        <v>100</v>
      </c>
      <c r="E1179" t="s">
        <v>33</v>
      </c>
      <c r="F1179">
        <f>tbl_AQI[[#This Row],[Most AQI Reached]]-tbl_AQI[[#This Row],[Current AQI]]</f>
        <v>29</v>
      </c>
      <c r="G11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79">
        <f>RANK(tbl_AQI[[#This Row],[Current AQI]], tbl_AQI[Current AQI], 0)</f>
        <v>3535</v>
      </c>
    </row>
    <row r="1180" spans="1:8" x14ac:dyDescent="0.35">
      <c r="A1180" t="s">
        <v>1065</v>
      </c>
      <c r="B1180" t="s">
        <v>1201</v>
      </c>
      <c r="C1180">
        <v>284</v>
      </c>
      <c r="D1180">
        <v>98</v>
      </c>
      <c r="E1180" t="s">
        <v>15</v>
      </c>
      <c r="F1180">
        <f>tbl_AQI[[#This Row],[Most AQI Reached]]-tbl_AQI[[#This Row],[Current AQI]]</f>
        <v>186</v>
      </c>
      <c r="G11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80">
        <f>RANK(tbl_AQI[[#This Row],[Current AQI]], tbl_AQI[Current AQI], 0)</f>
        <v>3574</v>
      </c>
    </row>
    <row r="1181" spans="1:8" x14ac:dyDescent="0.35">
      <c r="A1181" t="s">
        <v>1065</v>
      </c>
      <c r="B1181" t="s">
        <v>1202</v>
      </c>
      <c r="C1181">
        <v>201</v>
      </c>
      <c r="D1181">
        <v>59</v>
      </c>
      <c r="E1181" t="s">
        <v>11</v>
      </c>
      <c r="F1181">
        <f>tbl_AQI[[#This Row],[Most AQI Reached]]-tbl_AQI[[#This Row],[Current AQI]]</f>
        <v>142</v>
      </c>
      <c r="G11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81">
        <f>RANK(tbl_AQI[[#This Row],[Current AQI]], tbl_AQI[Current AQI], 0)</f>
        <v>4416</v>
      </c>
    </row>
    <row r="1182" spans="1:8" x14ac:dyDescent="0.35">
      <c r="A1182" t="s">
        <v>1065</v>
      </c>
      <c r="B1182" t="s">
        <v>1203</v>
      </c>
      <c r="C1182">
        <v>181</v>
      </c>
      <c r="D1182">
        <v>170</v>
      </c>
      <c r="E1182" t="s">
        <v>11</v>
      </c>
      <c r="F1182">
        <f>tbl_AQI[[#This Row],[Most AQI Reached]]-tbl_AQI[[#This Row],[Current AQI]]</f>
        <v>11</v>
      </c>
      <c r="G11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82">
        <f>RANK(tbl_AQI[[#This Row],[Current AQI]], tbl_AQI[Current AQI], 0)</f>
        <v>1898</v>
      </c>
    </row>
    <row r="1183" spans="1:8" x14ac:dyDescent="0.35">
      <c r="A1183" t="s">
        <v>1065</v>
      </c>
      <c r="B1183" t="s">
        <v>1204</v>
      </c>
      <c r="C1183">
        <v>250</v>
      </c>
      <c r="D1183">
        <v>134</v>
      </c>
      <c r="E1183" t="s">
        <v>33</v>
      </c>
      <c r="F1183">
        <f>tbl_AQI[[#This Row],[Most AQI Reached]]-tbl_AQI[[#This Row],[Current AQI]]</f>
        <v>116</v>
      </c>
      <c r="G11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83">
        <f>RANK(tbl_AQI[[#This Row],[Current AQI]], tbl_AQI[Current AQI], 0)</f>
        <v>2740</v>
      </c>
    </row>
    <row r="1184" spans="1:8" x14ac:dyDescent="0.35">
      <c r="A1184" t="s">
        <v>1065</v>
      </c>
      <c r="B1184" t="s">
        <v>1205</v>
      </c>
      <c r="C1184">
        <v>280</v>
      </c>
      <c r="D1184">
        <v>98</v>
      </c>
      <c r="E1184" t="s">
        <v>7</v>
      </c>
      <c r="F1184">
        <f>tbl_AQI[[#This Row],[Most AQI Reached]]-tbl_AQI[[#This Row],[Current AQI]]</f>
        <v>182</v>
      </c>
      <c r="G11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84">
        <f>RANK(tbl_AQI[[#This Row],[Current AQI]], tbl_AQI[Current AQI], 0)</f>
        <v>3574</v>
      </c>
    </row>
    <row r="1185" spans="1:8" x14ac:dyDescent="0.35">
      <c r="A1185" t="s">
        <v>1065</v>
      </c>
      <c r="B1185" t="s">
        <v>1206</v>
      </c>
      <c r="C1185">
        <v>207</v>
      </c>
      <c r="D1185">
        <v>135</v>
      </c>
      <c r="E1185" t="s">
        <v>7</v>
      </c>
      <c r="F1185">
        <f>tbl_AQI[[#This Row],[Most AQI Reached]]-tbl_AQI[[#This Row],[Current AQI]]</f>
        <v>72</v>
      </c>
      <c r="G11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85">
        <f>RANK(tbl_AQI[[#This Row],[Current AQI]], tbl_AQI[Current AQI], 0)</f>
        <v>2714</v>
      </c>
    </row>
    <row r="1186" spans="1:8" x14ac:dyDescent="0.35">
      <c r="A1186" t="s">
        <v>1065</v>
      </c>
      <c r="B1186" t="s">
        <v>1207</v>
      </c>
      <c r="C1186">
        <v>290</v>
      </c>
      <c r="D1186">
        <v>117</v>
      </c>
      <c r="E1186" t="s">
        <v>9</v>
      </c>
      <c r="F1186">
        <f>tbl_AQI[[#This Row],[Most AQI Reached]]-tbl_AQI[[#This Row],[Current AQI]]</f>
        <v>173</v>
      </c>
      <c r="G11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86">
        <f>RANK(tbl_AQI[[#This Row],[Current AQI]], tbl_AQI[Current AQI], 0)</f>
        <v>3144</v>
      </c>
    </row>
    <row r="1187" spans="1:8" x14ac:dyDescent="0.35">
      <c r="A1187" t="s">
        <v>1065</v>
      </c>
      <c r="B1187" t="s">
        <v>1208</v>
      </c>
      <c r="C1187">
        <v>283</v>
      </c>
      <c r="D1187">
        <v>184</v>
      </c>
      <c r="E1187" t="s">
        <v>17</v>
      </c>
      <c r="F1187">
        <f>tbl_AQI[[#This Row],[Most AQI Reached]]-tbl_AQI[[#This Row],[Current AQI]]</f>
        <v>99</v>
      </c>
      <c r="G11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87">
        <f>RANK(tbl_AQI[[#This Row],[Current AQI]], tbl_AQI[Current AQI], 0)</f>
        <v>1544</v>
      </c>
    </row>
    <row r="1188" spans="1:8" x14ac:dyDescent="0.35">
      <c r="A1188" t="s">
        <v>1065</v>
      </c>
      <c r="B1188" t="s">
        <v>1209</v>
      </c>
      <c r="C1188">
        <v>260</v>
      </c>
      <c r="D1188">
        <v>34</v>
      </c>
      <c r="E1188" t="s">
        <v>21</v>
      </c>
      <c r="F1188">
        <f>tbl_AQI[[#This Row],[Most AQI Reached]]-tbl_AQI[[#This Row],[Current AQI]]</f>
        <v>226</v>
      </c>
      <c r="G11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88">
        <f>RANK(tbl_AQI[[#This Row],[Current AQI]], tbl_AQI[Current AQI], 0)</f>
        <v>4944</v>
      </c>
    </row>
    <row r="1189" spans="1:8" x14ac:dyDescent="0.35">
      <c r="A1189" t="s">
        <v>1065</v>
      </c>
      <c r="B1189" t="s">
        <v>1210</v>
      </c>
      <c r="C1189">
        <v>237</v>
      </c>
      <c r="D1189">
        <v>110</v>
      </c>
      <c r="E1189" t="s">
        <v>7</v>
      </c>
      <c r="F1189">
        <f>tbl_AQI[[#This Row],[Most AQI Reached]]-tbl_AQI[[#This Row],[Current AQI]]</f>
        <v>127</v>
      </c>
      <c r="G11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89">
        <f>RANK(tbl_AQI[[#This Row],[Current AQI]], tbl_AQI[Current AQI], 0)</f>
        <v>3302</v>
      </c>
    </row>
    <row r="1190" spans="1:8" x14ac:dyDescent="0.35">
      <c r="A1190" t="s">
        <v>1065</v>
      </c>
      <c r="B1190" t="s">
        <v>1211</v>
      </c>
      <c r="C1190">
        <v>303</v>
      </c>
      <c r="D1190">
        <v>137</v>
      </c>
      <c r="E1190" t="s">
        <v>15</v>
      </c>
      <c r="F1190">
        <f>tbl_AQI[[#This Row],[Most AQI Reached]]-tbl_AQI[[#This Row],[Current AQI]]</f>
        <v>166</v>
      </c>
      <c r="G11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0">
        <f>RANK(tbl_AQI[[#This Row],[Current AQI]], tbl_AQI[Current AQI], 0)</f>
        <v>2677</v>
      </c>
    </row>
    <row r="1191" spans="1:8" x14ac:dyDescent="0.35">
      <c r="A1191" t="s">
        <v>1065</v>
      </c>
      <c r="B1191" t="s">
        <v>1212</v>
      </c>
      <c r="C1191">
        <v>220</v>
      </c>
      <c r="D1191">
        <v>157</v>
      </c>
      <c r="E1191" t="s">
        <v>7</v>
      </c>
      <c r="F1191">
        <f>tbl_AQI[[#This Row],[Most AQI Reached]]-tbl_AQI[[#This Row],[Current AQI]]</f>
        <v>63</v>
      </c>
      <c r="G11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1">
        <f>RANK(tbl_AQI[[#This Row],[Current AQI]], tbl_AQI[Current AQI], 0)</f>
        <v>2239</v>
      </c>
    </row>
    <row r="1192" spans="1:8" x14ac:dyDescent="0.35">
      <c r="A1192" t="s">
        <v>1065</v>
      </c>
      <c r="B1192" t="s">
        <v>1213</v>
      </c>
      <c r="C1192">
        <v>240</v>
      </c>
      <c r="D1192">
        <v>185</v>
      </c>
      <c r="E1192" t="s">
        <v>17</v>
      </c>
      <c r="F1192">
        <f>tbl_AQI[[#This Row],[Most AQI Reached]]-tbl_AQI[[#This Row],[Current AQI]]</f>
        <v>55</v>
      </c>
      <c r="G11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2">
        <f>RANK(tbl_AQI[[#This Row],[Current AQI]], tbl_AQI[Current AQI], 0)</f>
        <v>1517</v>
      </c>
    </row>
    <row r="1193" spans="1:8" x14ac:dyDescent="0.35">
      <c r="A1193" t="s">
        <v>1065</v>
      </c>
      <c r="B1193" t="s">
        <v>1214</v>
      </c>
      <c r="C1193">
        <v>184</v>
      </c>
      <c r="D1193">
        <v>116</v>
      </c>
      <c r="E1193" t="s">
        <v>11</v>
      </c>
      <c r="F1193">
        <f>tbl_AQI[[#This Row],[Most AQI Reached]]-tbl_AQI[[#This Row],[Current AQI]]</f>
        <v>68</v>
      </c>
      <c r="G11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3">
        <f>RANK(tbl_AQI[[#This Row],[Current AQI]], tbl_AQI[Current AQI], 0)</f>
        <v>3173</v>
      </c>
    </row>
    <row r="1194" spans="1:8" x14ac:dyDescent="0.35">
      <c r="A1194" t="s">
        <v>1065</v>
      </c>
      <c r="B1194" t="s">
        <v>1215</v>
      </c>
      <c r="C1194">
        <v>133</v>
      </c>
      <c r="D1194">
        <v>48</v>
      </c>
      <c r="E1194" t="s">
        <v>11</v>
      </c>
      <c r="F1194">
        <f>tbl_AQI[[#This Row],[Most AQI Reached]]-tbl_AQI[[#This Row],[Current AQI]]</f>
        <v>85</v>
      </c>
      <c r="G11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94">
        <f>RANK(tbl_AQI[[#This Row],[Current AQI]], tbl_AQI[Current AQI], 0)</f>
        <v>4638</v>
      </c>
    </row>
    <row r="1195" spans="1:8" x14ac:dyDescent="0.35">
      <c r="A1195" t="s">
        <v>1065</v>
      </c>
      <c r="B1195" t="s">
        <v>1216</v>
      </c>
      <c r="C1195">
        <v>243</v>
      </c>
      <c r="D1195">
        <v>55</v>
      </c>
      <c r="E1195" t="s">
        <v>33</v>
      </c>
      <c r="F1195">
        <f>tbl_AQI[[#This Row],[Most AQI Reached]]-tbl_AQI[[#This Row],[Current AQI]]</f>
        <v>188</v>
      </c>
      <c r="G11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195">
        <f>RANK(tbl_AQI[[#This Row],[Current AQI]], tbl_AQI[Current AQI], 0)</f>
        <v>4497</v>
      </c>
    </row>
    <row r="1196" spans="1:8" x14ac:dyDescent="0.35">
      <c r="A1196" t="s">
        <v>1065</v>
      </c>
      <c r="B1196" t="s">
        <v>1217</v>
      </c>
      <c r="C1196">
        <v>208</v>
      </c>
      <c r="D1196">
        <v>135</v>
      </c>
      <c r="E1196" t="s">
        <v>17</v>
      </c>
      <c r="F1196">
        <f>tbl_AQI[[#This Row],[Most AQI Reached]]-tbl_AQI[[#This Row],[Current AQI]]</f>
        <v>73</v>
      </c>
      <c r="G11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6">
        <f>RANK(tbl_AQI[[#This Row],[Current AQI]], tbl_AQI[Current AQI], 0)</f>
        <v>2714</v>
      </c>
    </row>
    <row r="1197" spans="1:8" x14ac:dyDescent="0.35">
      <c r="A1197" t="s">
        <v>1065</v>
      </c>
      <c r="B1197" t="s">
        <v>1218</v>
      </c>
      <c r="C1197">
        <v>282</v>
      </c>
      <c r="D1197">
        <v>123</v>
      </c>
      <c r="E1197" t="s">
        <v>21</v>
      </c>
      <c r="F1197">
        <f>tbl_AQI[[#This Row],[Most AQI Reached]]-tbl_AQI[[#This Row],[Current AQI]]</f>
        <v>159</v>
      </c>
      <c r="G11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7">
        <f>RANK(tbl_AQI[[#This Row],[Current AQI]], tbl_AQI[Current AQI], 0)</f>
        <v>2983</v>
      </c>
    </row>
    <row r="1198" spans="1:8" x14ac:dyDescent="0.35">
      <c r="A1198" t="s">
        <v>1065</v>
      </c>
      <c r="B1198" t="s">
        <v>1219</v>
      </c>
      <c r="C1198">
        <v>77</v>
      </c>
      <c r="D1198">
        <v>44</v>
      </c>
      <c r="E1198" t="s">
        <v>21</v>
      </c>
      <c r="F1198">
        <f>tbl_AQI[[#This Row],[Most AQI Reached]]-tbl_AQI[[#This Row],[Current AQI]]</f>
        <v>33</v>
      </c>
      <c r="G11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198">
        <f>RANK(tbl_AQI[[#This Row],[Current AQI]], tbl_AQI[Current AQI], 0)</f>
        <v>4732</v>
      </c>
    </row>
    <row r="1199" spans="1:8" x14ac:dyDescent="0.35">
      <c r="A1199" t="s">
        <v>1065</v>
      </c>
      <c r="B1199" t="s">
        <v>1220</v>
      </c>
      <c r="C1199">
        <v>184</v>
      </c>
      <c r="D1199">
        <v>176</v>
      </c>
      <c r="E1199" t="s">
        <v>11</v>
      </c>
      <c r="F1199">
        <f>tbl_AQI[[#This Row],[Most AQI Reached]]-tbl_AQI[[#This Row],[Current AQI]]</f>
        <v>8</v>
      </c>
      <c r="G11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199">
        <f>RANK(tbl_AQI[[#This Row],[Current AQI]], tbl_AQI[Current AQI], 0)</f>
        <v>1754</v>
      </c>
    </row>
    <row r="1200" spans="1:8" x14ac:dyDescent="0.35">
      <c r="A1200" t="s">
        <v>1065</v>
      </c>
      <c r="B1200" t="s">
        <v>1221</v>
      </c>
      <c r="C1200">
        <v>302</v>
      </c>
      <c r="D1200">
        <v>70</v>
      </c>
      <c r="E1200" t="s">
        <v>11</v>
      </c>
      <c r="F1200">
        <f>tbl_AQI[[#This Row],[Most AQI Reached]]-tbl_AQI[[#This Row],[Current AQI]]</f>
        <v>232</v>
      </c>
      <c r="G12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00">
        <f>RANK(tbl_AQI[[#This Row],[Current AQI]], tbl_AQI[Current AQI], 0)</f>
        <v>4153</v>
      </c>
    </row>
    <row r="1201" spans="1:8" x14ac:dyDescent="0.35">
      <c r="A1201" t="s">
        <v>1065</v>
      </c>
      <c r="B1201" t="s">
        <v>1222</v>
      </c>
      <c r="C1201">
        <v>219</v>
      </c>
      <c r="D1201">
        <v>121</v>
      </c>
      <c r="E1201" t="s">
        <v>9</v>
      </c>
      <c r="F1201">
        <f>tbl_AQI[[#This Row],[Most AQI Reached]]-tbl_AQI[[#This Row],[Current AQI]]</f>
        <v>98</v>
      </c>
      <c r="G12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01">
        <f>RANK(tbl_AQI[[#This Row],[Current AQI]], tbl_AQI[Current AQI], 0)</f>
        <v>3037</v>
      </c>
    </row>
    <row r="1202" spans="1:8" x14ac:dyDescent="0.35">
      <c r="A1202" t="s">
        <v>1065</v>
      </c>
      <c r="B1202" t="s">
        <v>1223</v>
      </c>
      <c r="C1202">
        <v>180</v>
      </c>
      <c r="D1202">
        <v>97</v>
      </c>
      <c r="E1202" t="s">
        <v>33</v>
      </c>
      <c r="F1202">
        <f>tbl_AQI[[#This Row],[Most AQI Reached]]-tbl_AQI[[#This Row],[Current AQI]]</f>
        <v>83</v>
      </c>
      <c r="G12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02">
        <f>RANK(tbl_AQI[[#This Row],[Current AQI]], tbl_AQI[Current AQI], 0)</f>
        <v>3593</v>
      </c>
    </row>
    <row r="1203" spans="1:8" x14ac:dyDescent="0.35">
      <c r="A1203" t="s">
        <v>1065</v>
      </c>
      <c r="B1203" t="s">
        <v>1224</v>
      </c>
      <c r="C1203">
        <v>262</v>
      </c>
      <c r="D1203">
        <v>147</v>
      </c>
      <c r="E1203" t="s">
        <v>11</v>
      </c>
      <c r="F1203">
        <f>tbl_AQI[[#This Row],[Most AQI Reached]]-tbl_AQI[[#This Row],[Current AQI]]</f>
        <v>115</v>
      </c>
      <c r="G12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03">
        <f>RANK(tbl_AQI[[#This Row],[Current AQI]], tbl_AQI[Current AQI], 0)</f>
        <v>2478</v>
      </c>
    </row>
    <row r="1204" spans="1:8" x14ac:dyDescent="0.35">
      <c r="A1204" t="s">
        <v>1065</v>
      </c>
      <c r="B1204" t="s">
        <v>1225</v>
      </c>
      <c r="C1204">
        <v>191</v>
      </c>
      <c r="D1204">
        <v>170</v>
      </c>
      <c r="E1204" t="s">
        <v>33</v>
      </c>
      <c r="F1204">
        <f>tbl_AQI[[#This Row],[Most AQI Reached]]-tbl_AQI[[#This Row],[Current AQI]]</f>
        <v>21</v>
      </c>
      <c r="G12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04">
        <f>RANK(tbl_AQI[[#This Row],[Current AQI]], tbl_AQI[Current AQI], 0)</f>
        <v>1898</v>
      </c>
    </row>
    <row r="1205" spans="1:8" x14ac:dyDescent="0.35">
      <c r="A1205" t="s">
        <v>1065</v>
      </c>
      <c r="B1205" t="s">
        <v>1226</v>
      </c>
      <c r="C1205">
        <v>296</v>
      </c>
      <c r="D1205">
        <v>61</v>
      </c>
      <c r="E1205" t="s">
        <v>33</v>
      </c>
      <c r="F1205">
        <f>tbl_AQI[[#This Row],[Most AQI Reached]]-tbl_AQI[[#This Row],[Current AQI]]</f>
        <v>235</v>
      </c>
      <c r="G12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05">
        <f>RANK(tbl_AQI[[#This Row],[Current AQI]], tbl_AQI[Current AQI], 0)</f>
        <v>4368</v>
      </c>
    </row>
    <row r="1206" spans="1:8" x14ac:dyDescent="0.35">
      <c r="A1206" t="s">
        <v>1065</v>
      </c>
      <c r="B1206" t="s">
        <v>1227</v>
      </c>
      <c r="C1206">
        <v>136</v>
      </c>
      <c r="D1206">
        <v>66</v>
      </c>
      <c r="E1206" t="s">
        <v>9</v>
      </c>
      <c r="F1206">
        <f>tbl_AQI[[#This Row],[Most AQI Reached]]-tbl_AQI[[#This Row],[Current AQI]]</f>
        <v>70</v>
      </c>
      <c r="G12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06">
        <f>RANK(tbl_AQI[[#This Row],[Current AQI]], tbl_AQI[Current AQI], 0)</f>
        <v>4247</v>
      </c>
    </row>
    <row r="1207" spans="1:8" x14ac:dyDescent="0.35">
      <c r="A1207" t="s">
        <v>1065</v>
      </c>
      <c r="B1207" t="s">
        <v>1228</v>
      </c>
      <c r="C1207">
        <v>231</v>
      </c>
      <c r="D1207">
        <v>136</v>
      </c>
      <c r="E1207" t="s">
        <v>9</v>
      </c>
      <c r="F1207">
        <f>tbl_AQI[[#This Row],[Most AQI Reached]]-tbl_AQI[[#This Row],[Current AQI]]</f>
        <v>95</v>
      </c>
      <c r="G12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07">
        <f>RANK(tbl_AQI[[#This Row],[Current AQI]], tbl_AQI[Current AQI], 0)</f>
        <v>2692</v>
      </c>
    </row>
    <row r="1208" spans="1:8" x14ac:dyDescent="0.35">
      <c r="A1208" t="s">
        <v>1065</v>
      </c>
      <c r="B1208" t="s">
        <v>1229</v>
      </c>
      <c r="C1208">
        <v>183</v>
      </c>
      <c r="D1208">
        <v>128</v>
      </c>
      <c r="E1208" t="s">
        <v>15</v>
      </c>
      <c r="F1208">
        <f>tbl_AQI[[#This Row],[Most AQI Reached]]-tbl_AQI[[#This Row],[Current AQI]]</f>
        <v>55</v>
      </c>
      <c r="G12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08">
        <f>RANK(tbl_AQI[[#This Row],[Current AQI]], tbl_AQI[Current AQI], 0)</f>
        <v>2872</v>
      </c>
    </row>
    <row r="1209" spans="1:8" x14ac:dyDescent="0.35">
      <c r="A1209" t="s">
        <v>1065</v>
      </c>
      <c r="B1209" t="s">
        <v>1230</v>
      </c>
      <c r="C1209">
        <v>112</v>
      </c>
      <c r="D1209">
        <v>96</v>
      </c>
      <c r="E1209" t="s">
        <v>9</v>
      </c>
      <c r="F1209">
        <f>tbl_AQI[[#This Row],[Most AQI Reached]]-tbl_AQI[[#This Row],[Current AQI]]</f>
        <v>16</v>
      </c>
      <c r="G12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09">
        <f>RANK(tbl_AQI[[#This Row],[Current AQI]], tbl_AQI[Current AQI], 0)</f>
        <v>3616</v>
      </c>
    </row>
    <row r="1210" spans="1:8" x14ac:dyDescent="0.35">
      <c r="A1210" t="s">
        <v>1065</v>
      </c>
      <c r="B1210" t="s">
        <v>1231</v>
      </c>
      <c r="C1210">
        <v>254</v>
      </c>
      <c r="D1210">
        <v>116</v>
      </c>
      <c r="E1210" t="s">
        <v>33</v>
      </c>
      <c r="F1210">
        <f>tbl_AQI[[#This Row],[Most AQI Reached]]-tbl_AQI[[#This Row],[Current AQI]]</f>
        <v>138</v>
      </c>
      <c r="G12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0">
        <f>RANK(tbl_AQI[[#This Row],[Current AQI]], tbl_AQI[Current AQI], 0)</f>
        <v>3173</v>
      </c>
    </row>
    <row r="1211" spans="1:8" x14ac:dyDescent="0.35">
      <c r="A1211" t="s">
        <v>1065</v>
      </c>
      <c r="B1211" t="s">
        <v>1232</v>
      </c>
      <c r="C1211">
        <v>176</v>
      </c>
      <c r="D1211">
        <v>152</v>
      </c>
      <c r="E1211" t="s">
        <v>9</v>
      </c>
      <c r="F1211">
        <f>tbl_AQI[[#This Row],[Most AQI Reached]]-tbl_AQI[[#This Row],[Current AQI]]</f>
        <v>24</v>
      </c>
      <c r="G12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1">
        <f>RANK(tbl_AQI[[#This Row],[Current AQI]], tbl_AQI[Current AQI], 0)</f>
        <v>2349</v>
      </c>
    </row>
    <row r="1212" spans="1:8" x14ac:dyDescent="0.35">
      <c r="A1212" t="s">
        <v>1065</v>
      </c>
      <c r="B1212" t="s">
        <v>1233</v>
      </c>
      <c r="C1212">
        <v>265</v>
      </c>
      <c r="D1212">
        <v>187</v>
      </c>
      <c r="E1212" t="s">
        <v>17</v>
      </c>
      <c r="F1212">
        <f>tbl_AQI[[#This Row],[Most AQI Reached]]-tbl_AQI[[#This Row],[Current AQI]]</f>
        <v>78</v>
      </c>
      <c r="G12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2">
        <f>RANK(tbl_AQI[[#This Row],[Current AQI]], tbl_AQI[Current AQI], 0)</f>
        <v>1455</v>
      </c>
    </row>
    <row r="1213" spans="1:8" x14ac:dyDescent="0.35">
      <c r="A1213" t="s">
        <v>1065</v>
      </c>
      <c r="B1213" t="s">
        <v>1234</v>
      </c>
      <c r="C1213">
        <v>296</v>
      </c>
      <c r="D1213">
        <v>109</v>
      </c>
      <c r="E1213" t="s">
        <v>33</v>
      </c>
      <c r="F1213">
        <f>tbl_AQI[[#This Row],[Most AQI Reached]]-tbl_AQI[[#This Row],[Current AQI]]</f>
        <v>187</v>
      </c>
      <c r="G12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3">
        <f>RANK(tbl_AQI[[#This Row],[Current AQI]], tbl_AQI[Current AQI], 0)</f>
        <v>3338</v>
      </c>
    </row>
    <row r="1214" spans="1:8" x14ac:dyDescent="0.35">
      <c r="A1214" t="s">
        <v>1065</v>
      </c>
      <c r="B1214" t="s">
        <v>1235</v>
      </c>
      <c r="C1214">
        <v>212</v>
      </c>
      <c r="D1214">
        <v>76</v>
      </c>
      <c r="E1214" t="s">
        <v>21</v>
      </c>
      <c r="F1214">
        <f>tbl_AQI[[#This Row],[Most AQI Reached]]-tbl_AQI[[#This Row],[Current AQI]]</f>
        <v>136</v>
      </c>
      <c r="G12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14">
        <f>RANK(tbl_AQI[[#This Row],[Current AQI]], tbl_AQI[Current AQI], 0)</f>
        <v>4023</v>
      </c>
    </row>
    <row r="1215" spans="1:8" x14ac:dyDescent="0.35">
      <c r="A1215" t="s">
        <v>1065</v>
      </c>
      <c r="B1215" t="s">
        <v>1236</v>
      </c>
      <c r="C1215">
        <v>130</v>
      </c>
      <c r="D1215">
        <v>102</v>
      </c>
      <c r="E1215" t="s">
        <v>17</v>
      </c>
      <c r="F1215">
        <f>tbl_AQI[[#This Row],[Most AQI Reached]]-tbl_AQI[[#This Row],[Current AQI]]</f>
        <v>28</v>
      </c>
      <c r="G12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5">
        <f>RANK(tbl_AQI[[#This Row],[Current AQI]], tbl_AQI[Current AQI], 0)</f>
        <v>3493</v>
      </c>
    </row>
    <row r="1216" spans="1:8" x14ac:dyDescent="0.35">
      <c r="A1216" t="s">
        <v>1065</v>
      </c>
      <c r="B1216" t="s">
        <v>1237</v>
      </c>
      <c r="C1216">
        <v>222</v>
      </c>
      <c r="D1216">
        <v>73</v>
      </c>
      <c r="E1216" t="s">
        <v>17</v>
      </c>
      <c r="F1216">
        <f>tbl_AQI[[#This Row],[Most AQI Reached]]-tbl_AQI[[#This Row],[Current AQI]]</f>
        <v>149</v>
      </c>
      <c r="G12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16">
        <f>RANK(tbl_AQI[[#This Row],[Current AQI]], tbl_AQI[Current AQI], 0)</f>
        <v>4083</v>
      </c>
    </row>
    <row r="1217" spans="1:8" x14ac:dyDescent="0.35">
      <c r="A1217" t="s">
        <v>1065</v>
      </c>
      <c r="B1217" t="s">
        <v>1238</v>
      </c>
      <c r="C1217">
        <v>319</v>
      </c>
      <c r="D1217">
        <v>101</v>
      </c>
      <c r="E1217" t="s">
        <v>11</v>
      </c>
      <c r="F1217">
        <f>tbl_AQI[[#This Row],[Most AQI Reached]]-tbl_AQI[[#This Row],[Current AQI]]</f>
        <v>218</v>
      </c>
      <c r="G12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7">
        <f>RANK(tbl_AQI[[#This Row],[Current AQI]], tbl_AQI[Current AQI], 0)</f>
        <v>3515</v>
      </c>
    </row>
    <row r="1218" spans="1:8" x14ac:dyDescent="0.35">
      <c r="A1218" t="s">
        <v>1065</v>
      </c>
      <c r="B1218" t="s">
        <v>1239</v>
      </c>
      <c r="C1218">
        <v>221</v>
      </c>
      <c r="D1218">
        <v>155</v>
      </c>
      <c r="E1218" t="s">
        <v>33</v>
      </c>
      <c r="F1218">
        <f>tbl_AQI[[#This Row],[Most AQI Reached]]-tbl_AQI[[#This Row],[Current AQI]]</f>
        <v>66</v>
      </c>
      <c r="G12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8">
        <f>RANK(tbl_AQI[[#This Row],[Current AQI]], tbl_AQI[Current AQI], 0)</f>
        <v>2275</v>
      </c>
    </row>
    <row r="1219" spans="1:8" x14ac:dyDescent="0.35">
      <c r="A1219" t="s">
        <v>1065</v>
      </c>
      <c r="B1219" t="s">
        <v>1240</v>
      </c>
      <c r="C1219">
        <v>107</v>
      </c>
      <c r="D1219">
        <v>106</v>
      </c>
      <c r="E1219" t="s">
        <v>15</v>
      </c>
      <c r="F1219">
        <f>tbl_AQI[[#This Row],[Most AQI Reached]]-tbl_AQI[[#This Row],[Current AQI]]</f>
        <v>1</v>
      </c>
      <c r="G12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19">
        <f>RANK(tbl_AQI[[#This Row],[Current AQI]], tbl_AQI[Current AQI], 0)</f>
        <v>3413</v>
      </c>
    </row>
    <row r="1220" spans="1:8" x14ac:dyDescent="0.35">
      <c r="A1220" t="s">
        <v>1065</v>
      </c>
      <c r="B1220" t="s">
        <v>1241</v>
      </c>
      <c r="C1220">
        <v>242</v>
      </c>
      <c r="D1220">
        <v>92</v>
      </c>
      <c r="E1220" t="s">
        <v>15</v>
      </c>
      <c r="F1220">
        <f>tbl_AQI[[#This Row],[Most AQI Reached]]-tbl_AQI[[#This Row],[Current AQI]]</f>
        <v>150</v>
      </c>
      <c r="G12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20">
        <f>RANK(tbl_AQI[[#This Row],[Current AQI]], tbl_AQI[Current AQI], 0)</f>
        <v>3706</v>
      </c>
    </row>
    <row r="1221" spans="1:8" x14ac:dyDescent="0.35">
      <c r="A1221" t="s">
        <v>1065</v>
      </c>
      <c r="B1221" t="s">
        <v>1242</v>
      </c>
      <c r="C1221">
        <v>200</v>
      </c>
      <c r="D1221">
        <v>101</v>
      </c>
      <c r="E1221" t="s">
        <v>21</v>
      </c>
      <c r="F1221">
        <f>tbl_AQI[[#This Row],[Most AQI Reached]]-tbl_AQI[[#This Row],[Current AQI]]</f>
        <v>99</v>
      </c>
      <c r="G12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21">
        <f>RANK(tbl_AQI[[#This Row],[Current AQI]], tbl_AQI[Current AQI], 0)</f>
        <v>3515</v>
      </c>
    </row>
    <row r="1222" spans="1:8" x14ac:dyDescent="0.35">
      <c r="A1222" t="s">
        <v>1065</v>
      </c>
      <c r="B1222" t="s">
        <v>1243</v>
      </c>
      <c r="C1222">
        <v>293</v>
      </c>
      <c r="D1222">
        <v>122</v>
      </c>
      <c r="E1222" t="s">
        <v>17</v>
      </c>
      <c r="F1222">
        <f>tbl_AQI[[#This Row],[Most AQI Reached]]-tbl_AQI[[#This Row],[Current AQI]]</f>
        <v>171</v>
      </c>
      <c r="G12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22">
        <f>RANK(tbl_AQI[[#This Row],[Current AQI]], tbl_AQI[Current AQI], 0)</f>
        <v>3013</v>
      </c>
    </row>
    <row r="1223" spans="1:8" x14ac:dyDescent="0.35">
      <c r="A1223" t="s">
        <v>1065</v>
      </c>
      <c r="B1223" t="s">
        <v>1244</v>
      </c>
      <c r="C1223">
        <v>137</v>
      </c>
      <c r="D1223">
        <v>133</v>
      </c>
      <c r="E1223" t="s">
        <v>7</v>
      </c>
      <c r="F1223">
        <f>tbl_AQI[[#This Row],[Most AQI Reached]]-tbl_AQI[[#This Row],[Current AQI]]</f>
        <v>4</v>
      </c>
      <c r="G12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23">
        <f>RANK(tbl_AQI[[#This Row],[Current AQI]], tbl_AQI[Current AQI], 0)</f>
        <v>2758</v>
      </c>
    </row>
    <row r="1224" spans="1:8" x14ac:dyDescent="0.35">
      <c r="A1224" t="s">
        <v>1065</v>
      </c>
      <c r="B1224" t="s">
        <v>1245</v>
      </c>
      <c r="C1224">
        <v>149</v>
      </c>
      <c r="D1224">
        <v>71</v>
      </c>
      <c r="E1224" t="s">
        <v>15</v>
      </c>
      <c r="F1224">
        <f>tbl_AQI[[#This Row],[Most AQI Reached]]-tbl_AQI[[#This Row],[Current AQI]]</f>
        <v>78</v>
      </c>
      <c r="G12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24">
        <f>RANK(tbl_AQI[[#This Row],[Current AQI]], tbl_AQI[Current AQI], 0)</f>
        <v>4129</v>
      </c>
    </row>
    <row r="1225" spans="1:8" x14ac:dyDescent="0.35">
      <c r="A1225" t="s">
        <v>1065</v>
      </c>
      <c r="B1225" t="s">
        <v>1246</v>
      </c>
      <c r="C1225">
        <v>221</v>
      </c>
      <c r="D1225">
        <v>82</v>
      </c>
      <c r="E1225" t="s">
        <v>9</v>
      </c>
      <c r="F1225">
        <f>tbl_AQI[[#This Row],[Most AQI Reached]]-tbl_AQI[[#This Row],[Current AQI]]</f>
        <v>139</v>
      </c>
      <c r="G12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25">
        <f>RANK(tbl_AQI[[#This Row],[Current AQI]], tbl_AQI[Current AQI], 0)</f>
        <v>3904</v>
      </c>
    </row>
    <row r="1226" spans="1:8" x14ac:dyDescent="0.35">
      <c r="A1226" t="s">
        <v>1065</v>
      </c>
      <c r="B1226" t="s">
        <v>1247</v>
      </c>
      <c r="C1226">
        <v>221</v>
      </c>
      <c r="D1226">
        <v>188</v>
      </c>
      <c r="E1226" t="s">
        <v>21</v>
      </c>
      <c r="F1226">
        <f>tbl_AQI[[#This Row],[Most AQI Reached]]-tbl_AQI[[#This Row],[Current AQI]]</f>
        <v>33</v>
      </c>
      <c r="G12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26">
        <f>RANK(tbl_AQI[[#This Row],[Current AQI]], tbl_AQI[Current AQI], 0)</f>
        <v>1423</v>
      </c>
    </row>
    <row r="1227" spans="1:8" x14ac:dyDescent="0.35">
      <c r="A1227" t="s">
        <v>1065</v>
      </c>
      <c r="B1227" t="s">
        <v>1248</v>
      </c>
      <c r="C1227">
        <v>182</v>
      </c>
      <c r="D1227">
        <v>50</v>
      </c>
      <c r="E1227" t="s">
        <v>9</v>
      </c>
      <c r="F1227">
        <f>tbl_AQI[[#This Row],[Most AQI Reached]]-tbl_AQI[[#This Row],[Current AQI]]</f>
        <v>132</v>
      </c>
      <c r="G12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227">
        <f>RANK(tbl_AQI[[#This Row],[Current AQI]], tbl_AQI[Current AQI], 0)</f>
        <v>4596</v>
      </c>
    </row>
    <row r="1228" spans="1:8" x14ac:dyDescent="0.35">
      <c r="A1228" t="s">
        <v>1065</v>
      </c>
      <c r="B1228" t="s">
        <v>1249</v>
      </c>
      <c r="C1228">
        <v>129</v>
      </c>
      <c r="D1228">
        <v>32</v>
      </c>
      <c r="E1228" t="s">
        <v>21</v>
      </c>
      <c r="F1228">
        <f>tbl_AQI[[#This Row],[Most AQI Reached]]-tbl_AQI[[#This Row],[Current AQI]]</f>
        <v>97</v>
      </c>
      <c r="G12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228">
        <f>RANK(tbl_AQI[[#This Row],[Current AQI]], tbl_AQI[Current AQI], 0)</f>
        <v>4983</v>
      </c>
    </row>
    <row r="1229" spans="1:8" x14ac:dyDescent="0.35">
      <c r="A1229" t="s">
        <v>1065</v>
      </c>
      <c r="B1229" t="s">
        <v>1250</v>
      </c>
      <c r="C1229">
        <v>149</v>
      </c>
      <c r="D1229">
        <v>132</v>
      </c>
      <c r="E1229" t="s">
        <v>33</v>
      </c>
      <c r="F1229">
        <f>tbl_AQI[[#This Row],[Most AQI Reached]]-tbl_AQI[[#This Row],[Current AQI]]</f>
        <v>17</v>
      </c>
      <c r="G12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29">
        <f>RANK(tbl_AQI[[#This Row],[Current AQI]], tbl_AQI[Current AQI], 0)</f>
        <v>2792</v>
      </c>
    </row>
    <row r="1230" spans="1:8" x14ac:dyDescent="0.35">
      <c r="A1230" t="s">
        <v>1065</v>
      </c>
      <c r="B1230" t="s">
        <v>1251</v>
      </c>
      <c r="C1230">
        <v>288</v>
      </c>
      <c r="D1230">
        <v>78</v>
      </c>
      <c r="E1230" t="s">
        <v>15</v>
      </c>
      <c r="F1230">
        <f>tbl_AQI[[#This Row],[Most AQI Reached]]-tbl_AQI[[#This Row],[Current AQI]]</f>
        <v>210</v>
      </c>
      <c r="G12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30">
        <f>RANK(tbl_AQI[[#This Row],[Current AQI]], tbl_AQI[Current AQI], 0)</f>
        <v>3989</v>
      </c>
    </row>
    <row r="1231" spans="1:8" x14ac:dyDescent="0.35">
      <c r="A1231" t="s">
        <v>1065</v>
      </c>
      <c r="B1231" t="s">
        <v>1252</v>
      </c>
      <c r="C1231">
        <v>304</v>
      </c>
      <c r="D1231">
        <v>162</v>
      </c>
      <c r="E1231" t="s">
        <v>7</v>
      </c>
      <c r="F1231">
        <f>tbl_AQI[[#This Row],[Most AQI Reached]]-tbl_AQI[[#This Row],[Current AQI]]</f>
        <v>142</v>
      </c>
      <c r="G12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31">
        <f>RANK(tbl_AQI[[#This Row],[Current AQI]], tbl_AQI[Current AQI], 0)</f>
        <v>2106</v>
      </c>
    </row>
    <row r="1232" spans="1:8" x14ac:dyDescent="0.35">
      <c r="A1232" t="s">
        <v>1065</v>
      </c>
      <c r="B1232" t="s">
        <v>1253</v>
      </c>
      <c r="C1232">
        <v>231</v>
      </c>
      <c r="D1232">
        <v>87</v>
      </c>
      <c r="E1232" t="s">
        <v>11</v>
      </c>
      <c r="F1232">
        <f>tbl_AQI[[#This Row],[Most AQI Reached]]-tbl_AQI[[#This Row],[Current AQI]]</f>
        <v>144</v>
      </c>
      <c r="G12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32">
        <f>RANK(tbl_AQI[[#This Row],[Current AQI]], tbl_AQI[Current AQI], 0)</f>
        <v>3813</v>
      </c>
    </row>
    <row r="1233" spans="1:8" x14ac:dyDescent="0.35">
      <c r="A1233" t="s">
        <v>1065</v>
      </c>
      <c r="B1233" t="s">
        <v>1254</v>
      </c>
      <c r="C1233">
        <v>57</v>
      </c>
      <c r="D1233">
        <v>44</v>
      </c>
      <c r="E1233" t="s">
        <v>7</v>
      </c>
      <c r="F1233">
        <f>tbl_AQI[[#This Row],[Most AQI Reached]]-tbl_AQI[[#This Row],[Current AQI]]</f>
        <v>13</v>
      </c>
      <c r="G12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233">
        <f>RANK(tbl_AQI[[#This Row],[Current AQI]], tbl_AQI[Current AQI], 0)</f>
        <v>4732</v>
      </c>
    </row>
    <row r="1234" spans="1:8" x14ac:dyDescent="0.35">
      <c r="A1234" t="s">
        <v>1065</v>
      </c>
      <c r="B1234" t="s">
        <v>1255</v>
      </c>
      <c r="C1234">
        <v>122</v>
      </c>
      <c r="D1234">
        <v>93</v>
      </c>
      <c r="E1234" t="s">
        <v>21</v>
      </c>
      <c r="F1234">
        <f>tbl_AQI[[#This Row],[Most AQI Reached]]-tbl_AQI[[#This Row],[Current AQI]]</f>
        <v>29</v>
      </c>
      <c r="G12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34">
        <f>RANK(tbl_AQI[[#This Row],[Current AQI]], tbl_AQI[Current AQI], 0)</f>
        <v>3678</v>
      </c>
    </row>
    <row r="1235" spans="1:8" x14ac:dyDescent="0.35">
      <c r="A1235" t="s">
        <v>1065</v>
      </c>
      <c r="B1235" t="s">
        <v>1256</v>
      </c>
      <c r="C1235">
        <v>262</v>
      </c>
      <c r="D1235">
        <v>123</v>
      </c>
      <c r="E1235" t="s">
        <v>21</v>
      </c>
      <c r="F1235">
        <f>tbl_AQI[[#This Row],[Most AQI Reached]]-tbl_AQI[[#This Row],[Current AQI]]</f>
        <v>139</v>
      </c>
      <c r="G12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35">
        <f>RANK(tbl_AQI[[#This Row],[Current AQI]], tbl_AQI[Current AQI], 0)</f>
        <v>2983</v>
      </c>
    </row>
    <row r="1236" spans="1:8" x14ac:dyDescent="0.35">
      <c r="A1236" t="s">
        <v>1065</v>
      </c>
      <c r="B1236" t="s">
        <v>1257</v>
      </c>
      <c r="C1236">
        <v>217</v>
      </c>
      <c r="D1236">
        <v>183</v>
      </c>
      <c r="E1236" t="s">
        <v>7</v>
      </c>
      <c r="F1236">
        <f>tbl_AQI[[#This Row],[Most AQI Reached]]-tbl_AQI[[#This Row],[Current AQI]]</f>
        <v>34</v>
      </c>
      <c r="G12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36">
        <f>RANK(tbl_AQI[[#This Row],[Current AQI]], tbl_AQI[Current AQI], 0)</f>
        <v>1572</v>
      </c>
    </row>
    <row r="1237" spans="1:8" x14ac:dyDescent="0.35">
      <c r="A1237" t="s">
        <v>1065</v>
      </c>
      <c r="B1237" t="s">
        <v>1258</v>
      </c>
      <c r="C1237">
        <v>192</v>
      </c>
      <c r="D1237">
        <v>126</v>
      </c>
      <c r="E1237" t="s">
        <v>33</v>
      </c>
      <c r="F1237">
        <f>tbl_AQI[[#This Row],[Most AQI Reached]]-tbl_AQI[[#This Row],[Current AQI]]</f>
        <v>66</v>
      </c>
      <c r="G12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37">
        <f>RANK(tbl_AQI[[#This Row],[Current AQI]], tbl_AQI[Current AQI], 0)</f>
        <v>2934</v>
      </c>
    </row>
    <row r="1238" spans="1:8" x14ac:dyDescent="0.35">
      <c r="A1238" t="s">
        <v>1065</v>
      </c>
      <c r="B1238" t="s">
        <v>1259</v>
      </c>
      <c r="C1238">
        <v>218</v>
      </c>
      <c r="D1238">
        <v>184</v>
      </c>
      <c r="E1238" t="s">
        <v>15</v>
      </c>
      <c r="F1238">
        <f>tbl_AQI[[#This Row],[Most AQI Reached]]-tbl_AQI[[#This Row],[Current AQI]]</f>
        <v>34</v>
      </c>
      <c r="G12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38">
        <f>RANK(tbl_AQI[[#This Row],[Current AQI]], tbl_AQI[Current AQI], 0)</f>
        <v>1544</v>
      </c>
    </row>
    <row r="1239" spans="1:8" x14ac:dyDescent="0.35">
      <c r="A1239" t="s">
        <v>1065</v>
      </c>
      <c r="B1239" t="s">
        <v>1260</v>
      </c>
      <c r="C1239">
        <v>266</v>
      </c>
      <c r="D1239">
        <v>160</v>
      </c>
      <c r="E1239" t="s">
        <v>15</v>
      </c>
      <c r="F1239">
        <f>tbl_AQI[[#This Row],[Most AQI Reached]]-tbl_AQI[[#This Row],[Current AQI]]</f>
        <v>106</v>
      </c>
      <c r="G12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39">
        <f>RANK(tbl_AQI[[#This Row],[Current AQI]], tbl_AQI[Current AQI], 0)</f>
        <v>2154</v>
      </c>
    </row>
    <row r="1240" spans="1:8" x14ac:dyDescent="0.35">
      <c r="A1240" t="s">
        <v>1065</v>
      </c>
      <c r="B1240" t="s">
        <v>1261</v>
      </c>
      <c r="C1240">
        <v>303</v>
      </c>
      <c r="D1240">
        <v>176</v>
      </c>
      <c r="E1240" t="s">
        <v>17</v>
      </c>
      <c r="F1240">
        <f>tbl_AQI[[#This Row],[Most AQI Reached]]-tbl_AQI[[#This Row],[Current AQI]]</f>
        <v>127</v>
      </c>
      <c r="G12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0">
        <f>RANK(tbl_AQI[[#This Row],[Current AQI]], tbl_AQI[Current AQI], 0)</f>
        <v>1754</v>
      </c>
    </row>
    <row r="1241" spans="1:8" x14ac:dyDescent="0.35">
      <c r="A1241" t="s">
        <v>1065</v>
      </c>
      <c r="B1241" t="s">
        <v>1262</v>
      </c>
      <c r="C1241">
        <v>249</v>
      </c>
      <c r="D1241">
        <v>125</v>
      </c>
      <c r="E1241" t="s">
        <v>11</v>
      </c>
      <c r="F1241">
        <f>tbl_AQI[[#This Row],[Most AQI Reached]]-tbl_AQI[[#This Row],[Current AQI]]</f>
        <v>124</v>
      </c>
      <c r="G12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1">
        <f>RANK(tbl_AQI[[#This Row],[Current AQI]], tbl_AQI[Current AQI], 0)</f>
        <v>2951</v>
      </c>
    </row>
    <row r="1242" spans="1:8" x14ac:dyDescent="0.35">
      <c r="A1242" t="s">
        <v>1065</v>
      </c>
      <c r="B1242" t="s">
        <v>1263</v>
      </c>
      <c r="C1242">
        <v>121</v>
      </c>
      <c r="D1242">
        <v>65</v>
      </c>
      <c r="E1242" t="s">
        <v>15</v>
      </c>
      <c r="F1242">
        <f>tbl_AQI[[#This Row],[Most AQI Reached]]-tbl_AQI[[#This Row],[Current AQI]]</f>
        <v>56</v>
      </c>
      <c r="G12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42">
        <f>RANK(tbl_AQI[[#This Row],[Current AQI]], tbl_AQI[Current AQI], 0)</f>
        <v>4267</v>
      </c>
    </row>
    <row r="1243" spans="1:8" x14ac:dyDescent="0.35">
      <c r="A1243" t="s">
        <v>1065</v>
      </c>
      <c r="B1243" t="s">
        <v>1264</v>
      </c>
      <c r="C1243">
        <v>310</v>
      </c>
      <c r="D1243">
        <v>175</v>
      </c>
      <c r="E1243" t="s">
        <v>9</v>
      </c>
      <c r="F1243">
        <f>tbl_AQI[[#This Row],[Most AQI Reached]]-tbl_AQI[[#This Row],[Current AQI]]</f>
        <v>135</v>
      </c>
      <c r="G12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3">
        <f>RANK(tbl_AQI[[#This Row],[Current AQI]], tbl_AQI[Current AQI], 0)</f>
        <v>1780</v>
      </c>
    </row>
    <row r="1244" spans="1:8" x14ac:dyDescent="0.35">
      <c r="A1244" t="s">
        <v>1065</v>
      </c>
      <c r="B1244" t="s">
        <v>1265</v>
      </c>
      <c r="C1244">
        <v>268</v>
      </c>
      <c r="D1244">
        <v>163</v>
      </c>
      <c r="E1244" t="s">
        <v>9</v>
      </c>
      <c r="F1244">
        <f>tbl_AQI[[#This Row],[Most AQI Reached]]-tbl_AQI[[#This Row],[Current AQI]]</f>
        <v>105</v>
      </c>
      <c r="G12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4">
        <f>RANK(tbl_AQI[[#This Row],[Current AQI]], tbl_AQI[Current AQI], 0)</f>
        <v>2075</v>
      </c>
    </row>
    <row r="1245" spans="1:8" x14ac:dyDescent="0.35">
      <c r="A1245" t="s">
        <v>1065</v>
      </c>
      <c r="B1245" t="s">
        <v>1266</v>
      </c>
      <c r="C1245">
        <v>191</v>
      </c>
      <c r="D1245">
        <v>171</v>
      </c>
      <c r="E1245" t="s">
        <v>11</v>
      </c>
      <c r="F1245">
        <f>tbl_AQI[[#This Row],[Most AQI Reached]]-tbl_AQI[[#This Row],[Current AQI]]</f>
        <v>20</v>
      </c>
      <c r="G12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5">
        <f>RANK(tbl_AQI[[#This Row],[Current AQI]], tbl_AQI[Current AQI], 0)</f>
        <v>1866</v>
      </c>
    </row>
    <row r="1246" spans="1:8" x14ac:dyDescent="0.35">
      <c r="A1246" t="s">
        <v>1065</v>
      </c>
      <c r="B1246" t="s">
        <v>1267</v>
      </c>
      <c r="C1246">
        <v>251</v>
      </c>
      <c r="D1246">
        <v>75</v>
      </c>
      <c r="E1246" t="s">
        <v>15</v>
      </c>
      <c r="F1246">
        <f>tbl_AQI[[#This Row],[Most AQI Reached]]-tbl_AQI[[#This Row],[Current AQI]]</f>
        <v>176</v>
      </c>
      <c r="G12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46">
        <f>RANK(tbl_AQI[[#This Row],[Current AQI]], tbl_AQI[Current AQI], 0)</f>
        <v>4041</v>
      </c>
    </row>
    <row r="1247" spans="1:8" x14ac:dyDescent="0.35">
      <c r="A1247" t="s">
        <v>1065</v>
      </c>
      <c r="B1247" t="s">
        <v>1268</v>
      </c>
      <c r="C1247">
        <v>268</v>
      </c>
      <c r="D1247">
        <v>149</v>
      </c>
      <c r="E1247" t="s">
        <v>21</v>
      </c>
      <c r="F1247">
        <f>tbl_AQI[[#This Row],[Most AQI Reached]]-tbl_AQI[[#This Row],[Current AQI]]</f>
        <v>119</v>
      </c>
      <c r="G12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7">
        <f>RANK(tbl_AQI[[#This Row],[Current AQI]], tbl_AQI[Current AQI], 0)</f>
        <v>2426</v>
      </c>
    </row>
    <row r="1248" spans="1:8" x14ac:dyDescent="0.35">
      <c r="A1248" t="s">
        <v>1065</v>
      </c>
      <c r="B1248" t="s">
        <v>1269</v>
      </c>
      <c r="C1248">
        <v>286</v>
      </c>
      <c r="D1248">
        <v>127</v>
      </c>
      <c r="E1248" t="s">
        <v>17</v>
      </c>
      <c r="F1248">
        <f>tbl_AQI[[#This Row],[Most AQI Reached]]-tbl_AQI[[#This Row],[Current AQI]]</f>
        <v>159</v>
      </c>
      <c r="G12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8">
        <f>RANK(tbl_AQI[[#This Row],[Current AQI]], tbl_AQI[Current AQI], 0)</f>
        <v>2909</v>
      </c>
    </row>
    <row r="1249" spans="1:8" x14ac:dyDescent="0.35">
      <c r="A1249" t="s">
        <v>1065</v>
      </c>
      <c r="B1249" t="s">
        <v>1270</v>
      </c>
      <c r="C1249">
        <v>281</v>
      </c>
      <c r="D1249">
        <v>146</v>
      </c>
      <c r="E1249" t="s">
        <v>33</v>
      </c>
      <c r="F1249">
        <f>tbl_AQI[[#This Row],[Most AQI Reached]]-tbl_AQI[[#This Row],[Current AQI]]</f>
        <v>135</v>
      </c>
      <c r="G12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49">
        <f>RANK(tbl_AQI[[#This Row],[Current AQI]], tbl_AQI[Current AQI], 0)</f>
        <v>2499</v>
      </c>
    </row>
    <row r="1250" spans="1:8" x14ac:dyDescent="0.35">
      <c r="A1250" t="s">
        <v>1065</v>
      </c>
      <c r="B1250" t="s">
        <v>1271</v>
      </c>
      <c r="C1250">
        <v>244</v>
      </c>
      <c r="D1250">
        <v>175</v>
      </c>
      <c r="E1250" t="s">
        <v>17</v>
      </c>
      <c r="F1250">
        <f>tbl_AQI[[#This Row],[Most AQI Reached]]-tbl_AQI[[#This Row],[Current AQI]]</f>
        <v>69</v>
      </c>
      <c r="G12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50">
        <f>RANK(tbl_AQI[[#This Row],[Current AQI]], tbl_AQI[Current AQI], 0)</f>
        <v>1780</v>
      </c>
    </row>
    <row r="1251" spans="1:8" x14ac:dyDescent="0.35">
      <c r="A1251" t="s">
        <v>1065</v>
      </c>
      <c r="B1251" t="s">
        <v>1272</v>
      </c>
      <c r="C1251">
        <v>146</v>
      </c>
      <c r="D1251">
        <v>74</v>
      </c>
      <c r="E1251" t="s">
        <v>15</v>
      </c>
      <c r="F1251">
        <f>tbl_AQI[[#This Row],[Most AQI Reached]]-tbl_AQI[[#This Row],[Current AQI]]</f>
        <v>72</v>
      </c>
      <c r="G12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51">
        <f>RANK(tbl_AQI[[#This Row],[Current AQI]], tbl_AQI[Current AQI], 0)</f>
        <v>4064</v>
      </c>
    </row>
    <row r="1252" spans="1:8" x14ac:dyDescent="0.35">
      <c r="A1252" t="s">
        <v>1065</v>
      </c>
      <c r="B1252" t="s">
        <v>1273</v>
      </c>
      <c r="C1252">
        <v>302</v>
      </c>
      <c r="D1252">
        <v>111</v>
      </c>
      <c r="E1252" t="s">
        <v>17</v>
      </c>
      <c r="F1252">
        <f>tbl_AQI[[#This Row],[Most AQI Reached]]-tbl_AQI[[#This Row],[Current AQI]]</f>
        <v>191</v>
      </c>
      <c r="G12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52">
        <f>RANK(tbl_AQI[[#This Row],[Current AQI]], tbl_AQI[Current AQI], 0)</f>
        <v>3285</v>
      </c>
    </row>
    <row r="1253" spans="1:8" x14ac:dyDescent="0.35">
      <c r="A1253" t="s">
        <v>1065</v>
      </c>
      <c r="B1253" t="s">
        <v>1274</v>
      </c>
      <c r="C1253">
        <v>250</v>
      </c>
      <c r="D1253">
        <v>55</v>
      </c>
      <c r="E1253" t="s">
        <v>33</v>
      </c>
      <c r="F1253">
        <f>tbl_AQI[[#This Row],[Most AQI Reached]]-tbl_AQI[[#This Row],[Current AQI]]</f>
        <v>195</v>
      </c>
      <c r="G12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53">
        <f>RANK(tbl_AQI[[#This Row],[Current AQI]], tbl_AQI[Current AQI], 0)</f>
        <v>4497</v>
      </c>
    </row>
    <row r="1254" spans="1:8" x14ac:dyDescent="0.35">
      <c r="A1254" t="s">
        <v>1065</v>
      </c>
      <c r="B1254" t="s">
        <v>1275</v>
      </c>
      <c r="C1254">
        <v>99</v>
      </c>
      <c r="D1254">
        <v>86</v>
      </c>
      <c r="E1254" t="s">
        <v>17</v>
      </c>
      <c r="F1254">
        <f>tbl_AQI[[#This Row],[Most AQI Reached]]-tbl_AQI[[#This Row],[Current AQI]]</f>
        <v>13</v>
      </c>
      <c r="G12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54">
        <f>RANK(tbl_AQI[[#This Row],[Current AQI]], tbl_AQI[Current AQI], 0)</f>
        <v>3830</v>
      </c>
    </row>
    <row r="1255" spans="1:8" x14ac:dyDescent="0.35">
      <c r="A1255" t="s">
        <v>1065</v>
      </c>
      <c r="B1255" t="s">
        <v>1276</v>
      </c>
      <c r="C1255">
        <v>212</v>
      </c>
      <c r="D1255">
        <v>160</v>
      </c>
      <c r="E1255" t="s">
        <v>11</v>
      </c>
      <c r="F1255">
        <f>tbl_AQI[[#This Row],[Most AQI Reached]]-tbl_AQI[[#This Row],[Current AQI]]</f>
        <v>52</v>
      </c>
      <c r="G12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55">
        <f>RANK(tbl_AQI[[#This Row],[Current AQI]], tbl_AQI[Current AQI], 0)</f>
        <v>2154</v>
      </c>
    </row>
    <row r="1256" spans="1:8" x14ac:dyDescent="0.35">
      <c r="A1256" t="s">
        <v>1065</v>
      </c>
      <c r="B1256" t="s">
        <v>1277</v>
      </c>
      <c r="C1256">
        <v>301</v>
      </c>
      <c r="D1256">
        <v>82</v>
      </c>
      <c r="E1256" t="s">
        <v>33</v>
      </c>
      <c r="F1256">
        <f>tbl_AQI[[#This Row],[Most AQI Reached]]-tbl_AQI[[#This Row],[Current AQI]]</f>
        <v>219</v>
      </c>
      <c r="G12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56">
        <f>RANK(tbl_AQI[[#This Row],[Current AQI]], tbl_AQI[Current AQI], 0)</f>
        <v>3904</v>
      </c>
    </row>
    <row r="1257" spans="1:8" x14ac:dyDescent="0.35">
      <c r="A1257" t="s">
        <v>1065</v>
      </c>
      <c r="B1257" t="s">
        <v>1278</v>
      </c>
      <c r="C1257">
        <v>275</v>
      </c>
      <c r="D1257">
        <v>115</v>
      </c>
      <c r="E1257" t="s">
        <v>11</v>
      </c>
      <c r="F1257">
        <f>tbl_AQI[[#This Row],[Most AQI Reached]]-tbl_AQI[[#This Row],[Current AQI]]</f>
        <v>160</v>
      </c>
      <c r="G12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57">
        <f>RANK(tbl_AQI[[#This Row],[Current AQI]], tbl_AQI[Current AQI], 0)</f>
        <v>3206</v>
      </c>
    </row>
    <row r="1258" spans="1:8" x14ac:dyDescent="0.35">
      <c r="A1258" t="s">
        <v>1065</v>
      </c>
      <c r="B1258" t="s">
        <v>1279</v>
      </c>
      <c r="C1258">
        <v>270</v>
      </c>
      <c r="D1258">
        <v>186</v>
      </c>
      <c r="E1258" t="s">
        <v>17</v>
      </c>
      <c r="F1258">
        <f>tbl_AQI[[#This Row],[Most AQI Reached]]-tbl_AQI[[#This Row],[Current AQI]]</f>
        <v>84</v>
      </c>
      <c r="G12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58">
        <f>RANK(tbl_AQI[[#This Row],[Current AQI]], tbl_AQI[Current AQI], 0)</f>
        <v>1478</v>
      </c>
    </row>
    <row r="1259" spans="1:8" x14ac:dyDescent="0.35">
      <c r="A1259" t="s">
        <v>1065</v>
      </c>
      <c r="B1259" t="s">
        <v>1280</v>
      </c>
      <c r="C1259">
        <v>189</v>
      </c>
      <c r="D1259">
        <v>138</v>
      </c>
      <c r="E1259" t="s">
        <v>9</v>
      </c>
      <c r="F1259">
        <f>tbl_AQI[[#This Row],[Most AQI Reached]]-tbl_AQI[[#This Row],[Current AQI]]</f>
        <v>51</v>
      </c>
      <c r="G12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59">
        <f>RANK(tbl_AQI[[#This Row],[Current AQI]], tbl_AQI[Current AQI], 0)</f>
        <v>2660</v>
      </c>
    </row>
    <row r="1260" spans="1:8" x14ac:dyDescent="0.35">
      <c r="A1260" t="s">
        <v>1065</v>
      </c>
      <c r="B1260" t="s">
        <v>1281</v>
      </c>
      <c r="C1260">
        <v>197</v>
      </c>
      <c r="D1260">
        <v>43</v>
      </c>
      <c r="E1260" t="s">
        <v>15</v>
      </c>
      <c r="F1260">
        <f>tbl_AQI[[#This Row],[Most AQI Reached]]-tbl_AQI[[#This Row],[Current AQI]]</f>
        <v>154</v>
      </c>
      <c r="G12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260">
        <f>RANK(tbl_AQI[[#This Row],[Current AQI]], tbl_AQI[Current AQI], 0)</f>
        <v>4752</v>
      </c>
    </row>
    <row r="1261" spans="1:8" x14ac:dyDescent="0.35">
      <c r="A1261" t="s">
        <v>1065</v>
      </c>
      <c r="B1261" t="s">
        <v>1282</v>
      </c>
      <c r="C1261">
        <v>233</v>
      </c>
      <c r="D1261">
        <v>113</v>
      </c>
      <c r="E1261" t="s">
        <v>33</v>
      </c>
      <c r="F1261">
        <f>tbl_AQI[[#This Row],[Most AQI Reached]]-tbl_AQI[[#This Row],[Current AQI]]</f>
        <v>120</v>
      </c>
      <c r="G12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61">
        <f>RANK(tbl_AQI[[#This Row],[Current AQI]], tbl_AQI[Current AQI], 0)</f>
        <v>3243</v>
      </c>
    </row>
    <row r="1262" spans="1:8" x14ac:dyDescent="0.35">
      <c r="A1262" t="s">
        <v>1065</v>
      </c>
      <c r="B1262" t="s">
        <v>1283</v>
      </c>
      <c r="C1262">
        <v>223</v>
      </c>
      <c r="D1262">
        <v>130</v>
      </c>
      <c r="E1262" t="s">
        <v>11</v>
      </c>
      <c r="F1262">
        <f>tbl_AQI[[#This Row],[Most AQI Reached]]-tbl_AQI[[#This Row],[Current AQI]]</f>
        <v>93</v>
      </c>
      <c r="G12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62">
        <f>RANK(tbl_AQI[[#This Row],[Current AQI]], tbl_AQI[Current AQI], 0)</f>
        <v>2832</v>
      </c>
    </row>
    <row r="1263" spans="1:8" x14ac:dyDescent="0.35">
      <c r="A1263" t="s">
        <v>1065</v>
      </c>
      <c r="B1263" t="s">
        <v>1284</v>
      </c>
      <c r="C1263">
        <v>161</v>
      </c>
      <c r="D1263">
        <v>106</v>
      </c>
      <c r="E1263" t="s">
        <v>33</v>
      </c>
      <c r="F1263">
        <f>tbl_AQI[[#This Row],[Most AQI Reached]]-tbl_AQI[[#This Row],[Current AQI]]</f>
        <v>55</v>
      </c>
      <c r="G12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63">
        <f>RANK(tbl_AQI[[#This Row],[Current AQI]], tbl_AQI[Current AQI], 0)</f>
        <v>3413</v>
      </c>
    </row>
    <row r="1264" spans="1:8" x14ac:dyDescent="0.35">
      <c r="A1264" t="s">
        <v>1065</v>
      </c>
      <c r="B1264" t="s">
        <v>1285</v>
      </c>
      <c r="C1264">
        <v>204</v>
      </c>
      <c r="D1264">
        <v>68</v>
      </c>
      <c r="E1264" t="s">
        <v>33</v>
      </c>
      <c r="F1264">
        <f>tbl_AQI[[#This Row],[Most AQI Reached]]-tbl_AQI[[#This Row],[Current AQI]]</f>
        <v>136</v>
      </c>
      <c r="G12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64">
        <f>RANK(tbl_AQI[[#This Row],[Current AQI]], tbl_AQI[Current AQI], 0)</f>
        <v>4204</v>
      </c>
    </row>
    <row r="1265" spans="1:8" x14ac:dyDescent="0.35">
      <c r="A1265" t="s">
        <v>1065</v>
      </c>
      <c r="B1265" t="s">
        <v>1286</v>
      </c>
      <c r="C1265">
        <v>212</v>
      </c>
      <c r="D1265">
        <v>80</v>
      </c>
      <c r="E1265" t="s">
        <v>33</v>
      </c>
      <c r="F1265">
        <f>tbl_AQI[[#This Row],[Most AQI Reached]]-tbl_AQI[[#This Row],[Current AQI]]</f>
        <v>132</v>
      </c>
      <c r="G12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65">
        <f>RANK(tbl_AQI[[#This Row],[Current AQI]], tbl_AQI[Current AQI], 0)</f>
        <v>3948</v>
      </c>
    </row>
    <row r="1266" spans="1:8" x14ac:dyDescent="0.35">
      <c r="A1266" t="s">
        <v>1065</v>
      </c>
      <c r="B1266" t="s">
        <v>1287</v>
      </c>
      <c r="C1266">
        <v>213</v>
      </c>
      <c r="D1266">
        <v>172</v>
      </c>
      <c r="E1266" t="s">
        <v>21</v>
      </c>
      <c r="F1266">
        <f>tbl_AQI[[#This Row],[Most AQI Reached]]-tbl_AQI[[#This Row],[Current AQI]]</f>
        <v>41</v>
      </c>
      <c r="G12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66">
        <f>RANK(tbl_AQI[[#This Row],[Current AQI]], tbl_AQI[Current AQI], 0)</f>
        <v>1852</v>
      </c>
    </row>
    <row r="1267" spans="1:8" x14ac:dyDescent="0.35">
      <c r="A1267" t="s">
        <v>1065</v>
      </c>
      <c r="B1267" t="s">
        <v>1288</v>
      </c>
      <c r="C1267">
        <v>179</v>
      </c>
      <c r="D1267">
        <v>98</v>
      </c>
      <c r="E1267" t="s">
        <v>21</v>
      </c>
      <c r="F1267">
        <f>tbl_AQI[[#This Row],[Most AQI Reached]]-tbl_AQI[[#This Row],[Current AQI]]</f>
        <v>81</v>
      </c>
      <c r="G12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67">
        <f>RANK(tbl_AQI[[#This Row],[Current AQI]], tbl_AQI[Current AQI], 0)</f>
        <v>3574</v>
      </c>
    </row>
    <row r="1268" spans="1:8" x14ac:dyDescent="0.35">
      <c r="A1268" t="s">
        <v>1065</v>
      </c>
      <c r="B1268" t="s">
        <v>1289</v>
      </c>
      <c r="C1268">
        <v>284</v>
      </c>
      <c r="D1268">
        <v>53</v>
      </c>
      <c r="E1268" t="s">
        <v>33</v>
      </c>
      <c r="F1268">
        <f>tbl_AQI[[#This Row],[Most AQI Reached]]-tbl_AQI[[#This Row],[Current AQI]]</f>
        <v>231</v>
      </c>
      <c r="G12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68">
        <f>RANK(tbl_AQI[[#This Row],[Current AQI]], tbl_AQI[Current AQI], 0)</f>
        <v>4544</v>
      </c>
    </row>
    <row r="1269" spans="1:8" x14ac:dyDescent="0.35">
      <c r="A1269" t="s">
        <v>1065</v>
      </c>
      <c r="B1269" t="s">
        <v>1290</v>
      </c>
      <c r="C1269">
        <v>262</v>
      </c>
      <c r="D1269">
        <v>77</v>
      </c>
      <c r="E1269" t="s">
        <v>17</v>
      </c>
      <c r="F1269">
        <f>tbl_AQI[[#This Row],[Most AQI Reached]]-tbl_AQI[[#This Row],[Current AQI]]</f>
        <v>185</v>
      </c>
      <c r="G12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69">
        <f>RANK(tbl_AQI[[#This Row],[Current AQI]], tbl_AQI[Current AQI], 0)</f>
        <v>4006</v>
      </c>
    </row>
    <row r="1270" spans="1:8" x14ac:dyDescent="0.35">
      <c r="A1270" t="s">
        <v>1065</v>
      </c>
      <c r="B1270" t="s">
        <v>1291</v>
      </c>
      <c r="C1270">
        <v>248</v>
      </c>
      <c r="D1270">
        <v>160</v>
      </c>
      <c r="E1270" t="s">
        <v>33</v>
      </c>
      <c r="F1270">
        <f>tbl_AQI[[#This Row],[Most AQI Reached]]-tbl_AQI[[#This Row],[Current AQI]]</f>
        <v>88</v>
      </c>
      <c r="G12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70">
        <f>RANK(tbl_AQI[[#This Row],[Current AQI]], tbl_AQI[Current AQI], 0)</f>
        <v>2154</v>
      </c>
    </row>
    <row r="1271" spans="1:8" x14ac:dyDescent="0.35">
      <c r="A1271" t="s">
        <v>1065</v>
      </c>
      <c r="B1271" t="s">
        <v>1292</v>
      </c>
      <c r="C1271">
        <v>299</v>
      </c>
      <c r="D1271">
        <v>95</v>
      </c>
      <c r="E1271" t="s">
        <v>11</v>
      </c>
      <c r="F1271">
        <f>tbl_AQI[[#This Row],[Most AQI Reached]]-tbl_AQI[[#This Row],[Current AQI]]</f>
        <v>204</v>
      </c>
      <c r="G12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271">
        <f>RANK(tbl_AQI[[#This Row],[Current AQI]], tbl_AQI[Current AQI], 0)</f>
        <v>3634</v>
      </c>
    </row>
    <row r="1272" spans="1:8" x14ac:dyDescent="0.35">
      <c r="A1272" t="s">
        <v>1065</v>
      </c>
      <c r="B1272" t="s">
        <v>1293</v>
      </c>
      <c r="C1272">
        <v>310</v>
      </c>
      <c r="D1272">
        <v>180</v>
      </c>
      <c r="E1272" t="s">
        <v>15</v>
      </c>
      <c r="F1272">
        <f>tbl_AQI[[#This Row],[Most AQI Reached]]-tbl_AQI[[#This Row],[Current AQI]]</f>
        <v>130</v>
      </c>
      <c r="G12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72">
        <f>RANK(tbl_AQI[[#This Row],[Current AQI]], tbl_AQI[Current AQI], 0)</f>
        <v>1635</v>
      </c>
    </row>
    <row r="1273" spans="1:8" x14ac:dyDescent="0.35">
      <c r="A1273" t="s">
        <v>1065</v>
      </c>
      <c r="B1273" t="s">
        <v>1294</v>
      </c>
      <c r="C1273">
        <v>276</v>
      </c>
      <c r="D1273">
        <v>132</v>
      </c>
      <c r="E1273" t="s">
        <v>15</v>
      </c>
      <c r="F1273">
        <f>tbl_AQI[[#This Row],[Most AQI Reached]]-tbl_AQI[[#This Row],[Current AQI]]</f>
        <v>144</v>
      </c>
      <c r="G12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73">
        <f>RANK(tbl_AQI[[#This Row],[Current AQI]], tbl_AQI[Current AQI], 0)</f>
        <v>2792</v>
      </c>
    </row>
    <row r="1274" spans="1:8" x14ac:dyDescent="0.35">
      <c r="A1274" t="s">
        <v>1065</v>
      </c>
      <c r="B1274" t="s">
        <v>1295</v>
      </c>
      <c r="C1274">
        <v>144</v>
      </c>
      <c r="D1274">
        <v>110</v>
      </c>
      <c r="E1274" t="s">
        <v>7</v>
      </c>
      <c r="F1274">
        <f>tbl_AQI[[#This Row],[Most AQI Reached]]-tbl_AQI[[#This Row],[Current AQI]]</f>
        <v>34</v>
      </c>
      <c r="G12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74">
        <f>RANK(tbl_AQI[[#This Row],[Current AQI]], tbl_AQI[Current AQI], 0)</f>
        <v>3302</v>
      </c>
    </row>
    <row r="1275" spans="1:8" x14ac:dyDescent="0.35">
      <c r="A1275" t="s">
        <v>1065</v>
      </c>
      <c r="B1275" t="s">
        <v>1296</v>
      </c>
      <c r="C1275">
        <v>182</v>
      </c>
      <c r="D1275">
        <v>45</v>
      </c>
      <c r="E1275" t="s">
        <v>7</v>
      </c>
      <c r="F1275">
        <f>tbl_AQI[[#This Row],[Most AQI Reached]]-tbl_AQI[[#This Row],[Current AQI]]</f>
        <v>137</v>
      </c>
      <c r="G12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275">
        <f>RANK(tbl_AQI[[#This Row],[Current AQI]], tbl_AQI[Current AQI], 0)</f>
        <v>4702</v>
      </c>
    </row>
    <row r="1276" spans="1:8" x14ac:dyDescent="0.35">
      <c r="A1276" t="s">
        <v>1297</v>
      </c>
      <c r="B1276" t="s">
        <v>1298</v>
      </c>
      <c r="C1276">
        <v>410</v>
      </c>
      <c r="D1276">
        <v>289</v>
      </c>
      <c r="E1276" t="s">
        <v>9</v>
      </c>
      <c r="F1276">
        <f>tbl_AQI[[#This Row],[Most AQI Reached]]-tbl_AQI[[#This Row],[Current AQI]]</f>
        <v>121</v>
      </c>
      <c r="G12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76">
        <f>RANK(tbl_AQI[[#This Row],[Current AQI]], tbl_AQI[Current AQI], 0)</f>
        <v>910</v>
      </c>
    </row>
    <row r="1277" spans="1:8" x14ac:dyDescent="0.35">
      <c r="A1277" t="s">
        <v>1297</v>
      </c>
      <c r="B1277" t="s">
        <v>1299</v>
      </c>
      <c r="C1277">
        <v>482</v>
      </c>
      <c r="D1277">
        <v>475</v>
      </c>
      <c r="E1277" t="s">
        <v>21</v>
      </c>
      <c r="F1277">
        <f>tbl_AQI[[#This Row],[Most AQI Reached]]-tbl_AQI[[#This Row],[Current AQI]]</f>
        <v>7</v>
      </c>
      <c r="G12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277">
        <f>RANK(tbl_AQI[[#This Row],[Current AQI]], tbl_AQI[Current AQI], 0)</f>
        <v>22</v>
      </c>
    </row>
    <row r="1278" spans="1:8" x14ac:dyDescent="0.35">
      <c r="A1278" t="s">
        <v>1297</v>
      </c>
      <c r="B1278" t="s">
        <v>1300</v>
      </c>
      <c r="C1278">
        <v>476</v>
      </c>
      <c r="D1278">
        <v>346</v>
      </c>
      <c r="E1278" t="s">
        <v>11</v>
      </c>
      <c r="F1278">
        <f>tbl_AQI[[#This Row],[Most AQI Reached]]-tbl_AQI[[#This Row],[Current AQI]]</f>
        <v>130</v>
      </c>
      <c r="G12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278">
        <f>RANK(tbl_AQI[[#This Row],[Current AQI]], tbl_AQI[Current AQI], 0)</f>
        <v>646</v>
      </c>
    </row>
    <row r="1279" spans="1:8" x14ac:dyDescent="0.35">
      <c r="A1279" t="s">
        <v>1297</v>
      </c>
      <c r="B1279" t="s">
        <v>1301</v>
      </c>
      <c r="C1279">
        <v>351</v>
      </c>
      <c r="D1279">
        <v>349</v>
      </c>
      <c r="E1279" t="s">
        <v>17</v>
      </c>
      <c r="F1279">
        <f>tbl_AQI[[#This Row],[Most AQI Reached]]-tbl_AQI[[#This Row],[Current AQI]]</f>
        <v>2</v>
      </c>
      <c r="G12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279">
        <f>RANK(tbl_AQI[[#This Row],[Current AQI]], tbl_AQI[Current AQI], 0)</f>
        <v>631</v>
      </c>
    </row>
    <row r="1280" spans="1:8" x14ac:dyDescent="0.35">
      <c r="A1280" t="s">
        <v>1297</v>
      </c>
      <c r="B1280" t="s">
        <v>1302</v>
      </c>
      <c r="C1280">
        <v>352</v>
      </c>
      <c r="D1280">
        <v>300</v>
      </c>
      <c r="E1280" t="s">
        <v>21</v>
      </c>
      <c r="F1280">
        <f>tbl_AQI[[#This Row],[Most AQI Reached]]-tbl_AQI[[#This Row],[Current AQI]]</f>
        <v>52</v>
      </c>
      <c r="G12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80">
        <f>RANK(tbl_AQI[[#This Row],[Current AQI]], tbl_AQI[Current AQI], 0)</f>
        <v>851</v>
      </c>
    </row>
    <row r="1281" spans="1:8" x14ac:dyDescent="0.35">
      <c r="A1281" t="s">
        <v>1297</v>
      </c>
      <c r="B1281" t="s">
        <v>1303</v>
      </c>
      <c r="C1281">
        <v>466</v>
      </c>
      <c r="D1281">
        <v>344</v>
      </c>
      <c r="E1281" t="s">
        <v>15</v>
      </c>
      <c r="F1281">
        <f>tbl_AQI[[#This Row],[Most AQI Reached]]-tbl_AQI[[#This Row],[Current AQI]]</f>
        <v>122</v>
      </c>
      <c r="G12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281">
        <f>RANK(tbl_AQI[[#This Row],[Current AQI]], tbl_AQI[Current AQI], 0)</f>
        <v>656</v>
      </c>
    </row>
    <row r="1282" spans="1:8" x14ac:dyDescent="0.35">
      <c r="A1282" t="s">
        <v>1297</v>
      </c>
      <c r="B1282" t="s">
        <v>1304</v>
      </c>
      <c r="C1282">
        <v>372</v>
      </c>
      <c r="D1282">
        <v>350</v>
      </c>
      <c r="E1282" t="s">
        <v>11</v>
      </c>
      <c r="F1282">
        <f>tbl_AQI[[#This Row],[Most AQI Reached]]-tbl_AQI[[#This Row],[Current AQI]]</f>
        <v>22</v>
      </c>
      <c r="G12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282">
        <f>RANK(tbl_AQI[[#This Row],[Current AQI]], tbl_AQI[Current AQI], 0)</f>
        <v>621</v>
      </c>
    </row>
    <row r="1283" spans="1:8" x14ac:dyDescent="0.35">
      <c r="A1283" t="s">
        <v>1297</v>
      </c>
      <c r="B1283" t="s">
        <v>1305</v>
      </c>
      <c r="C1283">
        <v>272</v>
      </c>
      <c r="D1283">
        <v>234</v>
      </c>
      <c r="E1283" t="s">
        <v>17</v>
      </c>
      <c r="F1283">
        <f>tbl_AQI[[#This Row],[Most AQI Reached]]-tbl_AQI[[#This Row],[Current AQI]]</f>
        <v>38</v>
      </c>
      <c r="G12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83">
        <f>RANK(tbl_AQI[[#This Row],[Current AQI]], tbl_AQI[Current AQI], 0)</f>
        <v>1172</v>
      </c>
    </row>
    <row r="1284" spans="1:8" x14ac:dyDescent="0.35">
      <c r="A1284" t="s">
        <v>1297</v>
      </c>
      <c r="B1284" t="s">
        <v>1306</v>
      </c>
      <c r="C1284">
        <v>485</v>
      </c>
      <c r="D1284">
        <v>270</v>
      </c>
      <c r="E1284" t="s">
        <v>17</v>
      </c>
      <c r="F1284">
        <f>tbl_AQI[[#This Row],[Most AQI Reached]]-tbl_AQI[[#This Row],[Current AQI]]</f>
        <v>215</v>
      </c>
      <c r="G12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84">
        <f>RANK(tbl_AQI[[#This Row],[Current AQI]], tbl_AQI[Current AQI], 0)</f>
        <v>999</v>
      </c>
    </row>
    <row r="1285" spans="1:8" x14ac:dyDescent="0.35">
      <c r="A1285" t="s">
        <v>1297</v>
      </c>
      <c r="B1285" t="s">
        <v>1307</v>
      </c>
      <c r="C1285">
        <v>463</v>
      </c>
      <c r="D1285">
        <v>410</v>
      </c>
      <c r="E1285" t="s">
        <v>17</v>
      </c>
      <c r="F1285">
        <f>tbl_AQI[[#This Row],[Most AQI Reached]]-tbl_AQI[[#This Row],[Current AQI]]</f>
        <v>53</v>
      </c>
      <c r="G12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285">
        <f>RANK(tbl_AQI[[#This Row],[Current AQI]], tbl_AQI[Current AQI], 0)</f>
        <v>341</v>
      </c>
    </row>
    <row r="1286" spans="1:8" x14ac:dyDescent="0.35">
      <c r="A1286" t="s">
        <v>1297</v>
      </c>
      <c r="B1286" t="s">
        <v>1308</v>
      </c>
      <c r="C1286">
        <v>431</v>
      </c>
      <c r="D1286">
        <v>287</v>
      </c>
      <c r="E1286" t="s">
        <v>17</v>
      </c>
      <c r="F1286">
        <f>tbl_AQI[[#This Row],[Most AQI Reached]]-tbl_AQI[[#This Row],[Current AQI]]</f>
        <v>144</v>
      </c>
      <c r="G12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86">
        <f>RANK(tbl_AQI[[#This Row],[Current AQI]], tbl_AQI[Current AQI], 0)</f>
        <v>920</v>
      </c>
    </row>
    <row r="1287" spans="1:8" x14ac:dyDescent="0.35">
      <c r="A1287" t="s">
        <v>1297</v>
      </c>
      <c r="B1287" t="s">
        <v>1309</v>
      </c>
      <c r="C1287">
        <v>357</v>
      </c>
      <c r="D1287">
        <v>224</v>
      </c>
      <c r="E1287" t="s">
        <v>33</v>
      </c>
      <c r="F1287">
        <f>tbl_AQI[[#This Row],[Most AQI Reached]]-tbl_AQI[[#This Row],[Current AQI]]</f>
        <v>133</v>
      </c>
      <c r="G12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87">
        <f>RANK(tbl_AQI[[#This Row],[Current AQI]], tbl_AQI[Current AQI], 0)</f>
        <v>1211</v>
      </c>
    </row>
    <row r="1288" spans="1:8" x14ac:dyDescent="0.35">
      <c r="A1288" t="s">
        <v>1297</v>
      </c>
      <c r="B1288" t="s">
        <v>1310</v>
      </c>
      <c r="C1288">
        <v>465</v>
      </c>
      <c r="D1288">
        <v>461</v>
      </c>
      <c r="E1288" t="s">
        <v>21</v>
      </c>
      <c r="F1288">
        <f>tbl_AQI[[#This Row],[Most AQI Reached]]-tbl_AQI[[#This Row],[Current AQI]]</f>
        <v>4</v>
      </c>
      <c r="G12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288">
        <f>RANK(tbl_AQI[[#This Row],[Current AQI]], tbl_AQI[Current AQI], 0)</f>
        <v>102</v>
      </c>
    </row>
    <row r="1289" spans="1:8" x14ac:dyDescent="0.35">
      <c r="A1289" t="s">
        <v>1297</v>
      </c>
      <c r="B1289" t="s">
        <v>1311</v>
      </c>
      <c r="C1289">
        <v>496</v>
      </c>
      <c r="D1289">
        <v>440</v>
      </c>
      <c r="E1289" t="s">
        <v>9</v>
      </c>
      <c r="F1289">
        <f>tbl_AQI[[#This Row],[Most AQI Reached]]-tbl_AQI[[#This Row],[Current AQI]]</f>
        <v>56</v>
      </c>
      <c r="G12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289">
        <f>RANK(tbl_AQI[[#This Row],[Current AQI]], tbl_AQI[Current AQI], 0)</f>
        <v>208</v>
      </c>
    </row>
    <row r="1290" spans="1:8" x14ac:dyDescent="0.35">
      <c r="A1290" t="s">
        <v>1297</v>
      </c>
      <c r="B1290" t="s">
        <v>1312</v>
      </c>
      <c r="C1290">
        <v>188</v>
      </c>
      <c r="D1290">
        <v>174</v>
      </c>
      <c r="E1290" t="s">
        <v>9</v>
      </c>
      <c r="F1290">
        <f>tbl_AQI[[#This Row],[Most AQI Reached]]-tbl_AQI[[#This Row],[Current AQI]]</f>
        <v>14</v>
      </c>
      <c r="G12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90">
        <f>RANK(tbl_AQI[[#This Row],[Current AQI]], tbl_AQI[Current AQI], 0)</f>
        <v>1803</v>
      </c>
    </row>
    <row r="1291" spans="1:8" x14ac:dyDescent="0.35">
      <c r="A1291" t="s">
        <v>1297</v>
      </c>
      <c r="B1291" t="s">
        <v>1313</v>
      </c>
      <c r="C1291">
        <v>386</v>
      </c>
      <c r="D1291">
        <v>259</v>
      </c>
      <c r="E1291" t="s">
        <v>9</v>
      </c>
      <c r="F1291">
        <f>tbl_AQI[[#This Row],[Most AQI Reached]]-tbl_AQI[[#This Row],[Current AQI]]</f>
        <v>127</v>
      </c>
      <c r="G12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91">
        <f>RANK(tbl_AQI[[#This Row],[Current AQI]], tbl_AQI[Current AQI], 0)</f>
        <v>1046</v>
      </c>
    </row>
    <row r="1292" spans="1:8" x14ac:dyDescent="0.35">
      <c r="A1292" t="s">
        <v>1297</v>
      </c>
      <c r="B1292" t="s">
        <v>1314</v>
      </c>
      <c r="C1292">
        <v>244</v>
      </c>
      <c r="D1292">
        <v>197</v>
      </c>
      <c r="E1292" t="s">
        <v>33</v>
      </c>
      <c r="F1292">
        <f>tbl_AQI[[#This Row],[Most AQI Reached]]-tbl_AQI[[#This Row],[Current AQI]]</f>
        <v>47</v>
      </c>
      <c r="G12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92">
        <f>RANK(tbl_AQI[[#This Row],[Current AQI]], tbl_AQI[Current AQI], 0)</f>
        <v>1323</v>
      </c>
    </row>
    <row r="1293" spans="1:8" x14ac:dyDescent="0.35">
      <c r="A1293" t="s">
        <v>1297</v>
      </c>
      <c r="B1293" t="s">
        <v>1315</v>
      </c>
      <c r="C1293">
        <v>410</v>
      </c>
      <c r="D1293">
        <v>242</v>
      </c>
      <c r="E1293" t="s">
        <v>21</v>
      </c>
      <c r="F1293">
        <f>tbl_AQI[[#This Row],[Most AQI Reached]]-tbl_AQI[[#This Row],[Current AQI]]</f>
        <v>168</v>
      </c>
      <c r="G12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93">
        <f>RANK(tbl_AQI[[#This Row],[Current AQI]], tbl_AQI[Current AQI], 0)</f>
        <v>1134</v>
      </c>
    </row>
    <row r="1294" spans="1:8" x14ac:dyDescent="0.35">
      <c r="A1294" t="s">
        <v>1297</v>
      </c>
      <c r="B1294" t="s">
        <v>1316</v>
      </c>
      <c r="C1294">
        <v>456</v>
      </c>
      <c r="D1294">
        <v>272</v>
      </c>
      <c r="E1294" t="s">
        <v>9</v>
      </c>
      <c r="F1294">
        <f>tbl_AQI[[#This Row],[Most AQI Reached]]-tbl_AQI[[#This Row],[Current AQI]]</f>
        <v>184</v>
      </c>
      <c r="G12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94">
        <f>RANK(tbl_AQI[[#This Row],[Current AQI]], tbl_AQI[Current AQI], 0)</f>
        <v>991</v>
      </c>
    </row>
    <row r="1295" spans="1:8" x14ac:dyDescent="0.35">
      <c r="A1295" t="s">
        <v>1297</v>
      </c>
      <c r="B1295" t="s">
        <v>1317</v>
      </c>
      <c r="C1295">
        <v>476</v>
      </c>
      <c r="D1295">
        <v>403</v>
      </c>
      <c r="E1295" t="s">
        <v>17</v>
      </c>
      <c r="F1295">
        <f>tbl_AQI[[#This Row],[Most AQI Reached]]-tbl_AQI[[#This Row],[Current AQI]]</f>
        <v>73</v>
      </c>
      <c r="G12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295">
        <f>RANK(tbl_AQI[[#This Row],[Current AQI]], tbl_AQI[Current AQI], 0)</f>
        <v>378</v>
      </c>
    </row>
    <row r="1296" spans="1:8" x14ac:dyDescent="0.35">
      <c r="A1296" t="s">
        <v>1297</v>
      </c>
      <c r="B1296" t="s">
        <v>1318</v>
      </c>
      <c r="C1296">
        <v>444</v>
      </c>
      <c r="D1296">
        <v>194</v>
      </c>
      <c r="E1296" t="s">
        <v>17</v>
      </c>
      <c r="F1296">
        <f>tbl_AQI[[#This Row],[Most AQI Reached]]-tbl_AQI[[#This Row],[Current AQI]]</f>
        <v>250</v>
      </c>
      <c r="G12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296">
        <f>RANK(tbl_AQI[[#This Row],[Current AQI]], tbl_AQI[Current AQI], 0)</f>
        <v>1334</v>
      </c>
    </row>
    <row r="1297" spans="1:8" x14ac:dyDescent="0.35">
      <c r="A1297" t="s">
        <v>1297</v>
      </c>
      <c r="B1297" t="s">
        <v>1319</v>
      </c>
      <c r="C1297">
        <v>405</v>
      </c>
      <c r="D1297">
        <v>404</v>
      </c>
      <c r="E1297" t="s">
        <v>7</v>
      </c>
      <c r="F1297">
        <f>tbl_AQI[[#This Row],[Most AQI Reached]]-tbl_AQI[[#This Row],[Current AQI]]</f>
        <v>1</v>
      </c>
      <c r="G12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297">
        <f>RANK(tbl_AQI[[#This Row],[Current AQI]], tbl_AQI[Current AQI], 0)</f>
        <v>374</v>
      </c>
    </row>
    <row r="1298" spans="1:8" x14ac:dyDescent="0.35">
      <c r="A1298" t="s">
        <v>1297</v>
      </c>
      <c r="B1298" t="s">
        <v>1320</v>
      </c>
      <c r="C1298">
        <v>434</v>
      </c>
      <c r="D1298">
        <v>301</v>
      </c>
      <c r="E1298" t="s">
        <v>11</v>
      </c>
      <c r="F1298">
        <f>tbl_AQI[[#This Row],[Most AQI Reached]]-tbl_AQI[[#This Row],[Current AQI]]</f>
        <v>133</v>
      </c>
      <c r="G12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298">
        <f>RANK(tbl_AQI[[#This Row],[Current AQI]], tbl_AQI[Current AQI], 0)</f>
        <v>844</v>
      </c>
    </row>
    <row r="1299" spans="1:8" x14ac:dyDescent="0.35">
      <c r="A1299" t="s">
        <v>1297</v>
      </c>
      <c r="B1299" t="s">
        <v>1321</v>
      </c>
      <c r="C1299">
        <v>238</v>
      </c>
      <c r="D1299">
        <v>220</v>
      </c>
      <c r="E1299" t="s">
        <v>17</v>
      </c>
      <c r="F1299">
        <f>tbl_AQI[[#This Row],[Most AQI Reached]]-tbl_AQI[[#This Row],[Current AQI]]</f>
        <v>18</v>
      </c>
      <c r="G12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299">
        <f>RANK(tbl_AQI[[#This Row],[Current AQI]], tbl_AQI[Current AQI], 0)</f>
        <v>1227</v>
      </c>
    </row>
    <row r="1300" spans="1:8" x14ac:dyDescent="0.35">
      <c r="A1300" t="s">
        <v>1297</v>
      </c>
      <c r="B1300" t="s">
        <v>1322</v>
      </c>
      <c r="C1300">
        <v>418</v>
      </c>
      <c r="D1300">
        <v>321</v>
      </c>
      <c r="E1300" t="s">
        <v>17</v>
      </c>
      <c r="F1300">
        <f>tbl_AQI[[#This Row],[Most AQI Reached]]-tbl_AQI[[#This Row],[Current AQI]]</f>
        <v>97</v>
      </c>
      <c r="G13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00">
        <f>RANK(tbl_AQI[[#This Row],[Current AQI]], tbl_AQI[Current AQI], 0)</f>
        <v>770</v>
      </c>
    </row>
    <row r="1301" spans="1:8" x14ac:dyDescent="0.35">
      <c r="A1301" t="s">
        <v>1297</v>
      </c>
      <c r="B1301" t="s">
        <v>1323</v>
      </c>
      <c r="C1301">
        <v>409</v>
      </c>
      <c r="D1301">
        <v>377</v>
      </c>
      <c r="E1301" t="s">
        <v>17</v>
      </c>
      <c r="F1301">
        <f>tbl_AQI[[#This Row],[Most AQI Reached]]-tbl_AQI[[#This Row],[Current AQI]]</f>
        <v>32</v>
      </c>
      <c r="G13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01">
        <f>RANK(tbl_AQI[[#This Row],[Current AQI]], tbl_AQI[Current AQI], 0)</f>
        <v>500</v>
      </c>
    </row>
    <row r="1302" spans="1:8" x14ac:dyDescent="0.35">
      <c r="A1302" t="s">
        <v>1297</v>
      </c>
      <c r="B1302" t="s">
        <v>1324</v>
      </c>
      <c r="C1302">
        <v>485</v>
      </c>
      <c r="D1302">
        <v>479</v>
      </c>
      <c r="E1302" t="s">
        <v>17</v>
      </c>
      <c r="F1302">
        <f>tbl_AQI[[#This Row],[Most AQI Reached]]-tbl_AQI[[#This Row],[Current AQI]]</f>
        <v>6</v>
      </c>
      <c r="G13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02">
        <f>RANK(tbl_AQI[[#This Row],[Current AQI]], tbl_AQI[Current AQI], 0)</f>
        <v>6</v>
      </c>
    </row>
    <row r="1303" spans="1:8" x14ac:dyDescent="0.35">
      <c r="A1303" t="s">
        <v>1297</v>
      </c>
      <c r="B1303" t="s">
        <v>1325</v>
      </c>
      <c r="C1303">
        <v>442</v>
      </c>
      <c r="D1303">
        <v>442</v>
      </c>
      <c r="E1303" t="s">
        <v>7</v>
      </c>
      <c r="F1303">
        <f>tbl_AQI[[#This Row],[Most AQI Reached]]-tbl_AQI[[#This Row],[Current AQI]]</f>
        <v>0</v>
      </c>
      <c r="G13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03">
        <f>RANK(tbl_AQI[[#This Row],[Current AQI]], tbl_AQI[Current AQI], 0)</f>
        <v>198</v>
      </c>
    </row>
    <row r="1304" spans="1:8" x14ac:dyDescent="0.35">
      <c r="A1304" t="s">
        <v>1297</v>
      </c>
      <c r="B1304" t="s">
        <v>1326</v>
      </c>
      <c r="C1304">
        <v>492</v>
      </c>
      <c r="D1304">
        <v>453</v>
      </c>
      <c r="E1304" t="s">
        <v>17</v>
      </c>
      <c r="F1304">
        <f>tbl_AQI[[#This Row],[Most AQI Reached]]-tbl_AQI[[#This Row],[Current AQI]]</f>
        <v>39</v>
      </c>
      <c r="G13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04">
        <f>RANK(tbl_AQI[[#This Row],[Current AQI]], tbl_AQI[Current AQI], 0)</f>
        <v>141</v>
      </c>
    </row>
    <row r="1305" spans="1:8" x14ac:dyDescent="0.35">
      <c r="A1305" t="s">
        <v>1297</v>
      </c>
      <c r="B1305" t="s">
        <v>1327</v>
      </c>
      <c r="C1305">
        <v>487</v>
      </c>
      <c r="D1305">
        <v>462</v>
      </c>
      <c r="E1305" t="s">
        <v>17</v>
      </c>
      <c r="F1305">
        <f>tbl_AQI[[#This Row],[Most AQI Reached]]-tbl_AQI[[#This Row],[Current AQI]]</f>
        <v>25</v>
      </c>
      <c r="G13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05">
        <f>RANK(tbl_AQI[[#This Row],[Current AQI]], tbl_AQI[Current AQI], 0)</f>
        <v>92</v>
      </c>
    </row>
    <row r="1306" spans="1:8" x14ac:dyDescent="0.35">
      <c r="A1306" t="s">
        <v>1297</v>
      </c>
      <c r="B1306" t="s">
        <v>1328</v>
      </c>
      <c r="C1306">
        <v>429</v>
      </c>
      <c r="D1306">
        <v>375</v>
      </c>
      <c r="E1306" t="s">
        <v>17</v>
      </c>
      <c r="F1306">
        <f>tbl_AQI[[#This Row],[Most AQI Reached]]-tbl_AQI[[#This Row],[Current AQI]]</f>
        <v>54</v>
      </c>
      <c r="G13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06">
        <f>RANK(tbl_AQI[[#This Row],[Current AQI]], tbl_AQI[Current AQI], 0)</f>
        <v>514</v>
      </c>
    </row>
    <row r="1307" spans="1:8" x14ac:dyDescent="0.35">
      <c r="A1307" t="s">
        <v>1297</v>
      </c>
      <c r="B1307" t="s">
        <v>1329</v>
      </c>
      <c r="C1307">
        <v>238</v>
      </c>
      <c r="D1307">
        <v>197</v>
      </c>
      <c r="E1307" t="s">
        <v>17</v>
      </c>
      <c r="F1307">
        <f>tbl_AQI[[#This Row],[Most AQI Reached]]-tbl_AQI[[#This Row],[Current AQI]]</f>
        <v>41</v>
      </c>
      <c r="G13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07">
        <f>RANK(tbl_AQI[[#This Row],[Current AQI]], tbl_AQI[Current AQI], 0)</f>
        <v>1323</v>
      </c>
    </row>
    <row r="1308" spans="1:8" x14ac:dyDescent="0.35">
      <c r="A1308" t="s">
        <v>1297</v>
      </c>
      <c r="B1308" t="s">
        <v>1330</v>
      </c>
      <c r="C1308">
        <v>466</v>
      </c>
      <c r="D1308">
        <v>453</v>
      </c>
      <c r="E1308" t="s">
        <v>9</v>
      </c>
      <c r="F1308">
        <f>tbl_AQI[[#This Row],[Most AQI Reached]]-tbl_AQI[[#This Row],[Current AQI]]</f>
        <v>13</v>
      </c>
      <c r="G13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08">
        <f>RANK(tbl_AQI[[#This Row],[Current AQI]], tbl_AQI[Current AQI], 0)</f>
        <v>141</v>
      </c>
    </row>
    <row r="1309" spans="1:8" x14ac:dyDescent="0.35">
      <c r="A1309" t="s">
        <v>1297</v>
      </c>
      <c r="B1309" t="s">
        <v>1331</v>
      </c>
      <c r="C1309">
        <v>495</v>
      </c>
      <c r="D1309">
        <v>239</v>
      </c>
      <c r="E1309" t="s">
        <v>17</v>
      </c>
      <c r="F1309">
        <f>tbl_AQI[[#This Row],[Most AQI Reached]]-tbl_AQI[[#This Row],[Current AQI]]</f>
        <v>256</v>
      </c>
      <c r="G13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09">
        <f>RANK(tbl_AQI[[#This Row],[Current AQI]], tbl_AQI[Current AQI], 0)</f>
        <v>1145</v>
      </c>
    </row>
    <row r="1310" spans="1:8" x14ac:dyDescent="0.35">
      <c r="A1310" t="s">
        <v>1297</v>
      </c>
      <c r="B1310" t="s">
        <v>1332</v>
      </c>
      <c r="C1310">
        <v>449</v>
      </c>
      <c r="D1310">
        <v>276</v>
      </c>
      <c r="E1310" t="s">
        <v>17</v>
      </c>
      <c r="F1310">
        <f>tbl_AQI[[#This Row],[Most AQI Reached]]-tbl_AQI[[#This Row],[Current AQI]]</f>
        <v>173</v>
      </c>
      <c r="G13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10">
        <f>RANK(tbl_AQI[[#This Row],[Current AQI]], tbl_AQI[Current AQI], 0)</f>
        <v>974</v>
      </c>
    </row>
    <row r="1311" spans="1:8" x14ac:dyDescent="0.35">
      <c r="A1311" t="s">
        <v>1297</v>
      </c>
      <c r="B1311" t="s">
        <v>1333</v>
      </c>
      <c r="C1311">
        <v>408</v>
      </c>
      <c r="D1311">
        <v>346</v>
      </c>
      <c r="E1311" t="s">
        <v>17</v>
      </c>
      <c r="F1311">
        <f>tbl_AQI[[#This Row],[Most AQI Reached]]-tbl_AQI[[#This Row],[Current AQI]]</f>
        <v>62</v>
      </c>
      <c r="G13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11">
        <f>RANK(tbl_AQI[[#This Row],[Current AQI]], tbl_AQI[Current AQI], 0)</f>
        <v>646</v>
      </c>
    </row>
    <row r="1312" spans="1:8" x14ac:dyDescent="0.35">
      <c r="A1312" t="s">
        <v>1297</v>
      </c>
      <c r="B1312" t="s">
        <v>1334</v>
      </c>
      <c r="C1312">
        <v>433</v>
      </c>
      <c r="D1312">
        <v>195</v>
      </c>
      <c r="E1312" t="s">
        <v>17</v>
      </c>
      <c r="F1312">
        <f>tbl_AQI[[#This Row],[Most AQI Reached]]-tbl_AQI[[#This Row],[Current AQI]]</f>
        <v>238</v>
      </c>
      <c r="G13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12">
        <f>RANK(tbl_AQI[[#This Row],[Current AQI]], tbl_AQI[Current AQI], 0)</f>
        <v>1332</v>
      </c>
    </row>
    <row r="1313" spans="1:8" x14ac:dyDescent="0.35">
      <c r="A1313" t="s">
        <v>1297</v>
      </c>
      <c r="B1313" t="s">
        <v>1335</v>
      </c>
      <c r="C1313">
        <v>380</v>
      </c>
      <c r="D1313">
        <v>267</v>
      </c>
      <c r="E1313" t="s">
        <v>9</v>
      </c>
      <c r="F1313">
        <f>tbl_AQI[[#This Row],[Most AQI Reached]]-tbl_AQI[[#This Row],[Current AQI]]</f>
        <v>113</v>
      </c>
      <c r="G13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13">
        <f>RANK(tbl_AQI[[#This Row],[Current AQI]], tbl_AQI[Current AQI], 0)</f>
        <v>1011</v>
      </c>
    </row>
    <row r="1314" spans="1:8" x14ac:dyDescent="0.35">
      <c r="A1314" t="s">
        <v>1297</v>
      </c>
      <c r="B1314" t="s">
        <v>1336</v>
      </c>
      <c r="C1314">
        <v>322</v>
      </c>
      <c r="D1314">
        <v>322</v>
      </c>
      <c r="E1314" t="s">
        <v>9</v>
      </c>
      <c r="F1314">
        <f>tbl_AQI[[#This Row],[Most AQI Reached]]-tbl_AQI[[#This Row],[Current AQI]]</f>
        <v>0</v>
      </c>
      <c r="G13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14">
        <f>RANK(tbl_AQI[[#This Row],[Current AQI]], tbl_AQI[Current AQI], 0)</f>
        <v>769</v>
      </c>
    </row>
    <row r="1315" spans="1:8" x14ac:dyDescent="0.35">
      <c r="A1315" t="s">
        <v>1297</v>
      </c>
      <c r="B1315" t="s">
        <v>1337</v>
      </c>
      <c r="C1315">
        <v>422</v>
      </c>
      <c r="D1315">
        <v>360</v>
      </c>
      <c r="E1315" t="s">
        <v>7</v>
      </c>
      <c r="F1315">
        <f>tbl_AQI[[#This Row],[Most AQI Reached]]-tbl_AQI[[#This Row],[Current AQI]]</f>
        <v>62</v>
      </c>
      <c r="G13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15">
        <f>RANK(tbl_AQI[[#This Row],[Current AQI]], tbl_AQI[Current AQI], 0)</f>
        <v>574</v>
      </c>
    </row>
    <row r="1316" spans="1:8" x14ac:dyDescent="0.35">
      <c r="A1316" t="s">
        <v>1297</v>
      </c>
      <c r="B1316" t="s">
        <v>1338</v>
      </c>
      <c r="C1316">
        <v>308</v>
      </c>
      <c r="D1316">
        <v>184</v>
      </c>
      <c r="E1316" t="s">
        <v>17</v>
      </c>
      <c r="F1316">
        <f>tbl_AQI[[#This Row],[Most AQI Reached]]-tbl_AQI[[#This Row],[Current AQI]]</f>
        <v>124</v>
      </c>
      <c r="G13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16">
        <f>RANK(tbl_AQI[[#This Row],[Current AQI]], tbl_AQI[Current AQI], 0)</f>
        <v>1544</v>
      </c>
    </row>
    <row r="1317" spans="1:8" x14ac:dyDescent="0.35">
      <c r="A1317" t="s">
        <v>1297</v>
      </c>
      <c r="B1317" t="s">
        <v>1339</v>
      </c>
      <c r="C1317">
        <v>372</v>
      </c>
      <c r="D1317">
        <v>360</v>
      </c>
      <c r="E1317" t="s">
        <v>7</v>
      </c>
      <c r="F1317">
        <f>tbl_AQI[[#This Row],[Most AQI Reached]]-tbl_AQI[[#This Row],[Current AQI]]</f>
        <v>12</v>
      </c>
      <c r="G13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17">
        <f>RANK(tbl_AQI[[#This Row],[Current AQI]], tbl_AQI[Current AQI], 0)</f>
        <v>574</v>
      </c>
    </row>
    <row r="1318" spans="1:8" x14ac:dyDescent="0.35">
      <c r="A1318" t="s">
        <v>1297</v>
      </c>
      <c r="B1318" t="s">
        <v>1340</v>
      </c>
      <c r="C1318">
        <v>458</v>
      </c>
      <c r="D1318">
        <v>456</v>
      </c>
      <c r="E1318" t="s">
        <v>17</v>
      </c>
      <c r="F1318">
        <f>tbl_AQI[[#This Row],[Most AQI Reached]]-tbl_AQI[[#This Row],[Current AQI]]</f>
        <v>2</v>
      </c>
      <c r="G13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18">
        <f>RANK(tbl_AQI[[#This Row],[Current AQI]], tbl_AQI[Current AQI], 0)</f>
        <v>122</v>
      </c>
    </row>
    <row r="1319" spans="1:8" x14ac:dyDescent="0.35">
      <c r="A1319" t="s">
        <v>1297</v>
      </c>
      <c r="B1319" t="s">
        <v>1341</v>
      </c>
      <c r="C1319">
        <v>494</v>
      </c>
      <c r="D1319">
        <v>390</v>
      </c>
      <c r="E1319" t="s">
        <v>21</v>
      </c>
      <c r="F1319">
        <f>tbl_AQI[[#This Row],[Most AQI Reached]]-tbl_AQI[[#This Row],[Current AQI]]</f>
        <v>104</v>
      </c>
      <c r="G13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19">
        <f>RANK(tbl_AQI[[#This Row],[Current AQI]], tbl_AQI[Current AQI], 0)</f>
        <v>441</v>
      </c>
    </row>
    <row r="1320" spans="1:8" x14ac:dyDescent="0.35">
      <c r="A1320" t="s">
        <v>1297</v>
      </c>
      <c r="B1320" t="s">
        <v>1342</v>
      </c>
      <c r="C1320">
        <v>393</v>
      </c>
      <c r="D1320">
        <v>352</v>
      </c>
      <c r="E1320" t="s">
        <v>7</v>
      </c>
      <c r="F1320">
        <f>tbl_AQI[[#This Row],[Most AQI Reached]]-tbl_AQI[[#This Row],[Current AQI]]</f>
        <v>41</v>
      </c>
      <c r="G13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20">
        <f>RANK(tbl_AQI[[#This Row],[Current AQI]], tbl_AQI[Current AQI], 0)</f>
        <v>614</v>
      </c>
    </row>
    <row r="1321" spans="1:8" x14ac:dyDescent="0.35">
      <c r="A1321" t="s">
        <v>1297</v>
      </c>
      <c r="B1321" t="s">
        <v>1343</v>
      </c>
      <c r="C1321">
        <v>411</v>
      </c>
      <c r="D1321">
        <v>297</v>
      </c>
      <c r="E1321" t="s">
        <v>7</v>
      </c>
      <c r="F1321">
        <f>tbl_AQI[[#This Row],[Most AQI Reached]]-tbl_AQI[[#This Row],[Current AQI]]</f>
        <v>114</v>
      </c>
      <c r="G13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21">
        <f>RANK(tbl_AQI[[#This Row],[Current AQI]], tbl_AQI[Current AQI], 0)</f>
        <v>868</v>
      </c>
    </row>
    <row r="1322" spans="1:8" x14ac:dyDescent="0.35">
      <c r="A1322" t="s">
        <v>1297</v>
      </c>
      <c r="B1322" t="s">
        <v>1344</v>
      </c>
      <c r="C1322">
        <v>457</v>
      </c>
      <c r="D1322">
        <v>447</v>
      </c>
      <c r="E1322" t="s">
        <v>17</v>
      </c>
      <c r="F1322">
        <f>tbl_AQI[[#This Row],[Most AQI Reached]]-tbl_AQI[[#This Row],[Current AQI]]</f>
        <v>10</v>
      </c>
      <c r="G13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22">
        <f>RANK(tbl_AQI[[#This Row],[Current AQI]], tbl_AQI[Current AQI], 0)</f>
        <v>178</v>
      </c>
    </row>
    <row r="1323" spans="1:8" x14ac:dyDescent="0.35">
      <c r="A1323" t="s">
        <v>1297</v>
      </c>
      <c r="B1323" t="s">
        <v>1345</v>
      </c>
      <c r="C1323">
        <v>374</v>
      </c>
      <c r="D1323">
        <v>354</v>
      </c>
      <c r="E1323" t="s">
        <v>21</v>
      </c>
      <c r="F1323">
        <f>tbl_AQI[[#This Row],[Most AQI Reached]]-tbl_AQI[[#This Row],[Current AQI]]</f>
        <v>20</v>
      </c>
      <c r="G13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23">
        <f>RANK(tbl_AQI[[#This Row],[Current AQI]], tbl_AQI[Current AQI], 0)</f>
        <v>602</v>
      </c>
    </row>
    <row r="1324" spans="1:8" x14ac:dyDescent="0.35">
      <c r="A1324" t="s">
        <v>1297</v>
      </c>
      <c r="B1324" t="s">
        <v>1346</v>
      </c>
      <c r="C1324">
        <v>446</v>
      </c>
      <c r="D1324">
        <v>442</v>
      </c>
      <c r="E1324" t="s">
        <v>21</v>
      </c>
      <c r="F1324">
        <f>tbl_AQI[[#This Row],[Most AQI Reached]]-tbl_AQI[[#This Row],[Current AQI]]</f>
        <v>4</v>
      </c>
      <c r="G13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24">
        <f>RANK(tbl_AQI[[#This Row],[Current AQI]], tbl_AQI[Current AQI], 0)</f>
        <v>198</v>
      </c>
    </row>
    <row r="1325" spans="1:8" x14ac:dyDescent="0.35">
      <c r="A1325" t="s">
        <v>1297</v>
      </c>
      <c r="B1325" t="s">
        <v>1347</v>
      </c>
      <c r="C1325">
        <v>494</v>
      </c>
      <c r="D1325">
        <v>353</v>
      </c>
      <c r="E1325" t="s">
        <v>7</v>
      </c>
      <c r="F1325">
        <f>tbl_AQI[[#This Row],[Most AQI Reached]]-tbl_AQI[[#This Row],[Current AQI]]</f>
        <v>141</v>
      </c>
      <c r="G13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25">
        <f>RANK(tbl_AQI[[#This Row],[Current AQI]], tbl_AQI[Current AQI], 0)</f>
        <v>611</v>
      </c>
    </row>
    <row r="1326" spans="1:8" x14ac:dyDescent="0.35">
      <c r="A1326" t="s">
        <v>1297</v>
      </c>
      <c r="B1326" t="s">
        <v>1348</v>
      </c>
      <c r="C1326">
        <v>346</v>
      </c>
      <c r="D1326">
        <v>335</v>
      </c>
      <c r="E1326" t="s">
        <v>15</v>
      </c>
      <c r="F1326">
        <f>tbl_AQI[[#This Row],[Most AQI Reached]]-tbl_AQI[[#This Row],[Current AQI]]</f>
        <v>11</v>
      </c>
      <c r="G13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26">
        <f>RANK(tbl_AQI[[#This Row],[Current AQI]], tbl_AQI[Current AQI], 0)</f>
        <v>712</v>
      </c>
    </row>
    <row r="1327" spans="1:8" x14ac:dyDescent="0.35">
      <c r="A1327" t="s">
        <v>1297</v>
      </c>
      <c r="B1327" t="s">
        <v>1349</v>
      </c>
      <c r="C1327">
        <v>451</v>
      </c>
      <c r="D1327">
        <v>254</v>
      </c>
      <c r="E1327" t="s">
        <v>7</v>
      </c>
      <c r="F1327">
        <f>tbl_AQI[[#This Row],[Most AQI Reached]]-tbl_AQI[[#This Row],[Current AQI]]</f>
        <v>197</v>
      </c>
      <c r="G13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27">
        <f>RANK(tbl_AQI[[#This Row],[Current AQI]], tbl_AQI[Current AQI], 0)</f>
        <v>1073</v>
      </c>
    </row>
    <row r="1328" spans="1:8" x14ac:dyDescent="0.35">
      <c r="A1328" t="s">
        <v>1297</v>
      </c>
      <c r="B1328" t="s">
        <v>1350</v>
      </c>
      <c r="C1328">
        <v>444</v>
      </c>
      <c r="D1328">
        <v>188</v>
      </c>
      <c r="E1328" t="s">
        <v>17</v>
      </c>
      <c r="F1328">
        <f>tbl_AQI[[#This Row],[Most AQI Reached]]-tbl_AQI[[#This Row],[Current AQI]]</f>
        <v>256</v>
      </c>
      <c r="G13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28">
        <f>RANK(tbl_AQI[[#This Row],[Current AQI]], tbl_AQI[Current AQI], 0)</f>
        <v>1423</v>
      </c>
    </row>
    <row r="1329" spans="1:8" x14ac:dyDescent="0.35">
      <c r="A1329" t="s">
        <v>1297</v>
      </c>
      <c r="B1329" t="s">
        <v>1351</v>
      </c>
      <c r="C1329">
        <v>478</v>
      </c>
      <c r="D1329">
        <v>310</v>
      </c>
      <c r="E1329" t="s">
        <v>17</v>
      </c>
      <c r="F1329">
        <f>tbl_AQI[[#This Row],[Most AQI Reached]]-tbl_AQI[[#This Row],[Current AQI]]</f>
        <v>168</v>
      </c>
      <c r="G13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29">
        <f>RANK(tbl_AQI[[#This Row],[Current AQI]], tbl_AQI[Current AQI], 0)</f>
        <v>818</v>
      </c>
    </row>
    <row r="1330" spans="1:8" x14ac:dyDescent="0.35">
      <c r="A1330" t="s">
        <v>1297</v>
      </c>
      <c r="B1330" t="s">
        <v>1352</v>
      </c>
      <c r="C1330">
        <v>325</v>
      </c>
      <c r="D1330">
        <v>158</v>
      </c>
      <c r="E1330" t="s">
        <v>17</v>
      </c>
      <c r="F1330">
        <f>tbl_AQI[[#This Row],[Most AQI Reached]]-tbl_AQI[[#This Row],[Current AQI]]</f>
        <v>167</v>
      </c>
      <c r="G13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30">
        <f>RANK(tbl_AQI[[#This Row],[Current AQI]], tbl_AQI[Current AQI], 0)</f>
        <v>2207</v>
      </c>
    </row>
    <row r="1331" spans="1:8" x14ac:dyDescent="0.35">
      <c r="A1331" t="s">
        <v>1297</v>
      </c>
      <c r="B1331" t="s">
        <v>1353</v>
      </c>
      <c r="C1331">
        <v>328</v>
      </c>
      <c r="D1331">
        <v>290</v>
      </c>
      <c r="E1331" t="s">
        <v>17</v>
      </c>
      <c r="F1331">
        <f>tbl_AQI[[#This Row],[Most AQI Reached]]-tbl_AQI[[#This Row],[Current AQI]]</f>
        <v>38</v>
      </c>
      <c r="G13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31">
        <f>RANK(tbl_AQI[[#This Row],[Current AQI]], tbl_AQI[Current AQI], 0)</f>
        <v>905</v>
      </c>
    </row>
    <row r="1332" spans="1:8" x14ac:dyDescent="0.35">
      <c r="A1332" t="s">
        <v>1297</v>
      </c>
      <c r="B1332" t="s">
        <v>1354</v>
      </c>
      <c r="C1332">
        <v>472</v>
      </c>
      <c r="D1332">
        <v>358</v>
      </c>
      <c r="E1332" t="s">
        <v>21</v>
      </c>
      <c r="F1332">
        <f>tbl_AQI[[#This Row],[Most AQI Reached]]-tbl_AQI[[#This Row],[Current AQI]]</f>
        <v>114</v>
      </c>
      <c r="G13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32">
        <f>RANK(tbl_AQI[[#This Row],[Current AQI]], tbl_AQI[Current AQI], 0)</f>
        <v>586</v>
      </c>
    </row>
    <row r="1333" spans="1:8" x14ac:dyDescent="0.35">
      <c r="A1333" t="s">
        <v>1297</v>
      </c>
      <c r="B1333" t="s">
        <v>1355</v>
      </c>
      <c r="C1333">
        <v>452</v>
      </c>
      <c r="D1333">
        <v>409</v>
      </c>
      <c r="E1333" t="s">
        <v>7</v>
      </c>
      <c r="F1333">
        <f>tbl_AQI[[#This Row],[Most AQI Reached]]-tbl_AQI[[#This Row],[Current AQI]]</f>
        <v>43</v>
      </c>
      <c r="G13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33">
        <f>RANK(tbl_AQI[[#This Row],[Current AQI]], tbl_AQI[Current AQI], 0)</f>
        <v>348</v>
      </c>
    </row>
    <row r="1334" spans="1:8" x14ac:dyDescent="0.35">
      <c r="A1334" t="s">
        <v>1297</v>
      </c>
      <c r="B1334" t="s">
        <v>1356</v>
      </c>
      <c r="C1334">
        <v>396</v>
      </c>
      <c r="D1334">
        <v>245</v>
      </c>
      <c r="E1334" t="s">
        <v>33</v>
      </c>
      <c r="F1334">
        <f>tbl_AQI[[#This Row],[Most AQI Reached]]-tbl_AQI[[#This Row],[Current AQI]]</f>
        <v>151</v>
      </c>
      <c r="G13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34">
        <f>RANK(tbl_AQI[[#This Row],[Current AQI]], tbl_AQI[Current AQI], 0)</f>
        <v>1121</v>
      </c>
    </row>
    <row r="1335" spans="1:8" x14ac:dyDescent="0.35">
      <c r="A1335" t="s">
        <v>1297</v>
      </c>
      <c r="B1335" t="s">
        <v>1357</v>
      </c>
      <c r="C1335">
        <v>488</v>
      </c>
      <c r="D1335">
        <v>432</v>
      </c>
      <c r="E1335" t="s">
        <v>17</v>
      </c>
      <c r="F1335">
        <f>tbl_AQI[[#This Row],[Most AQI Reached]]-tbl_AQI[[#This Row],[Current AQI]]</f>
        <v>56</v>
      </c>
      <c r="G13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35">
        <f>RANK(tbl_AQI[[#This Row],[Current AQI]], tbl_AQI[Current AQI], 0)</f>
        <v>254</v>
      </c>
    </row>
    <row r="1336" spans="1:8" x14ac:dyDescent="0.35">
      <c r="A1336" t="s">
        <v>1297</v>
      </c>
      <c r="B1336" t="s">
        <v>1358</v>
      </c>
      <c r="C1336">
        <v>261</v>
      </c>
      <c r="D1336">
        <v>186</v>
      </c>
      <c r="E1336" t="s">
        <v>15</v>
      </c>
      <c r="F1336">
        <f>tbl_AQI[[#This Row],[Most AQI Reached]]-tbl_AQI[[#This Row],[Current AQI]]</f>
        <v>75</v>
      </c>
      <c r="G13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36">
        <f>RANK(tbl_AQI[[#This Row],[Current AQI]], tbl_AQI[Current AQI], 0)</f>
        <v>1478</v>
      </c>
    </row>
    <row r="1337" spans="1:8" x14ac:dyDescent="0.35">
      <c r="A1337" t="s">
        <v>1297</v>
      </c>
      <c r="B1337" t="s">
        <v>1359</v>
      </c>
      <c r="C1337">
        <v>378</v>
      </c>
      <c r="D1337">
        <v>233</v>
      </c>
      <c r="E1337" t="s">
        <v>9</v>
      </c>
      <c r="F1337">
        <f>tbl_AQI[[#This Row],[Most AQI Reached]]-tbl_AQI[[#This Row],[Current AQI]]</f>
        <v>145</v>
      </c>
      <c r="G13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37">
        <f>RANK(tbl_AQI[[#This Row],[Current AQI]], tbl_AQI[Current AQI], 0)</f>
        <v>1175</v>
      </c>
    </row>
    <row r="1338" spans="1:8" x14ac:dyDescent="0.35">
      <c r="A1338" t="s">
        <v>1297</v>
      </c>
      <c r="B1338" t="s">
        <v>1360</v>
      </c>
      <c r="C1338">
        <v>448</v>
      </c>
      <c r="D1338">
        <v>361</v>
      </c>
      <c r="E1338" t="s">
        <v>7</v>
      </c>
      <c r="F1338">
        <f>tbl_AQI[[#This Row],[Most AQI Reached]]-tbl_AQI[[#This Row],[Current AQI]]</f>
        <v>87</v>
      </c>
      <c r="G13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38">
        <f>RANK(tbl_AQI[[#This Row],[Current AQI]], tbl_AQI[Current AQI], 0)</f>
        <v>570</v>
      </c>
    </row>
    <row r="1339" spans="1:8" x14ac:dyDescent="0.35">
      <c r="A1339" t="s">
        <v>1297</v>
      </c>
      <c r="B1339" t="s">
        <v>1361</v>
      </c>
      <c r="C1339">
        <v>430</v>
      </c>
      <c r="D1339">
        <v>410</v>
      </c>
      <c r="E1339" t="s">
        <v>7</v>
      </c>
      <c r="F1339">
        <f>tbl_AQI[[#This Row],[Most AQI Reached]]-tbl_AQI[[#This Row],[Current AQI]]</f>
        <v>20</v>
      </c>
      <c r="G13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39">
        <f>RANK(tbl_AQI[[#This Row],[Current AQI]], tbl_AQI[Current AQI], 0)</f>
        <v>341</v>
      </c>
    </row>
    <row r="1340" spans="1:8" x14ac:dyDescent="0.35">
      <c r="A1340" t="s">
        <v>1297</v>
      </c>
      <c r="B1340" t="s">
        <v>1362</v>
      </c>
      <c r="C1340">
        <v>354</v>
      </c>
      <c r="D1340">
        <v>163</v>
      </c>
      <c r="E1340" t="s">
        <v>17</v>
      </c>
      <c r="F1340">
        <f>tbl_AQI[[#This Row],[Most AQI Reached]]-tbl_AQI[[#This Row],[Current AQI]]</f>
        <v>191</v>
      </c>
      <c r="G13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40">
        <f>RANK(tbl_AQI[[#This Row],[Current AQI]], tbl_AQI[Current AQI], 0)</f>
        <v>2075</v>
      </c>
    </row>
    <row r="1341" spans="1:8" x14ac:dyDescent="0.35">
      <c r="A1341" t="s">
        <v>1297</v>
      </c>
      <c r="B1341" t="s">
        <v>1363</v>
      </c>
      <c r="C1341">
        <v>499</v>
      </c>
      <c r="D1341">
        <v>454</v>
      </c>
      <c r="E1341" t="s">
        <v>21</v>
      </c>
      <c r="F1341">
        <f>tbl_AQI[[#This Row],[Most AQI Reached]]-tbl_AQI[[#This Row],[Current AQI]]</f>
        <v>45</v>
      </c>
      <c r="G13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41">
        <f>RANK(tbl_AQI[[#This Row],[Current AQI]], tbl_AQI[Current AQI], 0)</f>
        <v>131</v>
      </c>
    </row>
    <row r="1342" spans="1:8" x14ac:dyDescent="0.35">
      <c r="A1342" t="s">
        <v>1297</v>
      </c>
      <c r="B1342" t="s">
        <v>1364</v>
      </c>
      <c r="C1342">
        <v>416</v>
      </c>
      <c r="D1342">
        <v>397</v>
      </c>
      <c r="E1342" t="s">
        <v>21</v>
      </c>
      <c r="F1342">
        <f>tbl_AQI[[#This Row],[Most AQI Reached]]-tbl_AQI[[#This Row],[Current AQI]]</f>
        <v>19</v>
      </c>
      <c r="G13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42">
        <f>RANK(tbl_AQI[[#This Row],[Current AQI]], tbl_AQI[Current AQI], 0)</f>
        <v>412</v>
      </c>
    </row>
    <row r="1343" spans="1:8" x14ac:dyDescent="0.35">
      <c r="A1343" t="s">
        <v>1297</v>
      </c>
      <c r="B1343" t="s">
        <v>1365</v>
      </c>
      <c r="C1343">
        <v>442</v>
      </c>
      <c r="D1343">
        <v>367</v>
      </c>
      <c r="E1343" t="s">
        <v>21</v>
      </c>
      <c r="F1343">
        <f>tbl_AQI[[#This Row],[Most AQI Reached]]-tbl_AQI[[#This Row],[Current AQI]]</f>
        <v>75</v>
      </c>
      <c r="G13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43">
        <f>RANK(tbl_AQI[[#This Row],[Current AQI]], tbl_AQI[Current AQI], 0)</f>
        <v>551</v>
      </c>
    </row>
    <row r="1344" spans="1:8" x14ac:dyDescent="0.35">
      <c r="A1344" t="s">
        <v>1297</v>
      </c>
      <c r="B1344" t="s">
        <v>1366</v>
      </c>
      <c r="C1344">
        <v>484</v>
      </c>
      <c r="D1344">
        <v>435</v>
      </c>
      <c r="E1344" t="s">
        <v>7</v>
      </c>
      <c r="F1344">
        <f>tbl_AQI[[#This Row],[Most AQI Reached]]-tbl_AQI[[#This Row],[Current AQI]]</f>
        <v>49</v>
      </c>
      <c r="G13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44">
        <f>RANK(tbl_AQI[[#This Row],[Current AQI]], tbl_AQI[Current AQI], 0)</f>
        <v>238</v>
      </c>
    </row>
    <row r="1345" spans="1:8" x14ac:dyDescent="0.35">
      <c r="A1345" t="s">
        <v>1297</v>
      </c>
      <c r="B1345" t="s">
        <v>1367</v>
      </c>
      <c r="C1345">
        <v>348</v>
      </c>
      <c r="D1345">
        <v>283</v>
      </c>
      <c r="E1345" t="s">
        <v>17</v>
      </c>
      <c r="F1345">
        <f>tbl_AQI[[#This Row],[Most AQI Reached]]-tbl_AQI[[#This Row],[Current AQI]]</f>
        <v>65</v>
      </c>
      <c r="G13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45">
        <f>RANK(tbl_AQI[[#This Row],[Current AQI]], tbl_AQI[Current AQI], 0)</f>
        <v>933</v>
      </c>
    </row>
    <row r="1346" spans="1:8" x14ac:dyDescent="0.35">
      <c r="A1346" t="s">
        <v>1297</v>
      </c>
      <c r="B1346" t="s">
        <v>1368</v>
      </c>
      <c r="C1346">
        <v>492</v>
      </c>
      <c r="D1346">
        <v>296</v>
      </c>
      <c r="E1346" t="s">
        <v>17</v>
      </c>
      <c r="F1346">
        <f>tbl_AQI[[#This Row],[Most AQI Reached]]-tbl_AQI[[#This Row],[Current AQI]]</f>
        <v>196</v>
      </c>
      <c r="G13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46">
        <f>RANK(tbl_AQI[[#This Row],[Current AQI]], tbl_AQI[Current AQI], 0)</f>
        <v>874</v>
      </c>
    </row>
    <row r="1347" spans="1:8" x14ac:dyDescent="0.35">
      <c r="A1347" t="s">
        <v>1297</v>
      </c>
      <c r="B1347" t="s">
        <v>1369</v>
      </c>
      <c r="C1347">
        <v>489</v>
      </c>
      <c r="D1347">
        <v>271</v>
      </c>
      <c r="E1347" t="s">
        <v>17</v>
      </c>
      <c r="F1347">
        <f>tbl_AQI[[#This Row],[Most AQI Reached]]-tbl_AQI[[#This Row],[Current AQI]]</f>
        <v>218</v>
      </c>
      <c r="G13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47">
        <f>RANK(tbl_AQI[[#This Row],[Current AQI]], tbl_AQI[Current AQI], 0)</f>
        <v>995</v>
      </c>
    </row>
    <row r="1348" spans="1:8" x14ac:dyDescent="0.35">
      <c r="A1348" t="s">
        <v>1297</v>
      </c>
      <c r="B1348" t="s">
        <v>1370</v>
      </c>
      <c r="C1348">
        <v>349</v>
      </c>
      <c r="D1348">
        <v>202</v>
      </c>
      <c r="E1348" t="s">
        <v>17</v>
      </c>
      <c r="F1348">
        <f>tbl_AQI[[#This Row],[Most AQI Reached]]-tbl_AQI[[#This Row],[Current AQI]]</f>
        <v>147</v>
      </c>
      <c r="G13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48">
        <f>RANK(tbl_AQI[[#This Row],[Current AQI]], tbl_AQI[Current AQI], 0)</f>
        <v>1301</v>
      </c>
    </row>
    <row r="1349" spans="1:8" x14ac:dyDescent="0.35">
      <c r="A1349" t="s">
        <v>1297</v>
      </c>
      <c r="B1349" t="s">
        <v>1371</v>
      </c>
      <c r="C1349">
        <v>307</v>
      </c>
      <c r="D1349">
        <v>239</v>
      </c>
      <c r="E1349" t="s">
        <v>17</v>
      </c>
      <c r="F1349">
        <f>tbl_AQI[[#This Row],[Most AQI Reached]]-tbl_AQI[[#This Row],[Current AQI]]</f>
        <v>68</v>
      </c>
      <c r="G13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49">
        <f>RANK(tbl_AQI[[#This Row],[Current AQI]], tbl_AQI[Current AQI], 0)</f>
        <v>1145</v>
      </c>
    </row>
    <row r="1350" spans="1:8" x14ac:dyDescent="0.35">
      <c r="A1350" t="s">
        <v>1297</v>
      </c>
      <c r="B1350" t="s">
        <v>1372</v>
      </c>
      <c r="C1350">
        <v>408</v>
      </c>
      <c r="D1350">
        <v>342</v>
      </c>
      <c r="E1350" t="s">
        <v>17</v>
      </c>
      <c r="F1350">
        <f>tbl_AQI[[#This Row],[Most AQI Reached]]-tbl_AQI[[#This Row],[Current AQI]]</f>
        <v>66</v>
      </c>
      <c r="G13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50">
        <f>RANK(tbl_AQI[[#This Row],[Current AQI]], tbl_AQI[Current AQI], 0)</f>
        <v>670</v>
      </c>
    </row>
    <row r="1351" spans="1:8" x14ac:dyDescent="0.35">
      <c r="A1351" t="s">
        <v>1297</v>
      </c>
      <c r="B1351" t="s">
        <v>1373</v>
      </c>
      <c r="C1351">
        <v>377</v>
      </c>
      <c r="D1351">
        <v>185</v>
      </c>
      <c r="E1351" t="s">
        <v>9</v>
      </c>
      <c r="F1351">
        <f>tbl_AQI[[#This Row],[Most AQI Reached]]-tbl_AQI[[#This Row],[Current AQI]]</f>
        <v>192</v>
      </c>
      <c r="G13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51">
        <f>RANK(tbl_AQI[[#This Row],[Current AQI]], tbl_AQI[Current AQI], 0)</f>
        <v>1517</v>
      </c>
    </row>
    <row r="1352" spans="1:8" x14ac:dyDescent="0.35">
      <c r="A1352" t="s">
        <v>1297</v>
      </c>
      <c r="B1352" t="s">
        <v>1374</v>
      </c>
      <c r="C1352">
        <v>322</v>
      </c>
      <c r="D1352">
        <v>167</v>
      </c>
      <c r="E1352" t="s">
        <v>17</v>
      </c>
      <c r="F1352">
        <f>tbl_AQI[[#This Row],[Most AQI Reached]]-tbl_AQI[[#This Row],[Current AQI]]</f>
        <v>155</v>
      </c>
      <c r="G13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52">
        <f>RANK(tbl_AQI[[#This Row],[Current AQI]], tbl_AQI[Current AQI], 0)</f>
        <v>1979</v>
      </c>
    </row>
    <row r="1353" spans="1:8" x14ac:dyDescent="0.35">
      <c r="A1353" t="s">
        <v>1297</v>
      </c>
      <c r="B1353" t="s">
        <v>1375</v>
      </c>
      <c r="C1353">
        <v>302</v>
      </c>
      <c r="D1353">
        <v>208</v>
      </c>
      <c r="E1353" t="s">
        <v>15</v>
      </c>
      <c r="F1353">
        <f>tbl_AQI[[#This Row],[Most AQI Reached]]-tbl_AQI[[#This Row],[Current AQI]]</f>
        <v>94</v>
      </c>
      <c r="G13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53">
        <f>RANK(tbl_AQI[[#This Row],[Current AQI]], tbl_AQI[Current AQI], 0)</f>
        <v>1282</v>
      </c>
    </row>
    <row r="1354" spans="1:8" x14ac:dyDescent="0.35">
      <c r="A1354" t="s">
        <v>1297</v>
      </c>
      <c r="B1354" t="s">
        <v>1376</v>
      </c>
      <c r="C1354">
        <v>461</v>
      </c>
      <c r="D1354">
        <v>345</v>
      </c>
      <c r="E1354" t="s">
        <v>17</v>
      </c>
      <c r="F1354">
        <f>tbl_AQI[[#This Row],[Most AQI Reached]]-tbl_AQI[[#This Row],[Current AQI]]</f>
        <v>116</v>
      </c>
      <c r="G13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54">
        <f>RANK(tbl_AQI[[#This Row],[Current AQI]], tbl_AQI[Current AQI], 0)</f>
        <v>651</v>
      </c>
    </row>
    <row r="1355" spans="1:8" x14ac:dyDescent="0.35">
      <c r="A1355" t="s">
        <v>1297</v>
      </c>
      <c r="B1355" t="s">
        <v>1377</v>
      </c>
      <c r="C1355">
        <v>326</v>
      </c>
      <c r="D1355">
        <v>281</v>
      </c>
      <c r="E1355" t="s">
        <v>17</v>
      </c>
      <c r="F1355">
        <f>tbl_AQI[[#This Row],[Most AQI Reached]]-tbl_AQI[[#This Row],[Current AQI]]</f>
        <v>45</v>
      </c>
      <c r="G13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55">
        <f>RANK(tbl_AQI[[#This Row],[Current AQI]], tbl_AQI[Current AQI], 0)</f>
        <v>946</v>
      </c>
    </row>
    <row r="1356" spans="1:8" x14ac:dyDescent="0.35">
      <c r="A1356" t="s">
        <v>1297</v>
      </c>
      <c r="B1356" t="s">
        <v>1378</v>
      </c>
      <c r="C1356">
        <v>461</v>
      </c>
      <c r="D1356">
        <v>439</v>
      </c>
      <c r="E1356" t="s">
        <v>21</v>
      </c>
      <c r="F1356">
        <f>tbl_AQI[[#This Row],[Most AQI Reached]]-tbl_AQI[[#This Row],[Current AQI]]</f>
        <v>22</v>
      </c>
      <c r="G13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56">
        <f>RANK(tbl_AQI[[#This Row],[Current AQI]], tbl_AQI[Current AQI], 0)</f>
        <v>215</v>
      </c>
    </row>
    <row r="1357" spans="1:8" x14ac:dyDescent="0.35">
      <c r="A1357" t="s">
        <v>1297</v>
      </c>
      <c r="B1357" t="s">
        <v>1379</v>
      </c>
      <c r="C1357">
        <v>369</v>
      </c>
      <c r="D1357">
        <v>341</v>
      </c>
      <c r="E1357" t="s">
        <v>17</v>
      </c>
      <c r="F1357">
        <f>tbl_AQI[[#This Row],[Most AQI Reached]]-tbl_AQI[[#This Row],[Current AQI]]</f>
        <v>28</v>
      </c>
      <c r="G13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57">
        <f>RANK(tbl_AQI[[#This Row],[Current AQI]], tbl_AQI[Current AQI], 0)</f>
        <v>674</v>
      </c>
    </row>
    <row r="1358" spans="1:8" x14ac:dyDescent="0.35">
      <c r="A1358" t="s">
        <v>1297</v>
      </c>
      <c r="B1358" t="s">
        <v>1380</v>
      </c>
      <c r="C1358">
        <v>485</v>
      </c>
      <c r="D1358">
        <v>448</v>
      </c>
      <c r="E1358" t="s">
        <v>17</v>
      </c>
      <c r="F1358">
        <f>tbl_AQI[[#This Row],[Most AQI Reached]]-tbl_AQI[[#This Row],[Current AQI]]</f>
        <v>37</v>
      </c>
      <c r="G13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58">
        <f>RANK(tbl_AQI[[#This Row],[Current AQI]], tbl_AQI[Current AQI], 0)</f>
        <v>166</v>
      </c>
    </row>
    <row r="1359" spans="1:8" x14ac:dyDescent="0.35">
      <c r="A1359" t="s">
        <v>1297</v>
      </c>
      <c r="B1359" t="s">
        <v>1381</v>
      </c>
      <c r="C1359">
        <v>487</v>
      </c>
      <c r="D1359">
        <v>244</v>
      </c>
      <c r="E1359" t="s">
        <v>17</v>
      </c>
      <c r="F1359">
        <f>tbl_AQI[[#This Row],[Most AQI Reached]]-tbl_AQI[[#This Row],[Current AQI]]</f>
        <v>243</v>
      </c>
      <c r="G13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59">
        <f>RANK(tbl_AQI[[#This Row],[Current AQI]], tbl_AQI[Current AQI], 0)</f>
        <v>1127</v>
      </c>
    </row>
    <row r="1360" spans="1:8" x14ac:dyDescent="0.35">
      <c r="A1360" t="s">
        <v>1297</v>
      </c>
      <c r="B1360" t="s">
        <v>1382</v>
      </c>
      <c r="C1360">
        <v>384</v>
      </c>
      <c r="D1360">
        <v>337</v>
      </c>
      <c r="E1360" t="s">
        <v>17</v>
      </c>
      <c r="F1360">
        <f>tbl_AQI[[#This Row],[Most AQI Reached]]-tbl_AQI[[#This Row],[Current AQI]]</f>
        <v>47</v>
      </c>
      <c r="G13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60">
        <f>RANK(tbl_AQI[[#This Row],[Current AQI]], tbl_AQI[Current AQI], 0)</f>
        <v>694</v>
      </c>
    </row>
    <row r="1361" spans="1:8" x14ac:dyDescent="0.35">
      <c r="A1361" t="s">
        <v>1297</v>
      </c>
      <c r="B1361" t="s">
        <v>1383</v>
      </c>
      <c r="C1361">
        <v>449</v>
      </c>
      <c r="D1361">
        <v>337</v>
      </c>
      <c r="E1361" t="s">
        <v>15</v>
      </c>
      <c r="F1361">
        <f>tbl_AQI[[#This Row],[Most AQI Reached]]-tbl_AQI[[#This Row],[Current AQI]]</f>
        <v>112</v>
      </c>
      <c r="G13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61">
        <f>RANK(tbl_AQI[[#This Row],[Current AQI]], tbl_AQI[Current AQI], 0)</f>
        <v>694</v>
      </c>
    </row>
    <row r="1362" spans="1:8" x14ac:dyDescent="0.35">
      <c r="A1362" t="s">
        <v>1297</v>
      </c>
      <c r="B1362" t="s">
        <v>1384</v>
      </c>
      <c r="C1362">
        <v>482</v>
      </c>
      <c r="D1362">
        <v>476</v>
      </c>
      <c r="E1362" t="s">
        <v>17</v>
      </c>
      <c r="F1362">
        <f>tbl_AQI[[#This Row],[Most AQI Reached]]-tbl_AQI[[#This Row],[Current AQI]]</f>
        <v>6</v>
      </c>
      <c r="G13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62">
        <f>RANK(tbl_AQI[[#This Row],[Current AQI]], tbl_AQI[Current AQI], 0)</f>
        <v>18</v>
      </c>
    </row>
    <row r="1363" spans="1:8" x14ac:dyDescent="0.35">
      <c r="A1363" t="s">
        <v>1297</v>
      </c>
      <c r="B1363" t="s">
        <v>1385</v>
      </c>
      <c r="C1363">
        <v>303</v>
      </c>
      <c r="D1363">
        <v>273</v>
      </c>
      <c r="E1363" t="s">
        <v>17</v>
      </c>
      <c r="F1363">
        <f>tbl_AQI[[#This Row],[Most AQI Reached]]-tbl_AQI[[#This Row],[Current AQI]]</f>
        <v>30</v>
      </c>
      <c r="G13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63">
        <f>RANK(tbl_AQI[[#This Row],[Current AQI]], tbl_AQI[Current AQI], 0)</f>
        <v>988</v>
      </c>
    </row>
    <row r="1364" spans="1:8" x14ac:dyDescent="0.35">
      <c r="A1364" t="s">
        <v>1297</v>
      </c>
      <c r="B1364" t="s">
        <v>1386</v>
      </c>
      <c r="C1364">
        <v>500</v>
      </c>
      <c r="D1364">
        <v>359</v>
      </c>
      <c r="E1364" t="s">
        <v>7</v>
      </c>
      <c r="F1364">
        <f>tbl_AQI[[#This Row],[Most AQI Reached]]-tbl_AQI[[#This Row],[Current AQI]]</f>
        <v>141</v>
      </c>
      <c r="G13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64">
        <f>RANK(tbl_AQI[[#This Row],[Current AQI]], tbl_AQI[Current AQI], 0)</f>
        <v>582</v>
      </c>
    </row>
    <row r="1365" spans="1:8" x14ac:dyDescent="0.35">
      <c r="A1365" t="s">
        <v>1297</v>
      </c>
      <c r="B1365" t="s">
        <v>1387</v>
      </c>
      <c r="C1365">
        <v>484</v>
      </c>
      <c r="D1365">
        <v>381</v>
      </c>
      <c r="E1365" t="s">
        <v>17</v>
      </c>
      <c r="F1365">
        <f>tbl_AQI[[#This Row],[Most AQI Reached]]-tbl_AQI[[#This Row],[Current AQI]]</f>
        <v>103</v>
      </c>
      <c r="G13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65">
        <f>RANK(tbl_AQI[[#This Row],[Current AQI]], tbl_AQI[Current AQI], 0)</f>
        <v>478</v>
      </c>
    </row>
    <row r="1366" spans="1:8" x14ac:dyDescent="0.35">
      <c r="A1366" t="s">
        <v>1297</v>
      </c>
      <c r="B1366" t="s">
        <v>1388</v>
      </c>
      <c r="C1366">
        <v>344</v>
      </c>
      <c r="D1366">
        <v>267</v>
      </c>
      <c r="E1366" t="s">
        <v>11</v>
      </c>
      <c r="F1366">
        <f>tbl_AQI[[#This Row],[Most AQI Reached]]-tbl_AQI[[#This Row],[Current AQI]]</f>
        <v>77</v>
      </c>
      <c r="G13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66">
        <f>RANK(tbl_AQI[[#This Row],[Current AQI]], tbl_AQI[Current AQI], 0)</f>
        <v>1011</v>
      </c>
    </row>
    <row r="1367" spans="1:8" x14ac:dyDescent="0.35">
      <c r="A1367" t="s">
        <v>1297</v>
      </c>
      <c r="B1367" t="s">
        <v>1389</v>
      </c>
      <c r="C1367">
        <v>311</v>
      </c>
      <c r="D1367">
        <v>291</v>
      </c>
      <c r="E1367" t="s">
        <v>11</v>
      </c>
      <c r="F1367">
        <f>tbl_AQI[[#This Row],[Most AQI Reached]]-tbl_AQI[[#This Row],[Current AQI]]</f>
        <v>20</v>
      </c>
      <c r="G13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67">
        <f>RANK(tbl_AQI[[#This Row],[Current AQI]], tbl_AQI[Current AQI], 0)</f>
        <v>898</v>
      </c>
    </row>
    <row r="1368" spans="1:8" x14ac:dyDescent="0.35">
      <c r="A1368" t="s">
        <v>1297</v>
      </c>
      <c r="B1368" t="s">
        <v>1390</v>
      </c>
      <c r="C1368">
        <v>493</v>
      </c>
      <c r="D1368">
        <v>289</v>
      </c>
      <c r="E1368" t="s">
        <v>11</v>
      </c>
      <c r="F1368">
        <f>tbl_AQI[[#This Row],[Most AQI Reached]]-tbl_AQI[[#This Row],[Current AQI]]</f>
        <v>204</v>
      </c>
      <c r="G13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68">
        <f>RANK(tbl_AQI[[#This Row],[Current AQI]], tbl_AQI[Current AQI], 0)</f>
        <v>910</v>
      </c>
    </row>
    <row r="1369" spans="1:8" x14ac:dyDescent="0.35">
      <c r="A1369" t="s">
        <v>1297</v>
      </c>
      <c r="B1369" t="s">
        <v>1391</v>
      </c>
      <c r="C1369">
        <v>500</v>
      </c>
      <c r="D1369">
        <v>472</v>
      </c>
      <c r="E1369" t="s">
        <v>17</v>
      </c>
      <c r="F1369">
        <f>tbl_AQI[[#This Row],[Most AQI Reached]]-tbl_AQI[[#This Row],[Current AQI]]</f>
        <v>28</v>
      </c>
      <c r="G13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69">
        <f>RANK(tbl_AQI[[#This Row],[Current AQI]], tbl_AQI[Current AQI], 0)</f>
        <v>43</v>
      </c>
    </row>
    <row r="1370" spans="1:8" x14ac:dyDescent="0.35">
      <c r="A1370" t="s">
        <v>1297</v>
      </c>
      <c r="B1370" t="s">
        <v>1392</v>
      </c>
      <c r="C1370">
        <v>472</v>
      </c>
      <c r="D1370">
        <v>469</v>
      </c>
      <c r="E1370" t="s">
        <v>9</v>
      </c>
      <c r="F1370">
        <f>tbl_AQI[[#This Row],[Most AQI Reached]]-tbl_AQI[[#This Row],[Current AQI]]</f>
        <v>3</v>
      </c>
      <c r="G13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70">
        <f>RANK(tbl_AQI[[#This Row],[Current AQI]], tbl_AQI[Current AQI], 0)</f>
        <v>59</v>
      </c>
    </row>
    <row r="1371" spans="1:8" x14ac:dyDescent="0.35">
      <c r="A1371" t="s">
        <v>1297</v>
      </c>
      <c r="B1371" t="s">
        <v>1393</v>
      </c>
      <c r="C1371">
        <v>455</v>
      </c>
      <c r="D1371">
        <v>398</v>
      </c>
      <c r="E1371" t="s">
        <v>17</v>
      </c>
      <c r="F1371">
        <f>tbl_AQI[[#This Row],[Most AQI Reached]]-tbl_AQI[[#This Row],[Current AQI]]</f>
        <v>57</v>
      </c>
      <c r="G13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71">
        <f>RANK(tbl_AQI[[#This Row],[Current AQI]], tbl_AQI[Current AQI], 0)</f>
        <v>404</v>
      </c>
    </row>
    <row r="1372" spans="1:8" x14ac:dyDescent="0.35">
      <c r="A1372" t="s">
        <v>1297</v>
      </c>
      <c r="B1372" t="s">
        <v>1394</v>
      </c>
      <c r="C1372">
        <v>412</v>
      </c>
      <c r="D1372">
        <v>324</v>
      </c>
      <c r="E1372" t="s">
        <v>7</v>
      </c>
      <c r="F1372">
        <f>tbl_AQI[[#This Row],[Most AQI Reached]]-tbl_AQI[[#This Row],[Current AQI]]</f>
        <v>88</v>
      </c>
      <c r="G13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72">
        <f>RANK(tbl_AQI[[#This Row],[Current AQI]], tbl_AQI[Current AQI], 0)</f>
        <v>760</v>
      </c>
    </row>
    <row r="1373" spans="1:8" x14ac:dyDescent="0.35">
      <c r="A1373" t="s">
        <v>1297</v>
      </c>
      <c r="B1373" t="s">
        <v>1395</v>
      </c>
      <c r="C1373">
        <v>482</v>
      </c>
      <c r="D1373">
        <v>370</v>
      </c>
      <c r="E1373" t="s">
        <v>17</v>
      </c>
      <c r="F1373">
        <f>tbl_AQI[[#This Row],[Most AQI Reached]]-tbl_AQI[[#This Row],[Current AQI]]</f>
        <v>112</v>
      </c>
      <c r="G13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73">
        <f>RANK(tbl_AQI[[#This Row],[Current AQI]], tbl_AQI[Current AQI], 0)</f>
        <v>538</v>
      </c>
    </row>
    <row r="1374" spans="1:8" x14ac:dyDescent="0.35">
      <c r="A1374" t="s">
        <v>1297</v>
      </c>
      <c r="B1374" t="s">
        <v>1396</v>
      </c>
      <c r="C1374">
        <v>363</v>
      </c>
      <c r="D1374">
        <v>242</v>
      </c>
      <c r="E1374" t="s">
        <v>33</v>
      </c>
      <c r="F1374">
        <f>tbl_AQI[[#This Row],[Most AQI Reached]]-tbl_AQI[[#This Row],[Current AQI]]</f>
        <v>121</v>
      </c>
      <c r="G13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74">
        <f>RANK(tbl_AQI[[#This Row],[Current AQI]], tbl_AQI[Current AQI], 0)</f>
        <v>1134</v>
      </c>
    </row>
    <row r="1375" spans="1:8" x14ac:dyDescent="0.35">
      <c r="A1375" t="s">
        <v>1297</v>
      </c>
      <c r="B1375" t="s">
        <v>1397</v>
      </c>
      <c r="C1375">
        <v>348</v>
      </c>
      <c r="D1375">
        <v>301</v>
      </c>
      <c r="E1375" t="s">
        <v>17</v>
      </c>
      <c r="F1375">
        <f>tbl_AQI[[#This Row],[Most AQI Reached]]-tbl_AQI[[#This Row],[Current AQI]]</f>
        <v>47</v>
      </c>
      <c r="G13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75">
        <f>RANK(tbl_AQI[[#This Row],[Current AQI]], tbl_AQI[Current AQI], 0)</f>
        <v>844</v>
      </c>
    </row>
    <row r="1376" spans="1:8" x14ac:dyDescent="0.35">
      <c r="A1376" t="s">
        <v>1297</v>
      </c>
      <c r="B1376" t="s">
        <v>1398</v>
      </c>
      <c r="C1376">
        <v>489</v>
      </c>
      <c r="D1376">
        <v>469</v>
      </c>
      <c r="E1376" t="s">
        <v>17</v>
      </c>
      <c r="F1376">
        <f>tbl_AQI[[#This Row],[Most AQI Reached]]-tbl_AQI[[#This Row],[Current AQI]]</f>
        <v>20</v>
      </c>
      <c r="G13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76">
        <f>RANK(tbl_AQI[[#This Row],[Current AQI]], tbl_AQI[Current AQI], 0)</f>
        <v>59</v>
      </c>
    </row>
    <row r="1377" spans="1:8" x14ac:dyDescent="0.35">
      <c r="A1377" t="s">
        <v>1297</v>
      </c>
      <c r="B1377" t="s">
        <v>1399</v>
      </c>
      <c r="C1377">
        <v>478</v>
      </c>
      <c r="D1377">
        <v>407</v>
      </c>
      <c r="E1377" t="s">
        <v>17</v>
      </c>
      <c r="F1377">
        <f>tbl_AQI[[#This Row],[Most AQI Reached]]-tbl_AQI[[#This Row],[Current AQI]]</f>
        <v>71</v>
      </c>
      <c r="G13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77">
        <f>RANK(tbl_AQI[[#This Row],[Current AQI]], tbl_AQI[Current AQI], 0)</f>
        <v>354</v>
      </c>
    </row>
    <row r="1378" spans="1:8" x14ac:dyDescent="0.35">
      <c r="A1378" t="s">
        <v>1297</v>
      </c>
      <c r="B1378" t="s">
        <v>1400</v>
      </c>
      <c r="C1378">
        <v>366</v>
      </c>
      <c r="D1378">
        <v>267</v>
      </c>
      <c r="E1378" t="s">
        <v>9</v>
      </c>
      <c r="F1378">
        <f>tbl_AQI[[#This Row],[Most AQI Reached]]-tbl_AQI[[#This Row],[Current AQI]]</f>
        <v>99</v>
      </c>
      <c r="G13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78">
        <f>RANK(tbl_AQI[[#This Row],[Current AQI]], tbl_AQI[Current AQI], 0)</f>
        <v>1011</v>
      </c>
    </row>
    <row r="1379" spans="1:8" x14ac:dyDescent="0.35">
      <c r="A1379" t="s">
        <v>1297</v>
      </c>
      <c r="B1379" t="s">
        <v>1401</v>
      </c>
      <c r="C1379">
        <v>491</v>
      </c>
      <c r="D1379">
        <v>469</v>
      </c>
      <c r="E1379" t="s">
        <v>17</v>
      </c>
      <c r="F1379">
        <f>tbl_AQI[[#This Row],[Most AQI Reached]]-tbl_AQI[[#This Row],[Current AQI]]</f>
        <v>22</v>
      </c>
      <c r="G13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79">
        <f>RANK(tbl_AQI[[#This Row],[Current AQI]], tbl_AQI[Current AQI], 0)</f>
        <v>59</v>
      </c>
    </row>
    <row r="1380" spans="1:8" x14ac:dyDescent="0.35">
      <c r="A1380" t="s">
        <v>1297</v>
      </c>
      <c r="B1380" t="s">
        <v>1402</v>
      </c>
      <c r="C1380">
        <v>492</v>
      </c>
      <c r="D1380">
        <v>209</v>
      </c>
      <c r="E1380" t="s">
        <v>15</v>
      </c>
      <c r="F1380">
        <f>tbl_AQI[[#This Row],[Most AQI Reached]]-tbl_AQI[[#This Row],[Current AQI]]</f>
        <v>283</v>
      </c>
      <c r="G13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80">
        <f>RANK(tbl_AQI[[#This Row],[Current AQI]], tbl_AQI[Current AQI], 0)</f>
        <v>1277</v>
      </c>
    </row>
    <row r="1381" spans="1:8" x14ac:dyDescent="0.35">
      <c r="A1381" t="s">
        <v>1297</v>
      </c>
      <c r="B1381" t="s">
        <v>1403</v>
      </c>
      <c r="C1381">
        <v>486</v>
      </c>
      <c r="D1381">
        <v>417</v>
      </c>
      <c r="E1381" t="s">
        <v>17</v>
      </c>
      <c r="F1381">
        <f>tbl_AQI[[#This Row],[Most AQI Reached]]-tbl_AQI[[#This Row],[Current AQI]]</f>
        <v>69</v>
      </c>
      <c r="G13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81">
        <f>RANK(tbl_AQI[[#This Row],[Current AQI]], tbl_AQI[Current AQI], 0)</f>
        <v>316</v>
      </c>
    </row>
    <row r="1382" spans="1:8" x14ac:dyDescent="0.35">
      <c r="A1382" t="s">
        <v>1297</v>
      </c>
      <c r="B1382" t="s">
        <v>1404</v>
      </c>
      <c r="C1382">
        <v>374</v>
      </c>
      <c r="D1382">
        <v>170</v>
      </c>
      <c r="E1382" t="s">
        <v>11</v>
      </c>
      <c r="F1382">
        <f>tbl_AQI[[#This Row],[Most AQI Reached]]-tbl_AQI[[#This Row],[Current AQI]]</f>
        <v>204</v>
      </c>
      <c r="G13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82">
        <f>RANK(tbl_AQI[[#This Row],[Current AQI]], tbl_AQI[Current AQI], 0)</f>
        <v>1898</v>
      </c>
    </row>
    <row r="1383" spans="1:8" x14ac:dyDescent="0.35">
      <c r="A1383" t="s">
        <v>1297</v>
      </c>
      <c r="B1383" t="s">
        <v>1405</v>
      </c>
      <c r="C1383">
        <v>371</v>
      </c>
      <c r="D1383">
        <v>291</v>
      </c>
      <c r="E1383" t="s">
        <v>17</v>
      </c>
      <c r="F1383">
        <f>tbl_AQI[[#This Row],[Most AQI Reached]]-tbl_AQI[[#This Row],[Current AQI]]</f>
        <v>80</v>
      </c>
      <c r="G13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83">
        <f>RANK(tbl_AQI[[#This Row],[Current AQI]], tbl_AQI[Current AQI], 0)</f>
        <v>898</v>
      </c>
    </row>
    <row r="1384" spans="1:8" x14ac:dyDescent="0.35">
      <c r="A1384" t="s">
        <v>1297</v>
      </c>
      <c r="B1384" t="s">
        <v>1406</v>
      </c>
      <c r="C1384">
        <v>260</v>
      </c>
      <c r="D1384">
        <v>164</v>
      </c>
      <c r="E1384" t="s">
        <v>21</v>
      </c>
      <c r="F1384">
        <f>tbl_AQI[[#This Row],[Most AQI Reached]]-tbl_AQI[[#This Row],[Current AQI]]</f>
        <v>96</v>
      </c>
      <c r="G13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84">
        <f>RANK(tbl_AQI[[#This Row],[Current AQI]], tbl_AQI[Current AQI], 0)</f>
        <v>2049</v>
      </c>
    </row>
    <row r="1385" spans="1:8" x14ac:dyDescent="0.35">
      <c r="A1385" t="s">
        <v>1297</v>
      </c>
      <c r="B1385" t="s">
        <v>1407</v>
      </c>
      <c r="C1385">
        <v>308</v>
      </c>
      <c r="D1385">
        <v>159</v>
      </c>
      <c r="E1385" t="s">
        <v>7</v>
      </c>
      <c r="F1385">
        <f>tbl_AQI[[#This Row],[Most AQI Reached]]-tbl_AQI[[#This Row],[Current AQI]]</f>
        <v>149</v>
      </c>
      <c r="G13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85">
        <f>RANK(tbl_AQI[[#This Row],[Current AQI]], tbl_AQI[Current AQI], 0)</f>
        <v>2183</v>
      </c>
    </row>
    <row r="1386" spans="1:8" x14ac:dyDescent="0.35">
      <c r="A1386" t="s">
        <v>1297</v>
      </c>
      <c r="B1386" t="s">
        <v>1408</v>
      </c>
      <c r="C1386">
        <v>361</v>
      </c>
      <c r="D1386">
        <v>350</v>
      </c>
      <c r="E1386" t="s">
        <v>21</v>
      </c>
      <c r="F1386">
        <f>tbl_AQI[[#This Row],[Most AQI Reached]]-tbl_AQI[[#This Row],[Current AQI]]</f>
        <v>11</v>
      </c>
      <c r="G13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86">
        <f>RANK(tbl_AQI[[#This Row],[Current AQI]], tbl_AQI[Current AQI], 0)</f>
        <v>621</v>
      </c>
    </row>
    <row r="1387" spans="1:8" x14ac:dyDescent="0.35">
      <c r="A1387" t="s">
        <v>1297</v>
      </c>
      <c r="B1387" t="s">
        <v>1409</v>
      </c>
      <c r="C1387">
        <v>435</v>
      </c>
      <c r="D1387">
        <v>392</v>
      </c>
      <c r="E1387" t="s">
        <v>7</v>
      </c>
      <c r="F1387">
        <f>tbl_AQI[[#This Row],[Most AQI Reached]]-tbl_AQI[[#This Row],[Current AQI]]</f>
        <v>43</v>
      </c>
      <c r="G13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87">
        <f>RANK(tbl_AQI[[#This Row],[Current AQI]], tbl_AQI[Current AQI], 0)</f>
        <v>431</v>
      </c>
    </row>
    <row r="1388" spans="1:8" x14ac:dyDescent="0.35">
      <c r="A1388" t="s">
        <v>1297</v>
      </c>
      <c r="B1388" t="s">
        <v>1410</v>
      </c>
      <c r="C1388">
        <v>373</v>
      </c>
      <c r="D1388">
        <v>315</v>
      </c>
      <c r="E1388" t="s">
        <v>7</v>
      </c>
      <c r="F1388">
        <f>tbl_AQI[[#This Row],[Most AQI Reached]]-tbl_AQI[[#This Row],[Current AQI]]</f>
        <v>58</v>
      </c>
      <c r="G13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88">
        <f>RANK(tbl_AQI[[#This Row],[Current AQI]], tbl_AQI[Current AQI], 0)</f>
        <v>804</v>
      </c>
    </row>
    <row r="1389" spans="1:8" x14ac:dyDescent="0.35">
      <c r="A1389" t="s">
        <v>1297</v>
      </c>
      <c r="B1389" t="s">
        <v>1411</v>
      </c>
      <c r="C1389">
        <v>417</v>
      </c>
      <c r="D1389">
        <v>369</v>
      </c>
      <c r="E1389" t="s">
        <v>7</v>
      </c>
      <c r="F1389">
        <f>tbl_AQI[[#This Row],[Most AQI Reached]]-tbl_AQI[[#This Row],[Current AQI]]</f>
        <v>48</v>
      </c>
      <c r="G13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89">
        <f>RANK(tbl_AQI[[#This Row],[Current AQI]], tbl_AQI[Current AQI], 0)</f>
        <v>543</v>
      </c>
    </row>
    <row r="1390" spans="1:8" x14ac:dyDescent="0.35">
      <c r="A1390" t="s">
        <v>1297</v>
      </c>
      <c r="B1390" t="s">
        <v>1412</v>
      </c>
      <c r="C1390">
        <v>487</v>
      </c>
      <c r="D1390">
        <v>193</v>
      </c>
      <c r="E1390" t="s">
        <v>17</v>
      </c>
      <c r="F1390">
        <f>tbl_AQI[[#This Row],[Most AQI Reached]]-tbl_AQI[[#This Row],[Current AQI]]</f>
        <v>294</v>
      </c>
      <c r="G13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90">
        <f>RANK(tbl_AQI[[#This Row],[Current AQI]], tbl_AQI[Current AQI], 0)</f>
        <v>1342</v>
      </c>
    </row>
    <row r="1391" spans="1:8" x14ac:dyDescent="0.35">
      <c r="A1391" t="s">
        <v>1297</v>
      </c>
      <c r="B1391" t="s">
        <v>1413</v>
      </c>
      <c r="C1391">
        <v>260</v>
      </c>
      <c r="D1391">
        <v>170</v>
      </c>
      <c r="E1391" t="s">
        <v>9</v>
      </c>
      <c r="F1391">
        <f>tbl_AQI[[#This Row],[Most AQI Reached]]-tbl_AQI[[#This Row],[Current AQI]]</f>
        <v>90</v>
      </c>
      <c r="G13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91">
        <f>RANK(tbl_AQI[[#This Row],[Current AQI]], tbl_AQI[Current AQI], 0)</f>
        <v>1898</v>
      </c>
    </row>
    <row r="1392" spans="1:8" x14ac:dyDescent="0.35">
      <c r="A1392" t="s">
        <v>1297</v>
      </c>
      <c r="B1392" t="s">
        <v>1414</v>
      </c>
      <c r="C1392">
        <v>415</v>
      </c>
      <c r="D1392">
        <v>376</v>
      </c>
      <c r="E1392" t="s">
        <v>9</v>
      </c>
      <c r="F1392">
        <f>tbl_AQI[[#This Row],[Most AQI Reached]]-tbl_AQI[[#This Row],[Current AQI]]</f>
        <v>39</v>
      </c>
      <c r="G13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392">
        <f>RANK(tbl_AQI[[#This Row],[Current AQI]], tbl_AQI[Current AQI], 0)</f>
        <v>507</v>
      </c>
    </row>
    <row r="1393" spans="1:8" x14ac:dyDescent="0.35">
      <c r="A1393" t="s">
        <v>1297</v>
      </c>
      <c r="B1393" t="s">
        <v>1415</v>
      </c>
      <c r="C1393">
        <v>484</v>
      </c>
      <c r="D1393">
        <v>450</v>
      </c>
      <c r="E1393" t="s">
        <v>21</v>
      </c>
      <c r="F1393">
        <f>tbl_AQI[[#This Row],[Most AQI Reached]]-tbl_AQI[[#This Row],[Current AQI]]</f>
        <v>34</v>
      </c>
      <c r="G13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93">
        <f>RANK(tbl_AQI[[#This Row],[Current AQI]], tbl_AQI[Current AQI], 0)</f>
        <v>159</v>
      </c>
    </row>
    <row r="1394" spans="1:8" x14ac:dyDescent="0.35">
      <c r="A1394" t="s">
        <v>1297</v>
      </c>
      <c r="B1394" t="s">
        <v>1416</v>
      </c>
      <c r="C1394">
        <v>279</v>
      </c>
      <c r="D1394">
        <v>167</v>
      </c>
      <c r="E1394" t="s">
        <v>9</v>
      </c>
      <c r="F1394">
        <f>tbl_AQI[[#This Row],[Most AQI Reached]]-tbl_AQI[[#This Row],[Current AQI]]</f>
        <v>112</v>
      </c>
      <c r="G13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394">
        <f>RANK(tbl_AQI[[#This Row],[Current AQI]], tbl_AQI[Current AQI], 0)</f>
        <v>1979</v>
      </c>
    </row>
    <row r="1395" spans="1:8" x14ac:dyDescent="0.35">
      <c r="A1395" t="s">
        <v>1297</v>
      </c>
      <c r="B1395" t="s">
        <v>1417</v>
      </c>
      <c r="C1395">
        <v>376</v>
      </c>
      <c r="D1395">
        <v>224</v>
      </c>
      <c r="E1395" t="s">
        <v>11</v>
      </c>
      <c r="F1395">
        <f>tbl_AQI[[#This Row],[Most AQI Reached]]-tbl_AQI[[#This Row],[Current AQI]]</f>
        <v>152</v>
      </c>
      <c r="G13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95">
        <f>RANK(tbl_AQI[[#This Row],[Current AQI]], tbl_AQI[Current AQI], 0)</f>
        <v>1211</v>
      </c>
    </row>
    <row r="1396" spans="1:8" x14ac:dyDescent="0.35">
      <c r="A1396" t="s">
        <v>1297</v>
      </c>
      <c r="B1396" t="s">
        <v>1418</v>
      </c>
      <c r="C1396">
        <v>492</v>
      </c>
      <c r="D1396">
        <v>438</v>
      </c>
      <c r="E1396" t="s">
        <v>21</v>
      </c>
      <c r="F1396">
        <f>tbl_AQI[[#This Row],[Most AQI Reached]]-tbl_AQI[[#This Row],[Current AQI]]</f>
        <v>54</v>
      </c>
      <c r="G13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396">
        <f>RANK(tbl_AQI[[#This Row],[Current AQI]], tbl_AQI[Current AQI], 0)</f>
        <v>218</v>
      </c>
    </row>
    <row r="1397" spans="1:8" x14ac:dyDescent="0.35">
      <c r="A1397" t="s">
        <v>1297</v>
      </c>
      <c r="B1397" t="s">
        <v>1419</v>
      </c>
      <c r="C1397">
        <v>314</v>
      </c>
      <c r="D1397">
        <v>217</v>
      </c>
      <c r="E1397" t="s">
        <v>17</v>
      </c>
      <c r="F1397">
        <f>tbl_AQI[[#This Row],[Most AQI Reached]]-tbl_AQI[[#This Row],[Current AQI]]</f>
        <v>97</v>
      </c>
      <c r="G13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97">
        <f>RANK(tbl_AQI[[#This Row],[Current AQI]], tbl_AQI[Current AQI], 0)</f>
        <v>1242</v>
      </c>
    </row>
    <row r="1398" spans="1:8" x14ac:dyDescent="0.35">
      <c r="A1398" t="s">
        <v>1297</v>
      </c>
      <c r="B1398" t="s">
        <v>1420</v>
      </c>
      <c r="C1398">
        <v>345</v>
      </c>
      <c r="D1398">
        <v>201</v>
      </c>
      <c r="E1398" t="s">
        <v>17</v>
      </c>
      <c r="F1398">
        <f>tbl_AQI[[#This Row],[Most AQI Reached]]-tbl_AQI[[#This Row],[Current AQI]]</f>
        <v>144</v>
      </c>
      <c r="G13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98">
        <f>RANK(tbl_AQI[[#This Row],[Current AQI]], tbl_AQI[Current AQI], 0)</f>
        <v>1305</v>
      </c>
    </row>
    <row r="1399" spans="1:8" x14ac:dyDescent="0.35">
      <c r="A1399" t="s">
        <v>1297</v>
      </c>
      <c r="B1399" t="s">
        <v>1421</v>
      </c>
      <c r="C1399">
        <v>371</v>
      </c>
      <c r="D1399">
        <v>268</v>
      </c>
      <c r="E1399" t="s">
        <v>7</v>
      </c>
      <c r="F1399">
        <f>tbl_AQI[[#This Row],[Most AQI Reached]]-tbl_AQI[[#This Row],[Current AQI]]</f>
        <v>103</v>
      </c>
      <c r="G13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399">
        <f>RANK(tbl_AQI[[#This Row],[Current AQI]], tbl_AQI[Current AQI], 0)</f>
        <v>1008</v>
      </c>
    </row>
    <row r="1400" spans="1:8" x14ac:dyDescent="0.35">
      <c r="A1400" t="s">
        <v>1297</v>
      </c>
      <c r="B1400" t="s">
        <v>1422</v>
      </c>
      <c r="C1400">
        <v>403</v>
      </c>
      <c r="D1400">
        <v>369</v>
      </c>
      <c r="E1400" t="s">
        <v>21</v>
      </c>
      <c r="F1400">
        <f>tbl_AQI[[#This Row],[Most AQI Reached]]-tbl_AQI[[#This Row],[Current AQI]]</f>
        <v>34</v>
      </c>
      <c r="G14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400">
        <f>RANK(tbl_AQI[[#This Row],[Current AQI]], tbl_AQI[Current AQI], 0)</f>
        <v>543</v>
      </c>
    </row>
    <row r="1401" spans="1:8" x14ac:dyDescent="0.35">
      <c r="A1401" t="s">
        <v>1297</v>
      </c>
      <c r="B1401" t="s">
        <v>1423</v>
      </c>
      <c r="C1401">
        <v>215</v>
      </c>
      <c r="D1401">
        <v>171</v>
      </c>
      <c r="E1401" t="s">
        <v>17</v>
      </c>
      <c r="F1401">
        <f>tbl_AQI[[#This Row],[Most AQI Reached]]-tbl_AQI[[#This Row],[Current AQI]]</f>
        <v>44</v>
      </c>
      <c r="G14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01">
        <f>RANK(tbl_AQI[[#This Row],[Current AQI]], tbl_AQI[Current AQI], 0)</f>
        <v>1866</v>
      </c>
    </row>
    <row r="1402" spans="1:8" x14ac:dyDescent="0.35">
      <c r="A1402" t="s">
        <v>1297</v>
      </c>
      <c r="B1402" t="s">
        <v>1424</v>
      </c>
      <c r="C1402">
        <v>377</v>
      </c>
      <c r="D1402">
        <v>186</v>
      </c>
      <c r="E1402" t="s">
        <v>17</v>
      </c>
      <c r="F1402">
        <f>tbl_AQI[[#This Row],[Most AQI Reached]]-tbl_AQI[[#This Row],[Current AQI]]</f>
        <v>191</v>
      </c>
      <c r="G14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02">
        <f>RANK(tbl_AQI[[#This Row],[Current AQI]], tbl_AQI[Current AQI], 0)</f>
        <v>1478</v>
      </c>
    </row>
    <row r="1403" spans="1:8" x14ac:dyDescent="0.35">
      <c r="A1403" t="s">
        <v>1297</v>
      </c>
      <c r="B1403" t="s">
        <v>1425</v>
      </c>
      <c r="C1403">
        <v>475</v>
      </c>
      <c r="D1403">
        <v>412</v>
      </c>
      <c r="E1403" t="s">
        <v>21</v>
      </c>
      <c r="F1403">
        <f>tbl_AQI[[#This Row],[Most AQI Reached]]-tbl_AQI[[#This Row],[Current AQI]]</f>
        <v>63</v>
      </c>
      <c r="G14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03">
        <f>RANK(tbl_AQI[[#This Row],[Current AQI]], tbl_AQI[Current AQI], 0)</f>
        <v>336</v>
      </c>
    </row>
    <row r="1404" spans="1:8" x14ac:dyDescent="0.35">
      <c r="A1404" t="s">
        <v>1297</v>
      </c>
      <c r="B1404" t="s">
        <v>1426</v>
      </c>
      <c r="C1404">
        <v>332</v>
      </c>
      <c r="D1404">
        <v>265</v>
      </c>
      <c r="E1404" t="s">
        <v>9</v>
      </c>
      <c r="F1404">
        <f>tbl_AQI[[#This Row],[Most AQI Reached]]-tbl_AQI[[#This Row],[Current AQI]]</f>
        <v>67</v>
      </c>
      <c r="G14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04">
        <f>RANK(tbl_AQI[[#This Row],[Current AQI]], tbl_AQI[Current AQI], 0)</f>
        <v>1022</v>
      </c>
    </row>
    <row r="1405" spans="1:8" x14ac:dyDescent="0.35">
      <c r="A1405" t="s">
        <v>1297</v>
      </c>
      <c r="B1405" t="s">
        <v>1427</v>
      </c>
      <c r="C1405">
        <v>498</v>
      </c>
      <c r="D1405">
        <v>459</v>
      </c>
      <c r="E1405" t="s">
        <v>17</v>
      </c>
      <c r="F1405">
        <f>tbl_AQI[[#This Row],[Most AQI Reached]]-tbl_AQI[[#This Row],[Current AQI]]</f>
        <v>39</v>
      </c>
      <c r="G14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05">
        <f>RANK(tbl_AQI[[#This Row],[Current AQI]], tbl_AQI[Current AQI], 0)</f>
        <v>112</v>
      </c>
    </row>
    <row r="1406" spans="1:8" x14ac:dyDescent="0.35">
      <c r="A1406" t="s">
        <v>1297</v>
      </c>
      <c r="B1406" t="s">
        <v>1428</v>
      </c>
      <c r="C1406">
        <v>483</v>
      </c>
      <c r="D1406">
        <v>449</v>
      </c>
      <c r="E1406" t="s">
        <v>17</v>
      </c>
      <c r="F1406">
        <f>tbl_AQI[[#This Row],[Most AQI Reached]]-tbl_AQI[[#This Row],[Current AQI]]</f>
        <v>34</v>
      </c>
      <c r="G14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06">
        <f>RANK(tbl_AQI[[#This Row],[Current AQI]], tbl_AQI[Current AQI], 0)</f>
        <v>161</v>
      </c>
    </row>
    <row r="1407" spans="1:8" x14ac:dyDescent="0.35">
      <c r="A1407" t="s">
        <v>1297</v>
      </c>
      <c r="B1407" t="s">
        <v>1429</v>
      </c>
      <c r="C1407">
        <v>461</v>
      </c>
      <c r="D1407">
        <v>424</v>
      </c>
      <c r="E1407" t="s">
        <v>21</v>
      </c>
      <c r="F1407">
        <f>tbl_AQI[[#This Row],[Most AQI Reached]]-tbl_AQI[[#This Row],[Current AQI]]</f>
        <v>37</v>
      </c>
      <c r="G14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07">
        <f>RANK(tbl_AQI[[#This Row],[Current AQI]], tbl_AQI[Current AQI], 0)</f>
        <v>293</v>
      </c>
    </row>
    <row r="1408" spans="1:8" x14ac:dyDescent="0.35">
      <c r="A1408" t="s">
        <v>1297</v>
      </c>
      <c r="B1408" t="s">
        <v>1430</v>
      </c>
      <c r="C1408">
        <v>465</v>
      </c>
      <c r="D1408">
        <v>222</v>
      </c>
      <c r="E1408" t="s">
        <v>17</v>
      </c>
      <c r="F1408">
        <f>tbl_AQI[[#This Row],[Most AQI Reached]]-tbl_AQI[[#This Row],[Current AQI]]</f>
        <v>243</v>
      </c>
      <c r="G14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08">
        <f>RANK(tbl_AQI[[#This Row],[Current AQI]], tbl_AQI[Current AQI], 0)</f>
        <v>1222</v>
      </c>
    </row>
    <row r="1409" spans="1:8" x14ac:dyDescent="0.35">
      <c r="A1409" t="s">
        <v>1297</v>
      </c>
      <c r="B1409" t="s">
        <v>1431</v>
      </c>
      <c r="C1409">
        <v>359</v>
      </c>
      <c r="D1409">
        <v>272</v>
      </c>
      <c r="E1409" t="s">
        <v>17</v>
      </c>
      <c r="F1409">
        <f>tbl_AQI[[#This Row],[Most AQI Reached]]-tbl_AQI[[#This Row],[Current AQI]]</f>
        <v>87</v>
      </c>
      <c r="G14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09">
        <f>RANK(tbl_AQI[[#This Row],[Current AQI]], tbl_AQI[Current AQI], 0)</f>
        <v>991</v>
      </c>
    </row>
    <row r="1410" spans="1:8" x14ac:dyDescent="0.35">
      <c r="A1410" t="s">
        <v>1297</v>
      </c>
      <c r="B1410" t="s">
        <v>1432</v>
      </c>
      <c r="C1410">
        <v>466</v>
      </c>
      <c r="D1410">
        <v>407</v>
      </c>
      <c r="E1410" t="s">
        <v>7</v>
      </c>
      <c r="F1410">
        <f>tbl_AQI[[#This Row],[Most AQI Reached]]-tbl_AQI[[#This Row],[Current AQI]]</f>
        <v>59</v>
      </c>
      <c r="G14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10">
        <f>RANK(tbl_AQI[[#This Row],[Current AQI]], tbl_AQI[Current AQI], 0)</f>
        <v>354</v>
      </c>
    </row>
    <row r="1411" spans="1:8" x14ac:dyDescent="0.35">
      <c r="A1411" t="s">
        <v>1297</v>
      </c>
      <c r="B1411" t="s">
        <v>1433</v>
      </c>
      <c r="C1411">
        <v>453</v>
      </c>
      <c r="D1411">
        <v>448</v>
      </c>
      <c r="E1411" t="s">
        <v>9</v>
      </c>
      <c r="F1411">
        <f>tbl_AQI[[#This Row],[Most AQI Reached]]-tbl_AQI[[#This Row],[Current AQI]]</f>
        <v>5</v>
      </c>
      <c r="G14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11">
        <f>RANK(tbl_AQI[[#This Row],[Current AQI]], tbl_AQI[Current AQI], 0)</f>
        <v>166</v>
      </c>
    </row>
    <row r="1412" spans="1:8" x14ac:dyDescent="0.35">
      <c r="A1412" t="s">
        <v>1297</v>
      </c>
      <c r="B1412" t="s">
        <v>1434</v>
      </c>
      <c r="C1412">
        <v>271</v>
      </c>
      <c r="D1412">
        <v>176</v>
      </c>
      <c r="E1412" t="s">
        <v>21</v>
      </c>
      <c r="F1412">
        <f>tbl_AQI[[#This Row],[Most AQI Reached]]-tbl_AQI[[#This Row],[Current AQI]]</f>
        <v>95</v>
      </c>
      <c r="G14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12">
        <f>RANK(tbl_AQI[[#This Row],[Current AQI]], tbl_AQI[Current AQI], 0)</f>
        <v>1754</v>
      </c>
    </row>
    <row r="1413" spans="1:8" x14ac:dyDescent="0.35">
      <c r="A1413" t="s">
        <v>1297</v>
      </c>
      <c r="B1413" t="s">
        <v>1435</v>
      </c>
      <c r="C1413">
        <v>446</v>
      </c>
      <c r="D1413">
        <v>374</v>
      </c>
      <c r="E1413" t="s">
        <v>17</v>
      </c>
      <c r="F1413">
        <f>tbl_AQI[[#This Row],[Most AQI Reached]]-tbl_AQI[[#This Row],[Current AQI]]</f>
        <v>72</v>
      </c>
      <c r="G14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413">
        <f>RANK(tbl_AQI[[#This Row],[Current AQI]], tbl_AQI[Current AQI], 0)</f>
        <v>521</v>
      </c>
    </row>
    <row r="1414" spans="1:8" x14ac:dyDescent="0.35">
      <c r="A1414" t="s">
        <v>1297</v>
      </c>
      <c r="B1414" t="s">
        <v>1436</v>
      </c>
      <c r="C1414">
        <v>412</v>
      </c>
      <c r="D1414">
        <v>279</v>
      </c>
      <c r="E1414" t="s">
        <v>9</v>
      </c>
      <c r="F1414">
        <f>tbl_AQI[[#This Row],[Most AQI Reached]]-tbl_AQI[[#This Row],[Current AQI]]</f>
        <v>133</v>
      </c>
      <c r="G14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14">
        <f>RANK(tbl_AQI[[#This Row],[Current AQI]], tbl_AQI[Current AQI], 0)</f>
        <v>957</v>
      </c>
    </row>
    <row r="1415" spans="1:8" x14ac:dyDescent="0.35">
      <c r="A1415" t="s">
        <v>1297</v>
      </c>
      <c r="B1415" t="s">
        <v>1437</v>
      </c>
      <c r="C1415">
        <v>278</v>
      </c>
      <c r="D1415">
        <v>189</v>
      </c>
      <c r="E1415" t="s">
        <v>17</v>
      </c>
      <c r="F1415">
        <f>tbl_AQI[[#This Row],[Most AQI Reached]]-tbl_AQI[[#This Row],[Current AQI]]</f>
        <v>89</v>
      </c>
      <c r="G14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15">
        <f>RANK(tbl_AQI[[#This Row],[Current AQI]], tbl_AQI[Current AQI], 0)</f>
        <v>1395</v>
      </c>
    </row>
    <row r="1416" spans="1:8" x14ac:dyDescent="0.35">
      <c r="A1416" t="s">
        <v>1297</v>
      </c>
      <c r="B1416" t="s">
        <v>1438</v>
      </c>
      <c r="C1416">
        <v>320</v>
      </c>
      <c r="D1416">
        <v>238</v>
      </c>
      <c r="E1416" t="s">
        <v>17</v>
      </c>
      <c r="F1416">
        <f>tbl_AQI[[#This Row],[Most AQI Reached]]-tbl_AQI[[#This Row],[Current AQI]]</f>
        <v>82</v>
      </c>
      <c r="G14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16">
        <f>RANK(tbl_AQI[[#This Row],[Current AQI]], tbl_AQI[Current AQI], 0)</f>
        <v>1154</v>
      </c>
    </row>
    <row r="1417" spans="1:8" x14ac:dyDescent="0.35">
      <c r="A1417" t="s">
        <v>1297</v>
      </c>
      <c r="B1417" t="s">
        <v>1439</v>
      </c>
      <c r="C1417">
        <v>222</v>
      </c>
      <c r="D1417">
        <v>164</v>
      </c>
      <c r="E1417" t="s">
        <v>17</v>
      </c>
      <c r="F1417">
        <f>tbl_AQI[[#This Row],[Most AQI Reached]]-tbl_AQI[[#This Row],[Current AQI]]</f>
        <v>58</v>
      </c>
      <c r="G14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17">
        <f>RANK(tbl_AQI[[#This Row],[Current AQI]], tbl_AQI[Current AQI], 0)</f>
        <v>2049</v>
      </c>
    </row>
    <row r="1418" spans="1:8" x14ac:dyDescent="0.35">
      <c r="A1418" t="s">
        <v>1297</v>
      </c>
      <c r="B1418" t="s">
        <v>1440</v>
      </c>
      <c r="C1418">
        <v>422</v>
      </c>
      <c r="D1418">
        <v>335</v>
      </c>
      <c r="E1418" t="s">
        <v>7</v>
      </c>
      <c r="F1418">
        <f>tbl_AQI[[#This Row],[Most AQI Reached]]-tbl_AQI[[#This Row],[Current AQI]]</f>
        <v>87</v>
      </c>
      <c r="G14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418">
        <f>RANK(tbl_AQI[[#This Row],[Current AQI]], tbl_AQI[Current AQI], 0)</f>
        <v>712</v>
      </c>
    </row>
    <row r="1419" spans="1:8" x14ac:dyDescent="0.35">
      <c r="A1419" t="s">
        <v>1297</v>
      </c>
      <c r="B1419" t="s">
        <v>1441</v>
      </c>
      <c r="C1419">
        <v>329</v>
      </c>
      <c r="D1419">
        <v>285</v>
      </c>
      <c r="E1419" t="s">
        <v>15</v>
      </c>
      <c r="F1419">
        <f>tbl_AQI[[#This Row],[Most AQI Reached]]-tbl_AQI[[#This Row],[Current AQI]]</f>
        <v>44</v>
      </c>
      <c r="G14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19">
        <f>RANK(tbl_AQI[[#This Row],[Current AQI]], tbl_AQI[Current AQI], 0)</f>
        <v>928</v>
      </c>
    </row>
    <row r="1420" spans="1:8" x14ac:dyDescent="0.35">
      <c r="A1420" t="s">
        <v>1297</v>
      </c>
      <c r="B1420" t="s">
        <v>1442</v>
      </c>
      <c r="C1420">
        <v>447</v>
      </c>
      <c r="D1420">
        <v>386</v>
      </c>
      <c r="E1420" t="s">
        <v>7</v>
      </c>
      <c r="F1420">
        <f>tbl_AQI[[#This Row],[Most AQI Reached]]-tbl_AQI[[#This Row],[Current AQI]]</f>
        <v>61</v>
      </c>
      <c r="G14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420">
        <f>RANK(tbl_AQI[[#This Row],[Current AQI]], tbl_AQI[Current AQI], 0)</f>
        <v>456</v>
      </c>
    </row>
    <row r="1421" spans="1:8" x14ac:dyDescent="0.35">
      <c r="A1421" t="s">
        <v>1297</v>
      </c>
      <c r="B1421" t="s">
        <v>1443</v>
      </c>
      <c r="C1421">
        <v>365</v>
      </c>
      <c r="D1421">
        <v>242</v>
      </c>
      <c r="E1421" t="s">
        <v>17</v>
      </c>
      <c r="F1421">
        <f>tbl_AQI[[#This Row],[Most AQI Reached]]-tbl_AQI[[#This Row],[Current AQI]]</f>
        <v>123</v>
      </c>
      <c r="G14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21">
        <f>RANK(tbl_AQI[[#This Row],[Current AQI]], tbl_AQI[Current AQI], 0)</f>
        <v>1134</v>
      </c>
    </row>
    <row r="1422" spans="1:8" x14ac:dyDescent="0.35">
      <c r="A1422" t="s">
        <v>1297</v>
      </c>
      <c r="B1422" t="s">
        <v>1444</v>
      </c>
      <c r="C1422">
        <v>409</v>
      </c>
      <c r="D1422">
        <v>250</v>
      </c>
      <c r="E1422" t="s">
        <v>7</v>
      </c>
      <c r="F1422">
        <f>tbl_AQI[[#This Row],[Most AQI Reached]]-tbl_AQI[[#This Row],[Current AQI]]</f>
        <v>159</v>
      </c>
      <c r="G14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22">
        <f>RANK(tbl_AQI[[#This Row],[Current AQI]], tbl_AQI[Current AQI], 0)</f>
        <v>1092</v>
      </c>
    </row>
    <row r="1423" spans="1:8" x14ac:dyDescent="0.35">
      <c r="A1423" t="s">
        <v>1297</v>
      </c>
      <c r="B1423" t="s">
        <v>1445</v>
      </c>
      <c r="C1423">
        <v>160</v>
      </c>
      <c r="D1423">
        <v>156</v>
      </c>
      <c r="E1423" t="s">
        <v>17</v>
      </c>
      <c r="F1423">
        <f>tbl_AQI[[#This Row],[Most AQI Reached]]-tbl_AQI[[#This Row],[Current AQI]]</f>
        <v>4</v>
      </c>
      <c r="G14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23">
        <f>RANK(tbl_AQI[[#This Row],[Current AQI]], tbl_AQI[Current AQI], 0)</f>
        <v>2251</v>
      </c>
    </row>
    <row r="1424" spans="1:8" x14ac:dyDescent="0.35">
      <c r="A1424" t="s">
        <v>1297</v>
      </c>
      <c r="B1424" t="s">
        <v>1446</v>
      </c>
      <c r="C1424">
        <v>474</v>
      </c>
      <c r="D1424">
        <v>447</v>
      </c>
      <c r="E1424" t="s">
        <v>9</v>
      </c>
      <c r="F1424">
        <f>tbl_AQI[[#This Row],[Most AQI Reached]]-tbl_AQI[[#This Row],[Current AQI]]</f>
        <v>27</v>
      </c>
      <c r="G14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24">
        <f>RANK(tbl_AQI[[#This Row],[Current AQI]], tbl_AQI[Current AQI], 0)</f>
        <v>178</v>
      </c>
    </row>
    <row r="1425" spans="1:8" x14ac:dyDescent="0.35">
      <c r="A1425" t="s">
        <v>1297</v>
      </c>
      <c r="B1425" t="s">
        <v>1447</v>
      </c>
      <c r="C1425">
        <v>450</v>
      </c>
      <c r="D1425">
        <v>448</v>
      </c>
      <c r="E1425" t="s">
        <v>21</v>
      </c>
      <c r="F1425">
        <f>tbl_AQI[[#This Row],[Most AQI Reached]]-tbl_AQI[[#This Row],[Current AQI]]</f>
        <v>2</v>
      </c>
      <c r="G14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25">
        <f>RANK(tbl_AQI[[#This Row],[Current AQI]], tbl_AQI[Current AQI], 0)</f>
        <v>166</v>
      </c>
    </row>
    <row r="1426" spans="1:8" x14ac:dyDescent="0.35">
      <c r="A1426" t="s">
        <v>1297</v>
      </c>
      <c r="B1426" t="s">
        <v>1448</v>
      </c>
      <c r="C1426">
        <v>437</v>
      </c>
      <c r="D1426">
        <v>333</v>
      </c>
      <c r="E1426" t="s">
        <v>9</v>
      </c>
      <c r="F1426">
        <f>tbl_AQI[[#This Row],[Most AQI Reached]]-tbl_AQI[[#This Row],[Current AQI]]</f>
        <v>104</v>
      </c>
      <c r="G14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426">
        <f>RANK(tbl_AQI[[#This Row],[Current AQI]], tbl_AQI[Current AQI], 0)</f>
        <v>721</v>
      </c>
    </row>
    <row r="1427" spans="1:8" x14ac:dyDescent="0.35">
      <c r="A1427" t="s">
        <v>1297</v>
      </c>
      <c r="B1427" t="s">
        <v>1449</v>
      </c>
      <c r="C1427">
        <v>379</v>
      </c>
      <c r="D1427">
        <v>169</v>
      </c>
      <c r="E1427" t="s">
        <v>9</v>
      </c>
      <c r="F1427">
        <f>tbl_AQI[[#This Row],[Most AQI Reached]]-tbl_AQI[[#This Row],[Current AQI]]</f>
        <v>210</v>
      </c>
      <c r="G14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27">
        <f>RANK(tbl_AQI[[#This Row],[Current AQI]], tbl_AQI[Current AQI], 0)</f>
        <v>1925</v>
      </c>
    </row>
    <row r="1428" spans="1:8" x14ac:dyDescent="0.35">
      <c r="A1428" t="s">
        <v>1297</v>
      </c>
      <c r="B1428" t="s">
        <v>1450</v>
      </c>
      <c r="C1428">
        <v>448</v>
      </c>
      <c r="D1428">
        <v>423</v>
      </c>
      <c r="E1428" t="s">
        <v>21</v>
      </c>
      <c r="F1428">
        <f>tbl_AQI[[#This Row],[Most AQI Reached]]-tbl_AQI[[#This Row],[Current AQI]]</f>
        <v>25</v>
      </c>
      <c r="G14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428">
        <f>RANK(tbl_AQI[[#This Row],[Current AQI]], tbl_AQI[Current AQI], 0)</f>
        <v>295</v>
      </c>
    </row>
    <row r="1429" spans="1:8" x14ac:dyDescent="0.35">
      <c r="A1429" t="s">
        <v>1297</v>
      </c>
      <c r="B1429" t="s">
        <v>1451</v>
      </c>
      <c r="C1429">
        <v>366</v>
      </c>
      <c r="D1429">
        <v>239</v>
      </c>
      <c r="E1429" t="s">
        <v>17</v>
      </c>
      <c r="F1429">
        <f>tbl_AQI[[#This Row],[Most AQI Reached]]-tbl_AQI[[#This Row],[Current AQI]]</f>
        <v>127</v>
      </c>
      <c r="G14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429">
        <f>RANK(tbl_AQI[[#This Row],[Current AQI]], tbl_AQI[Current AQI], 0)</f>
        <v>1145</v>
      </c>
    </row>
    <row r="1430" spans="1:8" x14ac:dyDescent="0.35">
      <c r="A1430" t="s">
        <v>1452</v>
      </c>
      <c r="B1430" t="s">
        <v>802</v>
      </c>
      <c r="C1430">
        <v>277</v>
      </c>
      <c r="D1430">
        <v>65</v>
      </c>
      <c r="E1430" t="s">
        <v>17</v>
      </c>
      <c r="F1430">
        <f>tbl_AQI[[#This Row],[Most AQI Reached]]-tbl_AQI[[#This Row],[Current AQI]]</f>
        <v>212</v>
      </c>
      <c r="G14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30">
        <f>RANK(tbl_AQI[[#This Row],[Current AQI]], tbl_AQI[Current AQI], 0)</f>
        <v>4267</v>
      </c>
    </row>
    <row r="1431" spans="1:8" x14ac:dyDescent="0.35">
      <c r="A1431" t="s">
        <v>1452</v>
      </c>
      <c r="B1431" t="s">
        <v>803</v>
      </c>
      <c r="C1431">
        <v>293</v>
      </c>
      <c r="D1431">
        <v>39</v>
      </c>
      <c r="E1431" t="s">
        <v>21</v>
      </c>
      <c r="F1431">
        <f>tbl_AQI[[#This Row],[Most AQI Reached]]-tbl_AQI[[#This Row],[Current AQI]]</f>
        <v>254</v>
      </c>
      <c r="G14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31">
        <f>RANK(tbl_AQI[[#This Row],[Current AQI]], tbl_AQI[Current AQI], 0)</f>
        <v>4829</v>
      </c>
    </row>
    <row r="1432" spans="1:8" x14ac:dyDescent="0.35">
      <c r="A1432" t="s">
        <v>1452</v>
      </c>
      <c r="B1432" t="s">
        <v>804</v>
      </c>
      <c r="C1432">
        <v>135</v>
      </c>
      <c r="D1432">
        <v>104</v>
      </c>
      <c r="E1432" t="s">
        <v>33</v>
      </c>
      <c r="F1432">
        <f>tbl_AQI[[#This Row],[Most AQI Reached]]-tbl_AQI[[#This Row],[Current AQI]]</f>
        <v>31</v>
      </c>
      <c r="G14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32">
        <f>RANK(tbl_AQI[[#This Row],[Current AQI]], tbl_AQI[Current AQI], 0)</f>
        <v>3454</v>
      </c>
    </row>
    <row r="1433" spans="1:8" x14ac:dyDescent="0.35">
      <c r="A1433" t="s">
        <v>1452</v>
      </c>
      <c r="B1433" t="s">
        <v>805</v>
      </c>
      <c r="C1433">
        <v>123</v>
      </c>
      <c r="D1433">
        <v>71</v>
      </c>
      <c r="E1433" t="s">
        <v>21</v>
      </c>
      <c r="F1433">
        <f>tbl_AQI[[#This Row],[Most AQI Reached]]-tbl_AQI[[#This Row],[Current AQI]]</f>
        <v>52</v>
      </c>
      <c r="G14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33">
        <f>RANK(tbl_AQI[[#This Row],[Current AQI]], tbl_AQI[Current AQI], 0)</f>
        <v>4129</v>
      </c>
    </row>
    <row r="1434" spans="1:8" x14ac:dyDescent="0.35">
      <c r="A1434" t="s">
        <v>1452</v>
      </c>
      <c r="B1434" t="s">
        <v>806</v>
      </c>
      <c r="C1434">
        <v>250</v>
      </c>
      <c r="D1434">
        <v>69</v>
      </c>
      <c r="E1434" t="s">
        <v>33</v>
      </c>
      <c r="F1434">
        <f>tbl_AQI[[#This Row],[Most AQI Reached]]-tbl_AQI[[#This Row],[Current AQI]]</f>
        <v>181</v>
      </c>
      <c r="G14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34">
        <f>RANK(tbl_AQI[[#This Row],[Current AQI]], tbl_AQI[Current AQI], 0)</f>
        <v>4186</v>
      </c>
    </row>
    <row r="1435" spans="1:8" x14ac:dyDescent="0.35">
      <c r="A1435" t="s">
        <v>1452</v>
      </c>
      <c r="B1435" t="s">
        <v>807</v>
      </c>
      <c r="C1435">
        <v>152</v>
      </c>
      <c r="D1435">
        <v>140</v>
      </c>
      <c r="E1435" t="s">
        <v>11</v>
      </c>
      <c r="F1435">
        <f>tbl_AQI[[#This Row],[Most AQI Reached]]-tbl_AQI[[#This Row],[Current AQI]]</f>
        <v>12</v>
      </c>
      <c r="G14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35">
        <f>RANK(tbl_AQI[[#This Row],[Current AQI]], tbl_AQI[Current AQI], 0)</f>
        <v>2627</v>
      </c>
    </row>
    <row r="1436" spans="1:8" x14ac:dyDescent="0.35">
      <c r="A1436" t="s">
        <v>1452</v>
      </c>
      <c r="B1436" t="s">
        <v>808</v>
      </c>
      <c r="C1436">
        <v>224</v>
      </c>
      <c r="D1436">
        <v>51</v>
      </c>
      <c r="E1436" t="s">
        <v>9</v>
      </c>
      <c r="F1436">
        <f>tbl_AQI[[#This Row],[Most AQI Reached]]-tbl_AQI[[#This Row],[Current AQI]]</f>
        <v>173</v>
      </c>
      <c r="G14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36">
        <f>RANK(tbl_AQI[[#This Row],[Current AQI]], tbl_AQI[Current AQI], 0)</f>
        <v>4578</v>
      </c>
    </row>
    <row r="1437" spans="1:8" x14ac:dyDescent="0.35">
      <c r="A1437" t="s">
        <v>1452</v>
      </c>
      <c r="B1437" t="s">
        <v>1453</v>
      </c>
      <c r="C1437">
        <v>223</v>
      </c>
      <c r="D1437">
        <v>164</v>
      </c>
      <c r="E1437" t="s">
        <v>33</v>
      </c>
      <c r="F1437">
        <f>tbl_AQI[[#This Row],[Most AQI Reached]]-tbl_AQI[[#This Row],[Current AQI]]</f>
        <v>59</v>
      </c>
      <c r="G14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37">
        <f>RANK(tbl_AQI[[#This Row],[Current AQI]], tbl_AQI[Current AQI], 0)</f>
        <v>2049</v>
      </c>
    </row>
    <row r="1438" spans="1:8" x14ac:dyDescent="0.35">
      <c r="A1438" t="s">
        <v>1452</v>
      </c>
      <c r="B1438" t="s">
        <v>1454</v>
      </c>
      <c r="C1438">
        <v>189</v>
      </c>
      <c r="D1438">
        <v>130</v>
      </c>
      <c r="E1438" t="s">
        <v>11</v>
      </c>
      <c r="F1438">
        <f>tbl_AQI[[#This Row],[Most AQI Reached]]-tbl_AQI[[#This Row],[Current AQI]]</f>
        <v>59</v>
      </c>
      <c r="G14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38">
        <f>RANK(tbl_AQI[[#This Row],[Current AQI]], tbl_AQI[Current AQI], 0)</f>
        <v>2832</v>
      </c>
    </row>
    <row r="1439" spans="1:8" x14ac:dyDescent="0.35">
      <c r="A1439" t="s">
        <v>1452</v>
      </c>
      <c r="B1439" t="s">
        <v>1455</v>
      </c>
      <c r="C1439">
        <v>69</v>
      </c>
      <c r="D1439">
        <v>45</v>
      </c>
      <c r="E1439" t="s">
        <v>11</v>
      </c>
      <c r="F1439">
        <f>tbl_AQI[[#This Row],[Most AQI Reached]]-tbl_AQI[[#This Row],[Current AQI]]</f>
        <v>24</v>
      </c>
      <c r="G14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39">
        <f>RANK(tbl_AQI[[#This Row],[Current AQI]], tbl_AQI[Current AQI], 0)</f>
        <v>4702</v>
      </c>
    </row>
    <row r="1440" spans="1:8" x14ac:dyDescent="0.35">
      <c r="A1440" t="s">
        <v>1452</v>
      </c>
      <c r="B1440" t="s">
        <v>1456</v>
      </c>
      <c r="C1440">
        <v>131</v>
      </c>
      <c r="D1440">
        <v>110</v>
      </c>
      <c r="E1440" t="s">
        <v>7</v>
      </c>
      <c r="F1440">
        <f>tbl_AQI[[#This Row],[Most AQI Reached]]-tbl_AQI[[#This Row],[Current AQI]]</f>
        <v>21</v>
      </c>
      <c r="G14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40">
        <f>RANK(tbl_AQI[[#This Row],[Current AQI]], tbl_AQI[Current AQI], 0)</f>
        <v>3302</v>
      </c>
    </row>
    <row r="1441" spans="1:8" x14ac:dyDescent="0.35">
      <c r="A1441" t="s">
        <v>1452</v>
      </c>
      <c r="B1441" t="s">
        <v>1457</v>
      </c>
      <c r="C1441">
        <v>274</v>
      </c>
      <c r="D1441">
        <v>119</v>
      </c>
      <c r="E1441" t="s">
        <v>21</v>
      </c>
      <c r="F1441">
        <f>tbl_AQI[[#This Row],[Most AQI Reached]]-tbl_AQI[[#This Row],[Current AQI]]</f>
        <v>155</v>
      </c>
      <c r="G14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41">
        <f>RANK(tbl_AQI[[#This Row],[Current AQI]], tbl_AQI[Current AQI], 0)</f>
        <v>3093</v>
      </c>
    </row>
    <row r="1442" spans="1:8" x14ac:dyDescent="0.35">
      <c r="A1442" t="s">
        <v>1452</v>
      </c>
      <c r="B1442" t="s">
        <v>1458</v>
      </c>
      <c r="C1442">
        <v>247</v>
      </c>
      <c r="D1442">
        <v>72</v>
      </c>
      <c r="E1442" t="s">
        <v>15</v>
      </c>
      <c r="F1442">
        <f>tbl_AQI[[#This Row],[Most AQI Reached]]-tbl_AQI[[#This Row],[Current AQI]]</f>
        <v>175</v>
      </c>
      <c r="G14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42">
        <f>RANK(tbl_AQI[[#This Row],[Current AQI]], tbl_AQI[Current AQI], 0)</f>
        <v>4100</v>
      </c>
    </row>
    <row r="1443" spans="1:8" x14ac:dyDescent="0.35">
      <c r="A1443" t="s">
        <v>1452</v>
      </c>
      <c r="B1443" t="s">
        <v>1459</v>
      </c>
      <c r="C1443">
        <v>175</v>
      </c>
      <c r="D1443">
        <v>171</v>
      </c>
      <c r="E1443" t="s">
        <v>21</v>
      </c>
      <c r="F1443">
        <f>tbl_AQI[[#This Row],[Most AQI Reached]]-tbl_AQI[[#This Row],[Current AQI]]</f>
        <v>4</v>
      </c>
      <c r="G14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43">
        <f>RANK(tbl_AQI[[#This Row],[Current AQI]], tbl_AQI[Current AQI], 0)</f>
        <v>1866</v>
      </c>
    </row>
    <row r="1444" spans="1:8" x14ac:dyDescent="0.35">
      <c r="A1444" t="s">
        <v>1452</v>
      </c>
      <c r="B1444" t="s">
        <v>1460</v>
      </c>
      <c r="C1444">
        <v>122</v>
      </c>
      <c r="D1444">
        <v>47</v>
      </c>
      <c r="E1444" t="s">
        <v>11</v>
      </c>
      <c r="F1444">
        <f>tbl_AQI[[#This Row],[Most AQI Reached]]-tbl_AQI[[#This Row],[Current AQI]]</f>
        <v>75</v>
      </c>
      <c r="G14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44">
        <f>RANK(tbl_AQI[[#This Row],[Current AQI]], tbl_AQI[Current AQI], 0)</f>
        <v>4656</v>
      </c>
    </row>
    <row r="1445" spans="1:8" x14ac:dyDescent="0.35">
      <c r="A1445" t="s">
        <v>1452</v>
      </c>
      <c r="B1445" t="s">
        <v>1461</v>
      </c>
      <c r="C1445">
        <v>77</v>
      </c>
      <c r="D1445">
        <v>50</v>
      </c>
      <c r="E1445" t="s">
        <v>9</v>
      </c>
      <c r="F1445">
        <f>tbl_AQI[[#This Row],[Most AQI Reached]]-tbl_AQI[[#This Row],[Current AQI]]</f>
        <v>27</v>
      </c>
      <c r="G14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45">
        <f>RANK(tbl_AQI[[#This Row],[Current AQI]], tbl_AQI[Current AQI], 0)</f>
        <v>4596</v>
      </c>
    </row>
    <row r="1446" spans="1:8" x14ac:dyDescent="0.35">
      <c r="A1446" t="s">
        <v>1452</v>
      </c>
      <c r="B1446" t="s">
        <v>1462</v>
      </c>
      <c r="C1446">
        <v>229</v>
      </c>
      <c r="D1446">
        <v>119</v>
      </c>
      <c r="E1446" t="s">
        <v>11</v>
      </c>
      <c r="F1446">
        <f>tbl_AQI[[#This Row],[Most AQI Reached]]-tbl_AQI[[#This Row],[Current AQI]]</f>
        <v>110</v>
      </c>
      <c r="G14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46">
        <f>RANK(tbl_AQI[[#This Row],[Current AQI]], tbl_AQI[Current AQI], 0)</f>
        <v>3093</v>
      </c>
    </row>
    <row r="1447" spans="1:8" x14ac:dyDescent="0.35">
      <c r="A1447" t="s">
        <v>1452</v>
      </c>
      <c r="B1447" t="s">
        <v>1463</v>
      </c>
      <c r="C1447">
        <v>188</v>
      </c>
      <c r="D1447">
        <v>165</v>
      </c>
      <c r="E1447" t="s">
        <v>9</v>
      </c>
      <c r="F1447">
        <f>tbl_AQI[[#This Row],[Most AQI Reached]]-tbl_AQI[[#This Row],[Current AQI]]</f>
        <v>23</v>
      </c>
      <c r="G14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47">
        <f>RANK(tbl_AQI[[#This Row],[Current AQI]], tbl_AQI[Current AQI], 0)</f>
        <v>2028</v>
      </c>
    </row>
    <row r="1448" spans="1:8" x14ac:dyDescent="0.35">
      <c r="A1448" t="s">
        <v>1452</v>
      </c>
      <c r="B1448" t="s">
        <v>1464</v>
      </c>
      <c r="C1448">
        <v>227</v>
      </c>
      <c r="D1448">
        <v>181</v>
      </c>
      <c r="E1448" t="s">
        <v>17</v>
      </c>
      <c r="F1448">
        <f>tbl_AQI[[#This Row],[Most AQI Reached]]-tbl_AQI[[#This Row],[Current AQI]]</f>
        <v>46</v>
      </c>
      <c r="G14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48">
        <f>RANK(tbl_AQI[[#This Row],[Current AQI]], tbl_AQI[Current AQI], 0)</f>
        <v>1609</v>
      </c>
    </row>
    <row r="1449" spans="1:8" x14ac:dyDescent="0.35">
      <c r="A1449" t="s">
        <v>1452</v>
      </c>
      <c r="B1449" t="s">
        <v>1465</v>
      </c>
      <c r="C1449">
        <v>138</v>
      </c>
      <c r="D1449">
        <v>116</v>
      </c>
      <c r="E1449" t="s">
        <v>21</v>
      </c>
      <c r="F1449">
        <f>tbl_AQI[[#This Row],[Most AQI Reached]]-tbl_AQI[[#This Row],[Current AQI]]</f>
        <v>22</v>
      </c>
      <c r="G14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49">
        <f>RANK(tbl_AQI[[#This Row],[Current AQI]], tbl_AQI[Current AQI], 0)</f>
        <v>3173</v>
      </c>
    </row>
    <row r="1450" spans="1:8" x14ac:dyDescent="0.35">
      <c r="A1450" t="s">
        <v>1452</v>
      </c>
      <c r="B1450" t="s">
        <v>1466</v>
      </c>
      <c r="C1450">
        <v>154</v>
      </c>
      <c r="D1450">
        <v>89</v>
      </c>
      <c r="E1450" t="s">
        <v>11</v>
      </c>
      <c r="F1450">
        <f>tbl_AQI[[#This Row],[Most AQI Reached]]-tbl_AQI[[#This Row],[Current AQI]]</f>
        <v>65</v>
      </c>
      <c r="G14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50">
        <f>RANK(tbl_AQI[[#This Row],[Current AQI]], tbl_AQI[Current AQI], 0)</f>
        <v>3772</v>
      </c>
    </row>
    <row r="1451" spans="1:8" x14ac:dyDescent="0.35">
      <c r="A1451" t="s">
        <v>1452</v>
      </c>
      <c r="B1451" t="s">
        <v>1467</v>
      </c>
      <c r="C1451">
        <v>102</v>
      </c>
      <c r="D1451">
        <v>91</v>
      </c>
      <c r="E1451" t="s">
        <v>7</v>
      </c>
      <c r="F1451">
        <f>tbl_AQI[[#This Row],[Most AQI Reached]]-tbl_AQI[[#This Row],[Current AQI]]</f>
        <v>11</v>
      </c>
      <c r="G14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51">
        <f>RANK(tbl_AQI[[#This Row],[Current AQI]], tbl_AQI[Current AQI], 0)</f>
        <v>3726</v>
      </c>
    </row>
    <row r="1452" spans="1:8" x14ac:dyDescent="0.35">
      <c r="A1452" t="s">
        <v>1452</v>
      </c>
      <c r="B1452" t="s">
        <v>1468</v>
      </c>
      <c r="C1452">
        <v>150</v>
      </c>
      <c r="D1452">
        <v>42</v>
      </c>
      <c r="E1452" t="s">
        <v>7</v>
      </c>
      <c r="F1452">
        <f>tbl_AQI[[#This Row],[Most AQI Reached]]-tbl_AQI[[#This Row],[Current AQI]]</f>
        <v>108</v>
      </c>
      <c r="G14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52">
        <f>RANK(tbl_AQI[[#This Row],[Current AQI]], tbl_AQI[Current AQI], 0)</f>
        <v>4776</v>
      </c>
    </row>
    <row r="1453" spans="1:8" x14ac:dyDescent="0.35">
      <c r="A1453" t="s">
        <v>1452</v>
      </c>
      <c r="B1453" t="s">
        <v>1469</v>
      </c>
      <c r="C1453">
        <v>246</v>
      </c>
      <c r="D1453">
        <v>43</v>
      </c>
      <c r="E1453" t="s">
        <v>21</v>
      </c>
      <c r="F1453">
        <f>tbl_AQI[[#This Row],[Most AQI Reached]]-tbl_AQI[[#This Row],[Current AQI]]</f>
        <v>203</v>
      </c>
      <c r="G14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53">
        <f>RANK(tbl_AQI[[#This Row],[Current AQI]], tbl_AQI[Current AQI], 0)</f>
        <v>4752</v>
      </c>
    </row>
    <row r="1454" spans="1:8" x14ac:dyDescent="0.35">
      <c r="A1454" t="s">
        <v>1452</v>
      </c>
      <c r="B1454" t="s">
        <v>1470</v>
      </c>
      <c r="C1454">
        <v>293</v>
      </c>
      <c r="D1454">
        <v>136</v>
      </c>
      <c r="E1454" t="s">
        <v>33</v>
      </c>
      <c r="F1454">
        <f>tbl_AQI[[#This Row],[Most AQI Reached]]-tbl_AQI[[#This Row],[Current AQI]]</f>
        <v>157</v>
      </c>
      <c r="G14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54">
        <f>RANK(tbl_AQI[[#This Row],[Current AQI]], tbl_AQI[Current AQI], 0)</f>
        <v>2692</v>
      </c>
    </row>
    <row r="1455" spans="1:8" x14ac:dyDescent="0.35">
      <c r="A1455" t="s">
        <v>1452</v>
      </c>
      <c r="B1455" t="s">
        <v>1471</v>
      </c>
      <c r="C1455">
        <v>111</v>
      </c>
      <c r="D1455">
        <v>70</v>
      </c>
      <c r="E1455" t="s">
        <v>9</v>
      </c>
      <c r="F1455">
        <f>tbl_AQI[[#This Row],[Most AQI Reached]]-tbl_AQI[[#This Row],[Current AQI]]</f>
        <v>41</v>
      </c>
      <c r="G14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55">
        <f>RANK(tbl_AQI[[#This Row],[Current AQI]], tbl_AQI[Current AQI], 0)</f>
        <v>4153</v>
      </c>
    </row>
    <row r="1456" spans="1:8" x14ac:dyDescent="0.35">
      <c r="A1456" t="s">
        <v>1452</v>
      </c>
      <c r="B1456" t="s">
        <v>1472</v>
      </c>
      <c r="C1456">
        <v>301</v>
      </c>
      <c r="D1456">
        <v>147</v>
      </c>
      <c r="E1456" t="s">
        <v>11</v>
      </c>
      <c r="F1456">
        <f>tbl_AQI[[#This Row],[Most AQI Reached]]-tbl_AQI[[#This Row],[Current AQI]]</f>
        <v>154</v>
      </c>
      <c r="G14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56">
        <f>RANK(tbl_AQI[[#This Row],[Current AQI]], tbl_AQI[Current AQI], 0)</f>
        <v>2478</v>
      </c>
    </row>
    <row r="1457" spans="1:8" x14ac:dyDescent="0.35">
      <c r="A1457" t="s">
        <v>1452</v>
      </c>
      <c r="B1457" t="s">
        <v>1473</v>
      </c>
      <c r="C1457">
        <v>296</v>
      </c>
      <c r="D1457">
        <v>111</v>
      </c>
      <c r="E1457" t="s">
        <v>11</v>
      </c>
      <c r="F1457">
        <f>tbl_AQI[[#This Row],[Most AQI Reached]]-tbl_AQI[[#This Row],[Current AQI]]</f>
        <v>185</v>
      </c>
      <c r="G14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57">
        <f>RANK(tbl_AQI[[#This Row],[Current AQI]], tbl_AQI[Current AQI], 0)</f>
        <v>3285</v>
      </c>
    </row>
    <row r="1458" spans="1:8" x14ac:dyDescent="0.35">
      <c r="A1458" t="s">
        <v>1452</v>
      </c>
      <c r="B1458" t="s">
        <v>1474</v>
      </c>
      <c r="C1458">
        <v>156</v>
      </c>
      <c r="D1458">
        <v>141</v>
      </c>
      <c r="E1458" t="s">
        <v>7</v>
      </c>
      <c r="F1458">
        <f>tbl_AQI[[#This Row],[Most AQI Reached]]-tbl_AQI[[#This Row],[Current AQI]]</f>
        <v>15</v>
      </c>
      <c r="G14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58">
        <f>RANK(tbl_AQI[[#This Row],[Current AQI]], tbl_AQI[Current AQI], 0)</f>
        <v>2609</v>
      </c>
    </row>
    <row r="1459" spans="1:8" x14ac:dyDescent="0.35">
      <c r="A1459" t="s">
        <v>1452</v>
      </c>
      <c r="B1459" t="s">
        <v>1475</v>
      </c>
      <c r="C1459">
        <v>162</v>
      </c>
      <c r="D1459">
        <v>49</v>
      </c>
      <c r="E1459" t="s">
        <v>33</v>
      </c>
      <c r="F1459">
        <f>tbl_AQI[[#This Row],[Most AQI Reached]]-tbl_AQI[[#This Row],[Current AQI]]</f>
        <v>113</v>
      </c>
      <c r="G14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59">
        <f>RANK(tbl_AQI[[#This Row],[Current AQI]], tbl_AQI[Current AQI], 0)</f>
        <v>4614</v>
      </c>
    </row>
    <row r="1460" spans="1:8" x14ac:dyDescent="0.35">
      <c r="A1460" t="s">
        <v>1452</v>
      </c>
      <c r="B1460" t="s">
        <v>1476</v>
      </c>
      <c r="C1460">
        <v>131</v>
      </c>
      <c r="D1460">
        <v>46</v>
      </c>
      <c r="E1460" t="s">
        <v>9</v>
      </c>
      <c r="F1460">
        <f>tbl_AQI[[#This Row],[Most AQI Reached]]-tbl_AQI[[#This Row],[Current AQI]]</f>
        <v>85</v>
      </c>
      <c r="G14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60">
        <f>RANK(tbl_AQI[[#This Row],[Current AQI]], tbl_AQI[Current AQI], 0)</f>
        <v>4680</v>
      </c>
    </row>
    <row r="1461" spans="1:8" x14ac:dyDescent="0.35">
      <c r="A1461" t="s">
        <v>1452</v>
      </c>
      <c r="B1461" t="s">
        <v>1477</v>
      </c>
      <c r="C1461">
        <v>307</v>
      </c>
      <c r="D1461">
        <v>105</v>
      </c>
      <c r="E1461" t="s">
        <v>11</v>
      </c>
      <c r="F1461">
        <f>tbl_AQI[[#This Row],[Most AQI Reached]]-tbl_AQI[[#This Row],[Current AQI]]</f>
        <v>202</v>
      </c>
      <c r="G14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1">
        <f>RANK(tbl_AQI[[#This Row],[Current AQI]], tbl_AQI[Current AQI], 0)</f>
        <v>3436</v>
      </c>
    </row>
    <row r="1462" spans="1:8" x14ac:dyDescent="0.35">
      <c r="A1462" t="s">
        <v>1452</v>
      </c>
      <c r="B1462" t="s">
        <v>1478</v>
      </c>
      <c r="C1462">
        <v>319</v>
      </c>
      <c r="D1462">
        <v>82</v>
      </c>
      <c r="E1462" t="s">
        <v>15</v>
      </c>
      <c r="F1462">
        <f>tbl_AQI[[#This Row],[Most AQI Reached]]-tbl_AQI[[#This Row],[Current AQI]]</f>
        <v>237</v>
      </c>
      <c r="G14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62">
        <f>RANK(tbl_AQI[[#This Row],[Current AQI]], tbl_AQI[Current AQI], 0)</f>
        <v>3904</v>
      </c>
    </row>
    <row r="1463" spans="1:8" x14ac:dyDescent="0.35">
      <c r="A1463" t="s">
        <v>1452</v>
      </c>
      <c r="B1463" t="s">
        <v>1479</v>
      </c>
      <c r="C1463">
        <v>254</v>
      </c>
      <c r="D1463">
        <v>173</v>
      </c>
      <c r="E1463" t="s">
        <v>9</v>
      </c>
      <c r="F1463">
        <f>tbl_AQI[[#This Row],[Most AQI Reached]]-tbl_AQI[[#This Row],[Current AQI]]</f>
        <v>81</v>
      </c>
      <c r="G14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3">
        <f>RANK(tbl_AQI[[#This Row],[Current AQI]], tbl_AQI[Current AQI], 0)</f>
        <v>1826</v>
      </c>
    </row>
    <row r="1464" spans="1:8" x14ac:dyDescent="0.35">
      <c r="A1464" t="s">
        <v>1452</v>
      </c>
      <c r="B1464" t="s">
        <v>1480</v>
      </c>
      <c r="C1464">
        <v>231</v>
      </c>
      <c r="D1464">
        <v>143</v>
      </c>
      <c r="E1464" t="s">
        <v>9</v>
      </c>
      <c r="F1464">
        <f>tbl_AQI[[#This Row],[Most AQI Reached]]-tbl_AQI[[#This Row],[Current AQI]]</f>
        <v>88</v>
      </c>
      <c r="G14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4">
        <f>RANK(tbl_AQI[[#This Row],[Current AQI]], tbl_AQI[Current AQI], 0)</f>
        <v>2567</v>
      </c>
    </row>
    <row r="1465" spans="1:8" x14ac:dyDescent="0.35">
      <c r="A1465" t="s">
        <v>1452</v>
      </c>
      <c r="B1465" t="s">
        <v>1481</v>
      </c>
      <c r="C1465">
        <v>205</v>
      </c>
      <c r="D1465">
        <v>190</v>
      </c>
      <c r="E1465" t="s">
        <v>21</v>
      </c>
      <c r="F1465">
        <f>tbl_AQI[[#This Row],[Most AQI Reached]]-tbl_AQI[[#This Row],[Current AQI]]</f>
        <v>15</v>
      </c>
      <c r="G14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5">
        <f>RANK(tbl_AQI[[#This Row],[Current AQI]], tbl_AQI[Current AQI], 0)</f>
        <v>1355</v>
      </c>
    </row>
    <row r="1466" spans="1:8" x14ac:dyDescent="0.35">
      <c r="A1466" t="s">
        <v>1452</v>
      </c>
      <c r="B1466" t="s">
        <v>1482</v>
      </c>
      <c r="C1466">
        <v>199</v>
      </c>
      <c r="D1466">
        <v>182</v>
      </c>
      <c r="E1466" t="s">
        <v>33</v>
      </c>
      <c r="F1466">
        <f>tbl_AQI[[#This Row],[Most AQI Reached]]-tbl_AQI[[#This Row],[Current AQI]]</f>
        <v>17</v>
      </c>
      <c r="G14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6">
        <f>RANK(tbl_AQI[[#This Row],[Current AQI]], tbl_AQI[Current AQI], 0)</f>
        <v>1593</v>
      </c>
    </row>
    <row r="1467" spans="1:8" x14ac:dyDescent="0.35">
      <c r="A1467" t="s">
        <v>1452</v>
      </c>
      <c r="B1467" t="s">
        <v>1483</v>
      </c>
      <c r="C1467">
        <v>227</v>
      </c>
      <c r="D1467">
        <v>135</v>
      </c>
      <c r="E1467" t="s">
        <v>33</v>
      </c>
      <c r="F1467">
        <f>tbl_AQI[[#This Row],[Most AQI Reached]]-tbl_AQI[[#This Row],[Current AQI]]</f>
        <v>92</v>
      </c>
      <c r="G14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7">
        <f>RANK(tbl_AQI[[#This Row],[Current AQI]], tbl_AQI[Current AQI], 0)</f>
        <v>2714</v>
      </c>
    </row>
    <row r="1468" spans="1:8" x14ac:dyDescent="0.35">
      <c r="A1468" t="s">
        <v>1452</v>
      </c>
      <c r="B1468" t="s">
        <v>1484</v>
      </c>
      <c r="C1468">
        <v>158</v>
      </c>
      <c r="D1468">
        <v>42</v>
      </c>
      <c r="E1468" t="s">
        <v>17</v>
      </c>
      <c r="F1468">
        <f>tbl_AQI[[#This Row],[Most AQI Reached]]-tbl_AQI[[#This Row],[Current AQI]]</f>
        <v>116</v>
      </c>
      <c r="G14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68">
        <f>RANK(tbl_AQI[[#This Row],[Current AQI]], tbl_AQI[Current AQI], 0)</f>
        <v>4776</v>
      </c>
    </row>
    <row r="1469" spans="1:8" x14ac:dyDescent="0.35">
      <c r="A1469" t="s">
        <v>1452</v>
      </c>
      <c r="B1469" t="s">
        <v>1485</v>
      </c>
      <c r="C1469">
        <v>140</v>
      </c>
      <c r="D1469">
        <v>117</v>
      </c>
      <c r="E1469" t="s">
        <v>9</v>
      </c>
      <c r="F1469">
        <f>tbl_AQI[[#This Row],[Most AQI Reached]]-tbl_AQI[[#This Row],[Current AQI]]</f>
        <v>23</v>
      </c>
      <c r="G14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69">
        <f>RANK(tbl_AQI[[#This Row],[Current AQI]], tbl_AQI[Current AQI], 0)</f>
        <v>3144</v>
      </c>
    </row>
    <row r="1470" spans="1:8" x14ac:dyDescent="0.35">
      <c r="A1470" t="s">
        <v>1452</v>
      </c>
      <c r="B1470" t="s">
        <v>1486</v>
      </c>
      <c r="C1470">
        <v>76</v>
      </c>
      <c r="D1470">
        <v>35</v>
      </c>
      <c r="E1470" t="s">
        <v>33</v>
      </c>
      <c r="F1470">
        <f>tbl_AQI[[#This Row],[Most AQI Reached]]-tbl_AQI[[#This Row],[Current AQI]]</f>
        <v>41</v>
      </c>
      <c r="G14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70">
        <f>RANK(tbl_AQI[[#This Row],[Current AQI]], tbl_AQI[Current AQI], 0)</f>
        <v>4916</v>
      </c>
    </row>
    <row r="1471" spans="1:8" x14ac:dyDescent="0.35">
      <c r="A1471" t="s">
        <v>1452</v>
      </c>
      <c r="B1471" t="s">
        <v>1487</v>
      </c>
      <c r="C1471">
        <v>149</v>
      </c>
      <c r="D1471">
        <v>75</v>
      </c>
      <c r="E1471" t="s">
        <v>15</v>
      </c>
      <c r="F1471">
        <f>tbl_AQI[[#This Row],[Most AQI Reached]]-tbl_AQI[[#This Row],[Current AQI]]</f>
        <v>74</v>
      </c>
      <c r="G14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71">
        <f>RANK(tbl_AQI[[#This Row],[Current AQI]], tbl_AQI[Current AQI], 0)</f>
        <v>4041</v>
      </c>
    </row>
    <row r="1472" spans="1:8" x14ac:dyDescent="0.35">
      <c r="A1472" t="s">
        <v>1452</v>
      </c>
      <c r="B1472" t="s">
        <v>1488</v>
      </c>
      <c r="C1472">
        <v>246</v>
      </c>
      <c r="D1472">
        <v>160</v>
      </c>
      <c r="E1472" t="s">
        <v>21</v>
      </c>
      <c r="F1472">
        <f>tbl_AQI[[#This Row],[Most AQI Reached]]-tbl_AQI[[#This Row],[Current AQI]]</f>
        <v>86</v>
      </c>
      <c r="G14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2">
        <f>RANK(tbl_AQI[[#This Row],[Current AQI]], tbl_AQI[Current AQI], 0)</f>
        <v>2154</v>
      </c>
    </row>
    <row r="1473" spans="1:8" x14ac:dyDescent="0.35">
      <c r="A1473" t="s">
        <v>1452</v>
      </c>
      <c r="B1473" t="s">
        <v>1489</v>
      </c>
      <c r="C1473">
        <v>226</v>
      </c>
      <c r="D1473">
        <v>119</v>
      </c>
      <c r="E1473" t="s">
        <v>17</v>
      </c>
      <c r="F1473">
        <f>tbl_AQI[[#This Row],[Most AQI Reached]]-tbl_AQI[[#This Row],[Current AQI]]</f>
        <v>107</v>
      </c>
      <c r="G14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3">
        <f>RANK(tbl_AQI[[#This Row],[Current AQI]], tbl_AQI[Current AQI], 0)</f>
        <v>3093</v>
      </c>
    </row>
    <row r="1474" spans="1:8" x14ac:dyDescent="0.35">
      <c r="A1474" t="s">
        <v>1452</v>
      </c>
      <c r="B1474" t="s">
        <v>1490</v>
      </c>
      <c r="C1474">
        <v>180</v>
      </c>
      <c r="D1474">
        <v>155</v>
      </c>
      <c r="E1474" t="s">
        <v>33</v>
      </c>
      <c r="F1474">
        <f>tbl_AQI[[#This Row],[Most AQI Reached]]-tbl_AQI[[#This Row],[Current AQI]]</f>
        <v>25</v>
      </c>
      <c r="G14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4">
        <f>RANK(tbl_AQI[[#This Row],[Current AQI]], tbl_AQI[Current AQI], 0)</f>
        <v>2275</v>
      </c>
    </row>
    <row r="1475" spans="1:8" x14ac:dyDescent="0.35">
      <c r="A1475" t="s">
        <v>1452</v>
      </c>
      <c r="B1475" t="s">
        <v>1491</v>
      </c>
      <c r="C1475">
        <v>248</v>
      </c>
      <c r="D1475">
        <v>186</v>
      </c>
      <c r="E1475" t="s">
        <v>11</v>
      </c>
      <c r="F1475">
        <f>tbl_AQI[[#This Row],[Most AQI Reached]]-tbl_AQI[[#This Row],[Current AQI]]</f>
        <v>62</v>
      </c>
      <c r="G14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5">
        <f>RANK(tbl_AQI[[#This Row],[Current AQI]], tbl_AQI[Current AQI], 0)</f>
        <v>1478</v>
      </c>
    </row>
    <row r="1476" spans="1:8" x14ac:dyDescent="0.35">
      <c r="A1476" t="s">
        <v>1452</v>
      </c>
      <c r="B1476" t="s">
        <v>1492</v>
      </c>
      <c r="C1476">
        <v>201</v>
      </c>
      <c r="D1476">
        <v>107</v>
      </c>
      <c r="E1476" t="s">
        <v>7</v>
      </c>
      <c r="F1476">
        <f>tbl_AQI[[#This Row],[Most AQI Reached]]-tbl_AQI[[#This Row],[Current AQI]]</f>
        <v>94</v>
      </c>
      <c r="G14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6">
        <f>RANK(tbl_AQI[[#This Row],[Current AQI]], tbl_AQI[Current AQI], 0)</f>
        <v>3387</v>
      </c>
    </row>
    <row r="1477" spans="1:8" x14ac:dyDescent="0.35">
      <c r="A1477" t="s">
        <v>1452</v>
      </c>
      <c r="B1477" t="s">
        <v>1493</v>
      </c>
      <c r="C1477">
        <v>290</v>
      </c>
      <c r="D1477">
        <v>190</v>
      </c>
      <c r="E1477" t="s">
        <v>11</v>
      </c>
      <c r="F1477">
        <f>tbl_AQI[[#This Row],[Most AQI Reached]]-tbl_AQI[[#This Row],[Current AQI]]</f>
        <v>100</v>
      </c>
      <c r="G14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7">
        <f>RANK(tbl_AQI[[#This Row],[Current AQI]], tbl_AQI[Current AQI], 0)</f>
        <v>1355</v>
      </c>
    </row>
    <row r="1478" spans="1:8" x14ac:dyDescent="0.35">
      <c r="A1478" t="s">
        <v>1452</v>
      </c>
      <c r="B1478" t="s">
        <v>1494</v>
      </c>
      <c r="C1478">
        <v>169</v>
      </c>
      <c r="D1478">
        <v>130</v>
      </c>
      <c r="E1478" t="s">
        <v>7</v>
      </c>
      <c r="F1478">
        <f>tbl_AQI[[#This Row],[Most AQI Reached]]-tbl_AQI[[#This Row],[Current AQI]]</f>
        <v>39</v>
      </c>
      <c r="G14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8">
        <f>RANK(tbl_AQI[[#This Row],[Current AQI]], tbl_AQI[Current AQI], 0)</f>
        <v>2832</v>
      </c>
    </row>
    <row r="1479" spans="1:8" x14ac:dyDescent="0.35">
      <c r="A1479" t="s">
        <v>1452</v>
      </c>
      <c r="B1479" t="s">
        <v>1495</v>
      </c>
      <c r="C1479">
        <v>203</v>
      </c>
      <c r="D1479">
        <v>158</v>
      </c>
      <c r="E1479" t="s">
        <v>11</v>
      </c>
      <c r="F1479">
        <f>tbl_AQI[[#This Row],[Most AQI Reached]]-tbl_AQI[[#This Row],[Current AQI]]</f>
        <v>45</v>
      </c>
      <c r="G14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79">
        <f>RANK(tbl_AQI[[#This Row],[Current AQI]], tbl_AQI[Current AQI], 0)</f>
        <v>2207</v>
      </c>
    </row>
    <row r="1480" spans="1:8" x14ac:dyDescent="0.35">
      <c r="A1480" t="s">
        <v>1452</v>
      </c>
      <c r="B1480" t="s">
        <v>1496</v>
      </c>
      <c r="C1480">
        <v>156</v>
      </c>
      <c r="D1480">
        <v>62</v>
      </c>
      <c r="E1480" t="s">
        <v>11</v>
      </c>
      <c r="F1480">
        <f>tbl_AQI[[#This Row],[Most AQI Reached]]-tbl_AQI[[#This Row],[Current AQI]]</f>
        <v>94</v>
      </c>
      <c r="G14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80">
        <f>RANK(tbl_AQI[[#This Row],[Current AQI]], tbl_AQI[Current AQI], 0)</f>
        <v>4343</v>
      </c>
    </row>
    <row r="1481" spans="1:8" x14ac:dyDescent="0.35">
      <c r="A1481" t="s">
        <v>1452</v>
      </c>
      <c r="B1481" t="s">
        <v>1497</v>
      </c>
      <c r="C1481">
        <v>131</v>
      </c>
      <c r="D1481">
        <v>79</v>
      </c>
      <c r="E1481" t="s">
        <v>11</v>
      </c>
      <c r="F1481">
        <f>tbl_AQI[[#This Row],[Most AQI Reached]]-tbl_AQI[[#This Row],[Current AQI]]</f>
        <v>52</v>
      </c>
      <c r="G14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81">
        <f>RANK(tbl_AQI[[#This Row],[Current AQI]], tbl_AQI[Current AQI], 0)</f>
        <v>3967</v>
      </c>
    </row>
    <row r="1482" spans="1:8" x14ac:dyDescent="0.35">
      <c r="A1482" t="s">
        <v>1452</v>
      </c>
      <c r="B1482" t="s">
        <v>1498</v>
      </c>
      <c r="C1482">
        <v>144</v>
      </c>
      <c r="D1482">
        <v>124</v>
      </c>
      <c r="E1482" t="s">
        <v>11</v>
      </c>
      <c r="F1482">
        <f>tbl_AQI[[#This Row],[Most AQI Reached]]-tbl_AQI[[#This Row],[Current AQI]]</f>
        <v>20</v>
      </c>
      <c r="G14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82">
        <f>RANK(tbl_AQI[[#This Row],[Current AQI]], tbl_AQI[Current AQI], 0)</f>
        <v>2971</v>
      </c>
    </row>
    <row r="1483" spans="1:8" x14ac:dyDescent="0.35">
      <c r="A1483" t="s">
        <v>1452</v>
      </c>
      <c r="B1483" t="s">
        <v>1499</v>
      </c>
      <c r="C1483">
        <v>275</v>
      </c>
      <c r="D1483">
        <v>53</v>
      </c>
      <c r="E1483" t="s">
        <v>15</v>
      </c>
      <c r="F1483">
        <f>tbl_AQI[[#This Row],[Most AQI Reached]]-tbl_AQI[[#This Row],[Current AQI]]</f>
        <v>222</v>
      </c>
      <c r="G14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83">
        <f>RANK(tbl_AQI[[#This Row],[Current AQI]], tbl_AQI[Current AQI], 0)</f>
        <v>4544</v>
      </c>
    </row>
    <row r="1484" spans="1:8" x14ac:dyDescent="0.35">
      <c r="A1484" t="s">
        <v>1452</v>
      </c>
      <c r="B1484" t="s">
        <v>1500</v>
      </c>
      <c r="C1484">
        <v>150</v>
      </c>
      <c r="D1484">
        <v>147</v>
      </c>
      <c r="E1484" t="s">
        <v>33</v>
      </c>
      <c r="F1484">
        <f>tbl_AQI[[#This Row],[Most AQI Reached]]-tbl_AQI[[#This Row],[Current AQI]]</f>
        <v>3</v>
      </c>
      <c r="G14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84">
        <f>RANK(tbl_AQI[[#This Row],[Current AQI]], tbl_AQI[Current AQI], 0)</f>
        <v>2478</v>
      </c>
    </row>
    <row r="1485" spans="1:8" x14ac:dyDescent="0.35">
      <c r="A1485" t="s">
        <v>1452</v>
      </c>
      <c r="B1485" t="s">
        <v>1501</v>
      </c>
      <c r="C1485">
        <v>157</v>
      </c>
      <c r="D1485">
        <v>155</v>
      </c>
      <c r="E1485" t="s">
        <v>15</v>
      </c>
      <c r="F1485">
        <f>tbl_AQI[[#This Row],[Most AQI Reached]]-tbl_AQI[[#This Row],[Current AQI]]</f>
        <v>2</v>
      </c>
      <c r="G14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85">
        <f>RANK(tbl_AQI[[#This Row],[Current AQI]], tbl_AQI[Current AQI], 0)</f>
        <v>2275</v>
      </c>
    </row>
    <row r="1486" spans="1:8" x14ac:dyDescent="0.35">
      <c r="A1486" t="s">
        <v>1452</v>
      </c>
      <c r="B1486" t="s">
        <v>1502</v>
      </c>
      <c r="C1486">
        <v>110</v>
      </c>
      <c r="D1486">
        <v>35</v>
      </c>
      <c r="E1486" t="s">
        <v>21</v>
      </c>
      <c r="F1486">
        <f>tbl_AQI[[#This Row],[Most AQI Reached]]-tbl_AQI[[#This Row],[Current AQI]]</f>
        <v>75</v>
      </c>
      <c r="G14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86">
        <f>RANK(tbl_AQI[[#This Row],[Current AQI]], tbl_AQI[Current AQI], 0)</f>
        <v>4916</v>
      </c>
    </row>
    <row r="1487" spans="1:8" x14ac:dyDescent="0.35">
      <c r="A1487" t="s">
        <v>1452</v>
      </c>
      <c r="B1487" t="s">
        <v>1503</v>
      </c>
      <c r="C1487">
        <v>147</v>
      </c>
      <c r="D1487">
        <v>90</v>
      </c>
      <c r="E1487" t="s">
        <v>9</v>
      </c>
      <c r="F1487">
        <f>tbl_AQI[[#This Row],[Most AQI Reached]]-tbl_AQI[[#This Row],[Current AQI]]</f>
        <v>57</v>
      </c>
      <c r="G14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87">
        <f>RANK(tbl_AQI[[#This Row],[Current AQI]], tbl_AQI[Current AQI], 0)</f>
        <v>3750</v>
      </c>
    </row>
    <row r="1488" spans="1:8" x14ac:dyDescent="0.35">
      <c r="A1488" t="s">
        <v>1452</v>
      </c>
      <c r="B1488" t="s">
        <v>1504</v>
      </c>
      <c r="C1488">
        <v>306</v>
      </c>
      <c r="D1488">
        <v>82</v>
      </c>
      <c r="E1488" t="s">
        <v>17</v>
      </c>
      <c r="F1488">
        <f>tbl_AQI[[#This Row],[Most AQI Reached]]-tbl_AQI[[#This Row],[Current AQI]]</f>
        <v>224</v>
      </c>
      <c r="G14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88">
        <f>RANK(tbl_AQI[[#This Row],[Current AQI]], tbl_AQI[Current AQI], 0)</f>
        <v>3904</v>
      </c>
    </row>
    <row r="1489" spans="1:8" x14ac:dyDescent="0.35">
      <c r="A1489" t="s">
        <v>1452</v>
      </c>
      <c r="B1489" t="s">
        <v>1505</v>
      </c>
      <c r="C1489">
        <v>185</v>
      </c>
      <c r="D1489">
        <v>153</v>
      </c>
      <c r="E1489" t="s">
        <v>9</v>
      </c>
      <c r="F1489">
        <f>tbl_AQI[[#This Row],[Most AQI Reached]]-tbl_AQI[[#This Row],[Current AQI]]</f>
        <v>32</v>
      </c>
      <c r="G14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89">
        <f>RANK(tbl_AQI[[#This Row],[Current AQI]], tbl_AQI[Current AQI], 0)</f>
        <v>2329</v>
      </c>
    </row>
    <row r="1490" spans="1:8" x14ac:dyDescent="0.35">
      <c r="A1490" t="s">
        <v>1452</v>
      </c>
      <c r="B1490" t="s">
        <v>1506</v>
      </c>
      <c r="C1490">
        <v>229</v>
      </c>
      <c r="D1490">
        <v>70</v>
      </c>
      <c r="E1490" t="s">
        <v>15</v>
      </c>
      <c r="F1490">
        <f>tbl_AQI[[#This Row],[Most AQI Reached]]-tbl_AQI[[#This Row],[Current AQI]]</f>
        <v>159</v>
      </c>
      <c r="G14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90">
        <f>RANK(tbl_AQI[[#This Row],[Current AQI]], tbl_AQI[Current AQI], 0)</f>
        <v>4153</v>
      </c>
    </row>
    <row r="1491" spans="1:8" x14ac:dyDescent="0.35">
      <c r="A1491" t="s">
        <v>1452</v>
      </c>
      <c r="B1491" t="s">
        <v>1507</v>
      </c>
      <c r="C1491">
        <v>166</v>
      </c>
      <c r="D1491">
        <v>132</v>
      </c>
      <c r="E1491" t="s">
        <v>15</v>
      </c>
      <c r="F1491">
        <f>tbl_AQI[[#This Row],[Most AQI Reached]]-tbl_AQI[[#This Row],[Current AQI]]</f>
        <v>34</v>
      </c>
      <c r="G14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1">
        <f>RANK(tbl_AQI[[#This Row],[Current AQI]], tbl_AQI[Current AQI], 0)</f>
        <v>2792</v>
      </c>
    </row>
    <row r="1492" spans="1:8" x14ac:dyDescent="0.35">
      <c r="A1492" t="s">
        <v>1452</v>
      </c>
      <c r="B1492" t="s">
        <v>1508</v>
      </c>
      <c r="C1492">
        <v>257</v>
      </c>
      <c r="D1492">
        <v>102</v>
      </c>
      <c r="E1492" t="s">
        <v>21</v>
      </c>
      <c r="F1492">
        <f>tbl_AQI[[#This Row],[Most AQI Reached]]-tbl_AQI[[#This Row],[Current AQI]]</f>
        <v>155</v>
      </c>
      <c r="G14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2">
        <f>RANK(tbl_AQI[[#This Row],[Current AQI]], tbl_AQI[Current AQI], 0)</f>
        <v>3493</v>
      </c>
    </row>
    <row r="1493" spans="1:8" x14ac:dyDescent="0.35">
      <c r="A1493" t="s">
        <v>1452</v>
      </c>
      <c r="B1493" t="s">
        <v>1509</v>
      </c>
      <c r="C1493">
        <v>163</v>
      </c>
      <c r="D1493">
        <v>112</v>
      </c>
      <c r="E1493" t="s">
        <v>21</v>
      </c>
      <c r="F1493">
        <f>tbl_AQI[[#This Row],[Most AQI Reached]]-tbl_AQI[[#This Row],[Current AQI]]</f>
        <v>51</v>
      </c>
      <c r="G14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3">
        <f>RANK(tbl_AQI[[#This Row],[Current AQI]], tbl_AQI[Current AQI], 0)</f>
        <v>3267</v>
      </c>
    </row>
    <row r="1494" spans="1:8" x14ac:dyDescent="0.35">
      <c r="A1494" t="s">
        <v>1452</v>
      </c>
      <c r="B1494" t="s">
        <v>1510</v>
      </c>
      <c r="C1494">
        <v>189</v>
      </c>
      <c r="D1494">
        <v>55</v>
      </c>
      <c r="E1494" t="s">
        <v>9</v>
      </c>
      <c r="F1494">
        <f>tbl_AQI[[#This Row],[Most AQI Reached]]-tbl_AQI[[#This Row],[Current AQI]]</f>
        <v>134</v>
      </c>
      <c r="G14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494">
        <f>RANK(tbl_AQI[[#This Row],[Current AQI]], tbl_AQI[Current AQI], 0)</f>
        <v>4497</v>
      </c>
    </row>
    <row r="1495" spans="1:8" x14ac:dyDescent="0.35">
      <c r="A1495" t="s">
        <v>1452</v>
      </c>
      <c r="B1495" t="s">
        <v>1511</v>
      </c>
      <c r="C1495">
        <v>184</v>
      </c>
      <c r="D1495">
        <v>139</v>
      </c>
      <c r="E1495" t="s">
        <v>21</v>
      </c>
      <c r="F1495">
        <f>tbl_AQI[[#This Row],[Most AQI Reached]]-tbl_AQI[[#This Row],[Current AQI]]</f>
        <v>45</v>
      </c>
      <c r="G14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5">
        <f>RANK(tbl_AQI[[#This Row],[Current AQI]], tbl_AQI[Current AQI], 0)</f>
        <v>2647</v>
      </c>
    </row>
    <row r="1496" spans="1:8" x14ac:dyDescent="0.35">
      <c r="A1496" t="s">
        <v>1452</v>
      </c>
      <c r="B1496" t="s">
        <v>1512</v>
      </c>
      <c r="C1496">
        <v>56</v>
      </c>
      <c r="D1496">
        <v>46</v>
      </c>
      <c r="E1496" t="s">
        <v>17</v>
      </c>
      <c r="F1496">
        <f>tbl_AQI[[#This Row],[Most AQI Reached]]-tbl_AQI[[#This Row],[Current AQI]]</f>
        <v>10</v>
      </c>
      <c r="G14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496">
        <f>RANK(tbl_AQI[[#This Row],[Current AQI]], tbl_AQI[Current AQI], 0)</f>
        <v>4680</v>
      </c>
    </row>
    <row r="1497" spans="1:8" x14ac:dyDescent="0.35">
      <c r="A1497" t="s">
        <v>1452</v>
      </c>
      <c r="B1497" t="s">
        <v>1513</v>
      </c>
      <c r="C1497">
        <v>219</v>
      </c>
      <c r="D1497">
        <v>133</v>
      </c>
      <c r="E1497" t="s">
        <v>21</v>
      </c>
      <c r="F1497">
        <f>tbl_AQI[[#This Row],[Most AQI Reached]]-tbl_AQI[[#This Row],[Current AQI]]</f>
        <v>86</v>
      </c>
      <c r="G14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7">
        <f>RANK(tbl_AQI[[#This Row],[Current AQI]], tbl_AQI[Current AQI], 0)</f>
        <v>2758</v>
      </c>
    </row>
    <row r="1498" spans="1:8" x14ac:dyDescent="0.35">
      <c r="A1498" t="s">
        <v>1452</v>
      </c>
      <c r="B1498" t="s">
        <v>1514</v>
      </c>
      <c r="C1498">
        <v>265</v>
      </c>
      <c r="D1498">
        <v>116</v>
      </c>
      <c r="E1498" t="s">
        <v>9</v>
      </c>
      <c r="F1498">
        <f>tbl_AQI[[#This Row],[Most AQI Reached]]-tbl_AQI[[#This Row],[Current AQI]]</f>
        <v>149</v>
      </c>
      <c r="G14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8">
        <f>RANK(tbl_AQI[[#This Row],[Current AQI]], tbl_AQI[Current AQI], 0)</f>
        <v>3173</v>
      </c>
    </row>
    <row r="1499" spans="1:8" x14ac:dyDescent="0.35">
      <c r="A1499" t="s">
        <v>1452</v>
      </c>
      <c r="B1499" t="s">
        <v>1515</v>
      </c>
      <c r="C1499">
        <v>198</v>
      </c>
      <c r="D1499">
        <v>189</v>
      </c>
      <c r="E1499" t="s">
        <v>15</v>
      </c>
      <c r="F1499">
        <f>tbl_AQI[[#This Row],[Most AQI Reached]]-tbl_AQI[[#This Row],[Current AQI]]</f>
        <v>9</v>
      </c>
      <c r="G14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499">
        <f>RANK(tbl_AQI[[#This Row],[Current AQI]], tbl_AQI[Current AQI], 0)</f>
        <v>1395</v>
      </c>
    </row>
    <row r="1500" spans="1:8" x14ac:dyDescent="0.35">
      <c r="A1500" t="s">
        <v>1452</v>
      </c>
      <c r="B1500" t="s">
        <v>1516</v>
      </c>
      <c r="C1500">
        <v>196</v>
      </c>
      <c r="D1500">
        <v>172</v>
      </c>
      <c r="E1500" t="s">
        <v>33</v>
      </c>
      <c r="F1500">
        <f>tbl_AQI[[#This Row],[Most AQI Reached]]-tbl_AQI[[#This Row],[Current AQI]]</f>
        <v>24</v>
      </c>
      <c r="G15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0">
        <f>RANK(tbl_AQI[[#This Row],[Current AQI]], tbl_AQI[Current AQI], 0)</f>
        <v>1852</v>
      </c>
    </row>
    <row r="1501" spans="1:8" x14ac:dyDescent="0.35">
      <c r="A1501" t="s">
        <v>1452</v>
      </c>
      <c r="B1501" t="s">
        <v>1517</v>
      </c>
      <c r="C1501">
        <v>130</v>
      </c>
      <c r="D1501">
        <v>99</v>
      </c>
      <c r="E1501" t="s">
        <v>17</v>
      </c>
      <c r="F1501">
        <f>tbl_AQI[[#This Row],[Most AQI Reached]]-tbl_AQI[[#This Row],[Current AQI]]</f>
        <v>31</v>
      </c>
      <c r="G15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501">
        <f>RANK(tbl_AQI[[#This Row],[Current AQI]], tbl_AQI[Current AQI], 0)</f>
        <v>3553</v>
      </c>
    </row>
    <row r="1502" spans="1:8" x14ac:dyDescent="0.35">
      <c r="A1502" t="s">
        <v>1452</v>
      </c>
      <c r="B1502" t="s">
        <v>1518</v>
      </c>
      <c r="C1502">
        <v>274</v>
      </c>
      <c r="D1502">
        <v>134</v>
      </c>
      <c r="E1502" t="s">
        <v>7</v>
      </c>
      <c r="F1502">
        <f>tbl_AQI[[#This Row],[Most AQI Reached]]-tbl_AQI[[#This Row],[Current AQI]]</f>
        <v>140</v>
      </c>
      <c r="G15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2">
        <f>RANK(tbl_AQI[[#This Row],[Current AQI]], tbl_AQI[Current AQI], 0)</f>
        <v>2740</v>
      </c>
    </row>
    <row r="1503" spans="1:8" x14ac:dyDescent="0.35">
      <c r="A1503" t="s">
        <v>1452</v>
      </c>
      <c r="B1503" t="s">
        <v>1519</v>
      </c>
      <c r="C1503">
        <v>171</v>
      </c>
      <c r="D1503">
        <v>152</v>
      </c>
      <c r="E1503" t="s">
        <v>15</v>
      </c>
      <c r="F1503">
        <f>tbl_AQI[[#This Row],[Most AQI Reached]]-tbl_AQI[[#This Row],[Current AQI]]</f>
        <v>19</v>
      </c>
      <c r="G15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3">
        <f>RANK(tbl_AQI[[#This Row],[Current AQI]], tbl_AQI[Current AQI], 0)</f>
        <v>2349</v>
      </c>
    </row>
    <row r="1504" spans="1:8" x14ac:dyDescent="0.35">
      <c r="A1504" t="s">
        <v>1452</v>
      </c>
      <c r="B1504" t="s">
        <v>1520</v>
      </c>
      <c r="C1504">
        <v>131</v>
      </c>
      <c r="D1504">
        <v>108</v>
      </c>
      <c r="E1504" t="s">
        <v>9</v>
      </c>
      <c r="F1504">
        <f>tbl_AQI[[#This Row],[Most AQI Reached]]-tbl_AQI[[#This Row],[Current AQI]]</f>
        <v>23</v>
      </c>
      <c r="G15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4">
        <f>RANK(tbl_AQI[[#This Row],[Current AQI]], tbl_AQI[Current AQI], 0)</f>
        <v>3362</v>
      </c>
    </row>
    <row r="1505" spans="1:8" x14ac:dyDescent="0.35">
      <c r="A1505" t="s">
        <v>1452</v>
      </c>
      <c r="B1505" t="s">
        <v>1521</v>
      </c>
      <c r="C1505">
        <v>192</v>
      </c>
      <c r="D1505">
        <v>180</v>
      </c>
      <c r="E1505" t="s">
        <v>33</v>
      </c>
      <c r="F1505">
        <f>tbl_AQI[[#This Row],[Most AQI Reached]]-tbl_AQI[[#This Row],[Current AQI]]</f>
        <v>12</v>
      </c>
      <c r="G15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5">
        <f>RANK(tbl_AQI[[#This Row],[Current AQI]], tbl_AQI[Current AQI], 0)</f>
        <v>1635</v>
      </c>
    </row>
    <row r="1506" spans="1:8" x14ac:dyDescent="0.35">
      <c r="A1506" t="s">
        <v>1452</v>
      </c>
      <c r="B1506" t="s">
        <v>1522</v>
      </c>
      <c r="C1506">
        <v>289</v>
      </c>
      <c r="D1506">
        <v>173</v>
      </c>
      <c r="E1506" t="s">
        <v>15</v>
      </c>
      <c r="F1506">
        <f>tbl_AQI[[#This Row],[Most AQI Reached]]-tbl_AQI[[#This Row],[Current AQI]]</f>
        <v>116</v>
      </c>
      <c r="G15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6">
        <f>RANK(tbl_AQI[[#This Row],[Current AQI]], tbl_AQI[Current AQI], 0)</f>
        <v>1826</v>
      </c>
    </row>
    <row r="1507" spans="1:8" x14ac:dyDescent="0.35">
      <c r="A1507" t="s">
        <v>1452</v>
      </c>
      <c r="B1507" t="s">
        <v>1523</v>
      </c>
      <c r="C1507">
        <v>195</v>
      </c>
      <c r="D1507">
        <v>125</v>
      </c>
      <c r="E1507" t="s">
        <v>21</v>
      </c>
      <c r="F1507">
        <f>tbl_AQI[[#This Row],[Most AQI Reached]]-tbl_AQI[[#This Row],[Current AQI]]</f>
        <v>70</v>
      </c>
      <c r="G15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7">
        <f>RANK(tbl_AQI[[#This Row],[Current AQI]], tbl_AQI[Current AQI], 0)</f>
        <v>2951</v>
      </c>
    </row>
    <row r="1508" spans="1:8" x14ac:dyDescent="0.35">
      <c r="A1508" t="s">
        <v>1452</v>
      </c>
      <c r="B1508" t="s">
        <v>1524</v>
      </c>
      <c r="C1508">
        <v>291</v>
      </c>
      <c r="D1508">
        <v>98</v>
      </c>
      <c r="E1508" t="s">
        <v>11</v>
      </c>
      <c r="F1508">
        <f>tbl_AQI[[#This Row],[Most AQI Reached]]-tbl_AQI[[#This Row],[Current AQI]]</f>
        <v>193</v>
      </c>
      <c r="G15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508">
        <f>RANK(tbl_AQI[[#This Row],[Current AQI]], tbl_AQI[Current AQI], 0)</f>
        <v>3574</v>
      </c>
    </row>
    <row r="1509" spans="1:8" x14ac:dyDescent="0.35">
      <c r="A1509" t="s">
        <v>1452</v>
      </c>
      <c r="B1509" t="s">
        <v>1525</v>
      </c>
      <c r="C1509">
        <v>230</v>
      </c>
      <c r="D1509">
        <v>142</v>
      </c>
      <c r="E1509" t="s">
        <v>21</v>
      </c>
      <c r="F1509">
        <f>tbl_AQI[[#This Row],[Most AQI Reached]]-tbl_AQI[[#This Row],[Current AQI]]</f>
        <v>88</v>
      </c>
      <c r="G15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09">
        <f>RANK(tbl_AQI[[#This Row],[Current AQI]], tbl_AQI[Current AQI], 0)</f>
        <v>2585</v>
      </c>
    </row>
    <row r="1510" spans="1:8" x14ac:dyDescent="0.35">
      <c r="A1510" t="s">
        <v>1452</v>
      </c>
      <c r="B1510" t="s">
        <v>1526</v>
      </c>
      <c r="C1510">
        <v>129</v>
      </c>
      <c r="D1510">
        <v>69</v>
      </c>
      <c r="E1510" t="s">
        <v>11</v>
      </c>
      <c r="F1510">
        <f>tbl_AQI[[#This Row],[Most AQI Reached]]-tbl_AQI[[#This Row],[Current AQI]]</f>
        <v>60</v>
      </c>
      <c r="G15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510">
        <f>RANK(tbl_AQI[[#This Row],[Current AQI]], tbl_AQI[Current AQI], 0)</f>
        <v>4186</v>
      </c>
    </row>
    <row r="1511" spans="1:8" x14ac:dyDescent="0.35">
      <c r="A1511" t="s">
        <v>1452</v>
      </c>
      <c r="B1511" t="s">
        <v>1527</v>
      </c>
      <c r="C1511">
        <v>278</v>
      </c>
      <c r="D1511">
        <v>183</v>
      </c>
      <c r="E1511" t="s">
        <v>11</v>
      </c>
      <c r="F1511">
        <f>tbl_AQI[[#This Row],[Most AQI Reached]]-tbl_AQI[[#This Row],[Current AQI]]</f>
        <v>95</v>
      </c>
      <c r="G15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11">
        <f>RANK(tbl_AQI[[#This Row],[Current AQI]], tbl_AQI[Current AQI], 0)</f>
        <v>1572</v>
      </c>
    </row>
    <row r="1512" spans="1:8" x14ac:dyDescent="0.35">
      <c r="A1512" t="s">
        <v>1452</v>
      </c>
      <c r="B1512" t="s">
        <v>1528</v>
      </c>
      <c r="C1512">
        <v>313</v>
      </c>
      <c r="D1512">
        <v>166</v>
      </c>
      <c r="E1512" t="s">
        <v>11</v>
      </c>
      <c r="F1512">
        <f>tbl_AQI[[#This Row],[Most AQI Reached]]-tbl_AQI[[#This Row],[Current AQI]]</f>
        <v>147</v>
      </c>
      <c r="G15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12">
        <f>RANK(tbl_AQI[[#This Row],[Current AQI]], tbl_AQI[Current AQI], 0)</f>
        <v>2007</v>
      </c>
    </row>
    <row r="1513" spans="1:8" x14ac:dyDescent="0.35">
      <c r="A1513" t="s">
        <v>1452</v>
      </c>
      <c r="B1513" t="s">
        <v>1529</v>
      </c>
      <c r="C1513">
        <v>215</v>
      </c>
      <c r="D1513">
        <v>154</v>
      </c>
      <c r="E1513" t="s">
        <v>21</v>
      </c>
      <c r="F1513">
        <f>tbl_AQI[[#This Row],[Most AQI Reached]]-tbl_AQI[[#This Row],[Current AQI]]</f>
        <v>61</v>
      </c>
      <c r="G15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13">
        <f>RANK(tbl_AQI[[#This Row],[Current AQI]], tbl_AQI[Current AQI], 0)</f>
        <v>2307</v>
      </c>
    </row>
    <row r="1514" spans="1:8" x14ac:dyDescent="0.35">
      <c r="A1514" t="s">
        <v>1530</v>
      </c>
      <c r="B1514" t="s">
        <v>1531</v>
      </c>
      <c r="C1514">
        <v>257</v>
      </c>
      <c r="D1514">
        <v>238</v>
      </c>
      <c r="E1514" t="s">
        <v>11</v>
      </c>
      <c r="F1514">
        <f>tbl_AQI[[#This Row],[Most AQI Reached]]-tbl_AQI[[#This Row],[Current AQI]]</f>
        <v>19</v>
      </c>
      <c r="G15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14">
        <f>RANK(tbl_AQI[[#This Row],[Current AQI]], tbl_AQI[Current AQI], 0)</f>
        <v>1154</v>
      </c>
    </row>
    <row r="1515" spans="1:8" x14ac:dyDescent="0.35">
      <c r="A1515" t="s">
        <v>1530</v>
      </c>
      <c r="B1515" t="s">
        <v>1532</v>
      </c>
      <c r="C1515">
        <v>491</v>
      </c>
      <c r="D1515">
        <v>160</v>
      </c>
      <c r="E1515" t="s">
        <v>9</v>
      </c>
      <c r="F1515">
        <f>tbl_AQI[[#This Row],[Most AQI Reached]]-tbl_AQI[[#This Row],[Current AQI]]</f>
        <v>331</v>
      </c>
      <c r="G15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15">
        <f>RANK(tbl_AQI[[#This Row],[Current AQI]], tbl_AQI[Current AQI], 0)</f>
        <v>2154</v>
      </c>
    </row>
    <row r="1516" spans="1:8" x14ac:dyDescent="0.35">
      <c r="A1516" t="s">
        <v>1530</v>
      </c>
      <c r="B1516" t="s">
        <v>1533</v>
      </c>
      <c r="C1516">
        <v>325</v>
      </c>
      <c r="D1516">
        <v>193</v>
      </c>
      <c r="E1516" t="s">
        <v>15</v>
      </c>
      <c r="F1516">
        <f>tbl_AQI[[#This Row],[Most AQI Reached]]-tbl_AQI[[#This Row],[Current AQI]]</f>
        <v>132</v>
      </c>
      <c r="G15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16">
        <f>RANK(tbl_AQI[[#This Row],[Current AQI]], tbl_AQI[Current AQI], 0)</f>
        <v>1342</v>
      </c>
    </row>
    <row r="1517" spans="1:8" x14ac:dyDescent="0.35">
      <c r="A1517" t="s">
        <v>1530</v>
      </c>
      <c r="B1517" t="s">
        <v>1534</v>
      </c>
      <c r="C1517">
        <v>418</v>
      </c>
      <c r="D1517">
        <v>188</v>
      </c>
      <c r="E1517" t="s">
        <v>11</v>
      </c>
      <c r="F1517">
        <f>tbl_AQI[[#This Row],[Most AQI Reached]]-tbl_AQI[[#This Row],[Current AQI]]</f>
        <v>230</v>
      </c>
      <c r="G15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17">
        <f>RANK(tbl_AQI[[#This Row],[Current AQI]], tbl_AQI[Current AQI], 0)</f>
        <v>1423</v>
      </c>
    </row>
    <row r="1518" spans="1:8" x14ac:dyDescent="0.35">
      <c r="A1518" t="s">
        <v>1530</v>
      </c>
      <c r="B1518" t="s">
        <v>1535</v>
      </c>
      <c r="C1518">
        <v>479</v>
      </c>
      <c r="D1518">
        <v>434</v>
      </c>
      <c r="E1518" t="s">
        <v>7</v>
      </c>
      <c r="F1518">
        <f>tbl_AQI[[#This Row],[Most AQI Reached]]-tbl_AQI[[#This Row],[Current AQI]]</f>
        <v>45</v>
      </c>
      <c r="G15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18">
        <f>RANK(tbl_AQI[[#This Row],[Current AQI]], tbl_AQI[Current AQI], 0)</f>
        <v>242</v>
      </c>
    </row>
    <row r="1519" spans="1:8" x14ac:dyDescent="0.35">
      <c r="A1519" t="s">
        <v>1530</v>
      </c>
      <c r="B1519" t="s">
        <v>1536</v>
      </c>
      <c r="C1519">
        <v>371</v>
      </c>
      <c r="D1519">
        <v>273</v>
      </c>
      <c r="E1519" t="s">
        <v>17</v>
      </c>
      <c r="F1519">
        <f>tbl_AQI[[#This Row],[Most AQI Reached]]-tbl_AQI[[#This Row],[Current AQI]]</f>
        <v>98</v>
      </c>
      <c r="G15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19">
        <f>RANK(tbl_AQI[[#This Row],[Current AQI]], tbl_AQI[Current AQI], 0)</f>
        <v>988</v>
      </c>
    </row>
    <row r="1520" spans="1:8" x14ac:dyDescent="0.35">
      <c r="A1520" t="s">
        <v>1530</v>
      </c>
      <c r="B1520" t="s">
        <v>1537</v>
      </c>
      <c r="C1520">
        <v>459</v>
      </c>
      <c r="D1520">
        <v>456</v>
      </c>
      <c r="E1520" t="s">
        <v>9</v>
      </c>
      <c r="F1520">
        <f>tbl_AQI[[#This Row],[Most AQI Reached]]-tbl_AQI[[#This Row],[Current AQI]]</f>
        <v>3</v>
      </c>
      <c r="G15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20">
        <f>RANK(tbl_AQI[[#This Row],[Current AQI]], tbl_AQI[Current AQI], 0)</f>
        <v>122</v>
      </c>
    </row>
    <row r="1521" spans="1:8" x14ac:dyDescent="0.35">
      <c r="A1521" t="s">
        <v>1530</v>
      </c>
      <c r="B1521" t="s">
        <v>1538</v>
      </c>
      <c r="C1521">
        <v>408</v>
      </c>
      <c r="D1521">
        <v>382</v>
      </c>
      <c r="E1521" t="s">
        <v>21</v>
      </c>
      <c r="F1521">
        <f>tbl_AQI[[#This Row],[Most AQI Reached]]-tbl_AQI[[#This Row],[Current AQI]]</f>
        <v>26</v>
      </c>
      <c r="G15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21">
        <f>RANK(tbl_AQI[[#This Row],[Current AQI]], tbl_AQI[Current AQI], 0)</f>
        <v>471</v>
      </c>
    </row>
    <row r="1522" spans="1:8" x14ac:dyDescent="0.35">
      <c r="A1522" t="s">
        <v>1530</v>
      </c>
      <c r="B1522" t="s">
        <v>1539</v>
      </c>
      <c r="C1522">
        <v>228</v>
      </c>
      <c r="D1522">
        <v>209</v>
      </c>
      <c r="E1522" t="s">
        <v>11</v>
      </c>
      <c r="F1522">
        <f>tbl_AQI[[#This Row],[Most AQI Reached]]-tbl_AQI[[#This Row],[Current AQI]]</f>
        <v>19</v>
      </c>
      <c r="G15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22">
        <f>RANK(tbl_AQI[[#This Row],[Current AQI]], tbl_AQI[Current AQI], 0)</f>
        <v>1277</v>
      </c>
    </row>
    <row r="1523" spans="1:8" x14ac:dyDescent="0.35">
      <c r="A1523" t="s">
        <v>1530</v>
      </c>
      <c r="B1523" t="s">
        <v>1540</v>
      </c>
      <c r="C1523">
        <v>480</v>
      </c>
      <c r="D1523">
        <v>430</v>
      </c>
      <c r="E1523" t="s">
        <v>9</v>
      </c>
      <c r="F1523">
        <f>tbl_AQI[[#This Row],[Most AQI Reached]]-tbl_AQI[[#This Row],[Current AQI]]</f>
        <v>50</v>
      </c>
      <c r="G15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23">
        <f>RANK(tbl_AQI[[#This Row],[Current AQI]], tbl_AQI[Current AQI], 0)</f>
        <v>263</v>
      </c>
    </row>
    <row r="1524" spans="1:8" x14ac:dyDescent="0.35">
      <c r="A1524" t="s">
        <v>1530</v>
      </c>
      <c r="B1524" t="s">
        <v>1541</v>
      </c>
      <c r="C1524">
        <v>432</v>
      </c>
      <c r="D1524">
        <v>272</v>
      </c>
      <c r="E1524" t="s">
        <v>7</v>
      </c>
      <c r="F1524">
        <f>tbl_AQI[[#This Row],[Most AQI Reached]]-tbl_AQI[[#This Row],[Current AQI]]</f>
        <v>160</v>
      </c>
      <c r="G15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24">
        <f>RANK(tbl_AQI[[#This Row],[Current AQI]], tbl_AQI[Current AQI], 0)</f>
        <v>991</v>
      </c>
    </row>
    <row r="1525" spans="1:8" x14ac:dyDescent="0.35">
      <c r="A1525" t="s">
        <v>1530</v>
      </c>
      <c r="B1525" t="s">
        <v>1542</v>
      </c>
      <c r="C1525">
        <v>494</v>
      </c>
      <c r="D1525">
        <v>442</v>
      </c>
      <c r="E1525" t="s">
        <v>7</v>
      </c>
      <c r="F1525">
        <f>tbl_AQI[[#This Row],[Most AQI Reached]]-tbl_AQI[[#This Row],[Current AQI]]</f>
        <v>52</v>
      </c>
      <c r="G15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25">
        <f>RANK(tbl_AQI[[#This Row],[Current AQI]], tbl_AQI[Current AQI], 0)</f>
        <v>198</v>
      </c>
    </row>
    <row r="1526" spans="1:8" x14ac:dyDescent="0.35">
      <c r="A1526" t="s">
        <v>1530</v>
      </c>
      <c r="B1526" t="s">
        <v>1543</v>
      </c>
      <c r="C1526">
        <v>444</v>
      </c>
      <c r="D1526">
        <v>182</v>
      </c>
      <c r="E1526" t="s">
        <v>7</v>
      </c>
      <c r="F1526">
        <f>tbl_AQI[[#This Row],[Most AQI Reached]]-tbl_AQI[[#This Row],[Current AQI]]</f>
        <v>262</v>
      </c>
      <c r="G15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26">
        <f>RANK(tbl_AQI[[#This Row],[Current AQI]], tbl_AQI[Current AQI], 0)</f>
        <v>1593</v>
      </c>
    </row>
    <row r="1527" spans="1:8" x14ac:dyDescent="0.35">
      <c r="A1527" t="s">
        <v>1530</v>
      </c>
      <c r="B1527" t="s">
        <v>1544</v>
      </c>
      <c r="C1527">
        <v>363</v>
      </c>
      <c r="D1527">
        <v>171</v>
      </c>
      <c r="E1527" t="s">
        <v>9</v>
      </c>
      <c r="F1527">
        <f>tbl_AQI[[#This Row],[Most AQI Reached]]-tbl_AQI[[#This Row],[Current AQI]]</f>
        <v>192</v>
      </c>
      <c r="G15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27">
        <f>RANK(tbl_AQI[[#This Row],[Current AQI]], tbl_AQI[Current AQI], 0)</f>
        <v>1866</v>
      </c>
    </row>
    <row r="1528" spans="1:8" x14ac:dyDescent="0.35">
      <c r="A1528" t="s">
        <v>1530</v>
      </c>
      <c r="B1528" t="s">
        <v>1545</v>
      </c>
      <c r="C1528">
        <v>350</v>
      </c>
      <c r="D1528">
        <v>332</v>
      </c>
      <c r="E1528" t="s">
        <v>9</v>
      </c>
      <c r="F1528">
        <f>tbl_AQI[[#This Row],[Most AQI Reached]]-tbl_AQI[[#This Row],[Current AQI]]</f>
        <v>18</v>
      </c>
      <c r="G15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28">
        <f>RANK(tbl_AQI[[#This Row],[Current AQI]], tbl_AQI[Current AQI], 0)</f>
        <v>725</v>
      </c>
    </row>
    <row r="1529" spans="1:8" x14ac:dyDescent="0.35">
      <c r="A1529" t="s">
        <v>1530</v>
      </c>
      <c r="B1529" t="s">
        <v>1546</v>
      </c>
      <c r="C1529">
        <v>417</v>
      </c>
      <c r="D1529">
        <v>308</v>
      </c>
      <c r="E1529" t="s">
        <v>17</v>
      </c>
      <c r="F1529">
        <f>tbl_AQI[[#This Row],[Most AQI Reached]]-tbl_AQI[[#This Row],[Current AQI]]</f>
        <v>109</v>
      </c>
      <c r="G15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29">
        <f>RANK(tbl_AQI[[#This Row],[Current AQI]], tbl_AQI[Current AQI], 0)</f>
        <v>824</v>
      </c>
    </row>
    <row r="1530" spans="1:8" x14ac:dyDescent="0.35">
      <c r="A1530" t="s">
        <v>1530</v>
      </c>
      <c r="B1530" t="s">
        <v>1547</v>
      </c>
      <c r="C1530">
        <v>435</v>
      </c>
      <c r="D1530">
        <v>418</v>
      </c>
      <c r="E1530" t="s">
        <v>21</v>
      </c>
      <c r="F1530">
        <f>tbl_AQI[[#This Row],[Most AQI Reached]]-tbl_AQI[[#This Row],[Current AQI]]</f>
        <v>17</v>
      </c>
      <c r="G15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30">
        <f>RANK(tbl_AQI[[#This Row],[Current AQI]], tbl_AQI[Current AQI], 0)</f>
        <v>312</v>
      </c>
    </row>
    <row r="1531" spans="1:8" x14ac:dyDescent="0.35">
      <c r="A1531" t="s">
        <v>1530</v>
      </c>
      <c r="B1531" t="s">
        <v>1548</v>
      </c>
      <c r="C1531">
        <v>449</v>
      </c>
      <c r="D1531">
        <v>220</v>
      </c>
      <c r="E1531" t="s">
        <v>15</v>
      </c>
      <c r="F1531">
        <f>tbl_AQI[[#This Row],[Most AQI Reached]]-tbl_AQI[[#This Row],[Current AQI]]</f>
        <v>229</v>
      </c>
      <c r="G15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31">
        <f>RANK(tbl_AQI[[#This Row],[Current AQI]], tbl_AQI[Current AQI], 0)</f>
        <v>1227</v>
      </c>
    </row>
    <row r="1532" spans="1:8" x14ac:dyDescent="0.35">
      <c r="A1532" t="s">
        <v>1530</v>
      </c>
      <c r="B1532" t="s">
        <v>1549</v>
      </c>
      <c r="C1532">
        <v>461</v>
      </c>
      <c r="D1532">
        <v>333</v>
      </c>
      <c r="E1532" t="s">
        <v>33</v>
      </c>
      <c r="F1532">
        <f>tbl_AQI[[#This Row],[Most AQI Reached]]-tbl_AQI[[#This Row],[Current AQI]]</f>
        <v>128</v>
      </c>
      <c r="G15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32">
        <f>RANK(tbl_AQI[[#This Row],[Current AQI]], tbl_AQI[Current AQI], 0)</f>
        <v>721</v>
      </c>
    </row>
    <row r="1533" spans="1:8" x14ac:dyDescent="0.35">
      <c r="A1533" t="s">
        <v>1530</v>
      </c>
      <c r="B1533" t="s">
        <v>1550</v>
      </c>
      <c r="C1533">
        <v>274</v>
      </c>
      <c r="D1533">
        <v>202</v>
      </c>
      <c r="E1533" t="s">
        <v>21</v>
      </c>
      <c r="F1533">
        <f>tbl_AQI[[#This Row],[Most AQI Reached]]-tbl_AQI[[#This Row],[Current AQI]]</f>
        <v>72</v>
      </c>
      <c r="G15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33">
        <f>RANK(tbl_AQI[[#This Row],[Current AQI]], tbl_AQI[Current AQI], 0)</f>
        <v>1301</v>
      </c>
    </row>
    <row r="1534" spans="1:8" x14ac:dyDescent="0.35">
      <c r="A1534" t="s">
        <v>1530</v>
      </c>
      <c r="B1534" t="s">
        <v>1551</v>
      </c>
      <c r="C1534">
        <v>339</v>
      </c>
      <c r="D1534">
        <v>257</v>
      </c>
      <c r="E1534" t="s">
        <v>15</v>
      </c>
      <c r="F1534">
        <f>tbl_AQI[[#This Row],[Most AQI Reached]]-tbl_AQI[[#This Row],[Current AQI]]</f>
        <v>82</v>
      </c>
      <c r="G15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34">
        <f>RANK(tbl_AQI[[#This Row],[Current AQI]], tbl_AQI[Current AQI], 0)</f>
        <v>1058</v>
      </c>
    </row>
    <row r="1535" spans="1:8" x14ac:dyDescent="0.35">
      <c r="A1535" t="s">
        <v>1530</v>
      </c>
      <c r="B1535" t="s">
        <v>1552</v>
      </c>
      <c r="C1535">
        <v>478</v>
      </c>
      <c r="D1535">
        <v>460</v>
      </c>
      <c r="E1535" t="s">
        <v>7</v>
      </c>
      <c r="F1535">
        <f>tbl_AQI[[#This Row],[Most AQI Reached]]-tbl_AQI[[#This Row],[Current AQI]]</f>
        <v>18</v>
      </c>
      <c r="G15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35">
        <f>RANK(tbl_AQI[[#This Row],[Current AQI]], tbl_AQI[Current AQI], 0)</f>
        <v>107</v>
      </c>
    </row>
    <row r="1536" spans="1:8" x14ac:dyDescent="0.35">
      <c r="A1536" t="s">
        <v>1530</v>
      </c>
      <c r="B1536" t="s">
        <v>1553</v>
      </c>
      <c r="C1536">
        <v>455</v>
      </c>
      <c r="D1536">
        <v>435</v>
      </c>
      <c r="E1536" t="s">
        <v>9</v>
      </c>
      <c r="F1536">
        <f>tbl_AQI[[#This Row],[Most AQI Reached]]-tbl_AQI[[#This Row],[Current AQI]]</f>
        <v>20</v>
      </c>
      <c r="G15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36">
        <f>RANK(tbl_AQI[[#This Row],[Current AQI]], tbl_AQI[Current AQI], 0)</f>
        <v>238</v>
      </c>
    </row>
    <row r="1537" spans="1:8" x14ac:dyDescent="0.35">
      <c r="A1537" t="s">
        <v>1530</v>
      </c>
      <c r="B1537" t="s">
        <v>1554</v>
      </c>
      <c r="C1537">
        <v>386</v>
      </c>
      <c r="D1537">
        <v>165</v>
      </c>
      <c r="E1537" t="s">
        <v>17</v>
      </c>
      <c r="F1537">
        <f>tbl_AQI[[#This Row],[Most AQI Reached]]-tbl_AQI[[#This Row],[Current AQI]]</f>
        <v>221</v>
      </c>
      <c r="G15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37">
        <f>RANK(tbl_AQI[[#This Row],[Current AQI]], tbl_AQI[Current AQI], 0)</f>
        <v>2028</v>
      </c>
    </row>
    <row r="1538" spans="1:8" x14ac:dyDescent="0.35">
      <c r="A1538" t="s">
        <v>1530</v>
      </c>
      <c r="B1538" t="s">
        <v>1555</v>
      </c>
      <c r="C1538">
        <v>387</v>
      </c>
      <c r="D1538">
        <v>344</v>
      </c>
      <c r="E1538" t="s">
        <v>15</v>
      </c>
      <c r="F1538">
        <f>tbl_AQI[[#This Row],[Most AQI Reached]]-tbl_AQI[[#This Row],[Current AQI]]</f>
        <v>43</v>
      </c>
      <c r="G15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38">
        <f>RANK(tbl_AQI[[#This Row],[Current AQI]], tbl_AQI[Current AQI], 0)</f>
        <v>656</v>
      </c>
    </row>
    <row r="1539" spans="1:8" x14ac:dyDescent="0.35">
      <c r="A1539" t="s">
        <v>1530</v>
      </c>
      <c r="B1539" t="s">
        <v>1556</v>
      </c>
      <c r="C1539">
        <v>276</v>
      </c>
      <c r="D1539">
        <v>226</v>
      </c>
      <c r="E1539" t="s">
        <v>11</v>
      </c>
      <c r="F1539">
        <f>tbl_AQI[[#This Row],[Most AQI Reached]]-tbl_AQI[[#This Row],[Current AQI]]</f>
        <v>50</v>
      </c>
      <c r="G15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39">
        <f>RANK(tbl_AQI[[#This Row],[Current AQI]], tbl_AQI[Current AQI], 0)</f>
        <v>1200</v>
      </c>
    </row>
    <row r="1540" spans="1:8" x14ac:dyDescent="0.35">
      <c r="A1540" t="s">
        <v>1530</v>
      </c>
      <c r="B1540" t="s">
        <v>1557</v>
      </c>
      <c r="C1540">
        <v>445</v>
      </c>
      <c r="D1540">
        <v>245</v>
      </c>
      <c r="E1540" t="s">
        <v>21</v>
      </c>
      <c r="F1540">
        <f>tbl_AQI[[#This Row],[Most AQI Reached]]-tbl_AQI[[#This Row],[Current AQI]]</f>
        <v>200</v>
      </c>
      <c r="G15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40">
        <f>RANK(tbl_AQI[[#This Row],[Current AQI]], tbl_AQI[Current AQI], 0)</f>
        <v>1121</v>
      </c>
    </row>
    <row r="1541" spans="1:8" x14ac:dyDescent="0.35">
      <c r="A1541" t="s">
        <v>1530</v>
      </c>
      <c r="B1541" t="s">
        <v>1558</v>
      </c>
      <c r="C1541">
        <v>490</v>
      </c>
      <c r="D1541">
        <v>480</v>
      </c>
      <c r="E1541" t="s">
        <v>7</v>
      </c>
      <c r="F1541">
        <f>tbl_AQI[[#This Row],[Most AQI Reached]]-tbl_AQI[[#This Row],[Current AQI]]</f>
        <v>10</v>
      </c>
      <c r="G15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41">
        <f>RANK(tbl_AQI[[#This Row],[Current AQI]], tbl_AQI[Current AQI], 0)</f>
        <v>1</v>
      </c>
    </row>
    <row r="1542" spans="1:8" x14ac:dyDescent="0.35">
      <c r="A1542" t="s">
        <v>1530</v>
      </c>
      <c r="B1542" t="s">
        <v>1559</v>
      </c>
      <c r="C1542">
        <v>439</v>
      </c>
      <c r="D1542">
        <v>434</v>
      </c>
      <c r="E1542" t="s">
        <v>21</v>
      </c>
      <c r="F1542">
        <f>tbl_AQI[[#This Row],[Most AQI Reached]]-tbl_AQI[[#This Row],[Current AQI]]</f>
        <v>5</v>
      </c>
      <c r="G15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42">
        <f>RANK(tbl_AQI[[#This Row],[Current AQI]], tbl_AQI[Current AQI], 0)</f>
        <v>242</v>
      </c>
    </row>
    <row r="1543" spans="1:8" x14ac:dyDescent="0.35">
      <c r="A1543" t="s">
        <v>1530</v>
      </c>
      <c r="B1543" t="s">
        <v>1560</v>
      </c>
      <c r="C1543">
        <v>317</v>
      </c>
      <c r="D1543">
        <v>306</v>
      </c>
      <c r="E1543" t="s">
        <v>17</v>
      </c>
      <c r="F1543">
        <f>tbl_AQI[[#This Row],[Most AQI Reached]]-tbl_AQI[[#This Row],[Current AQI]]</f>
        <v>11</v>
      </c>
      <c r="G15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43">
        <f>RANK(tbl_AQI[[#This Row],[Current AQI]], tbl_AQI[Current AQI], 0)</f>
        <v>829</v>
      </c>
    </row>
    <row r="1544" spans="1:8" x14ac:dyDescent="0.35">
      <c r="A1544" t="s">
        <v>1530</v>
      </c>
      <c r="B1544" t="s">
        <v>1561</v>
      </c>
      <c r="C1544">
        <v>274</v>
      </c>
      <c r="D1544">
        <v>182</v>
      </c>
      <c r="E1544" t="s">
        <v>33</v>
      </c>
      <c r="F1544">
        <f>tbl_AQI[[#This Row],[Most AQI Reached]]-tbl_AQI[[#This Row],[Current AQI]]</f>
        <v>92</v>
      </c>
      <c r="G15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44">
        <f>RANK(tbl_AQI[[#This Row],[Current AQI]], tbl_AQI[Current AQI], 0)</f>
        <v>1593</v>
      </c>
    </row>
    <row r="1545" spans="1:8" x14ac:dyDescent="0.35">
      <c r="A1545" t="s">
        <v>1530</v>
      </c>
      <c r="B1545" t="s">
        <v>1562</v>
      </c>
      <c r="C1545">
        <v>341</v>
      </c>
      <c r="D1545">
        <v>173</v>
      </c>
      <c r="E1545" t="s">
        <v>15</v>
      </c>
      <c r="F1545">
        <f>tbl_AQI[[#This Row],[Most AQI Reached]]-tbl_AQI[[#This Row],[Current AQI]]</f>
        <v>168</v>
      </c>
      <c r="G15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45">
        <f>RANK(tbl_AQI[[#This Row],[Current AQI]], tbl_AQI[Current AQI], 0)</f>
        <v>1826</v>
      </c>
    </row>
    <row r="1546" spans="1:8" x14ac:dyDescent="0.35">
      <c r="A1546" t="s">
        <v>1530</v>
      </c>
      <c r="B1546" t="s">
        <v>1563</v>
      </c>
      <c r="C1546">
        <v>377</v>
      </c>
      <c r="D1546">
        <v>163</v>
      </c>
      <c r="E1546" t="s">
        <v>33</v>
      </c>
      <c r="F1546">
        <f>tbl_AQI[[#This Row],[Most AQI Reached]]-tbl_AQI[[#This Row],[Current AQI]]</f>
        <v>214</v>
      </c>
      <c r="G15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46">
        <f>RANK(tbl_AQI[[#This Row],[Current AQI]], tbl_AQI[Current AQI], 0)</f>
        <v>2075</v>
      </c>
    </row>
    <row r="1547" spans="1:8" x14ac:dyDescent="0.35">
      <c r="A1547" t="s">
        <v>1530</v>
      </c>
      <c r="B1547" t="s">
        <v>1564</v>
      </c>
      <c r="C1547">
        <v>254</v>
      </c>
      <c r="D1547">
        <v>161</v>
      </c>
      <c r="E1547" t="s">
        <v>17</v>
      </c>
      <c r="F1547">
        <f>tbl_AQI[[#This Row],[Most AQI Reached]]-tbl_AQI[[#This Row],[Current AQI]]</f>
        <v>93</v>
      </c>
      <c r="G15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47">
        <f>RANK(tbl_AQI[[#This Row],[Current AQI]], tbl_AQI[Current AQI], 0)</f>
        <v>2129</v>
      </c>
    </row>
    <row r="1548" spans="1:8" x14ac:dyDescent="0.35">
      <c r="A1548" t="s">
        <v>1530</v>
      </c>
      <c r="B1548" t="s">
        <v>1565</v>
      </c>
      <c r="C1548">
        <v>230</v>
      </c>
      <c r="D1548">
        <v>170</v>
      </c>
      <c r="E1548" t="s">
        <v>11</v>
      </c>
      <c r="F1548">
        <f>tbl_AQI[[#This Row],[Most AQI Reached]]-tbl_AQI[[#This Row],[Current AQI]]</f>
        <v>60</v>
      </c>
      <c r="G15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48">
        <f>RANK(tbl_AQI[[#This Row],[Current AQI]], tbl_AQI[Current AQI], 0)</f>
        <v>1898</v>
      </c>
    </row>
    <row r="1549" spans="1:8" x14ac:dyDescent="0.35">
      <c r="A1549" t="s">
        <v>1530</v>
      </c>
      <c r="B1549" t="s">
        <v>1566</v>
      </c>
      <c r="C1549">
        <v>395</v>
      </c>
      <c r="D1549">
        <v>337</v>
      </c>
      <c r="E1549" t="s">
        <v>33</v>
      </c>
      <c r="F1549">
        <f>tbl_AQI[[#This Row],[Most AQI Reached]]-tbl_AQI[[#This Row],[Current AQI]]</f>
        <v>58</v>
      </c>
      <c r="G15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49">
        <f>RANK(tbl_AQI[[#This Row],[Current AQI]], tbl_AQI[Current AQI], 0)</f>
        <v>694</v>
      </c>
    </row>
    <row r="1550" spans="1:8" x14ac:dyDescent="0.35">
      <c r="A1550" t="s">
        <v>1530</v>
      </c>
      <c r="B1550" t="s">
        <v>1567</v>
      </c>
      <c r="C1550">
        <v>477</v>
      </c>
      <c r="D1550">
        <v>407</v>
      </c>
      <c r="E1550" t="s">
        <v>9</v>
      </c>
      <c r="F1550">
        <f>tbl_AQI[[#This Row],[Most AQI Reached]]-tbl_AQI[[#This Row],[Current AQI]]</f>
        <v>70</v>
      </c>
      <c r="G15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50">
        <f>RANK(tbl_AQI[[#This Row],[Current AQI]], tbl_AQI[Current AQI], 0)</f>
        <v>354</v>
      </c>
    </row>
    <row r="1551" spans="1:8" x14ac:dyDescent="0.35">
      <c r="A1551" t="s">
        <v>1530</v>
      </c>
      <c r="B1551" t="s">
        <v>1568</v>
      </c>
      <c r="C1551">
        <v>389</v>
      </c>
      <c r="D1551">
        <v>374</v>
      </c>
      <c r="E1551" t="s">
        <v>21</v>
      </c>
      <c r="F1551">
        <f>tbl_AQI[[#This Row],[Most AQI Reached]]-tbl_AQI[[#This Row],[Current AQI]]</f>
        <v>15</v>
      </c>
      <c r="G15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51">
        <f>RANK(tbl_AQI[[#This Row],[Current AQI]], tbl_AQI[Current AQI], 0)</f>
        <v>521</v>
      </c>
    </row>
    <row r="1552" spans="1:8" x14ac:dyDescent="0.35">
      <c r="A1552" t="s">
        <v>1530</v>
      </c>
      <c r="B1552" t="s">
        <v>1569</v>
      </c>
      <c r="C1552">
        <v>428</v>
      </c>
      <c r="D1552">
        <v>257</v>
      </c>
      <c r="E1552" t="s">
        <v>9</v>
      </c>
      <c r="F1552">
        <f>tbl_AQI[[#This Row],[Most AQI Reached]]-tbl_AQI[[#This Row],[Current AQI]]</f>
        <v>171</v>
      </c>
      <c r="G15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52">
        <f>RANK(tbl_AQI[[#This Row],[Current AQI]], tbl_AQI[Current AQI], 0)</f>
        <v>1058</v>
      </c>
    </row>
    <row r="1553" spans="1:8" x14ac:dyDescent="0.35">
      <c r="A1553" t="s">
        <v>1530</v>
      </c>
      <c r="B1553" t="s">
        <v>1570</v>
      </c>
      <c r="C1553">
        <v>468</v>
      </c>
      <c r="D1553">
        <v>384</v>
      </c>
      <c r="E1553" t="s">
        <v>7</v>
      </c>
      <c r="F1553">
        <f>tbl_AQI[[#This Row],[Most AQI Reached]]-tbl_AQI[[#This Row],[Current AQI]]</f>
        <v>84</v>
      </c>
      <c r="G15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53">
        <f>RANK(tbl_AQI[[#This Row],[Current AQI]], tbl_AQI[Current AQI], 0)</f>
        <v>463</v>
      </c>
    </row>
    <row r="1554" spans="1:8" x14ac:dyDescent="0.35">
      <c r="A1554" t="s">
        <v>1530</v>
      </c>
      <c r="B1554" t="s">
        <v>1571</v>
      </c>
      <c r="C1554">
        <v>445</v>
      </c>
      <c r="D1554">
        <v>344</v>
      </c>
      <c r="E1554" t="s">
        <v>11</v>
      </c>
      <c r="F1554">
        <f>tbl_AQI[[#This Row],[Most AQI Reached]]-tbl_AQI[[#This Row],[Current AQI]]</f>
        <v>101</v>
      </c>
      <c r="G15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54">
        <f>RANK(tbl_AQI[[#This Row],[Current AQI]], tbl_AQI[Current AQI], 0)</f>
        <v>656</v>
      </c>
    </row>
    <row r="1555" spans="1:8" x14ac:dyDescent="0.35">
      <c r="A1555" t="s">
        <v>1530</v>
      </c>
      <c r="B1555" t="s">
        <v>1572</v>
      </c>
      <c r="C1555">
        <v>331</v>
      </c>
      <c r="D1555">
        <v>309</v>
      </c>
      <c r="E1555" t="s">
        <v>21</v>
      </c>
      <c r="F1555">
        <f>tbl_AQI[[#This Row],[Most AQI Reached]]-tbl_AQI[[#This Row],[Current AQI]]</f>
        <v>22</v>
      </c>
      <c r="G15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55">
        <f>RANK(tbl_AQI[[#This Row],[Current AQI]], tbl_AQI[Current AQI], 0)</f>
        <v>822</v>
      </c>
    </row>
    <row r="1556" spans="1:8" x14ac:dyDescent="0.35">
      <c r="A1556" t="s">
        <v>1530</v>
      </c>
      <c r="B1556" t="s">
        <v>1573</v>
      </c>
      <c r="C1556">
        <v>440</v>
      </c>
      <c r="D1556">
        <v>412</v>
      </c>
      <c r="E1556" t="s">
        <v>21</v>
      </c>
      <c r="F1556">
        <f>tbl_AQI[[#This Row],[Most AQI Reached]]-tbl_AQI[[#This Row],[Current AQI]]</f>
        <v>28</v>
      </c>
      <c r="G15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56">
        <f>RANK(tbl_AQI[[#This Row],[Current AQI]], tbl_AQI[Current AQI], 0)</f>
        <v>336</v>
      </c>
    </row>
    <row r="1557" spans="1:8" x14ac:dyDescent="0.35">
      <c r="A1557" t="s">
        <v>1530</v>
      </c>
      <c r="B1557" t="s">
        <v>1574</v>
      </c>
      <c r="C1557">
        <v>260</v>
      </c>
      <c r="D1557">
        <v>254</v>
      </c>
      <c r="E1557" t="s">
        <v>9</v>
      </c>
      <c r="F1557">
        <f>tbl_AQI[[#This Row],[Most AQI Reached]]-tbl_AQI[[#This Row],[Current AQI]]</f>
        <v>6</v>
      </c>
      <c r="G15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57">
        <f>RANK(tbl_AQI[[#This Row],[Current AQI]], tbl_AQI[Current AQI], 0)</f>
        <v>1073</v>
      </c>
    </row>
    <row r="1558" spans="1:8" x14ac:dyDescent="0.35">
      <c r="A1558" t="s">
        <v>1530</v>
      </c>
      <c r="B1558" t="s">
        <v>1575</v>
      </c>
      <c r="C1558">
        <v>352</v>
      </c>
      <c r="D1558">
        <v>251</v>
      </c>
      <c r="E1558" t="s">
        <v>33</v>
      </c>
      <c r="F1558">
        <f>tbl_AQI[[#This Row],[Most AQI Reached]]-tbl_AQI[[#This Row],[Current AQI]]</f>
        <v>101</v>
      </c>
      <c r="G15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58">
        <f>RANK(tbl_AQI[[#This Row],[Current AQI]], tbl_AQI[Current AQI], 0)</f>
        <v>1087</v>
      </c>
    </row>
    <row r="1559" spans="1:8" x14ac:dyDescent="0.35">
      <c r="A1559" t="s">
        <v>1530</v>
      </c>
      <c r="B1559" t="s">
        <v>1576</v>
      </c>
      <c r="C1559">
        <v>439</v>
      </c>
      <c r="D1559">
        <v>384</v>
      </c>
      <c r="E1559" t="s">
        <v>9</v>
      </c>
      <c r="F1559">
        <f>tbl_AQI[[#This Row],[Most AQI Reached]]-tbl_AQI[[#This Row],[Current AQI]]</f>
        <v>55</v>
      </c>
      <c r="G15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59">
        <f>RANK(tbl_AQI[[#This Row],[Current AQI]], tbl_AQI[Current AQI], 0)</f>
        <v>463</v>
      </c>
    </row>
    <row r="1560" spans="1:8" x14ac:dyDescent="0.35">
      <c r="A1560" t="s">
        <v>1530</v>
      </c>
      <c r="B1560" t="s">
        <v>1577</v>
      </c>
      <c r="C1560">
        <v>433</v>
      </c>
      <c r="D1560">
        <v>378</v>
      </c>
      <c r="E1560" t="s">
        <v>7</v>
      </c>
      <c r="F1560">
        <f>tbl_AQI[[#This Row],[Most AQI Reached]]-tbl_AQI[[#This Row],[Current AQI]]</f>
        <v>55</v>
      </c>
      <c r="G15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60">
        <f>RANK(tbl_AQI[[#This Row],[Current AQI]], tbl_AQI[Current AQI], 0)</f>
        <v>493</v>
      </c>
    </row>
    <row r="1561" spans="1:8" x14ac:dyDescent="0.35">
      <c r="A1561" t="s">
        <v>1530</v>
      </c>
      <c r="B1561" t="s">
        <v>1578</v>
      </c>
      <c r="C1561">
        <v>399</v>
      </c>
      <c r="D1561">
        <v>176</v>
      </c>
      <c r="E1561" t="s">
        <v>15</v>
      </c>
      <c r="F1561">
        <f>tbl_AQI[[#This Row],[Most AQI Reached]]-tbl_AQI[[#This Row],[Current AQI]]</f>
        <v>223</v>
      </c>
      <c r="G15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61">
        <f>RANK(tbl_AQI[[#This Row],[Current AQI]], tbl_AQI[Current AQI], 0)</f>
        <v>1754</v>
      </c>
    </row>
    <row r="1562" spans="1:8" x14ac:dyDescent="0.35">
      <c r="A1562" t="s">
        <v>1530</v>
      </c>
      <c r="B1562" t="s">
        <v>1579</v>
      </c>
      <c r="C1562">
        <v>496</v>
      </c>
      <c r="D1562">
        <v>436</v>
      </c>
      <c r="E1562" t="s">
        <v>9</v>
      </c>
      <c r="F1562">
        <f>tbl_AQI[[#This Row],[Most AQI Reached]]-tbl_AQI[[#This Row],[Current AQI]]</f>
        <v>60</v>
      </c>
      <c r="G15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62">
        <f>RANK(tbl_AQI[[#This Row],[Current AQI]], tbl_AQI[Current AQI], 0)</f>
        <v>230</v>
      </c>
    </row>
    <row r="1563" spans="1:8" x14ac:dyDescent="0.35">
      <c r="A1563" t="s">
        <v>1530</v>
      </c>
      <c r="B1563" t="s">
        <v>1580</v>
      </c>
      <c r="C1563">
        <v>405</v>
      </c>
      <c r="D1563">
        <v>190</v>
      </c>
      <c r="E1563" t="s">
        <v>7</v>
      </c>
      <c r="F1563">
        <f>tbl_AQI[[#This Row],[Most AQI Reached]]-tbl_AQI[[#This Row],[Current AQI]]</f>
        <v>215</v>
      </c>
      <c r="G15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63">
        <f>RANK(tbl_AQI[[#This Row],[Current AQI]], tbl_AQI[Current AQI], 0)</f>
        <v>1355</v>
      </c>
    </row>
    <row r="1564" spans="1:8" x14ac:dyDescent="0.35">
      <c r="A1564" t="s">
        <v>1530</v>
      </c>
      <c r="B1564" t="s">
        <v>1581</v>
      </c>
      <c r="C1564">
        <v>457</v>
      </c>
      <c r="D1564">
        <v>400</v>
      </c>
      <c r="E1564" t="s">
        <v>7</v>
      </c>
      <c r="F1564">
        <f>tbl_AQI[[#This Row],[Most AQI Reached]]-tbl_AQI[[#This Row],[Current AQI]]</f>
        <v>57</v>
      </c>
      <c r="G15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64">
        <f>RANK(tbl_AQI[[#This Row],[Current AQI]], tbl_AQI[Current AQI], 0)</f>
        <v>392</v>
      </c>
    </row>
    <row r="1565" spans="1:8" x14ac:dyDescent="0.35">
      <c r="A1565" t="s">
        <v>1530</v>
      </c>
      <c r="B1565" t="s">
        <v>1582</v>
      </c>
      <c r="C1565">
        <v>485</v>
      </c>
      <c r="D1565">
        <v>282</v>
      </c>
      <c r="E1565" t="s">
        <v>7</v>
      </c>
      <c r="F1565">
        <f>tbl_AQI[[#This Row],[Most AQI Reached]]-tbl_AQI[[#This Row],[Current AQI]]</f>
        <v>203</v>
      </c>
      <c r="G15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65">
        <f>RANK(tbl_AQI[[#This Row],[Current AQI]], tbl_AQI[Current AQI], 0)</f>
        <v>938</v>
      </c>
    </row>
    <row r="1566" spans="1:8" x14ac:dyDescent="0.35">
      <c r="A1566" t="s">
        <v>1530</v>
      </c>
      <c r="B1566" t="s">
        <v>1583</v>
      </c>
      <c r="C1566">
        <v>353</v>
      </c>
      <c r="D1566">
        <v>323</v>
      </c>
      <c r="E1566" t="s">
        <v>9</v>
      </c>
      <c r="F1566">
        <f>tbl_AQI[[#This Row],[Most AQI Reached]]-tbl_AQI[[#This Row],[Current AQI]]</f>
        <v>30</v>
      </c>
      <c r="G15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66">
        <f>RANK(tbl_AQI[[#This Row],[Current AQI]], tbl_AQI[Current AQI], 0)</f>
        <v>765</v>
      </c>
    </row>
    <row r="1567" spans="1:8" x14ac:dyDescent="0.35">
      <c r="A1567" t="s">
        <v>1530</v>
      </c>
      <c r="B1567" t="s">
        <v>1584</v>
      </c>
      <c r="C1567">
        <v>325</v>
      </c>
      <c r="D1567">
        <v>213</v>
      </c>
      <c r="E1567" t="s">
        <v>33</v>
      </c>
      <c r="F1567">
        <f>tbl_AQI[[#This Row],[Most AQI Reached]]-tbl_AQI[[#This Row],[Current AQI]]</f>
        <v>112</v>
      </c>
      <c r="G15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67">
        <f>RANK(tbl_AQI[[#This Row],[Current AQI]], tbl_AQI[Current AQI], 0)</f>
        <v>1260</v>
      </c>
    </row>
    <row r="1568" spans="1:8" x14ac:dyDescent="0.35">
      <c r="A1568" t="s">
        <v>1530</v>
      </c>
      <c r="B1568" t="s">
        <v>1585</v>
      </c>
      <c r="C1568">
        <v>256</v>
      </c>
      <c r="D1568">
        <v>241</v>
      </c>
      <c r="E1568" t="s">
        <v>21</v>
      </c>
      <c r="F1568">
        <f>tbl_AQI[[#This Row],[Most AQI Reached]]-tbl_AQI[[#This Row],[Current AQI]]</f>
        <v>15</v>
      </c>
      <c r="G15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68">
        <f>RANK(tbl_AQI[[#This Row],[Current AQI]], tbl_AQI[Current AQI], 0)</f>
        <v>1139</v>
      </c>
    </row>
    <row r="1569" spans="1:8" x14ac:dyDescent="0.35">
      <c r="A1569" t="s">
        <v>1530</v>
      </c>
      <c r="B1569" t="s">
        <v>1586</v>
      </c>
      <c r="C1569">
        <v>460</v>
      </c>
      <c r="D1569">
        <v>318</v>
      </c>
      <c r="E1569" t="s">
        <v>17</v>
      </c>
      <c r="F1569">
        <f>tbl_AQI[[#This Row],[Most AQI Reached]]-tbl_AQI[[#This Row],[Current AQI]]</f>
        <v>142</v>
      </c>
      <c r="G15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69">
        <f>RANK(tbl_AQI[[#This Row],[Current AQI]], tbl_AQI[Current AQI], 0)</f>
        <v>786</v>
      </c>
    </row>
    <row r="1570" spans="1:8" x14ac:dyDescent="0.35">
      <c r="A1570" t="s">
        <v>1530</v>
      </c>
      <c r="B1570" t="s">
        <v>1587</v>
      </c>
      <c r="C1570">
        <v>313</v>
      </c>
      <c r="D1570">
        <v>215</v>
      </c>
      <c r="E1570" t="s">
        <v>21</v>
      </c>
      <c r="F1570">
        <f>tbl_AQI[[#This Row],[Most AQI Reached]]-tbl_AQI[[#This Row],[Current AQI]]</f>
        <v>98</v>
      </c>
      <c r="G15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70">
        <f>RANK(tbl_AQI[[#This Row],[Current AQI]], tbl_AQI[Current AQI], 0)</f>
        <v>1251</v>
      </c>
    </row>
    <row r="1571" spans="1:8" x14ac:dyDescent="0.35">
      <c r="A1571" t="s">
        <v>1530</v>
      </c>
      <c r="B1571" t="s">
        <v>1588</v>
      </c>
      <c r="C1571">
        <v>451</v>
      </c>
      <c r="D1571">
        <v>413</v>
      </c>
      <c r="E1571" t="s">
        <v>21</v>
      </c>
      <c r="F1571">
        <f>tbl_AQI[[#This Row],[Most AQI Reached]]-tbl_AQI[[#This Row],[Current AQI]]</f>
        <v>38</v>
      </c>
      <c r="G15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71">
        <f>RANK(tbl_AQI[[#This Row],[Current AQI]], tbl_AQI[Current AQI], 0)</f>
        <v>332</v>
      </c>
    </row>
    <row r="1572" spans="1:8" x14ac:dyDescent="0.35">
      <c r="A1572" t="s">
        <v>1530</v>
      </c>
      <c r="B1572" t="s">
        <v>1589</v>
      </c>
      <c r="C1572">
        <v>402</v>
      </c>
      <c r="D1572">
        <v>388</v>
      </c>
      <c r="E1572" t="s">
        <v>21</v>
      </c>
      <c r="F1572">
        <f>tbl_AQI[[#This Row],[Most AQI Reached]]-tbl_AQI[[#This Row],[Current AQI]]</f>
        <v>14</v>
      </c>
      <c r="G15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72">
        <f>RANK(tbl_AQI[[#This Row],[Current AQI]], tbl_AQI[Current AQI], 0)</f>
        <v>448</v>
      </c>
    </row>
    <row r="1573" spans="1:8" x14ac:dyDescent="0.35">
      <c r="A1573" t="s">
        <v>1530</v>
      </c>
      <c r="B1573" t="s">
        <v>1590</v>
      </c>
      <c r="C1573">
        <v>344</v>
      </c>
      <c r="D1573">
        <v>206</v>
      </c>
      <c r="E1573" t="s">
        <v>17</v>
      </c>
      <c r="F1573">
        <f>tbl_AQI[[#This Row],[Most AQI Reached]]-tbl_AQI[[#This Row],[Current AQI]]</f>
        <v>138</v>
      </c>
      <c r="G15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73">
        <f>RANK(tbl_AQI[[#This Row],[Current AQI]], tbl_AQI[Current AQI], 0)</f>
        <v>1294</v>
      </c>
    </row>
    <row r="1574" spans="1:8" x14ac:dyDescent="0.35">
      <c r="A1574" t="s">
        <v>1530</v>
      </c>
      <c r="B1574" t="s">
        <v>1591</v>
      </c>
      <c r="C1574">
        <v>472</v>
      </c>
      <c r="D1574">
        <v>329</v>
      </c>
      <c r="E1574" t="s">
        <v>21</v>
      </c>
      <c r="F1574">
        <f>tbl_AQI[[#This Row],[Most AQI Reached]]-tbl_AQI[[#This Row],[Current AQI]]</f>
        <v>143</v>
      </c>
      <c r="G15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74">
        <f>RANK(tbl_AQI[[#This Row],[Current AQI]], tbl_AQI[Current AQI], 0)</f>
        <v>738</v>
      </c>
    </row>
    <row r="1575" spans="1:8" x14ac:dyDescent="0.35">
      <c r="A1575" t="s">
        <v>1530</v>
      </c>
      <c r="B1575" t="s">
        <v>1592</v>
      </c>
      <c r="C1575">
        <v>378</v>
      </c>
      <c r="D1575">
        <v>377</v>
      </c>
      <c r="E1575" t="s">
        <v>7</v>
      </c>
      <c r="F1575">
        <f>tbl_AQI[[#This Row],[Most AQI Reached]]-tbl_AQI[[#This Row],[Current AQI]]</f>
        <v>1</v>
      </c>
      <c r="G15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75">
        <f>RANK(tbl_AQI[[#This Row],[Current AQI]], tbl_AQI[Current AQI], 0)</f>
        <v>500</v>
      </c>
    </row>
    <row r="1576" spans="1:8" x14ac:dyDescent="0.35">
      <c r="A1576" t="s">
        <v>1530</v>
      </c>
      <c r="B1576" t="s">
        <v>1593</v>
      </c>
      <c r="C1576">
        <v>460</v>
      </c>
      <c r="D1576">
        <v>412</v>
      </c>
      <c r="E1576" t="s">
        <v>7</v>
      </c>
      <c r="F1576">
        <f>tbl_AQI[[#This Row],[Most AQI Reached]]-tbl_AQI[[#This Row],[Current AQI]]</f>
        <v>48</v>
      </c>
      <c r="G15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76">
        <f>RANK(tbl_AQI[[#This Row],[Current AQI]], tbl_AQI[Current AQI], 0)</f>
        <v>336</v>
      </c>
    </row>
    <row r="1577" spans="1:8" x14ac:dyDescent="0.35">
      <c r="A1577" t="s">
        <v>1530</v>
      </c>
      <c r="B1577" t="s">
        <v>1594</v>
      </c>
      <c r="C1577">
        <v>478</v>
      </c>
      <c r="D1577">
        <v>460</v>
      </c>
      <c r="E1577" t="s">
        <v>7</v>
      </c>
      <c r="F1577">
        <f>tbl_AQI[[#This Row],[Most AQI Reached]]-tbl_AQI[[#This Row],[Current AQI]]</f>
        <v>18</v>
      </c>
      <c r="G15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77">
        <f>RANK(tbl_AQI[[#This Row],[Current AQI]], tbl_AQI[Current AQI], 0)</f>
        <v>107</v>
      </c>
    </row>
    <row r="1578" spans="1:8" x14ac:dyDescent="0.35">
      <c r="A1578" t="s">
        <v>1530</v>
      </c>
      <c r="B1578" t="s">
        <v>1595</v>
      </c>
      <c r="C1578">
        <v>421</v>
      </c>
      <c r="D1578">
        <v>232</v>
      </c>
      <c r="E1578" t="s">
        <v>33</v>
      </c>
      <c r="F1578">
        <f>tbl_AQI[[#This Row],[Most AQI Reached]]-tbl_AQI[[#This Row],[Current AQI]]</f>
        <v>189</v>
      </c>
      <c r="G15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78">
        <f>RANK(tbl_AQI[[#This Row],[Current AQI]], tbl_AQI[Current AQI], 0)</f>
        <v>1178</v>
      </c>
    </row>
    <row r="1579" spans="1:8" x14ac:dyDescent="0.35">
      <c r="A1579" t="s">
        <v>1530</v>
      </c>
      <c r="B1579" t="s">
        <v>1596</v>
      </c>
      <c r="C1579">
        <v>484</v>
      </c>
      <c r="D1579">
        <v>395</v>
      </c>
      <c r="E1579" t="s">
        <v>9</v>
      </c>
      <c r="F1579">
        <f>tbl_AQI[[#This Row],[Most AQI Reached]]-tbl_AQI[[#This Row],[Current AQI]]</f>
        <v>89</v>
      </c>
      <c r="G15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79">
        <f>RANK(tbl_AQI[[#This Row],[Current AQI]], tbl_AQI[Current AQI], 0)</f>
        <v>420</v>
      </c>
    </row>
    <row r="1580" spans="1:8" x14ac:dyDescent="0.35">
      <c r="A1580" t="s">
        <v>1530</v>
      </c>
      <c r="B1580" t="s">
        <v>1597</v>
      </c>
      <c r="C1580">
        <v>454</v>
      </c>
      <c r="D1580">
        <v>336</v>
      </c>
      <c r="E1580" t="s">
        <v>7</v>
      </c>
      <c r="F1580">
        <f>tbl_AQI[[#This Row],[Most AQI Reached]]-tbl_AQI[[#This Row],[Current AQI]]</f>
        <v>118</v>
      </c>
      <c r="G15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80">
        <f>RANK(tbl_AQI[[#This Row],[Current AQI]], tbl_AQI[Current AQI], 0)</f>
        <v>700</v>
      </c>
    </row>
    <row r="1581" spans="1:8" x14ac:dyDescent="0.35">
      <c r="A1581" t="s">
        <v>1530</v>
      </c>
      <c r="B1581" t="s">
        <v>1598</v>
      </c>
      <c r="C1581">
        <v>281</v>
      </c>
      <c r="D1581">
        <v>190</v>
      </c>
      <c r="E1581" t="s">
        <v>7</v>
      </c>
      <c r="F1581">
        <f>tbl_AQI[[#This Row],[Most AQI Reached]]-tbl_AQI[[#This Row],[Current AQI]]</f>
        <v>91</v>
      </c>
      <c r="G15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581">
        <f>RANK(tbl_AQI[[#This Row],[Current AQI]], tbl_AQI[Current AQI], 0)</f>
        <v>1355</v>
      </c>
    </row>
    <row r="1582" spans="1:8" x14ac:dyDescent="0.35">
      <c r="A1582" t="s">
        <v>1530</v>
      </c>
      <c r="B1582" t="s">
        <v>1599</v>
      </c>
      <c r="C1582">
        <v>414</v>
      </c>
      <c r="D1582">
        <v>292</v>
      </c>
      <c r="E1582" t="s">
        <v>15</v>
      </c>
      <c r="F1582">
        <f>tbl_AQI[[#This Row],[Most AQI Reached]]-tbl_AQI[[#This Row],[Current AQI]]</f>
        <v>122</v>
      </c>
      <c r="G15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82">
        <f>RANK(tbl_AQI[[#This Row],[Current AQI]], tbl_AQI[Current AQI], 0)</f>
        <v>892</v>
      </c>
    </row>
    <row r="1583" spans="1:8" x14ac:dyDescent="0.35">
      <c r="A1583" t="s">
        <v>1530</v>
      </c>
      <c r="B1583" t="s">
        <v>1600</v>
      </c>
      <c r="C1583">
        <v>433</v>
      </c>
      <c r="D1583">
        <v>350</v>
      </c>
      <c r="E1583" t="s">
        <v>21</v>
      </c>
      <c r="F1583">
        <f>tbl_AQI[[#This Row],[Most AQI Reached]]-tbl_AQI[[#This Row],[Current AQI]]</f>
        <v>83</v>
      </c>
      <c r="G15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83">
        <f>RANK(tbl_AQI[[#This Row],[Current AQI]], tbl_AQI[Current AQI], 0)</f>
        <v>621</v>
      </c>
    </row>
    <row r="1584" spans="1:8" x14ac:dyDescent="0.35">
      <c r="A1584" t="s">
        <v>1530</v>
      </c>
      <c r="B1584" t="s">
        <v>1601</v>
      </c>
      <c r="C1584">
        <v>441</v>
      </c>
      <c r="D1584">
        <v>398</v>
      </c>
      <c r="E1584" t="s">
        <v>21</v>
      </c>
      <c r="F1584">
        <f>tbl_AQI[[#This Row],[Most AQI Reached]]-tbl_AQI[[#This Row],[Current AQI]]</f>
        <v>43</v>
      </c>
      <c r="G15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84">
        <f>RANK(tbl_AQI[[#This Row],[Current AQI]], tbl_AQI[Current AQI], 0)</f>
        <v>404</v>
      </c>
    </row>
    <row r="1585" spans="1:8" x14ac:dyDescent="0.35">
      <c r="A1585" t="s">
        <v>1530</v>
      </c>
      <c r="B1585" t="s">
        <v>1602</v>
      </c>
      <c r="C1585">
        <v>411</v>
      </c>
      <c r="D1585">
        <v>406</v>
      </c>
      <c r="E1585" t="s">
        <v>9</v>
      </c>
      <c r="F1585">
        <f>tbl_AQI[[#This Row],[Most AQI Reached]]-tbl_AQI[[#This Row],[Current AQI]]</f>
        <v>5</v>
      </c>
      <c r="G15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85">
        <f>RANK(tbl_AQI[[#This Row],[Current AQI]], tbl_AQI[Current AQI], 0)</f>
        <v>366</v>
      </c>
    </row>
    <row r="1586" spans="1:8" x14ac:dyDescent="0.35">
      <c r="A1586" t="s">
        <v>1530</v>
      </c>
      <c r="B1586" t="s">
        <v>1603</v>
      </c>
      <c r="C1586">
        <v>385</v>
      </c>
      <c r="D1586">
        <v>277</v>
      </c>
      <c r="E1586" t="s">
        <v>7</v>
      </c>
      <c r="F1586">
        <f>tbl_AQI[[#This Row],[Most AQI Reached]]-tbl_AQI[[#This Row],[Current AQI]]</f>
        <v>108</v>
      </c>
      <c r="G15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86">
        <f>RANK(tbl_AQI[[#This Row],[Current AQI]], tbl_AQI[Current AQI], 0)</f>
        <v>968</v>
      </c>
    </row>
    <row r="1587" spans="1:8" x14ac:dyDescent="0.35">
      <c r="A1587" t="s">
        <v>1530</v>
      </c>
      <c r="B1587" t="s">
        <v>1604</v>
      </c>
      <c r="C1587">
        <v>358</v>
      </c>
      <c r="D1587">
        <v>212</v>
      </c>
      <c r="E1587" t="s">
        <v>9</v>
      </c>
      <c r="F1587">
        <f>tbl_AQI[[#This Row],[Most AQI Reached]]-tbl_AQI[[#This Row],[Current AQI]]</f>
        <v>146</v>
      </c>
      <c r="G15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87">
        <f>RANK(tbl_AQI[[#This Row],[Current AQI]], tbl_AQI[Current AQI], 0)</f>
        <v>1265</v>
      </c>
    </row>
    <row r="1588" spans="1:8" x14ac:dyDescent="0.35">
      <c r="A1588" t="s">
        <v>1530</v>
      </c>
      <c r="B1588" t="s">
        <v>1605</v>
      </c>
      <c r="C1588">
        <v>446</v>
      </c>
      <c r="D1588">
        <v>443</v>
      </c>
      <c r="E1588" t="s">
        <v>7</v>
      </c>
      <c r="F1588">
        <f>tbl_AQI[[#This Row],[Most AQI Reached]]-tbl_AQI[[#This Row],[Current AQI]]</f>
        <v>3</v>
      </c>
      <c r="G15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88">
        <f>RANK(tbl_AQI[[#This Row],[Current AQI]], tbl_AQI[Current AQI], 0)</f>
        <v>188</v>
      </c>
    </row>
    <row r="1589" spans="1:8" x14ac:dyDescent="0.35">
      <c r="A1589" t="s">
        <v>1530</v>
      </c>
      <c r="B1589" t="s">
        <v>1606</v>
      </c>
      <c r="C1589">
        <v>328</v>
      </c>
      <c r="D1589">
        <v>267</v>
      </c>
      <c r="E1589" t="s">
        <v>7</v>
      </c>
      <c r="F1589">
        <f>tbl_AQI[[#This Row],[Most AQI Reached]]-tbl_AQI[[#This Row],[Current AQI]]</f>
        <v>61</v>
      </c>
      <c r="G15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89">
        <f>RANK(tbl_AQI[[#This Row],[Current AQI]], tbl_AQI[Current AQI], 0)</f>
        <v>1011</v>
      </c>
    </row>
    <row r="1590" spans="1:8" x14ac:dyDescent="0.35">
      <c r="A1590" t="s">
        <v>1530</v>
      </c>
      <c r="B1590" t="s">
        <v>1607</v>
      </c>
      <c r="C1590">
        <v>474</v>
      </c>
      <c r="D1590">
        <v>453</v>
      </c>
      <c r="E1590" t="s">
        <v>21</v>
      </c>
      <c r="F1590">
        <f>tbl_AQI[[#This Row],[Most AQI Reached]]-tbl_AQI[[#This Row],[Current AQI]]</f>
        <v>21</v>
      </c>
      <c r="G15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590">
        <f>RANK(tbl_AQI[[#This Row],[Current AQI]], tbl_AQI[Current AQI], 0)</f>
        <v>141</v>
      </c>
    </row>
    <row r="1591" spans="1:8" x14ac:dyDescent="0.35">
      <c r="A1591" t="s">
        <v>1530</v>
      </c>
      <c r="B1591" t="s">
        <v>1608</v>
      </c>
      <c r="C1591">
        <v>493</v>
      </c>
      <c r="D1591">
        <v>241</v>
      </c>
      <c r="E1591" t="s">
        <v>7</v>
      </c>
      <c r="F1591">
        <f>tbl_AQI[[#This Row],[Most AQI Reached]]-tbl_AQI[[#This Row],[Current AQI]]</f>
        <v>252</v>
      </c>
      <c r="G15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91">
        <f>RANK(tbl_AQI[[#This Row],[Current AQI]], tbl_AQI[Current AQI], 0)</f>
        <v>1139</v>
      </c>
    </row>
    <row r="1592" spans="1:8" x14ac:dyDescent="0.35">
      <c r="A1592" t="s">
        <v>1530</v>
      </c>
      <c r="B1592" t="s">
        <v>1609</v>
      </c>
      <c r="C1592">
        <v>316</v>
      </c>
      <c r="D1592">
        <v>202</v>
      </c>
      <c r="E1592" t="s">
        <v>11</v>
      </c>
      <c r="F1592">
        <f>tbl_AQI[[#This Row],[Most AQI Reached]]-tbl_AQI[[#This Row],[Current AQI]]</f>
        <v>114</v>
      </c>
      <c r="G15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92">
        <f>RANK(tbl_AQI[[#This Row],[Current AQI]], tbl_AQI[Current AQI], 0)</f>
        <v>1301</v>
      </c>
    </row>
    <row r="1593" spans="1:8" x14ac:dyDescent="0.35">
      <c r="A1593" t="s">
        <v>1530</v>
      </c>
      <c r="B1593" t="s">
        <v>1610</v>
      </c>
      <c r="C1593">
        <v>208</v>
      </c>
      <c r="D1593">
        <v>208</v>
      </c>
      <c r="E1593" t="s">
        <v>21</v>
      </c>
      <c r="F1593">
        <f>tbl_AQI[[#This Row],[Most AQI Reached]]-tbl_AQI[[#This Row],[Current AQI]]</f>
        <v>0</v>
      </c>
      <c r="G15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93">
        <f>RANK(tbl_AQI[[#This Row],[Current AQI]], tbl_AQI[Current AQI], 0)</f>
        <v>1282</v>
      </c>
    </row>
    <row r="1594" spans="1:8" x14ac:dyDescent="0.35">
      <c r="A1594" t="s">
        <v>1530</v>
      </c>
      <c r="B1594" t="s">
        <v>1611</v>
      </c>
      <c r="C1594">
        <v>453</v>
      </c>
      <c r="D1594">
        <v>281</v>
      </c>
      <c r="E1594" t="s">
        <v>33</v>
      </c>
      <c r="F1594">
        <f>tbl_AQI[[#This Row],[Most AQI Reached]]-tbl_AQI[[#This Row],[Current AQI]]</f>
        <v>172</v>
      </c>
      <c r="G15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94">
        <f>RANK(tbl_AQI[[#This Row],[Current AQI]], tbl_AQI[Current AQI], 0)</f>
        <v>946</v>
      </c>
    </row>
    <row r="1595" spans="1:8" x14ac:dyDescent="0.35">
      <c r="A1595" t="s">
        <v>1530</v>
      </c>
      <c r="B1595" t="s">
        <v>1612</v>
      </c>
      <c r="C1595">
        <v>276</v>
      </c>
      <c r="D1595">
        <v>235</v>
      </c>
      <c r="E1595" t="s">
        <v>11</v>
      </c>
      <c r="F1595">
        <f>tbl_AQI[[#This Row],[Most AQI Reached]]-tbl_AQI[[#This Row],[Current AQI]]</f>
        <v>41</v>
      </c>
      <c r="G15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595">
        <f>RANK(tbl_AQI[[#This Row],[Current AQI]], tbl_AQI[Current AQI], 0)</f>
        <v>1166</v>
      </c>
    </row>
    <row r="1596" spans="1:8" x14ac:dyDescent="0.35">
      <c r="A1596" t="s">
        <v>1530</v>
      </c>
      <c r="B1596" t="s">
        <v>1613</v>
      </c>
      <c r="C1596">
        <v>383</v>
      </c>
      <c r="D1596">
        <v>301</v>
      </c>
      <c r="E1596" t="s">
        <v>7</v>
      </c>
      <c r="F1596">
        <f>tbl_AQI[[#This Row],[Most AQI Reached]]-tbl_AQI[[#This Row],[Current AQI]]</f>
        <v>82</v>
      </c>
      <c r="G15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96">
        <f>RANK(tbl_AQI[[#This Row],[Current AQI]], tbl_AQI[Current AQI], 0)</f>
        <v>844</v>
      </c>
    </row>
    <row r="1597" spans="1:8" x14ac:dyDescent="0.35">
      <c r="A1597" t="s">
        <v>1530</v>
      </c>
      <c r="B1597" t="s">
        <v>1614</v>
      </c>
      <c r="C1597">
        <v>451</v>
      </c>
      <c r="D1597">
        <v>346</v>
      </c>
      <c r="E1597" t="s">
        <v>9</v>
      </c>
      <c r="F1597">
        <f>tbl_AQI[[#This Row],[Most AQI Reached]]-tbl_AQI[[#This Row],[Current AQI]]</f>
        <v>105</v>
      </c>
      <c r="G15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97">
        <f>RANK(tbl_AQI[[#This Row],[Current AQI]], tbl_AQI[Current AQI], 0)</f>
        <v>646</v>
      </c>
    </row>
    <row r="1598" spans="1:8" x14ac:dyDescent="0.35">
      <c r="A1598" t="s">
        <v>1530</v>
      </c>
      <c r="B1598" t="s">
        <v>1615</v>
      </c>
      <c r="C1598">
        <v>462</v>
      </c>
      <c r="D1598">
        <v>310</v>
      </c>
      <c r="E1598" t="s">
        <v>15</v>
      </c>
      <c r="F1598">
        <f>tbl_AQI[[#This Row],[Most AQI Reached]]-tbl_AQI[[#This Row],[Current AQI]]</f>
        <v>152</v>
      </c>
      <c r="G15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98">
        <f>RANK(tbl_AQI[[#This Row],[Current AQI]], tbl_AQI[Current AQI], 0)</f>
        <v>818</v>
      </c>
    </row>
    <row r="1599" spans="1:8" x14ac:dyDescent="0.35">
      <c r="A1599" t="s">
        <v>1530</v>
      </c>
      <c r="B1599" t="s">
        <v>1616</v>
      </c>
      <c r="C1599">
        <v>442</v>
      </c>
      <c r="D1599">
        <v>373</v>
      </c>
      <c r="E1599" t="s">
        <v>21</v>
      </c>
      <c r="F1599">
        <f>tbl_AQI[[#This Row],[Most AQI Reached]]-tbl_AQI[[#This Row],[Current AQI]]</f>
        <v>69</v>
      </c>
      <c r="G15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599">
        <f>RANK(tbl_AQI[[#This Row],[Current AQI]], tbl_AQI[Current AQI], 0)</f>
        <v>526</v>
      </c>
    </row>
    <row r="1600" spans="1:8" x14ac:dyDescent="0.35">
      <c r="A1600" t="s">
        <v>1530</v>
      </c>
      <c r="B1600" t="s">
        <v>1617</v>
      </c>
      <c r="C1600">
        <v>494</v>
      </c>
      <c r="D1600">
        <v>454</v>
      </c>
      <c r="E1600" t="s">
        <v>21</v>
      </c>
      <c r="F1600">
        <f>tbl_AQI[[#This Row],[Most AQI Reached]]-tbl_AQI[[#This Row],[Current AQI]]</f>
        <v>40</v>
      </c>
      <c r="G16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00">
        <f>RANK(tbl_AQI[[#This Row],[Current AQI]], tbl_AQI[Current AQI], 0)</f>
        <v>131</v>
      </c>
    </row>
    <row r="1601" spans="1:8" x14ac:dyDescent="0.35">
      <c r="A1601" t="s">
        <v>1530</v>
      </c>
      <c r="B1601" t="s">
        <v>1618</v>
      </c>
      <c r="C1601">
        <v>442</v>
      </c>
      <c r="D1601">
        <v>442</v>
      </c>
      <c r="E1601" t="s">
        <v>7</v>
      </c>
      <c r="F1601">
        <f>tbl_AQI[[#This Row],[Most AQI Reached]]-tbl_AQI[[#This Row],[Current AQI]]</f>
        <v>0</v>
      </c>
      <c r="G16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01">
        <f>RANK(tbl_AQI[[#This Row],[Current AQI]], tbl_AQI[Current AQI], 0)</f>
        <v>198</v>
      </c>
    </row>
    <row r="1602" spans="1:8" x14ac:dyDescent="0.35">
      <c r="A1602" t="s">
        <v>1530</v>
      </c>
      <c r="B1602" t="s">
        <v>1619</v>
      </c>
      <c r="C1602">
        <v>485</v>
      </c>
      <c r="D1602">
        <v>452</v>
      </c>
      <c r="E1602" t="s">
        <v>9</v>
      </c>
      <c r="F1602">
        <f>tbl_AQI[[#This Row],[Most AQI Reached]]-tbl_AQI[[#This Row],[Current AQI]]</f>
        <v>33</v>
      </c>
      <c r="G16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02">
        <f>RANK(tbl_AQI[[#This Row],[Current AQI]], tbl_AQI[Current AQI], 0)</f>
        <v>150</v>
      </c>
    </row>
    <row r="1603" spans="1:8" x14ac:dyDescent="0.35">
      <c r="A1603" t="s">
        <v>1530</v>
      </c>
      <c r="B1603" t="s">
        <v>1620</v>
      </c>
      <c r="C1603">
        <v>493</v>
      </c>
      <c r="D1603">
        <v>472</v>
      </c>
      <c r="E1603" t="s">
        <v>21</v>
      </c>
      <c r="F1603">
        <f>tbl_AQI[[#This Row],[Most AQI Reached]]-tbl_AQI[[#This Row],[Current AQI]]</f>
        <v>21</v>
      </c>
      <c r="G16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03">
        <f>RANK(tbl_AQI[[#This Row],[Current AQI]], tbl_AQI[Current AQI], 0)</f>
        <v>43</v>
      </c>
    </row>
    <row r="1604" spans="1:8" x14ac:dyDescent="0.35">
      <c r="A1604" t="s">
        <v>1530</v>
      </c>
      <c r="B1604" t="s">
        <v>1621</v>
      </c>
      <c r="C1604">
        <v>498</v>
      </c>
      <c r="D1604">
        <v>448</v>
      </c>
      <c r="E1604" t="s">
        <v>21</v>
      </c>
      <c r="F1604">
        <f>tbl_AQI[[#This Row],[Most AQI Reached]]-tbl_AQI[[#This Row],[Current AQI]]</f>
        <v>50</v>
      </c>
      <c r="G16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04">
        <f>RANK(tbl_AQI[[#This Row],[Current AQI]], tbl_AQI[Current AQI], 0)</f>
        <v>166</v>
      </c>
    </row>
    <row r="1605" spans="1:8" x14ac:dyDescent="0.35">
      <c r="A1605" t="s">
        <v>1530</v>
      </c>
      <c r="B1605" t="s">
        <v>1622</v>
      </c>
      <c r="C1605">
        <v>453</v>
      </c>
      <c r="D1605">
        <v>334</v>
      </c>
      <c r="E1605" t="s">
        <v>33</v>
      </c>
      <c r="F1605">
        <f>tbl_AQI[[#This Row],[Most AQI Reached]]-tbl_AQI[[#This Row],[Current AQI]]</f>
        <v>119</v>
      </c>
      <c r="G16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05">
        <f>RANK(tbl_AQI[[#This Row],[Current AQI]], tbl_AQI[Current AQI], 0)</f>
        <v>717</v>
      </c>
    </row>
    <row r="1606" spans="1:8" x14ac:dyDescent="0.35">
      <c r="A1606" t="s">
        <v>1530</v>
      </c>
      <c r="B1606" t="s">
        <v>1623</v>
      </c>
      <c r="C1606">
        <v>421</v>
      </c>
      <c r="D1606">
        <v>357</v>
      </c>
      <c r="E1606" t="s">
        <v>7</v>
      </c>
      <c r="F1606">
        <f>tbl_AQI[[#This Row],[Most AQI Reached]]-tbl_AQI[[#This Row],[Current AQI]]</f>
        <v>64</v>
      </c>
      <c r="G16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06">
        <f>RANK(tbl_AQI[[#This Row],[Current AQI]], tbl_AQI[Current AQI], 0)</f>
        <v>592</v>
      </c>
    </row>
    <row r="1607" spans="1:8" x14ac:dyDescent="0.35">
      <c r="A1607" t="s">
        <v>1530</v>
      </c>
      <c r="B1607" t="s">
        <v>1624</v>
      </c>
      <c r="C1607">
        <v>467</v>
      </c>
      <c r="D1607">
        <v>462</v>
      </c>
      <c r="E1607" t="s">
        <v>7</v>
      </c>
      <c r="F1607">
        <f>tbl_AQI[[#This Row],[Most AQI Reached]]-tbl_AQI[[#This Row],[Current AQI]]</f>
        <v>5</v>
      </c>
      <c r="G16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07">
        <f>RANK(tbl_AQI[[#This Row],[Current AQI]], tbl_AQI[Current AQI], 0)</f>
        <v>92</v>
      </c>
    </row>
    <row r="1608" spans="1:8" x14ac:dyDescent="0.35">
      <c r="A1608" t="s">
        <v>1530</v>
      </c>
      <c r="B1608" t="s">
        <v>1625</v>
      </c>
      <c r="C1608">
        <v>500</v>
      </c>
      <c r="D1608">
        <v>476</v>
      </c>
      <c r="E1608" t="s">
        <v>9</v>
      </c>
      <c r="F1608">
        <f>tbl_AQI[[#This Row],[Most AQI Reached]]-tbl_AQI[[#This Row],[Current AQI]]</f>
        <v>24</v>
      </c>
      <c r="G16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08">
        <f>RANK(tbl_AQI[[#This Row],[Current AQI]], tbl_AQI[Current AQI], 0)</f>
        <v>18</v>
      </c>
    </row>
    <row r="1609" spans="1:8" x14ac:dyDescent="0.35">
      <c r="A1609" t="s">
        <v>1530</v>
      </c>
      <c r="B1609" t="s">
        <v>1626</v>
      </c>
      <c r="C1609">
        <v>345</v>
      </c>
      <c r="D1609">
        <v>317</v>
      </c>
      <c r="E1609" t="s">
        <v>7</v>
      </c>
      <c r="F1609">
        <f>tbl_AQI[[#This Row],[Most AQI Reached]]-tbl_AQI[[#This Row],[Current AQI]]</f>
        <v>28</v>
      </c>
      <c r="G16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09">
        <f>RANK(tbl_AQI[[#This Row],[Current AQI]], tbl_AQI[Current AQI], 0)</f>
        <v>791</v>
      </c>
    </row>
    <row r="1610" spans="1:8" x14ac:dyDescent="0.35">
      <c r="A1610" t="s">
        <v>1530</v>
      </c>
      <c r="B1610" t="s">
        <v>1627</v>
      </c>
      <c r="C1610">
        <v>410</v>
      </c>
      <c r="D1610">
        <v>354</v>
      </c>
      <c r="E1610" t="s">
        <v>9</v>
      </c>
      <c r="F1610">
        <f>tbl_AQI[[#This Row],[Most AQI Reached]]-tbl_AQI[[#This Row],[Current AQI]]</f>
        <v>56</v>
      </c>
      <c r="G16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10">
        <f>RANK(tbl_AQI[[#This Row],[Current AQI]], tbl_AQI[Current AQI], 0)</f>
        <v>602</v>
      </c>
    </row>
    <row r="1611" spans="1:8" x14ac:dyDescent="0.35">
      <c r="A1611" t="s">
        <v>1530</v>
      </c>
      <c r="B1611" t="s">
        <v>1628</v>
      </c>
      <c r="C1611">
        <v>390</v>
      </c>
      <c r="D1611">
        <v>275</v>
      </c>
      <c r="E1611" t="s">
        <v>11</v>
      </c>
      <c r="F1611">
        <f>tbl_AQI[[#This Row],[Most AQI Reached]]-tbl_AQI[[#This Row],[Current AQI]]</f>
        <v>115</v>
      </c>
      <c r="G16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11">
        <f>RANK(tbl_AQI[[#This Row],[Current AQI]], tbl_AQI[Current AQI], 0)</f>
        <v>980</v>
      </c>
    </row>
    <row r="1612" spans="1:8" x14ac:dyDescent="0.35">
      <c r="A1612" t="s">
        <v>1530</v>
      </c>
      <c r="B1612" t="s">
        <v>1629</v>
      </c>
      <c r="C1612">
        <v>493</v>
      </c>
      <c r="D1612">
        <v>474</v>
      </c>
      <c r="E1612" t="s">
        <v>9</v>
      </c>
      <c r="F1612">
        <f>tbl_AQI[[#This Row],[Most AQI Reached]]-tbl_AQI[[#This Row],[Current AQI]]</f>
        <v>19</v>
      </c>
      <c r="G16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12">
        <f>RANK(tbl_AQI[[#This Row],[Current AQI]], tbl_AQI[Current AQI], 0)</f>
        <v>28</v>
      </c>
    </row>
    <row r="1613" spans="1:8" x14ac:dyDescent="0.35">
      <c r="A1613" t="s">
        <v>1530</v>
      </c>
      <c r="B1613" t="s">
        <v>1630</v>
      </c>
      <c r="C1613">
        <v>497</v>
      </c>
      <c r="D1613">
        <v>363</v>
      </c>
      <c r="E1613" t="s">
        <v>21</v>
      </c>
      <c r="F1613">
        <f>tbl_AQI[[#This Row],[Most AQI Reached]]-tbl_AQI[[#This Row],[Current AQI]]</f>
        <v>134</v>
      </c>
      <c r="G16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13">
        <f>RANK(tbl_AQI[[#This Row],[Current AQI]], tbl_AQI[Current AQI], 0)</f>
        <v>564</v>
      </c>
    </row>
    <row r="1614" spans="1:8" x14ac:dyDescent="0.35">
      <c r="A1614" t="s">
        <v>1530</v>
      </c>
      <c r="B1614" t="s">
        <v>1631</v>
      </c>
      <c r="C1614">
        <v>420</v>
      </c>
      <c r="D1614">
        <v>399</v>
      </c>
      <c r="E1614" t="s">
        <v>21</v>
      </c>
      <c r="F1614">
        <f>tbl_AQI[[#This Row],[Most AQI Reached]]-tbl_AQI[[#This Row],[Current AQI]]</f>
        <v>21</v>
      </c>
      <c r="G16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14">
        <f>RANK(tbl_AQI[[#This Row],[Current AQI]], tbl_AQI[Current AQI], 0)</f>
        <v>399</v>
      </c>
    </row>
    <row r="1615" spans="1:8" x14ac:dyDescent="0.35">
      <c r="A1615" t="s">
        <v>1530</v>
      </c>
      <c r="B1615" t="s">
        <v>1632</v>
      </c>
      <c r="C1615">
        <v>493</v>
      </c>
      <c r="D1615">
        <v>478</v>
      </c>
      <c r="E1615" t="s">
        <v>9</v>
      </c>
      <c r="F1615">
        <f>tbl_AQI[[#This Row],[Most AQI Reached]]-tbl_AQI[[#This Row],[Current AQI]]</f>
        <v>15</v>
      </c>
      <c r="G16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15">
        <f>RANK(tbl_AQI[[#This Row],[Current AQI]], tbl_AQI[Current AQI], 0)</f>
        <v>11</v>
      </c>
    </row>
    <row r="1616" spans="1:8" x14ac:dyDescent="0.35">
      <c r="A1616" t="s">
        <v>1530</v>
      </c>
      <c r="B1616" t="s">
        <v>1633</v>
      </c>
      <c r="C1616">
        <v>285</v>
      </c>
      <c r="D1616">
        <v>245</v>
      </c>
      <c r="E1616" t="s">
        <v>9</v>
      </c>
      <c r="F1616">
        <f>tbl_AQI[[#This Row],[Most AQI Reached]]-tbl_AQI[[#This Row],[Current AQI]]</f>
        <v>40</v>
      </c>
      <c r="G16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16">
        <f>RANK(tbl_AQI[[#This Row],[Current AQI]], tbl_AQI[Current AQI], 0)</f>
        <v>1121</v>
      </c>
    </row>
    <row r="1617" spans="1:8" x14ac:dyDescent="0.35">
      <c r="A1617" t="s">
        <v>1530</v>
      </c>
      <c r="B1617" t="s">
        <v>1634</v>
      </c>
      <c r="C1617">
        <v>363</v>
      </c>
      <c r="D1617">
        <v>251</v>
      </c>
      <c r="E1617" t="s">
        <v>15</v>
      </c>
      <c r="F1617">
        <f>tbl_AQI[[#This Row],[Most AQI Reached]]-tbl_AQI[[#This Row],[Current AQI]]</f>
        <v>112</v>
      </c>
      <c r="G16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17">
        <f>RANK(tbl_AQI[[#This Row],[Current AQI]], tbl_AQI[Current AQI], 0)</f>
        <v>1087</v>
      </c>
    </row>
    <row r="1618" spans="1:8" x14ac:dyDescent="0.35">
      <c r="A1618" t="s">
        <v>1530</v>
      </c>
      <c r="B1618" t="s">
        <v>1635</v>
      </c>
      <c r="C1618">
        <v>409</v>
      </c>
      <c r="D1618">
        <v>167</v>
      </c>
      <c r="E1618" t="s">
        <v>7</v>
      </c>
      <c r="F1618">
        <f>tbl_AQI[[#This Row],[Most AQI Reached]]-tbl_AQI[[#This Row],[Current AQI]]</f>
        <v>242</v>
      </c>
      <c r="G16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18">
        <f>RANK(tbl_AQI[[#This Row],[Current AQI]], tbl_AQI[Current AQI], 0)</f>
        <v>1979</v>
      </c>
    </row>
    <row r="1619" spans="1:8" x14ac:dyDescent="0.35">
      <c r="A1619" t="s">
        <v>1530</v>
      </c>
      <c r="B1619" t="s">
        <v>1636</v>
      </c>
      <c r="C1619">
        <v>475</v>
      </c>
      <c r="D1619">
        <v>438</v>
      </c>
      <c r="E1619" t="s">
        <v>9</v>
      </c>
      <c r="F1619">
        <f>tbl_AQI[[#This Row],[Most AQI Reached]]-tbl_AQI[[#This Row],[Current AQI]]</f>
        <v>37</v>
      </c>
      <c r="G16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19">
        <f>RANK(tbl_AQI[[#This Row],[Current AQI]], tbl_AQI[Current AQI], 0)</f>
        <v>218</v>
      </c>
    </row>
    <row r="1620" spans="1:8" x14ac:dyDescent="0.35">
      <c r="A1620" t="s">
        <v>1530</v>
      </c>
      <c r="B1620" t="s">
        <v>1637</v>
      </c>
      <c r="C1620">
        <v>477</v>
      </c>
      <c r="D1620">
        <v>443</v>
      </c>
      <c r="E1620" t="s">
        <v>21</v>
      </c>
      <c r="F1620">
        <f>tbl_AQI[[#This Row],[Most AQI Reached]]-tbl_AQI[[#This Row],[Current AQI]]</f>
        <v>34</v>
      </c>
      <c r="G16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20">
        <f>RANK(tbl_AQI[[#This Row],[Current AQI]], tbl_AQI[Current AQI], 0)</f>
        <v>188</v>
      </c>
    </row>
    <row r="1621" spans="1:8" x14ac:dyDescent="0.35">
      <c r="A1621" t="s">
        <v>1530</v>
      </c>
      <c r="B1621" t="s">
        <v>1638</v>
      </c>
      <c r="C1621">
        <v>320</v>
      </c>
      <c r="D1621">
        <v>301</v>
      </c>
      <c r="E1621" t="s">
        <v>9</v>
      </c>
      <c r="F1621">
        <f>tbl_AQI[[#This Row],[Most AQI Reached]]-tbl_AQI[[#This Row],[Current AQI]]</f>
        <v>19</v>
      </c>
      <c r="G16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21">
        <f>RANK(tbl_AQI[[#This Row],[Current AQI]], tbl_AQI[Current AQI], 0)</f>
        <v>844</v>
      </c>
    </row>
    <row r="1622" spans="1:8" x14ac:dyDescent="0.35">
      <c r="A1622" t="s">
        <v>1530</v>
      </c>
      <c r="B1622" t="s">
        <v>1639</v>
      </c>
      <c r="C1622">
        <v>480</v>
      </c>
      <c r="D1622">
        <v>379</v>
      </c>
      <c r="E1622" t="s">
        <v>9</v>
      </c>
      <c r="F1622">
        <f>tbl_AQI[[#This Row],[Most AQI Reached]]-tbl_AQI[[#This Row],[Current AQI]]</f>
        <v>101</v>
      </c>
      <c r="G16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22">
        <f>RANK(tbl_AQI[[#This Row],[Current AQI]], tbl_AQI[Current AQI], 0)</f>
        <v>485</v>
      </c>
    </row>
    <row r="1623" spans="1:8" x14ac:dyDescent="0.35">
      <c r="A1623" t="s">
        <v>1530</v>
      </c>
      <c r="B1623" t="s">
        <v>1640</v>
      </c>
      <c r="C1623">
        <v>472</v>
      </c>
      <c r="D1623">
        <v>452</v>
      </c>
      <c r="E1623" t="s">
        <v>21</v>
      </c>
      <c r="F1623">
        <f>tbl_AQI[[#This Row],[Most AQI Reached]]-tbl_AQI[[#This Row],[Current AQI]]</f>
        <v>20</v>
      </c>
      <c r="G16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23">
        <f>RANK(tbl_AQI[[#This Row],[Current AQI]], tbl_AQI[Current AQI], 0)</f>
        <v>150</v>
      </c>
    </row>
    <row r="1624" spans="1:8" x14ac:dyDescent="0.35">
      <c r="A1624" t="s">
        <v>1530</v>
      </c>
      <c r="B1624" t="s">
        <v>1641</v>
      </c>
      <c r="C1624">
        <v>185</v>
      </c>
      <c r="D1624">
        <v>171</v>
      </c>
      <c r="E1624" t="s">
        <v>11</v>
      </c>
      <c r="F1624">
        <f>tbl_AQI[[#This Row],[Most AQI Reached]]-tbl_AQI[[#This Row],[Current AQI]]</f>
        <v>14</v>
      </c>
      <c r="G16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24">
        <f>RANK(tbl_AQI[[#This Row],[Current AQI]], tbl_AQI[Current AQI], 0)</f>
        <v>1866</v>
      </c>
    </row>
    <row r="1625" spans="1:8" x14ac:dyDescent="0.35">
      <c r="A1625" t="s">
        <v>1530</v>
      </c>
      <c r="B1625" t="s">
        <v>1642</v>
      </c>
      <c r="C1625">
        <v>385</v>
      </c>
      <c r="D1625">
        <v>291</v>
      </c>
      <c r="E1625" t="s">
        <v>21</v>
      </c>
      <c r="F1625">
        <f>tbl_AQI[[#This Row],[Most AQI Reached]]-tbl_AQI[[#This Row],[Current AQI]]</f>
        <v>94</v>
      </c>
      <c r="G16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25">
        <f>RANK(tbl_AQI[[#This Row],[Current AQI]], tbl_AQI[Current AQI], 0)</f>
        <v>898</v>
      </c>
    </row>
    <row r="1626" spans="1:8" x14ac:dyDescent="0.35">
      <c r="A1626" t="s">
        <v>1530</v>
      </c>
      <c r="B1626" t="s">
        <v>1643</v>
      </c>
      <c r="C1626">
        <v>483</v>
      </c>
      <c r="D1626">
        <v>395</v>
      </c>
      <c r="E1626" t="s">
        <v>21</v>
      </c>
      <c r="F1626">
        <f>tbl_AQI[[#This Row],[Most AQI Reached]]-tbl_AQI[[#This Row],[Current AQI]]</f>
        <v>88</v>
      </c>
      <c r="G16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26">
        <f>RANK(tbl_AQI[[#This Row],[Current AQI]], tbl_AQI[Current AQI], 0)</f>
        <v>420</v>
      </c>
    </row>
    <row r="1627" spans="1:8" x14ac:dyDescent="0.35">
      <c r="A1627" t="s">
        <v>1530</v>
      </c>
      <c r="B1627" t="s">
        <v>1644</v>
      </c>
      <c r="C1627">
        <v>471</v>
      </c>
      <c r="D1627">
        <v>462</v>
      </c>
      <c r="E1627" t="s">
        <v>9</v>
      </c>
      <c r="F1627">
        <f>tbl_AQI[[#This Row],[Most AQI Reached]]-tbl_AQI[[#This Row],[Current AQI]]</f>
        <v>9</v>
      </c>
      <c r="G16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27">
        <f>RANK(tbl_AQI[[#This Row],[Current AQI]], tbl_AQI[Current AQI], 0)</f>
        <v>92</v>
      </c>
    </row>
    <row r="1628" spans="1:8" x14ac:dyDescent="0.35">
      <c r="A1628" t="s">
        <v>1530</v>
      </c>
      <c r="B1628" t="s">
        <v>1645</v>
      </c>
      <c r="C1628">
        <v>453</v>
      </c>
      <c r="D1628">
        <v>207</v>
      </c>
      <c r="E1628" t="s">
        <v>21</v>
      </c>
      <c r="F1628">
        <f>tbl_AQI[[#This Row],[Most AQI Reached]]-tbl_AQI[[#This Row],[Current AQI]]</f>
        <v>246</v>
      </c>
      <c r="G16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28">
        <f>RANK(tbl_AQI[[#This Row],[Current AQI]], tbl_AQI[Current AQI], 0)</f>
        <v>1287</v>
      </c>
    </row>
    <row r="1629" spans="1:8" x14ac:dyDescent="0.35">
      <c r="A1629" t="s">
        <v>1530</v>
      </c>
      <c r="B1629" t="s">
        <v>1646</v>
      </c>
      <c r="C1629">
        <v>486</v>
      </c>
      <c r="D1629">
        <v>369</v>
      </c>
      <c r="E1629" t="s">
        <v>21</v>
      </c>
      <c r="F1629">
        <f>tbl_AQI[[#This Row],[Most AQI Reached]]-tbl_AQI[[#This Row],[Current AQI]]</f>
        <v>117</v>
      </c>
      <c r="G16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29">
        <f>RANK(tbl_AQI[[#This Row],[Current AQI]], tbl_AQI[Current AQI], 0)</f>
        <v>543</v>
      </c>
    </row>
    <row r="1630" spans="1:8" x14ac:dyDescent="0.35">
      <c r="A1630" t="s">
        <v>1530</v>
      </c>
      <c r="B1630" t="s">
        <v>1647</v>
      </c>
      <c r="C1630">
        <v>469</v>
      </c>
      <c r="D1630">
        <v>449</v>
      </c>
      <c r="E1630" t="s">
        <v>9</v>
      </c>
      <c r="F1630">
        <f>tbl_AQI[[#This Row],[Most AQI Reached]]-tbl_AQI[[#This Row],[Current AQI]]</f>
        <v>20</v>
      </c>
      <c r="G16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30">
        <f>RANK(tbl_AQI[[#This Row],[Current AQI]], tbl_AQI[Current AQI], 0)</f>
        <v>161</v>
      </c>
    </row>
    <row r="1631" spans="1:8" x14ac:dyDescent="0.35">
      <c r="A1631" t="s">
        <v>1530</v>
      </c>
      <c r="B1631" t="s">
        <v>1648</v>
      </c>
      <c r="C1631">
        <v>285</v>
      </c>
      <c r="D1631">
        <v>169</v>
      </c>
      <c r="E1631" t="s">
        <v>11</v>
      </c>
      <c r="F1631">
        <f>tbl_AQI[[#This Row],[Most AQI Reached]]-tbl_AQI[[#This Row],[Current AQI]]</f>
        <v>116</v>
      </c>
      <c r="G16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31">
        <f>RANK(tbl_AQI[[#This Row],[Current AQI]], tbl_AQI[Current AQI], 0)</f>
        <v>1925</v>
      </c>
    </row>
    <row r="1632" spans="1:8" x14ac:dyDescent="0.35">
      <c r="A1632" t="s">
        <v>1530</v>
      </c>
      <c r="B1632" t="s">
        <v>1649</v>
      </c>
      <c r="C1632">
        <v>260</v>
      </c>
      <c r="D1632">
        <v>252</v>
      </c>
      <c r="E1632" t="s">
        <v>33</v>
      </c>
      <c r="F1632">
        <f>tbl_AQI[[#This Row],[Most AQI Reached]]-tbl_AQI[[#This Row],[Current AQI]]</f>
        <v>8</v>
      </c>
      <c r="G16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32">
        <f>RANK(tbl_AQI[[#This Row],[Current AQI]], tbl_AQI[Current AQI], 0)</f>
        <v>1084</v>
      </c>
    </row>
    <row r="1633" spans="1:8" x14ac:dyDescent="0.35">
      <c r="A1633" t="s">
        <v>1530</v>
      </c>
      <c r="B1633" t="s">
        <v>1650</v>
      </c>
      <c r="C1633">
        <v>431</v>
      </c>
      <c r="D1633">
        <v>212</v>
      </c>
      <c r="E1633" t="s">
        <v>11</v>
      </c>
      <c r="F1633">
        <f>tbl_AQI[[#This Row],[Most AQI Reached]]-tbl_AQI[[#This Row],[Current AQI]]</f>
        <v>219</v>
      </c>
      <c r="G16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33">
        <f>RANK(tbl_AQI[[#This Row],[Current AQI]], tbl_AQI[Current AQI], 0)</f>
        <v>1265</v>
      </c>
    </row>
    <row r="1634" spans="1:8" x14ac:dyDescent="0.35">
      <c r="A1634" t="s">
        <v>1530</v>
      </c>
      <c r="B1634" t="s">
        <v>1651</v>
      </c>
      <c r="C1634">
        <v>423</v>
      </c>
      <c r="D1634">
        <v>409</v>
      </c>
      <c r="E1634" t="s">
        <v>21</v>
      </c>
      <c r="F1634">
        <f>tbl_AQI[[#This Row],[Most AQI Reached]]-tbl_AQI[[#This Row],[Current AQI]]</f>
        <v>14</v>
      </c>
      <c r="G16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34">
        <f>RANK(tbl_AQI[[#This Row],[Current AQI]], tbl_AQI[Current AQI], 0)</f>
        <v>348</v>
      </c>
    </row>
    <row r="1635" spans="1:8" x14ac:dyDescent="0.35">
      <c r="A1635" t="s">
        <v>1530</v>
      </c>
      <c r="B1635" t="s">
        <v>1652</v>
      </c>
      <c r="C1635">
        <v>341</v>
      </c>
      <c r="D1635">
        <v>340</v>
      </c>
      <c r="E1635" t="s">
        <v>11</v>
      </c>
      <c r="F1635">
        <f>tbl_AQI[[#This Row],[Most AQI Reached]]-tbl_AQI[[#This Row],[Current AQI]]</f>
        <v>1</v>
      </c>
      <c r="G16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35">
        <f>RANK(tbl_AQI[[#This Row],[Current AQI]], tbl_AQI[Current AQI], 0)</f>
        <v>678</v>
      </c>
    </row>
    <row r="1636" spans="1:8" x14ac:dyDescent="0.35">
      <c r="A1636" t="s">
        <v>1530</v>
      </c>
      <c r="B1636" t="s">
        <v>1653</v>
      </c>
      <c r="C1636">
        <v>484</v>
      </c>
      <c r="D1636">
        <v>437</v>
      </c>
      <c r="E1636" t="s">
        <v>7</v>
      </c>
      <c r="F1636">
        <f>tbl_AQI[[#This Row],[Most AQI Reached]]-tbl_AQI[[#This Row],[Current AQI]]</f>
        <v>47</v>
      </c>
      <c r="G16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36">
        <f>RANK(tbl_AQI[[#This Row],[Current AQI]], tbl_AQI[Current AQI], 0)</f>
        <v>225</v>
      </c>
    </row>
    <row r="1637" spans="1:8" x14ac:dyDescent="0.35">
      <c r="A1637" t="s">
        <v>1530</v>
      </c>
      <c r="B1637" t="s">
        <v>1654</v>
      </c>
      <c r="C1637">
        <v>277</v>
      </c>
      <c r="D1637">
        <v>187</v>
      </c>
      <c r="E1637" t="s">
        <v>9</v>
      </c>
      <c r="F1637">
        <f>tbl_AQI[[#This Row],[Most AQI Reached]]-tbl_AQI[[#This Row],[Current AQI]]</f>
        <v>90</v>
      </c>
      <c r="G16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37">
        <f>RANK(tbl_AQI[[#This Row],[Current AQI]], tbl_AQI[Current AQI], 0)</f>
        <v>1455</v>
      </c>
    </row>
    <row r="1638" spans="1:8" x14ac:dyDescent="0.35">
      <c r="A1638" t="s">
        <v>1530</v>
      </c>
      <c r="B1638" t="s">
        <v>1655</v>
      </c>
      <c r="C1638">
        <v>312</v>
      </c>
      <c r="D1638">
        <v>256</v>
      </c>
      <c r="E1638" t="s">
        <v>7</v>
      </c>
      <c r="F1638">
        <f>tbl_AQI[[#This Row],[Most AQI Reached]]-tbl_AQI[[#This Row],[Current AQI]]</f>
        <v>56</v>
      </c>
      <c r="G16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38">
        <f>RANK(tbl_AQI[[#This Row],[Current AQI]], tbl_AQI[Current AQI], 0)</f>
        <v>1063</v>
      </c>
    </row>
    <row r="1639" spans="1:8" x14ac:dyDescent="0.35">
      <c r="A1639" t="s">
        <v>1530</v>
      </c>
      <c r="B1639" t="s">
        <v>1656</v>
      </c>
      <c r="C1639">
        <v>372</v>
      </c>
      <c r="D1639">
        <v>324</v>
      </c>
      <c r="E1639" t="s">
        <v>9</v>
      </c>
      <c r="F1639">
        <f>tbl_AQI[[#This Row],[Most AQI Reached]]-tbl_AQI[[#This Row],[Current AQI]]</f>
        <v>48</v>
      </c>
      <c r="G16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39">
        <f>RANK(tbl_AQI[[#This Row],[Current AQI]], tbl_AQI[Current AQI], 0)</f>
        <v>760</v>
      </c>
    </row>
    <row r="1640" spans="1:8" x14ac:dyDescent="0.35">
      <c r="A1640" t="s">
        <v>1530</v>
      </c>
      <c r="B1640" t="s">
        <v>1657</v>
      </c>
      <c r="C1640">
        <v>424</v>
      </c>
      <c r="D1640">
        <v>176</v>
      </c>
      <c r="E1640" t="s">
        <v>9</v>
      </c>
      <c r="F1640">
        <f>tbl_AQI[[#This Row],[Most AQI Reached]]-tbl_AQI[[#This Row],[Current AQI]]</f>
        <v>248</v>
      </c>
      <c r="G16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40">
        <f>RANK(tbl_AQI[[#This Row],[Current AQI]], tbl_AQI[Current AQI], 0)</f>
        <v>1754</v>
      </c>
    </row>
    <row r="1641" spans="1:8" x14ac:dyDescent="0.35">
      <c r="A1641" t="s">
        <v>1530</v>
      </c>
      <c r="B1641" t="s">
        <v>1658</v>
      </c>
      <c r="C1641">
        <v>222</v>
      </c>
      <c r="D1641">
        <v>169</v>
      </c>
      <c r="E1641" t="s">
        <v>15</v>
      </c>
      <c r="F1641">
        <f>tbl_AQI[[#This Row],[Most AQI Reached]]-tbl_AQI[[#This Row],[Current AQI]]</f>
        <v>53</v>
      </c>
      <c r="G16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41">
        <f>RANK(tbl_AQI[[#This Row],[Current AQI]], tbl_AQI[Current AQI], 0)</f>
        <v>1925</v>
      </c>
    </row>
    <row r="1642" spans="1:8" x14ac:dyDescent="0.35">
      <c r="A1642" t="s">
        <v>1530</v>
      </c>
      <c r="B1642" t="s">
        <v>1659</v>
      </c>
      <c r="C1642">
        <v>397</v>
      </c>
      <c r="D1642">
        <v>376</v>
      </c>
      <c r="E1642" t="s">
        <v>9</v>
      </c>
      <c r="F1642">
        <f>tbl_AQI[[#This Row],[Most AQI Reached]]-tbl_AQI[[#This Row],[Current AQI]]</f>
        <v>21</v>
      </c>
      <c r="G16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42">
        <f>RANK(tbl_AQI[[#This Row],[Current AQI]], tbl_AQI[Current AQI], 0)</f>
        <v>507</v>
      </c>
    </row>
    <row r="1643" spans="1:8" x14ac:dyDescent="0.35">
      <c r="A1643" t="s">
        <v>1530</v>
      </c>
      <c r="B1643" t="s">
        <v>1660</v>
      </c>
      <c r="C1643">
        <v>494</v>
      </c>
      <c r="D1643">
        <v>431</v>
      </c>
      <c r="E1643" t="s">
        <v>7</v>
      </c>
      <c r="F1643">
        <f>tbl_AQI[[#This Row],[Most AQI Reached]]-tbl_AQI[[#This Row],[Current AQI]]</f>
        <v>63</v>
      </c>
      <c r="G16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43">
        <f>RANK(tbl_AQI[[#This Row],[Current AQI]], tbl_AQI[Current AQI], 0)</f>
        <v>260</v>
      </c>
    </row>
    <row r="1644" spans="1:8" x14ac:dyDescent="0.35">
      <c r="A1644" t="s">
        <v>1530</v>
      </c>
      <c r="B1644" t="s">
        <v>1661</v>
      </c>
      <c r="C1644">
        <v>407</v>
      </c>
      <c r="D1644">
        <v>210</v>
      </c>
      <c r="E1644" t="s">
        <v>17</v>
      </c>
      <c r="F1644">
        <f>tbl_AQI[[#This Row],[Most AQI Reached]]-tbl_AQI[[#This Row],[Current AQI]]</f>
        <v>197</v>
      </c>
      <c r="G16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44">
        <f>RANK(tbl_AQI[[#This Row],[Current AQI]], tbl_AQI[Current AQI], 0)</f>
        <v>1272</v>
      </c>
    </row>
    <row r="1645" spans="1:8" x14ac:dyDescent="0.35">
      <c r="A1645" t="s">
        <v>1530</v>
      </c>
      <c r="B1645" t="s">
        <v>1662</v>
      </c>
      <c r="C1645">
        <v>317</v>
      </c>
      <c r="D1645">
        <v>265</v>
      </c>
      <c r="E1645" t="s">
        <v>7</v>
      </c>
      <c r="F1645">
        <f>tbl_AQI[[#This Row],[Most AQI Reached]]-tbl_AQI[[#This Row],[Current AQI]]</f>
        <v>52</v>
      </c>
      <c r="G16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45">
        <f>RANK(tbl_AQI[[#This Row],[Current AQI]], tbl_AQI[Current AQI], 0)</f>
        <v>1022</v>
      </c>
    </row>
    <row r="1646" spans="1:8" x14ac:dyDescent="0.35">
      <c r="A1646" t="s">
        <v>1530</v>
      </c>
      <c r="B1646" t="s">
        <v>1663</v>
      </c>
      <c r="C1646">
        <v>451</v>
      </c>
      <c r="D1646">
        <v>424</v>
      </c>
      <c r="E1646" t="s">
        <v>7</v>
      </c>
      <c r="F1646">
        <f>tbl_AQI[[#This Row],[Most AQI Reached]]-tbl_AQI[[#This Row],[Current AQI]]</f>
        <v>27</v>
      </c>
      <c r="G16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46">
        <f>RANK(tbl_AQI[[#This Row],[Current AQI]], tbl_AQI[Current AQI], 0)</f>
        <v>293</v>
      </c>
    </row>
    <row r="1647" spans="1:8" x14ac:dyDescent="0.35">
      <c r="A1647" t="s">
        <v>1530</v>
      </c>
      <c r="B1647" t="s">
        <v>1664</v>
      </c>
      <c r="C1647">
        <v>379</v>
      </c>
      <c r="D1647">
        <v>362</v>
      </c>
      <c r="E1647" t="s">
        <v>9</v>
      </c>
      <c r="F1647">
        <f>tbl_AQI[[#This Row],[Most AQI Reached]]-tbl_AQI[[#This Row],[Current AQI]]</f>
        <v>17</v>
      </c>
      <c r="G16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47">
        <f>RANK(tbl_AQI[[#This Row],[Current AQI]], tbl_AQI[Current AQI], 0)</f>
        <v>567</v>
      </c>
    </row>
    <row r="1648" spans="1:8" x14ac:dyDescent="0.35">
      <c r="A1648" t="s">
        <v>1530</v>
      </c>
      <c r="B1648" t="s">
        <v>1665</v>
      </c>
      <c r="C1648">
        <v>325</v>
      </c>
      <c r="D1648">
        <v>215</v>
      </c>
      <c r="E1648" t="s">
        <v>17</v>
      </c>
      <c r="F1648">
        <f>tbl_AQI[[#This Row],[Most AQI Reached]]-tbl_AQI[[#This Row],[Current AQI]]</f>
        <v>110</v>
      </c>
      <c r="G16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48">
        <f>RANK(tbl_AQI[[#This Row],[Current AQI]], tbl_AQI[Current AQI], 0)</f>
        <v>1251</v>
      </c>
    </row>
    <row r="1649" spans="1:8" x14ac:dyDescent="0.35">
      <c r="A1649" t="s">
        <v>1530</v>
      </c>
      <c r="B1649" t="s">
        <v>1666</v>
      </c>
      <c r="C1649">
        <v>288</v>
      </c>
      <c r="D1649">
        <v>155</v>
      </c>
      <c r="E1649" t="s">
        <v>33</v>
      </c>
      <c r="F1649">
        <f>tbl_AQI[[#This Row],[Most AQI Reached]]-tbl_AQI[[#This Row],[Current AQI]]</f>
        <v>133</v>
      </c>
      <c r="G16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49">
        <f>RANK(tbl_AQI[[#This Row],[Current AQI]], tbl_AQI[Current AQI], 0)</f>
        <v>2275</v>
      </c>
    </row>
    <row r="1650" spans="1:8" x14ac:dyDescent="0.35">
      <c r="A1650" t="s">
        <v>1530</v>
      </c>
      <c r="B1650" t="s">
        <v>1667</v>
      </c>
      <c r="C1650">
        <v>435</v>
      </c>
      <c r="D1650">
        <v>430</v>
      </c>
      <c r="E1650" t="s">
        <v>7</v>
      </c>
      <c r="F1650">
        <f>tbl_AQI[[#This Row],[Most AQI Reached]]-tbl_AQI[[#This Row],[Current AQI]]</f>
        <v>5</v>
      </c>
      <c r="G16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50">
        <f>RANK(tbl_AQI[[#This Row],[Current AQI]], tbl_AQI[Current AQI], 0)</f>
        <v>263</v>
      </c>
    </row>
    <row r="1651" spans="1:8" x14ac:dyDescent="0.35">
      <c r="A1651" t="s">
        <v>1530</v>
      </c>
      <c r="B1651" t="s">
        <v>1668</v>
      </c>
      <c r="C1651">
        <v>457</v>
      </c>
      <c r="D1651">
        <v>449</v>
      </c>
      <c r="E1651" t="s">
        <v>21</v>
      </c>
      <c r="F1651">
        <f>tbl_AQI[[#This Row],[Most AQI Reached]]-tbl_AQI[[#This Row],[Current AQI]]</f>
        <v>8</v>
      </c>
      <c r="G16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51">
        <f>RANK(tbl_AQI[[#This Row],[Current AQI]], tbl_AQI[Current AQI], 0)</f>
        <v>161</v>
      </c>
    </row>
    <row r="1652" spans="1:8" x14ac:dyDescent="0.35">
      <c r="A1652" t="s">
        <v>1530</v>
      </c>
      <c r="B1652" t="s">
        <v>1669</v>
      </c>
      <c r="C1652">
        <v>152</v>
      </c>
      <c r="D1652">
        <v>151</v>
      </c>
      <c r="E1652" t="s">
        <v>21</v>
      </c>
      <c r="F1652">
        <f>tbl_AQI[[#This Row],[Most AQI Reached]]-tbl_AQI[[#This Row],[Current AQI]]</f>
        <v>1</v>
      </c>
      <c r="G16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52">
        <f>RANK(tbl_AQI[[#This Row],[Current AQI]], tbl_AQI[Current AQI], 0)</f>
        <v>2376</v>
      </c>
    </row>
    <row r="1653" spans="1:8" x14ac:dyDescent="0.35">
      <c r="A1653" t="s">
        <v>1530</v>
      </c>
      <c r="B1653" t="s">
        <v>1670</v>
      </c>
      <c r="C1653">
        <v>475</v>
      </c>
      <c r="D1653">
        <v>461</v>
      </c>
      <c r="E1653" t="s">
        <v>9</v>
      </c>
      <c r="F1653">
        <f>tbl_AQI[[#This Row],[Most AQI Reached]]-tbl_AQI[[#This Row],[Current AQI]]</f>
        <v>14</v>
      </c>
      <c r="G16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53">
        <f>RANK(tbl_AQI[[#This Row],[Current AQI]], tbl_AQI[Current AQI], 0)</f>
        <v>102</v>
      </c>
    </row>
    <row r="1654" spans="1:8" x14ac:dyDescent="0.35">
      <c r="A1654" t="s">
        <v>1530</v>
      </c>
      <c r="B1654" t="s">
        <v>1671</v>
      </c>
      <c r="C1654">
        <v>427</v>
      </c>
      <c r="D1654">
        <v>405</v>
      </c>
      <c r="E1654" t="s">
        <v>9</v>
      </c>
      <c r="F1654">
        <f>tbl_AQI[[#This Row],[Most AQI Reached]]-tbl_AQI[[#This Row],[Current AQI]]</f>
        <v>22</v>
      </c>
      <c r="G16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54">
        <f>RANK(tbl_AQI[[#This Row],[Current AQI]], tbl_AQI[Current AQI], 0)</f>
        <v>370</v>
      </c>
    </row>
    <row r="1655" spans="1:8" x14ac:dyDescent="0.35">
      <c r="A1655" t="s">
        <v>1530</v>
      </c>
      <c r="B1655" t="s">
        <v>1672</v>
      </c>
      <c r="C1655">
        <v>246</v>
      </c>
      <c r="D1655">
        <v>235</v>
      </c>
      <c r="E1655" t="s">
        <v>17</v>
      </c>
      <c r="F1655">
        <f>tbl_AQI[[#This Row],[Most AQI Reached]]-tbl_AQI[[#This Row],[Current AQI]]</f>
        <v>11</v>
      </c>
      <c r="G16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55">
        <f>RANK(tbl_AQI[[#This Row],[Current AQI]], tbl_AQI[Current AQI], 0)</f>
        <v>1166</v>
      </c>
    </row>
    <row r="1656" spans="1:8" x14ac:dyDescent="0.35">
      <c r="A1656" t="s">
        <v>1530</v>
      </c>
      <c r="B1656" t="s">
        <v>1673</v>
      </c>
      <c r="C1656">
        <v>429</v>
      </c>
      <c r="D1656">
        <v>337</v>
      </c>
      <c r="E1656" t="s">
        <v>21</v>
      </c>
      <c r="F1656">
        <f>tbl_AQI[[#This Row],[Most AQI Reached]]-tbl_AQI[[#This Row],[Current AQI]]</f>
        <v>92</v>
      </c>
      <c r="G16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56">
        <f>RANK(tbl_AQI[[#This Row],[Current AQI]], tbl_AQI[Current AQI], 0)</f>
        <v>694</v>
      </c>
    </row>
    <row r="1657" spans="1:8" x14ac:dyDescent="0.35">
      <c r="A1657" t="s">
        <v>1530</v>
      </c>
      <c r="B1657" t="s">
        <v>1674</v>
      </c>
      <c r="C1657">
        <v>245</v>
      </c>
      <c r="D1657">
        <v>239</v>
      </c>
      <c r="E1657" t="s">
        <v>33</v>
      </c>
      <c r="F1657">
        <f>tbl_AQI[[#This Row],[Most AQI Reached]]-tbl_AQI[[#This Row],[Current AQI]]</f>
        <v>6</v>
      </c>
      <c r="G16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57">
        <f>RANK(tbl_AQI[[#This Row],[Current AQI]], tbl_AQI[Current AQI], 0)</f>
        <v>1145</v>
      </c>
    </row>
    <row r="1658" spans="1:8" x14ac:dyDescent="0.35">
      <c r="A1658" t="s">
        <v>1530</v>
      </c>
      <c r="B1658" t="s">
        <v>1675</v>
      </c>
      <c r="C1658">
        <v>494</v>
      </c>
      <c r="D1658">
        <v>458</v>
      </c>
      <c r="E1658" t="s">
        <v>7</v>
      </c>
      <c r="F1658">
        <f>tbl_AQI[[#This Row],[Most AQI Reached]]-tbl_AQI[[#This Row],[Current AQI]]</f>
        <v>36</v>
      </c>
      <c r="G16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58">
        <f>RANK(tbl_AQI[[#This Row],[Current AQI]], tbl_AQI[Current AQI], 0)</f>
        <v>115</v>
      </c>
    </row>
    <row r="1659" spans="1:8" x14ac:dyDescent="0.35">
      <c r="A1659" t="s">
        <v>1530</v>
      </c>
      <c r="B1659" t="s">
        <v>1676</v>
      </c>
      <c r="C1659">
        <v>470</v>
      </c>
      <c r="D1659">
        <v>452</v>
      </c>
      <c r="E1659" t="s">
        <v>21</v>
      </c>
      <c r="F1659">
        <f>tbl_AQI[[#This Row],[Most AQI Reached]]-tbl_AQI[[#This Row],[Current AQI]]</f>
        <v>18</v>
      </c>
      <c r="G16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59">
        <f>RANK(tbl_AQI[[#This Row],[Current AQI]], tbl_AQI[Current AQI], 0)</f>
        <v>150</v>
      </c>
    </row>
    <row r="1660" spans="1:8" x14ac:dyDescent="0.35">
      <c r="A1660" t="s">
        <v>1530</v>
      </c>
      <c r="B1660" t="s">
        <v>1677</v>
      </c>
      <c r="C1660">
        <v>461</v>
      </c>
      <c r="D1660">
        <v>418</v>
      </c>
      <c r="E1660" t="s">
        <v>21</v>
      </c>
      <c r="F1660">
        <f>tbl_AQI[[#This Row],[Most AQI Reached]]-tbl_AQI[[#This Row],[Current AQI]]</f>
        <v>43</v>
      </c>
      <c r="G16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60">
        <f>RANK(tbl_AQI[[#This Row],[Current AQI]], tbl_AQI[Current AQI], 0)</f>
        <v>312</v>
      </c>
    </row>
    <row r="1661" spans="1:8" x14ac:dyDescent="0.35">
      <c r="A1661" t="s">
        <v>1530</v>
      </c>
      <c r="B1661" t="s">
        <v>1678</v>
      </c>
      <c r="C1661">
        <v>235</v>
      </c>
      <c r="D1661">
        <v>206</v>
      </c>
      <c r="E1661" t="s">
        <v>15</v>
      </c>
      <c r="F1661">
        <f>tbl_AQI[[#This Row],[Most AQI Reached]]-tbl_AQI[[#This Row],[Current AQI]]</f>
        <v>29</v>
      </c>
      <c r="G16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61">
        <f>RANK(tbl_AQI[[#This Row],[Current AQI]], tbl_AQI[Current AQI], 0)</f>
        <v>1294</v>
      </c>
    </row>
    <row r="1662" spans="1:8" x14ac:dyDescent="0.35">
      <c r="A1662" t="s">
        <v>1530</v>
      </c>
      <c r="B1662" t="s">
        <v>1679</v>
      </c>
      <c r="C1662">
        <v>386</v>
      </c>
      <c r="D1662">
        <v>240</v>
      </c>
      <c r="E1662" t="s">
        <v>11</v>
      </c>
      <c r="F1662">
        <f>tbl_AQI[[#This Row],[Most AQI Reached]]-tbl_AQI[[#This Row],[Current AQI]]</f>
        <v>146</v>
      </c>
      <c r="G16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62">
        <f>RANK(tbl_AQI[[#This Row],[Current AQI]], tbl_AQI[Current AQI], 0)</f>
        <v>1143</v>
      </c>
    </row>
    <row r="1663" spans="1:8" x14ac:dyDescent="0.35">
      <c r="A1663" t="s">
        <v>1530</v>
      </c>
      <c r="B1663" t="s">
        <v>1680</v>
      </c>
      <c r="C1663">
        <v>371</v>
      </c>
      <c r="D1663">
        <v>360</v>
      </c>
      <c r="E1663" t="s">
        <v>21</v>
      </c>
      <c r="F1663">
        <f>tbl_AQI[[#This Row],[Most AQI Reached]]-tbl_AQI[[#This Row],[Current AQI]]</f>
        <v>11</v>
      </c>
      <c r="G16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1663">
        <f>RANK(tbl_AQI[[#This Row],[Current AQI]], tbl_AQI[Current AQI], 0)</f>
        <v>574</v>
      </c>
    </row>
    <row r="1664" spans="1:8" x14ac:dyDescent="0.35">
      <c r="A1664" t="s">
        <v>1530</v>
      </c>
      <c r="B1664" t="s">
        <v>1681</v>
      </c>
      <c r="C1664">
        <v>498</v>
      </c>
      <c r="D1664">
        <v>465</v>
      </c>
      <c r="E1664" t="s">
        <v>7</v>
      </c>
      <c r="F1664">
        <f>tbl_AQI[[#This Row],[Most AQI Reached]]-tbl_AQI[[#This Row],[Current AQI]]</f>
        <v>33</v>
      </c>
      <c r="G16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64">
        <f>RANK(tbl_AQI[[#This Row],[Current AQI]], tbl_AQI[Current AQI], 0)</f>
        <v>78</v>
      </c>
    </row>
    <row r="1665" spans="1:8" x14ac:dyDescent="0.35">
      <c r="A1665" t="s">
        <v>1530</v>
      </c>
      <c r="B1665" t="s">
        <v>1682</v>
      </c>
      <c r="C1665">
        <v>318</v>
      </c>
      <c r="D1665">
        <v>224</v>
      </c>
      <c r="E1665" t="s">
        <v>21</v>
      </c>
      <c r="F1665">
        <f>tbl_AQI[[#This Row],[Most AQI Reached]]-tbl_AQI[[#This Row],[Current AQI]]</f>
        <v>94</v>
      </c>
      <c r="G16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1665">
        <f>RANK(tbl_AQI[[#This Row],[Current AQI]], tbl_AQI[Current AQI], 0)</f>
        <v>1211</v>
      </c>
    </row>
    <row r="1666" spans="1:8" x14ac:dyDescent="0.35">
      <c r="A1666" t="s">
        <v>1530</v>
      </c>
      <c r="B1666" t="s">
        <v>1683</v>
      </c>
      <c r="C1666">
        <v>486</v>
      </c>
      <c r="D1666">
        <v>473</v>
      </c>
      <c r="E1666" t="s">
        <v>21</v>
      </c>
      <c r="F1666">
        <f>tbl_AQI[[#This Row],[Most AQI Reached]]-tbl_AQI[[#This Row],[Current AQI]]</f>
        <v>13</v>
      </c>
      <c r="G16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1666">
        <f>RANK(tbl_AQI[[#This Row],[Current AQI]], tbl_AQI[Current AQI], 0)</f>
        <v>33</v>
      </c>
    </row>
    <row r="1667" spans="1:8" x14ac:dyDescent="0.35">
      <c r="A1667" t="s">
        <v>1530</v>
      </c>
      <c r="B1667" t="s">
        <v>1684</v>
      </c>
      <c r="C1667">
        <v>237</v>
      </c>
      <c r="D1667">
        <v>191</v>
      </c>
      <c r="E1667" t="s">
        <v>15</v>
      </c>
      <c r="F1667">
        <f>tbl_AQI[[#This Row],[Most AQI Reached]]-tbl_AQI[[#This Row],[Current AQI]]</f>
        <v>46</v>
      </c>
      <c r="G16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67">
        <f>RANK(tbl_AQI[[#This Row],[Current AQI]], tbl_AQI[Current AQI], 0)</f>
        <v>1351</v>
      </c>
    </row>
    <row r="1668" spans="1:8" x14ac:dyDescent="0.35">
      <c r="A1668" t="s">
        <v>1685</v>
      </c>
      <c r="B1668" t="s">
        <v>1686</v>
      </c>
      <c r="C1668">
        <v>174</v>
      </c>
      <c r="D1668">
        <v>145</v>
      </c>
      <c r="E1668" t="s">
        <v>11</v>
      </c>
      <c r="F1668">
        <f>tbl_AQI[[#This Row],[Most AQI Reached]]-tbl_AQI[[#This Row],[Current AQI]]</f>
        <v>29</v>
      </c>
      <c r="G16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68">
        <f>RANK(tbl_AQI[[#This Row],[Current AQI]], tbl_AQI[Current AQI], 0)</f>
        <v>2526</v>
      </c>
    </row>
    <row r="1669" spans="1:8" x14ac:dyDescent="0.35">
      <c r="A1669" t="s">
        <v>1685</v>
      </c>
      <c r="B1669" t="s">
        <v>1687</v>
      </c>
      <c r="C1669">
        <v>279</v>
      </c>
      <c r="D1669">
        <v>132</v>
      </c>
      <c r="E1669" t="s">
        <v>11</v>
      </c>
      <c r="F1669">
        <f>tbl_AQI[[#This Row],[Most AQI Reached]]-tbl_AQI[[#This Row],[Current AQI]]</f>
        <v>147</v>
      </c>
      <c r="G16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69">
        <f>RANK(tbl_AQI[[#This Row],[Current AQI]], tbl_AQI[Current AQI], 0)</f>
        <v>2792</v>
      </c>
    </row>
    <row r="1670" spans="1:8" x14ac:dyDescent="0.35">
      <c r="A1670" t="s">
        <v>1685</v>
      </c>
      <c r="B1670" t="s">
        <v>1688</v>
      </c>
      <c r="C1670">
        <v>108</v>
      </c>
      <c r="D1670">
        <v>84</v>
      </c>
      <c r="E1670" t="s">
        <v>21</v>
      </c>
      <c r="F1670">
        <f>tbl_AQI[[#This Row],[Most AQI Reached]]-tbl_AQI[[#This Row],[Current AQI]]</f>
        <v>24</v>
      </c>
      <c r="G16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670">
        <f>RANK(tbl_AQI[[#This Row],[Current AQI]], tbl_AQI[Current AQI], 0)</f>
        <v>3872</v>
      </c>
    </row>
    <row r="1671" spans="1:8" x14ac:dyDescent="0.35">
      <c r="A1671" t="s">
        <v>1685</v>
      </c>
      <c r="B1671" t="s">
        <v>1689</v>
      </c>
      <c r="C1671">
        <v>222</v>
      </c>
      <c r="D1671">
        <v>136</v>
      </c>
      <c r="E1671" t="s">
        <v>17</v>
      </c>
      <c r="F1671">
        <f>tbl_AQI[[#This Row],[Most AQI Reached]]-tbl_AQI[[#This Row],[Current AQI]]</f>
        <v>86</v>
      </c>
      <c r="G16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71">
        <f>RANK(tbl_AQI[[#This Row],[Current AQI]], tbl_AQI[Current AQI], 0)</f>
        <v>2692</v>
      </c>
    </row>
    <row r="1672" spans="1:8" x14ac:dyDescent="0.35">
      <c r="A1672" t="s">
        <v>1685</v>
      </c>
      <c r="B1672" t="s">
        <v>1690</v>
      </c>
      <c r="C1672">
        <v>252</v>
      </c>
      <c r="D1672">
        <v>87</v>
      </c>
      <c r="E1672" t="s">
        <v>17</v>
      </c>
      <c r="F1672">
        <f>tbl_AQI[[#This Row],[Most AQI Reached]]-tbl_AQI[[#This Row],[Current AQI]]</f>
        <v>165</v>
      </c>
      <c r="G16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672">
        <f>RANK(tbl_AQI[[#This Row],[Current AQI]], tbl_AQI[Current AQI], 0)</f>
        <v>3813</v>
      </c>
    </row>
    <row r="1673" spans="1:8" x14ac:dyDescent="0.35">
      <c r="A1673" t="s">
        <v>1685</v>
      </c>
      <c r="B1673" t="s">
        <v>1691</v>
      </c>
      <c r="C1673">
        <v>302</v>
      </c>
      <c r="D1673">
        <v>110</v>
      </c>
      <c r="E1673" t="s">
        <v>7</v>
      </c>
      <c r="F1673">
        <f>tbl_AQI[[#This Row],[Most AQI Reached]]-tbl_AQI[[#This Row],[Current AQI]]</f>
        <v>192</v>
      </c>
      <c r="G16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73">
        <f>RANK(tbl_AQI[[#This Row],[Current AQI]], tbl_AQI[Current AQI], 0)</f>
        <v>3302</v>
      </c>
    </row>
    <row r="1674" spans="1:8" x14ac:dyDescent="0.35">
      <c r="A1674" t="s">
        <v>1685</v>
      </c>
      <c r="B1674" t="s">
        <v>1692</v>
      </c>
      <c r="C1674">
        <v>215</v>
      </c>
      <c r="D1674">
        <v>131</v>
      </c>
      <c r="E1674" t="s">
        <v>7</v>
      </c>
      <c r="F1674">
        <f>tbl_AQI[[#This Row],[Most AQI Reached]]-tbl_AQI[[#This Row],[Current AQI]]</f>
        <v>84</v>
      </c>
      <c r="G16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74">
        <f>RANK(tbl_AQI[[#This Row],[Current AQI]], tbl_AQI[Current AQI], 0)</f>
        <v>2815</v>
      </c>
    </row>
    <row r="1675" spans="1:8" x14ac:dyDescent="0.35">
      <c r="A1675" t="s">
        <v>1685</v>
      </c>
      <c r="B1675" t="s">
        <v>1693</v>
      </c>
      <c r="C1675">
        <v>289</v>
      </c>
      <c r="D1675">
        <v>54</v>
      </c>
      <c r="E1675" t="s">
        <v>11</v>
      </c>
      <c r="F1675">
        <f>tbl_AQI[[#This Row],[Most AQI Reached]]-tbl_AQI[[#This Row],[Current AQI]]</f>
        <v>235</v>
      </c>
      <c r="G16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675">
        <f>RANK(tbl_AQI[[#This Row],[Current AQI]], tbl_AQI[Current AQI], 0)</f>
        <v>4523</v>
      </c>
    </row>
    <row r="1676" spans="1:8" x14ac:dyDescent="0.35">
      <c r="A1676" t="s">
        <v>1685</v>
      </c>
      <c r="B1676" t="s">
        <v>1694</v>
      </c>
      <c r="C1676">
        <v>138</v>
      </c>
      <c r="D1676">
        <v>122</v>
      </c>
      <c r="E1676" t="s">
        <v>9</v>
      </c>
      <c r="F1676">
        <f>tbl_AQI[[#This Row],[Most AQI Reached]]-tbl_AQI[[#This Row],[Current AQI]]</f>
        <v>16</v>
      </c>
      <c r="G16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76">
        <f>RANK(tbl_AQI[[#This Row],[Current AQI]], tbl_AQI[Current AQI], 0)</f>
        <v>3013</v>
      </c>
    </row>
    <row r="1677" spans="1:8" x14ac:dyDescent="0.35">
      <c r="A1677" t="s">
        <v>1685</v>
      </c>
      <c r="B1677" t="s">
        <v>1695</v>
      </c>
      <c r="C1677">
        <v>166</v>
      </c>
      <c r="D1677">
        <v>74</v>
      </c>
      <c r="E1677" t="s">
        <v>9</v>
      </c>
      <c r="F1677">
        <f>tbl_AQI[[#This Row],[Most AQI Reached]]-tbl_AQI[[#This Row],[Current AQI]]</f>
        <v>92</v>
      </c>
      <c r="G16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677">
        <f>RANK(tbl_AQI[[#This Row],[Current AQI]], tbl_AQI[Current AQI], 0)</f>
        <v>4064</v>
      </c>
    </row>
    <row r="1678" spans="1:8" x14ac:dyDescent="0.35">
      <c r="A1678" t="s">
        <v>1685</v>
      </c>
      <c r="B1678" t="s">
        <v>1696</v>
      </c>
      <c r="C1678">
        <v>288</v>
      </c>
      <c r="D1678">
        <v>121</v>
      </c>
      <c r="E1678" t="s">
        <v>7</v>
      </c>
      <c r="F1678">
        <f>tbl_AQI[[#This Row],[Most AQI Reached]]-tbl_AQI[[#This Row],[Current AQI]]</f>
        <v>167</v>
      </c>
      <c r="G16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78">
        <f>RANK(tbl_AQI[[#This Row],[Current AQI]], tbl_AQI[Current AQI], 0)</f>
        <v>3037</v>
      </c>
    </row>
    <row r="1679" spans="1:8" x14ac:dyDescent="0.35">
      <c r="A1679" t="s">
        <v>1685</v>
      </c>
      <c r="B1679" t="s">
        <v>1697</v>
      </c>
      <c r="C1679">
        <v>289</v>
      </c>
      <c r="D1679">
        <v>166</v>
      </c>
      <c r="E1679" t="s">
        <v>15</v>
      </c>
      <c r="F1679">
        <f>tbl_AQI[[#This Row],[Most AQI Reached]]-tbl_AQI[[#This Row],[Current AQI]]</f>
        <v>123</v>
      </c>
      <c r="G16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79">
        <f>RANK(tbl_AQI[[#This Row],[Current AQI]], tbl_AQI[Current AQI], 0)</f>
        <v>2007</v>
      </c>
    </row>
    <row r="1680" spans="1:8" x14ac:dyDescent="0.35">
      <c r="A1680" t="s">
        <v>1685</v>
      </c>
      <c r="B1680" t="s">
        <v>1698</v>
      </c>
      <c r="C1680">
        <v>184</v>
      </c>
      <c r="D1680">
        <v>170</v>
      </c>
      <c r="E1680" t="s">
        <v>15</v>
      </c>
      <c r="F1680">
        <f>tbl_AQI[[#This Row],[Most AQI Reached]]-tbl_AQI[[#This Row],[Current AQI]]</f>
        <v>14</v>
      </c>
      <c r="G16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0">
        <f>RANK(tbl_AQI[[#This Row],[Current AQI]], tbl_AQI[Current AQI], 0)</f>
        <v>1898</v>
      </c>
    </row>
    <row r="1681" spans="1:8" x14ac:dyDescent="0.35">
      <c r="A1681" t="s">
        <v>1685</v>
      </c>
      <c r="B1681" t="s">
        <v>1699</v>
      </c>
      <c r="C1681">
        <v>176</v>
      </c>
      <c r="D1681">
        <v>152</v>
      </c>
      <c r="E1681" t="s">
        <v>11</v>
      </c>
      <c r="F1681">
        <f>tbl_AQI[[#This Row],[Most AQI Reached]]-tbl_AQI[[#This Row],[Current AQI]]</f>
        <v>24</v>
      </c>
      <c r="G16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1">
        <f>RANK(tbl_AQI[[#This Row],[Current AQI]], tbl_AQI[Current AQI], 0)</f>
        <v>2349</v>
      </c>
    </row>
    <row r="1682" spans="1:8" x14ac:dyDescent="0.35">
      <c r="A1682" t="s">
        <v>1685</v>
      </c>
      <c r="B1682" t="s">
        <v>1700</v>
      </c>
      <c r="C1682">
        <v>191</v>
      </c>
      <c r="D1682">
        <v>168</v>
      </c>
      <c r="E1682" t="s">
        <v>9</v>
      </c>
      <c r="F1682">
        <f>tbl_AQI[[#This Row],[Most AQI Reached]]-tbl_AQI[[#This Row],[Current AQI]]</f>
        <v>23</v>
      </c>
      <c r="G16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2">
        <f>RANK(tbl_AQI[[#This Row],[Current AQI]], tbl_AQI[Current AQI], 0)</f>
        <v>1954</v>
      </c>
    </row>
    <row r="1683" spans="1:8" x14ac:dyDescent="0.35">
      <c r="A1683" t="s">
        <v>1685</v>
      </c>
      <c r="B1683" t="s">
        <v>1701</v>
      </c>
      <c r="C1683">
        <v>142</v>
      </c>
      <c r="D1683">
        <v>120</v>
      </c>
      <c r="E1683" t="s">
        <v>15</v>
      </c>
      <c r="F1683">
        <f>tbl_AQI[[#This Row],[Most AQI Reached]]-tbl_AQI[[#This Row],[Current AQI]]</f>
        <v>22</v>
      </c>
      <c r="G16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3">
        <f>RANK(tbl_AQI[[#This Row],[Current AQI]], tbl_AQI[Current AQI], 0)</f>
        <v>3066</v>
      </c>
    </row>
    <row r="1684" spans="1:8" x14ac:dyDescent="0.35">
      <c r="A1684" t="s">
        <v>1685</v>
      </c>
      <c r="B1684" t="s">
        <v>1702</v>
      </c>
      <c r="C1684">
        <v>214</v>
      </c>
      <c r="D1684">
        <v>60</v>
      </c>
      <c r="E1684" t="s">
        <v>11</v>
      </c>
      <c r="F1684">
        <f>tbl_AQI[[#This Row],[Most AQI Reached]]-tbl_AQI[[#This Row],[Current AQI]]</f>
        <v>154</v>
      </c>
      <c r="G16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684">
        <f>RANK(tbl_AQI[[#This Row],[Current AQI]], tbl_AQI[Current AQI], 0)</f>
        <v>4390</v>
      </c>
    </row>
    <row r="1685" spans="1:8" x14ac:dyDescent="0.35">
      <c r="A1685" t="s">
        <v>1685</v>
      </c>
      <c r="B1685" t="s">
        <v>1703</v>
      </c>
      <c r="C1685">
        <v>266</v>
      </c>
      <c r="D1685">
        <v>145</v>
      </c>
      <c r="E1685" t="s">
        <v>17</v>
      </c>
      <c r="F1685">
        <f>tbl_AQI[[#This Row],[Most AQI Reached]]-tbl_AQI[[#This Row],[Current AQI]]</f>
        <v>121</v>
      </c>
      <c r="G16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5">
        <f>RANK(tbl_AQI[[#This Row],[Current AQI]], tbl_AQI[Current AQI], 0)</f>
        <v>2526</v>
      </c>
    </row>
    <row r="1686" spans="1:8" x14ac:dyDescent="0.35">
      <c r="A1686" t="s">
        <v>1685</v>
      </c>
      <c r="B1686" t="s">
        <v>1704</v>
      </c>
      <c r="C1686">
        <v>82</v>
      </c>
      <c r="D1686">
        <v>49</v>
      </c>
      <c r="E1686" t="s">
        <v>21</v>
      </c>
      <c r="F1686">
        <f>tbl_AQI[[#This Row],[Most AQI Reached]]-tbl_AQI[[#This Row],[Current AQI]]</f>
        <v>33</v>
      </c>
      <c r="G16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686">
        <f>RANK(tbl_AQI[[#This Row],[Current AQI]], tbl_AQI[Current AQI], 0)</f>
        <v>4614</v>
      </c>
    </row>
    <row r="1687" spans="1:8" x14ac:dyDescent="0.35">
      <c r="A1687" t="s">
        <v>1685</v>
      </c>
      <c r="B1687" t="s">
        <v>1705</v>
      </c>
      <c r="C1687">
        <v>257</v>
      </c>
      <c r="D1687">
        <v>132</v>
      </c>
      <c r="E1687" t="s">
        <v>17</v>
      </c>
      <c r="F1687">
        <f>tbl_AQI[[#This Row],[Most AQI Reached]]-tbl_AQI[[#This Row],[Current AQI]]</f>
        <v>125</v>
      </c>
      <c r="G16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7">
        <f>RANK(tbl_AQI[[#This Row],[Current AQI]], tbl_AQI[Current AQI], 0)</f>
        <v>2792</v>
      </c>
    </row>
    <row r="1688" spans="1:8" x14ac:dyDescent="0.35">
      <c r="A1688" t="s">
        <v>1685</v>
      </c>
      <c r="B1688" t="s">
        <v>1706</v>
      </c>
      <c r="C1688">
        <v>143</v>
      </c>
      <c r="D1688">
        <v>62</v>
      </c>
      <c r="E1688" t="s">
        <v>17</v>
      </c>
      <c r="F1688">
        <f>tbl_AQI[[#This Row],[Most AQI Reached]]-tbl_AQI[[#This Row],[Current AQI]]</f>
        <v>81</v>
      </c>
      <c r="G16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688">
        <f>RANK(tbl_AQI[[#This Row],[Current AQI]], tbl_AQI[Current AQI], 0)</f>
        <v>4343</v>
      </c>
    </row>
    <row r="1689" spans="1:8" x14ac:dyDescent="0.35">
      <c r="A1689" t="s">
        <v>1685</v>
      </c>
      <c r="B1689" t="s">
        <v>1707</v>
      </c>
      <c r="C1689">
        <v>287</v>
      </c>
      <c r="D1689">
        <v>110</v>
      </c>
      <c r="E1689" t="s">
        <v>15</v>
      </c>
      <c r="F1689">
        <f>tbl_AQI[[#This Row],[Most AQI Reached]]-tbl_AQI[[#This Row],[Current AQI]]</f>
        <v>177</v>
      </c>
      <c r="G16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89">
        <f>RANK(tbl_AQI[[#This Row],[Current AQI]], tbl_AQI[Current AQI], 0)</f>
        <v>3302</v>
      </c>
    </row>
    <row r="1690" spans="1:8" x14ac:dyDescent="0.35">
      <c r="A1690" t="s">
        <v>1685</v>
      </c>
      <c r="B1690" t="s">
        <v>1708</v>
      </c>
      <c r="C1690">
        <v>215</v>
      </c>
      <c r="D1690">
        <v>133</v>
      </c>
      <c r="E1690" t="s">
        <v>15</v>
      </c>
      <c r="F1690">
        <f>tbl_AQI[[#This Row],[Most AQI Reached]]-tbl_AQI[[#This Row],[Current AQI]]</f>
        <v>82</v>
      </c>
      <c r="G16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90">
        <f>RANK(tbl_AQI[[#This Row],[Current AQI]], tbl_AQI[Current AQI], 0)</f>
        <v>2758</v>
      </c>
    </row>
    <row r="1691" spans="1:8" x14ac:dyDescent="0.35">
      <c r="A1691" t="s">
        <v>1685</v>
      </c>
      <c r="B1691" t="s">
        <v>1709</v>
      </c>
      <c r="C1691">
        <v>159</v>
      </c>
      <c r="D1691">
        <v>142</v>
      </c>
      <c r="E1691" t="s">
        <v>17</v>
      </c>
      <c r="F1691">
        <f>tbl_AQI[[#This Row],[Most AQI Reached]]-tbl_AQI[[#This Row],[Current AQI]]</f>
        <v>17</v>
      </c>
      <c r="G16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91">
        <f>RANK(tbl_AQI[[#This Row],[Current AQI]], tbl_AQI[Current AQI], 0)</f>
        <v>2585</v>
      </c>
    </row>
    <row r="1692" spans="1:8" x14ac:dyDescent="0.35">
      <c r="A1692" t="s">
        <v>1685</v>
      </c>
      <c r="B1692" t="s">
        <v>1710</v>
      </c>
      <c r="C1692">
        <v>275</v>
      </c>
      <c r="D1692">
        <v>42</v>
      </c>
      <c r="E1692" t="s">
        <v>33</v>
      </c>
      <c r="F1692">
        <f>tbl_AQI[[#This Row],[Most AQI Reached]]-tbl_AQI[[#This Row],[Current AQI]]</f>
        <v>233</v>
      </c>
      <c r="G16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692">
        <f>RANK(tbl_AQI[[#This Row],[Current AQI]], tbl_AQI[Current AQI], 0)</f>
        <v>4776</v>
      </c>
    </row>
    <row r="1693" spans="1:8" x14ac:dyDescent="0.35">
      <c r="A1693" t="s">
        <v>1685</v>
      </c>
      <c r="B1693" t="s">
        <v>1711</v>
      </c>
      <c r="C1693">
        <v>236</v>
      </c>
      <c r="D1693">
        <v>162</v>
      </c>
      <c r="E1693" t="s">
        <v>17</v>
      </c>
      <c r="F1693">
        <f>tbl_AQI[[#This Row],[Most AQI Reached]]-tbl_AQI[[#This Row],[Current AQI]]</f>
        <v>74</v>
      </c>
      <c r="G16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93">
        <f>RANK(tbl_AQI[[#This Row],[Current AQI]], tbl_AQI[Current AQI], 0)</f>
        <v>2106</v>
      </c>
    </row>
    <row r="1694" spans="1:8" x14ac:dyDescent="0.35">
      <c r="A1694" t="s">
        <v>1685</v>
      </c>
      <c r="B1694" t="s">
        <v>1712</v>
      </c>
      <c r="C1694">
        <v>127</v>
      </c>
      <c r="D1694">
        <v>34</v>
      </c>
      <c r="E1694" t="s">
        <v>7</v>
      </c>
      <c r="F1694">
        <f>tbl_AQI[[#This Row],[Most AQI Reached]]-tbl_AQI[[#This Row],[Current AQI]]</f>
        <v>93</v>
      </c>
      <c r="G16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694">
        <f>RANK(tbl_AQI[[#This Row],[Current AQI]], tbl_AQI[Current AQI], 0)</f>
        <v>4944</v>
      </c>
    </row>
    <row r="1695" spans="1:8" x14ac:dyDescent="0.35">
      <c r="A1695" t="s">
        <v>1685</v>
      </c>
      <c r="B1695" t="s">
        <v>1713</v>
      </c>
      <c r="C1695">
        <v>193</v>
      </c>
      <c r="D1695">
        <v>133</v>
      </c>
      <c r="E1695" t="s">
        <v>11</v>
      </c>
      <c r="F1695">
        <f>tbl_AQI[[#This Row],[Most AQI Reached]]-tbl_AQI[[#This Row],[Current AQI]]</f>
        <v>60</v>
      </c>
      <c r="G16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95">
        <f>RANK(tbl_AQI[[#This Row],[Current AQI]], tbl_AQI[Current AQI], 0)</f>
        <v>2758</v>
      </c>
    </row>
    <row r="1696" spans="1:8" x14ac:dyDescent="0.35">
      <c r="A1696" t="s">
        <v>1685</v>
      </c>
      <c r="B1696" t="s">
        <v>1714</v>
      </c>
      <c r="C1696">
        <v>188</v>
      </c>
      <c r="D1696">
        <v>103</v>
      </c>
      <c r="E1696" t="s">
        <v>15</v>
      </c>
      <c r="F1696">
        <f>tbl_AQI[[#This Row],[Most AQI Reached]]-tbl_AQI[[#This Row],[Current AQI]]</f>
        <v>85</v>
      </c>
      <c r="G16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96">
        <f>RANK(tbl_AQI[[#This Row],[Current AQI]], tbl_AQI[Current AQI], 0)</f>
        <v>3474</v>
      </c>
    </row>
    <row r="1697" spans="1:8" x14ac:dyDescent="0.35">
      <c r="A1697" t="s">
        <v>1685</v>
      </c>
      <c r="B1697" t="s">
        <v>1715</v>
      </c>
      <c r="C1697">
        <v>240</v>
      </c>
      <c r="D1697">
        <v>190</v>
      </c>
      <c r="E1697" t="s">
        <v>9</v>
      </c>
      <c r="F1697">
        <f>tbl_AQI[[#This Row],[Most AQI Reached]]-tbl_AQI[[#This Row],[Current AQI]]</f>
        <v>50</v>
      </c>
      <c r="G16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97">
        <f>RANK(tbl_AQI[[#This Row],[Current AQI]], tbl_AQI[Current AQI], 0)</f>
        <v>1355</v>
      </c>
    </row>
    <row r="1698" spans="1:8" x14ac:dyDescent="0.35">
      <c r="A1698" t="s">
        <v>1685</v>
      </c>
      <c r="B1698" t="s">
        <v>1716</v>
      </c>
      <c r="C1698">
        <v>151</v>
      </c>
      <c r="D1698">
        <v>43</v>
      </c>
      <c r="E1698" t="s">
        <v>17</v>
      </c>
      <c r="F1698">
        <f>tbl_AQI[[#This Row],[Most AQI Reached]]-tbl_AQI[[#This Row],[Current AQI]]</f>
        <v>108</v>
      </c>
      <c r="G16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698">
        <f>RANK(tbl_AQI[[#This Row],[Current AQI]], tbl_AQI[Current AQI], 0)</f>
        <v>4752</v>
      </c>
    </row>
    <row r="1699" spans="1:8" x14ac:dyDescent="0.35">
      <c r="A1699" t="s">
        <v>1685</v>
      </c>
      <c r="B1699" t="s">
        <v>1717</v>
      </c>
      <c r="C1699">
        <v>320</v>
      </c>
      <c r="D1699">
        <v>148</v>
      </c>
      <c r="E1699" t="s">
        <v>33</v>
      </c>
      <c r="F1699">
        <f>tbl_AQI[[#This Row],[Most AQI Reached]]-tbl_AQI[[#This Row],[Current AQI]]</f>
        <v>172</v>
      </c>
      <c r="G16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699">
        <f>RANK(tbl_AQI[[#This Row],[Current AQI]], tbl_AQI[Current AQI], 0)</f>
        <v>2446</v>
      </c>
    </row>
    <row r="1700" spans="1:8" x14ac:dyDescent="0.35">
      <c r="A1700" t="s">
        <v>1685</v>
      </c>
      <c r="B1700" t="s">
        <v>1718</v>
      </c>
      <c r="C1700">
        <v>182</v>
      </c>
      <c r="D1700">
        <v>129</v>
      </c>
      <c r="E1700" t="s">
        <v>9</v>
      </c>
      <c r="F1700">
        <f>tbl_AQI[[#This Row],[Most AQI Reached]]-tbl_AQI[[#This Row],[Current AQI]]</f>
        <v>53</v>
      </c>
      <c r="G17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0">
        <f>RANK(tbl_AQI[[#This Row],[Current AQI]], tbl_AQI[Current AQI], 0)</f>
        <v>2852</v>
      </c>
    </row>
    <row r="1701" spans="1:8" x14ac:dyDescent="0.35">
      <c r="A1701" t="s">
        <v>1685</v>
      </c>
      <c r="B1701" t="s">
        <v>1719</v>
      </c>
      <c r="C1701">
        <v>154</v>
      </c>
      <c r="D1701">
        <v>132</v>
      </c>
      <c r="E1701" t="s">
        <v>7</v>
      </c>
      <c r="F1701">
        <f>tbl_AQI[[#This Row],[Most AQI Reached]]-tbl_AQI[[#This Row],[Current AQI]]</f>
        <v>22</v>
      </c>
      <c r="G17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1">
        <f>RANK(tbl_AQI[[#This Row],[Current AQI]], tbl_AQI[Current AQI], 0)</f>
        <v>2792</v>
      </c>
    </row>
    <row r="1702" spans="1:8" x14ac:dyDescent="0.35">
      <c r="A1702" t="s">
        <v>1685</v>
      </c>
      <c r="B1702" t="s">
        <v>1720</v>
      </c>
      <c r="C1702">
        <v>227</v>
      </c>
      <c r="D1702">
        <v>169</v>
      </c>
      <c r="E1702" t="s">
        <v>33</v>
      </c>
      <c r="F1702">
        <f>tbl_AQI[[#This Row],[Most AQI Reached]]-tbl_AQI[[#This Row],[Current AQI]]</f>
        <v>58</v>
      </c>
      <c r="G17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2">
        <f>RANK(tbl_AQI[[#This Row],[Current AQI]], tbl_AQI[Current AQI], 0)</f>
        <v>1925</v>
      </c>
    </row>
    <row r="1703" spans="1:8" x14ac:dyDescent="0.35">
      <c r="A1703" t="s">
        <v>1685</v>
      </c>
      <c r="B1703" t="s">
        <v>1721</v>
      </c>
      <c r="C1703">
        <v>127</v>
      </c>
      <c r="D1703">
        <v>119</v>
      </c>
      <c r="E1703" t="s">
        <v>7</v>
      </c>
      <c r="F1703">
        <f>tbl_AQI[[#This Row],[Most AQI Reached]]-tbl_AQI[[#This Row],[Current AQI]]</f>
        <v>8</v>
      </c>
      <c r="G17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3">
        <f>RANK(tbl_AQI[[#This Row],[Current AQI]], tbl_AQI[Current AQI], 0)</f>
        <v>3093</v>
      </c>
    </row>
    <row r="1704" spans="1:8" x14ac:dyDescent="0.35">
      <c r="A1704" t="s">
        <v>1685</v>
      </c>
      <c r="B1704" t="s">
        <v>1722</v>
      </c>
      <c r="C1704">
        <v>265</v>
      </c>
      <c r="D1704">
        <v>176</v>
      </c>
      <c r="E1704" t="s">
        <v>15</v>
      </c>
      <c r="F1704">
        <f>tbl_AQI[[#This Row],[Most AQI Reached]]-tbl_AQI[[#This Row],[Current AQI]]</f>
        <v>89</v>
      </c>
      <c r="G17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4">
        <f>RANK(tbl_AQI[[#This Row],[Current AQI]], tbl_AQI[Current AQI], 0)</f>
        <v>1754</v>
      </c>
    </row>
    <row r="1705" spans="1:8" x14ac:dyDescent="0.35">
      <c r="A1705" t="s">
        <v>1685</v>
      </c>
      <c r="B1705" t="s">
        <v>1723</v>
      </c>
      <c r="C1705">
        <v>102</v>
      </c>
      <c r="D1705">
        <v>71</v>
      </c>
      <c r="E1705" t="s">
        <v>17</v>
      </c>
      <c r="F1705">
        <f>tbl_AQI[[#This Row],[Most AQI Reached]]-tbl_AQI[[#This Row],[Current AQI]]</f>
        <v>31</v>
      </c>
      <c r="G17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05">
        <f>RANK(tbl_AQI[[#This Row],[Current AQI]], tbl_AQI[Current AQI], 0)</f>
        <v>4129</v>
      </c>
    </row>
    <row r="1706" spans="1:8" x14ac:dyDescent="0.35">
      <c r="A1706" t="s">
        <v>1685</v>
      </c>
      <c r="B1706" t="s">
        <v>1724</v>
      </c>
      <c r="C1706">
        <v>174</v>
      </c>
      <c r="D1706">
        <v>140</v>
      </c>
      <c r="E1706" t="s">
        <v>9</v>
      </c>
      <c r="F1706">
        <f>tbl_AQI[[#This Row],[Most AQI Reached]]-tbl_AQI[[#This Row],[Current AQI]]</f>
        <v>34</v>
      </c>
      <c r="G17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6">
        <f>RANK(tbl_AQI[[#This Row],[Current AQI]], tbl_AQI[Current AQI], 0)</f>
        <v>2627</v>
      </c>
    </row>
    <row r="1707" spans="1:8" x14ac:dyDescent="0.35">
      <c r="A1707" t="s">
        <v>1685</v>
      </c>
      <c r="B1707" t="s">
        <v>1725</v>
      </c>
      <c r="C1707">
        <v>250</v>
      </c>
      <c r="D1707">
        <v>123</v>
      </c>
      <c r="E1707" t="s">
        <v>15</v>
      </c>
      <c r="F1707">
        <f>tbl_AQI[[#This Row],[Most AQI Reached]]-tbl_AQI[[#This Row],[Current AQI]]</f>
        <v>127</v>
      </c>
      <c r="G17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7">
        <f>RANK(tbl_AQI[[#This Row],[Current AQI]], tbl_AQI[Current AQI], 0)</f>
        <v>2983</v>
      </c>
    </row>
    <row r="1708" spans="1:8" x14ac:dyDescent="0.35">
      <c r="A1708" t="s">
        <v>1685</v>
      </c>
      <c r="B1708" t="s">
        <v>1726</v>
      </c>
      <c r="C1708">
        <v>116</v>
      </c>
      <c r="D1708">
        <v>55</v>
      </c>
      <c r="E1708" t="s">
        <v>33</v>
      </c>
      <c r="F1708">
        <f>tbl_AQI[[#This Row],[Most AQI Reached]]-tbl_AQI[[#This Row],[Current AQI]]</f>
        <v>61</v>
      </c>
      <c r="G17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08">
        <f>RANK(tbl_AQI[[#This Row],[Current AQI]], tbl_AQI[Current AQI], 0)</f>
        <v>4497</v>
      </c>
    </row>
    <row r="1709" spans="1:8" x14ac:dyDescent="0.35">
      <c r="A1709" t="s">
        <v>1685</v>
      </c>
      <c r="B1709" t="s">
        <v>1727</v>
      </c>
      <c r="C1709">
        <v>205</v>
      </c>
      <c r="D1709">
        <v>178</v>
      </c>
      <c r="E1709" t="s">
        <v>11</v>
      </c>
      <c r="F1709">
        <f>tbl_AQI[[#This Row],[Most AQI Reached]]-tbl_AQI[[#This Row],[Current AQI]]</f>
        <v>27</v>
      </c>
      <c r="G17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09">
        <f>RANK(tbl_AQI[[#This Row],[Current AQI]], tbl_AQI[Current AQI], 0)</f>
        <v>1702</v>
      </c>
    </row>
    <row r="1710" spans="1:8" x14ac:dyDescent="0.35">
      <c r="A1710" t="s">
        <v>1685</v>
      </c>
      <c r="B1710" t="s">
        <v>1728</v>
      </c>
      <c r="C1710">
        <v>309</v>
      </c>
      <c r="D1710">
        <v>154</v>
      </c>
      <c r="E1710" t="s">
        <v>21</v>
      </c>
      <c r="F1710">
        <f>tbl_AQI[[#This Row],[Most AQI Reached]]-tbl_AQI[[#This Row],[Current AQI]]</f>
        <v>155</v>
      </c>
      <c r="G17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10">
        <f>RANK(tbl_AQI[[#This Row],[Current AQI]], tbl_AQI[Current AQI], 0)</f>
        <v>2307</v>
      </c>
    </row>
    <row r="1711" spans="1:8" x14ac:dyDescent="0.35">
      <c r="A1711" t="s">
        <v>1685</v>
      </c>
      <c r="B1711" t="s">
        <v>1729</v>
      </c>
      <c r="C1711">
        <v>304</v>
      </c>
      <c r="D1711">
        <v>94</v>
      </c>
      <c r="E1711" t="s">
        <v>17</v>
      </c>
      <c r="F1711">
        <f>tbl_AQI[[#This Row],[Most AQI Reached]]-tbl_AQI[[#This Row],[Current AQI]]</f>
        <v>210</v>
      </c>
      <c r="G17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11">
        <f>RANK(tbl_AQI[[#This Row],[Current AQI]], tbl_AQI[Current AQI], 0)</f>
        <v>3654</v>
      </c>
    </row>
    <row r="1712" spans="1:8" x14ac:dyDescent="0.35">
      <c r="A1712" t="s">
        <v>1685</v>
      </c>
      <c r="B1712" t="s">
        <v>1730</v>
      </c>
      <c r="C1712">
        <v>306</v>
      </c>
      <c r="D1712">
        <v>67</v>
      </c>
      <c r="E1712" t="s">
        <v>17</v>
      </c>
      <c r="F1712">
        <f>tbl_AQI[[#This Row],[Most AQI Reached]]-tbl_AQI[[#This Row],[Current AQI]]</f>
        <v>239</v>
      </c>
      <c r="G17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12">
        <f>RANK(tbl_AQI[[#This Row],[Current AQI]], tbl_AQI[Current AQI], 0)</f>
        <v>4225</v>
      </c>
    </row>
    <row r="1713" spans="1:8" x14ac:dyDescent="0.35">
      <c r="A1713" t="s">
        <v>1685</v>
      </c>
      <c r="B1713" t="s">
        <v>1731</v>
      </c>
      <c r="C1713">
        <v>113</v>
      </c>
      <c r="D1713">
        <v>77</v>
      </c>
      <c r="E1713" t="s">
        <v>17</v>
      </c>
      <c r="F1713">
        <f>tbl_AQI[[#This Row],[Most AQI Reached]]-tbl_AQI[[#This Row],[Current AQI]]</f>
        <v>36</v>
      </c>
      <c r="G17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13">
        <f>RANK(tbl_AQI[[#This Row],[Current AQI]], tbl_AQI[Current AQI], 0)</f>
        <v>4006</v>
      </c>
    </row>
    <row r="1714" spans="1:8" x14ac:dyDescent="0.35">
      <c r="A1714" t="s">
        <v>1685</v>
      </c>
      <c r="B1714" t="s">
        <v>1732</v>
      </c>
      <c r="C1714">
        <v>146</v>
      </c>
      <c r="D1714">
        <v>40</v>
      </c>
      <c r="E1714" t="s">
        <v>17</v>
      </c>
      <c r="F1714">
        <f>tbl_AQI[[#This Row],[Most AQI Reached]]-tbl_AQI[[#This Row],[Current AQI]]</f>
        <v>106</v>
      </c>
      <c r="G17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14">
        <f>RANK(tbl_AQI[[#This Row],[Current AQI]], tbl_AQI[Current AQI], 0)</f>
        <v>4808</v>
      </c>
    </row>
    <row r="1715" spans="1:8" x14ac:dyDescent="0.35">
      <c r="A1715" t="s">
        <v>1685</v>
      </c>
      <c r="B1715" t="s">
        <v>1733</v>
      </c>
      <c r="C1715">
        <v>172</v>
      </c>
      <c r="D1715">
        <v>133</v>
      </c>
      <c r="E1715" t="s">
        <v>33</v>
      </c>
      <c r="F1715">
        <f>tbl_AQI[[#This Row],[Most AQI Reached]]-tbl_AQI[[#This Row],[Current AQI]]</f>
        <v>39</v>
      </c>
      <c r="G17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15">
        <f>RANK(tbl_AQI[[#This Row],[Current AQI]], tbl_AQI[Current AQI], 0)</f>
        <v>2758</v>
      </c>
    </row>
    <row r="1716" spans="1:8" x14ac:dyDescent="0.35">
      <c r="A1716" t="s">
        <v>1685</v>
      </c>
      <c r="B1716" t="s">
        <v>1734</v>
      </c>
      <c r="C1716">
        <v>257</v>
      </c>
      <c r="D1716">
        <v>87</v>
      </c>
      <c r="E1716" t="s">
        <v>15</v>
      </c>
      <c r="F1716">
        <f>tbl_AQI[[#This Row],[Most AQI Reached]]-tbl_AQI[[#This Row],[Current AQI]]</f>
        <v>170</v>
      </c>
      <c r="G17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16">
        <f>RANK(tbl_AQI[[#This Row],[Current AQI]], tbl_AQI[Current AQI], 0)</f>
        <v>3813</v>
      </c>
    </row>
    <row r="1717" spans="1:8" x14ac:dyDescent="0.35">
      <c r="A1717" t="s">
        <v>1685</v>
      </c>
      <c r="B1717" t="s">
        <v>1735</v>
      </c>
      <c r="C1717">
        <v>270</v>
      </c>
      <c r="D1717">
        <v>179</v>
      </c>
      <c r="E1717" t="s">
        <v>33</v>
      </c>
      <c r="F1717">
        <f>tbl_AQI[[#This Row],[Most AQI Reached]]-tbl_AQI[[#This Row],[Current AQI]]</f>
        <v>91</v>
      </c>
      <c r="G17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17">
        <f>RANK(tbl_AQI[[#This Row],[Current AQI]], tbl_AQI[Current AQI], 0)</f>
        <v>1667</v>
      </c>
    </row>
    <row r="1718" spans="1:8" x14ac:dyDescent="0.35">
      <c r="A1718" t="s">
        <v>1685</v>
      </c>
      <c r="B1718" t="s">
        <v>1736</v>
      </c>
      <c r="C1718">
        <v>185</v>
      </c>
      <c r="D1718">
        <v>163</v>
      </c>
      <c r="E1718" t="s">
        <v>7</v>
      </c>
      <c r="F1718">
        <f>tbl_AQI[[#This Row],[Most AQI Reached]]-tbl_AQI[[#This Row],[Current AQI]]</f>
        <v>22</v>
      </c>
      <c r="G17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18">
        <f>RANK(tbl_AQI[[#This Row],[Current AQI]], tbl_AQI[Current AQI], 0)</f>
        <v>2075</v>
      </c>
    </row>
    <row r="1719" spans="1:8" x14ac:dyDescent="0.35">
      <c r="A1719" t="s">
        <v>1685</v>
      </c>
      <c r="B1719" t="s">
        <v>1737</v>
      </c>
      <c r="C1719">
        <v>301</v>
      </c>
      <c r="D1719">
        <v>186</v>
      </c>
      <c r="E1719" t="s">
        <v>33</v>
      </c>
      <c r="F1719">
        <f>tbl_AQI[[#This Row],[Most AQI Reached]]-tbl_AQI[[#This Row],[Current AQI]]</f>
        <v>115</v>
      </c>
      <c r="G17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19">
        <f>RANK(tbl_AQI[[#This Row],[Current AQI]], tbl_AQI[Current AQI], 0)</f>
        <v>1478</v>
      </c>
    </row>
    <row r="1720" spans="1:8" x14ac:dyDescent="0.35">
      <c r="A1720" t="s">
        <v>1685</v>
      </c>
      <c r="B1720" t="s">
        <v>1738</v>
      </c>
      <c r="C1720">
        <v>165</v>
      </c>
      <c r="D1720">
        <v>126</v>
      </c>
      <c r="E1720" t="s">
        <v>11</v>
      </c>
      <c r="F1720">
        <f>tbl_AQI[[#This Row],[Most AQI Reached]]-tbl_AQI[[#This Row],[Current AQI]]</f>
        <v>39</v>
      </c>
      <c r="G17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20">
        <f>RANK(tbl_AQI[[#This Row],[Current AQI]], tbl_AQI[Current AQI], 0)</f>
        <v>2934</v>
      </c>
    </row>
    <row r="1721" spans="1:8" x14ac:dyDescent="0.35">
      <c r="A1721" t="s">
        <v>1685</v>
      </c>
      <c r="B1721" t="s">
        <v>1739</v>
      </c>
      <c r="C1721">
        <v>266</v>
      </c>
      <c r="D1721">
        <v>120</v>
      </c>
      <c r="E1721" t="s">
        <v>15</v>
      </c>
      <c r="F1721">
        <f>tbl_AQI[[#This Row],[Most AQI Reached]]-tbl_AQI[[#This Row],[Current AQI]]</f>
        <v>146</v>
      </c>
      <c r="G17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21">
        <f>RANK(tbl_AQI[[#This Row],[Current AQI]], tbl_AQI[Current AQI], 0)</f>
        <v>3066</v>
      </c>
    </row>
    <row r="1722" spans="1:8" x14ac:dyDescent="0.35">
      <c r="A1722" t="s">
        <v>1685</v>
      </c>
      <c r="B1722" t="s">
        <v>1740</v>
      </c>
      <c r="C1722">
        <v>314</v>
      </c>
      <c r="D1722">
        <v>187</v>
      </c>
      <c r="E1722" t="s">
        <v>17</v>
      </c>
      <c r="F1722">
        <f>tbl_AQI[[#This Row],[Most AQI Reached]]-tbl_AQI[[#This Row],[Current AQI]]</f>
        <v>127</v>
      </c>
      <c r="G17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22">
        <f>RANK(tbl_AQI[[#This Row],[Current AQI]], tbl_AQI[Current AQI], 0)</f>
        <v>1455</v>
      </c>
    </row>
    <row r="1723" spans="1:8" x14ac:dyDescent="0.35">
      <c r="A1723" t="s">
        <v>1685</v>
      </c>
      <c r="B1723" t="s">
        <v>1741</v>
      </c>
      <c r="C1723">
        <v>117</v>
      </c>
      <c r="D1723">
        <v>108</v>
      </c>
      <c r="E1723" t="s">
        <v>11</v>
      </c>
      <c r="F1723">
        <f>tbl_AQI[[#This Row],[Most AQI Reached]]-tbl_AQI[[#This Row],[Current AQI]]</f>
        <v>9</v>
      </c>
      <c r="G17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23">
        <f>RANK(tbl_AQI[[#This Row],[Current AQI]], tbl_AQI[Current AQI], 0)</f>
        <v>3362</v>
      </c>
    </row>
    <row r="1724" spans="1:8" x14ac:dyDescent="0.35">
      <c r="A1724" t="s">
        <v>1685</v>
      </c>
      <c r="B1724" t="s">
        <v>1742</v>
      </c>
      <c r="C1724">
        <v>220</v>
      </c>
      <c r="D1724">
        <v>38</v>
      </c>
      <c r="E1724" t="s">
        <v>17</v>
      </c>
      <c r="F1724">
        <f>tbl_AQI[[#This Row],[Most AQI Reached]]-tbl_AQI[[#This Row],[Current AQI]]</f>
        <v>182</v>
      </c>
      <c r="G17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24">
        <f>RANK(tbl_AQI[[#This Row],[Current AQI]], tbl_AQI[Current AQI], 0)</f>
        <v>4845</v>
      </c>
    </row>
    <row r="1725" spans="1:8" x14ac:dyDescent="0.35">
      <c r="A1725" t="s">
        <v>1685</v>
      </c>
      <c r="B1725" t="s">
        <v>1743</v>
      </c>
      <c r="C1725">
        <v>282</v>
      </c>
      <c r="D1725">
        <v>153</v>
      </c>
      <c r="E1725" t="s">
        <v>7</v>
      </c>
      <c r="F1725">
        <f>tbl_AQI[[#This Row],[Most AQI Reached]]-tbl_AQI[[#This Row],[Current AQI]]</f>
        <v>129</v>
      </c>
      <c r="G17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25">
        <f>RANK(tbl_AQI[[#This Row],[Current AQI]], tbl_AQI[Current AQI], 0)</f>
        <v>2329</v>
      </c>
    </row>
    <row r="1726" spans="1:8" x14ac:dyDescent="0.35">
      <c r="A1726" t="s">
        <v>1685</v>
      </c>
      <c r="B1726" t="s">
        <v>1744</v>
      </c>
      <c r="C1726">
        <v>267</v>
      </c>
      <c r="D1726">
        <v>35</v>
      </c>
      <c r="E1726" t="s">
        <v>11</v>
      </c>
      <c r="F1726">
        <f>tbl_AQI[[#This Row],[Most AQI Reached]]-tbl_AQI[[#This Row],[Current AQI]]</f>
        <v>232</v>
      </c>
      <c r="G17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26">
        <f>RANK(tbl_AQI[[#This Row],[Current AQI]], tbl_AQI[Current AQI], 0)</f>
        <v>4916</v>
      </c>
    </row>
    <row r="1727" spans="1:8" x14ac:dyDescent="0.35">
      <c r="A1727" t="s">
        <v>1685</v>
      </c>
      <c r="B1727" t="s">
        <v>1745</v>
      </c>
      <c r="C1727">
        <v>116</v>
      </c>
      <c r="D1727">
        <v>75</v>
      </c>
      <c r="E1727" t="s">
        <v>7</v>
      </c>
      <c r="F1727">
        <f>tbl_AQI[[#This Row],[Most AQI Reached]]-tbl_AQI[[#This Row],[Current AQI]]</f>
        <v>41</v>
      </c>
      <c r="G17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27">
        <f>RANK(tbl_AQI[[#This Row],[Current AQI]], tbl_AQI[Current AQI], 0)</f>
        <v>4041</v>
      </c>
    </row>
    <row r="1728" spans="1:8" x14ac:dyDescent="0.35">
      <c r="A1728" t="s">
        <v>1685</v>
      </c>
      <c r="B1728" t="s">
        <v>1746</v>
      </c>
      <c r="C1728">
        <v>188</v>
      </c>
      <c r="D1728">
        <v>176</v>
      </c>
      <c r="E1728" t="s">
        <v>9</v>
      </c>
      <c r="F1728">
        <f>tbl_AQI[[#This Row],[Most AQI Reached]]-tbl_AQI[[#This Row],[Current AQI]]</f>
        <v>12</v>
      </c>
      <c r="G17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28">
        <f>RANK(tbl_AQI[[#This Row],[Current AQI]], tbl_AQI[Current AQI], 0)</f>
        <v>1754</v>
      </c>
    </row>
    <row r="1729" spans="1:8" x14ac:dyDescent="0.35">
      <c r="A1729" t="s">
        <v>1685</v>
      </c>
      <c r="B1729" t="s">
        <v>1747</v>
      </c>
      <c r="C1729">
        <v>266</v>
      </c>
      <c r="D1729">
        <v>156</v>
      </c>
      <c r="E1729" t="s">
        <v>21</v>
      </c>
      <c r="F1729">
        <f>tbl_AQI[[#This Row],[Most AQI Reached]]-tbl_AQI[[#This Row],[Current AQI]]</f>
        <v>110</v>
      </c>
      <c r="G17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29">
        <f>RANK(tbl_AQI[[#This Row],[Current AQI]], tbl_AQI[Current AQI], 0)</f>
        <v>2251</v>
      </c>
    </row>
    <row r="1730" spans="1:8" x14ac:dyDescent="0.35">
      <c r="A1730" t="s">
        <v>1685</v>
      </c>
      <c r="B1730" t="s">
        <v>1748</v>
      </c>
      <c r="C1730">
        <v>142</v>
      </c>
      <c r="D1730">
        <v>100</v>
      </c>
      <c r="E1730" t="s">
        <v>7</v>
      </c>
      <c r="F1730">
        <f>tbl_AQI[[#This Row],[Most AQI Reached]]-tbl_AQI[[#This Row],[Current AQI]]</f>
        <v>42</v>
      </c>
      <c r="G17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30">
        <f>RANK(tbl_AQI[[#This Row],[Current AQI]], tbl_AQI[Current AQI], 0)</f>
        <v>3535</v>
      </c>
    </row>
    <row r="1731" spans="1:8" x14ac:dyDescent="0.35">
      <c r="A1731" t="s">
        <v>1685</v>
      </c>
      <c r="B1731" t="s">
        <v>1749</v>
      </c>
      <c r="C1731">
        <v>319</v>
      </c>
      <c r="D1731">
        <v>170</v>
      </c>
      <c r="E1731" t="s">
        <v>33</v>
      </c>
      <c r="F1731">
        <f>tbl_AQI[[#This Row],[Most AQI Reached]]-tbl_AQI[[#This Row],[Current AQI]]</f>
        <v>149</v>
      </c>
      <c r="G17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31">
        <f>RANK(tbl_AQI[[#This Row],[Current AQI]], tbl_AQI[Current AQI], 0)</f>
        <v>1898</v>
      </c>
    </row>
    <row r="1732" spans="1:8" x14ac:dyDescent="0.35">
      <c r="A1732" t="s">
        <v>1685</v>
      </c>
      <c r="B1732" t="s">
        <v>1750</v>
      </c>
      <c r="C1732">
        <v>46</v>
      </c>
      <c r="D1732">
        <v>45</v>
      </c>
      <c r="E1732" t="s">
        <v>9</v>
      </c>
      <c r="F1732">
        <f>tbl_AQI[[#This Row],[Most AQI Reached]]-tbl_AQI[[#This Row],[Current AQI]]</f>
        <v>1</v>
      </c>
      <c r="G17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32">
        <f>RANK(tbl_AQI[[#This Row],[Current AQI]], tbl_AQI[Current AQI], 0)</f>
        <v>4702</v>
      </c>
    </row>
    <row r="1733" spans="1:8" x14ac:dyDescent="0.35">
      <c r="A1733" t="s">
        <v>1685</v>
      </c>
      <c r="B1733" t="s">
        <v>1751</v>
      </c>
      <c r="C1733">
        <v>306</v>
      </c>
      <c r="D1733">
        <v>155</v>
      </c>
      <c r="E1733" t="s">
        <v>17</v>
      </c>
      <c r="F1733">
        <f>tbl_AQI[[#This Row],[Most AQI Reached]]-tbl_AQI[[#This Row],[Current AQI]]</f>
        <v>151</v>
      </c>
      <c r="G17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33">
        <f>RANK(tbl_AQI[[#This Row],[Current AQI]], tbl_AQI[Current AQI], 0)</f>
        <v>2275</v>
      </c>
    </row>
    <row r="1734" spans="1:8" x14ac:dyDescent="0.35">
      <c r="A1734" t="s">
        <v>1685</v>
      </c>
      <c r="B1734" t="s">
        <v>1752</v>
      </c>
      <c r="C1734">
        <v>209</v>
      </c>
      <c r="D1734">
        <v>175</v>
      </c>
      <c r="E1734" t="s">
        <v>33</v>
      </c>
      <c r="F1734">
        <f>tbl_AQI[[#This Row],[Most AQI Reached]]-tbl_AQI[[#This Row],[Current AQI]]</f>
        <v>34</v>
      </c>
      <c r="G17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34">
        <f>RANK(tbl_AQI[[#This Row],[Current AQI]], tbl_AQI[Current AQI], 0)</f>
        <v>1780</v>
      </c>
    </row>
    <row r="1735" spans="1:8" x14ac:dyDescent="0.35">
      <c r="A1735" t="s">
        <v>1685</v>
      </c>
      <c r="B1735" t="s">
        <v>1753</v>
      </c>
      <c r="C1735">
        <v>185</v>
      </c>
      <c r="D1735">
        <v>112</v>
      </c>
      <c r="E1735" t="s">
        <v>33</v>
      </c>
      <c r="F1735">
        <f>tbl_AQI[[#This Row],[Most AQI Reached]]-tbl_AQI[[#This Row],[Current AQI]]</f>
        <v>73</v>
      </c>
      <c r="G17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35">
        <f>RANK(tbl_AQI[[#This Row],[Current AQI]], tbl_AQI[Current AQI], 0)</f>
        <v>3267</v>
      </c>
    </row>
    <row r="1736" spans="1:8" x14ac:dyDescent="0.35">
      <c r="A1736" t="s">
        <v>1685</v>
      </c>
      <c r="B1736" t="s">
        <v>1754</v>
      </c>
      <c r="C1736">
        <v>299</v>
      </c>
      <c r="D1736">
        <v>31</v>
      </c>
      <c r="E1736" t="s">
        <v>21</v>
      </c>
      <c r="F1736">
        <f>tbl_AQI[[#This Row],[Most AQI Reached]]-tbl_AQI[[#This Row],[Current AQI]]</f>
        <v>268</v>
      </c>
      <c r="G17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36">
        <f>RANK(tbl_AQI[[#This Row],[Current AQI]], tbl_AQI[Current AQI], 0)</f>
        <v>5016</v>
      </c>
    </row>
    <row r="1737" spans="1:8" x14ac:dyDescent="0.35">
      <c r="A1737" t="s">
        <v>1685</v>
      </c>
      <c r="B1737" t="s">
        <v>1755</v>
      </c>
      <c r="C1737">
        <v>290</v>
      </c>
      <c r="D1737">
        <v>108</v>
      </c>
      <c r="E1737" t="s">
        <v>15</v>
      </c>
      <c r="F1737">
        <f>tbl_AQI[[#This Row],[Most AQI Reached]]-tbl_AQI[[#This Row],[Current AQI]]</f>
        <v>182</v>
      </c>
      <c r="G17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37">
        <f>RANK(tbl_AQI[[#This Row],[Current AQI]], tbl_AQI[Current AQI], 0)</f>
        <v>3362</v>
      </c>
    </row>
    <row r="1738" spans="1:8" x14ac:dyDescent="0.35">
      <c r="A1738" t="s">
        <v>1685</v>
      </c>
      <c r="B1738" t="s">
        <v>1756</v>
      </c>
      <c r="C1738">
        <v>143</v>
      </c>
      <c r="D1738">
        <v>134</v>
      </c>
      <c r="E1738" t="s">
        <v>33</v>
      </c>
      <c r="F1738">
        <f>tbl_AQI[[#This Row],[Most AQI Reached]]-tbl_AQI[[#This Row],[Current AQI]]</f>
        <v>9</v>
      </c>
      <c r="G17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38">
        <f>RANK(tbl_AQI[[#This Row],[Current AQI]], tbl_AQI[Current AQI], 0)</f>
        <v>2740</v>
      </c>
    </row>
    <row r="1739" spans="1:8" x14ac:dyDescent="0.35">
      <c r="A1739" t="s">
        <v>1685</v>
      </c>
      <c r="B1739" t="s">
        <v>1757</v>
      </c>
      <c r="C1739">
        <v>217</v>
      </c>
      <c r="D1739">
        <v>62</v>
      </c>
      <c r="E1739" t="s">
        <v>7</v>
      </c>
      <c r="F1739">
        <f>tbl_AQI[[#This Row],[Most AQI Reached]]-tbl_AQI[[#This Row],[Current AQI]]</f>
        <v>155</v>
      </c>
      <c r="G17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39">
        <f>RANK(tbl_AQI[[#This Row],[Current AQI]], tbl_AQI[Current AQI], 0)</f>
        <v>4343</v>
      </c>
    </row>
    <row r="1740" spans="1:8" x14ac:dyDescent="0.35">
      <c r="A1740" t="s">
        <v>1685</v>
      </c>
      <c r="B1740" t="s">
        <v>1758</v>
      </c>
      <c r="C1740">
        <v>314</v>
      </c>
      <c r="D1740">
        <v>47</v>
      </c>
      <c r="E1740" t="s">
        <v>11</v>
      </c>
      <c r="F1740">
        <f>tbl_AQI[[#This Row],[Most AQI Reached]]-tbl_AQI[[#This Row],[Current AQI]]</f>
        <v>267</v>
      </c>
      <c r="G17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40">
        <f>RANK(tbl_AQI[[#This Row],[Current AQI]], tbl_AQI[Current AQI], 0)</f>
        <v>4656</v>
      </c>
    </row>
    <row r="1741" spans="1:8" x14ac:dyDescent="0.35">
      <c r="A1741" t="s">
        <v>1685</v>
      </c>
      <c r="B1741" t="s">
        <v>1759</v>
      </c>
      <c r="C1741">
        <v>223</v>
      </c>
      <c r="D1741">
        <v>129</v>
      </c>
      <c r="E1741" t="s">
        <v>11</v>
      </c>
      <c r="F1741">
        <f>tbl_AQI[[#This Row],[Most AQI Reached]]-tbl_AQI[[#This Row],[Current AQI]]</f>
        <v>94</v>
      </c>
      <c r="G17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41">
        <f>RANK(tbl_AQI[[#This Row],[Current AQI]], tbl_AQI[Current AQI], 0)</f>
        <v>2852</v>
      </c>
    </row>
    <row r="1742" spans="1:8" x14ac:dyDescent="0.35">
      <c r="A1742" t="s">
        <v>1685</v>
      </c>
      <c r="B1742" t="s">
        <v>1760</v>
      </c>
      <c r="C1742">
        <v>249</v>
      </c>
      <c r="D1742">
        <v>77</v>
      </c>
      <c r="E1742" t="s">
        <v>7</v>
      </c>
      <c r="F1742">
        <f>tbl_AQI[[#This Row],[Most AQI Reached]]-tbl_AQI[[#This Row],[Current AQI]]</f>
        <v>172</v>
      </c>
      <c r="G17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42">
        <f>RANK(tbl_AQI[[#This Row],[Current AQI]], tbl_AQI[Current AQI], 0)</f>
        <v>4006</v>
      </c>
    </row>
    <row r="1743" spans="1:8" x14ac:dyDescent="0.35">
      <c r="A1743" t="s">
        <v>1685</v>
      </c>
      <c r="B1743" t="s">
        <v>1761</v>
      </c>
      <c r="C1743">
        <v>214</v>
      </c>
      <c r="D1743">
        <v>37</v>
      </c>
      <c r="E1743" t="s">
        <v>9</v>
      </c>
      <c r="F1743">
        <f>tbl_AQI[[#This Row],[Most AQI Reached]]-tbl_AQI[[#This Row],[Current AQI]]</f>
        <v>177</v>
      </c>
      <c r="G17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43">
        <f>RANK(tbl_AQI[[#This Row],[Current AQI]], tbl_AQI[Current AQI], 0)</f>
        <v>4863</v>
      </c>
    </row>
    <row r="1744" spans="1:8" x14ac:dyDescent="0.35">
      <c r="A1744" t="s">
        <v>1685</v>
      </c>
      <c r="B1744" t="s">
        <v>1762</v>
      </c>
      <c r="C1744">
        <v>206</v>
      </c>
      <c r="D1744">
        <v>90</v>
      </c>
      <c r="E1744" t="s">
        <v>15</v>
      </c>
      <c r="F1744">
        <f>tbl_AQI[[#This Row],[Most AQI Reached]]-tbl_AQI[[#This Row],[Current AQI]]</f>
        <v>116</v>
      </c>
      <c r="G17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44">
        <f>RANK(tbl_AQI[[#This Row],[Current AQI]], tbl_AQI[Current AQI], 0)</f>
        <v>3750</v>
      </c>
    </row>
    <row r="1745" spans="1:8" x14ac:dyDescent="0.35">
      <c r="A1745" t="s">
        <v>1685</v>
      </c>
      <c r="B1745" t="s">
        <v>1763</v>
      </c>
      <c r="C1745">
        <v>304</v>
      </c>
      <c r="D1745">
        <v>119</v>
      </c>
      <c r="E1745" t="s">
        <v>9</v>
      </c>
      <c r="F1745">
        <f>tbl_AQI[[#This Row],[Most AQI Reached]]-tbl_AQI[[#This Row],[Current AQI]]</f>
        <v>185</v>
      </c>
      <c r="G17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45">
        <f>RANK(tbl_AQI[[#This Row],[Current AQI]], tbl_AQI[Current AQI], 0)</f>
        <v>3093</v>
      </c>
    </row>
    <row r="1746" spans="1:8" x14ac:dyDescent="0.35">
      <c r="A1746" t="s">
        <v>1685</v>
      </c>
      <c r="B1746" t="s">
        <v>1764</v>
      </c>
      <c r="C1746">
        <v>191</v>
      </c>
      <c r="D1746">
        <v>107</v>
      </c>
      <c r="E1746" t="s">
        <v>15</v>
      </c>
      <c r="F1746">
        <f>tbl_AQI[[#This Row],[Most AQI Reached]]-tbl_AQI[[#This Row],[Current AQI]]</f>
        <v>84</v>
      </c>
      <c r="G17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46">
        <f>RANK(tbl_AQI[[#This Row],[Current AQI]], tbl_AQI[Current AQI], 0)</f>
        <v>3387</v>
      </c>
    </row>
    <row r="1747" spans="1:8" x14ac:dyDescent="0.35">
      <c r="A1747" t="s">
        <v>1685</v>
      </c>
      <c r="B1747" t="s">
        <v>1765</v>
      </c>
      <c r="C1747">
        <v>143</v>
      </c>
      <c r="D1747">
        <v>65</v>
      </c>
      <c r="E1747" t="s">
        <v>9</v>
      </c>
      <c r="F1747">
        <f>tbl_AQI[[#This Row],[Most AQI Reached]]-tbl_AQI[[#This Row],[Current AQI]]</f>
        <v>78</v>
      </c>
      <c r="G17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47">
        <f>RANK(tbl_AQI[[#This Row],[Current AQI]], tbl_AQI[Current AQI], 0)</f>
        <v>4267</v>
      </c>
    </row>
    <row r="1748" spans="1:8" x14ac:dyDescent="0.35">
      <c r="A1748" t="s">
        <v>1685</v>
      </c>
      <c r="B1748" t="s">
        <v>1766</v>
      </c>
      <c r="C1748">
        <v>283</v>
      </c>
      <c r="D1748">
        <v>76</v>
      </c>
      <c r="E1748" t="s">
        <v>17</v>
      </c>
      <c r="F1748">
        <f>tbl_AQI[[#This Row],[Most AQI Reached]]-tbl_AQI[[#This Row],[Current AQI]]</f>
        <v>207</v>
      </c>
      <c r="G17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48">
        <f>RANK(tbl_AQI[[#This Row],[Current AQI]], tbl_AQI[Current AQI], 0)</f>
        <v>4023</v>
      </c>
    </row>
    <row r="1749" spans="1:8" x14ac:dyDescent="0.35">
      <c r="A1749" t="s">
        <v>1685</v>
      </c>
      <c r="B1749" t="s">
        <v>1767</v>
      </c>
      <c r="C1749">
        <v>138</v>
      </c>
      <c r="D1749">
        <v>71</v>
      </c>
      <c r="E1749" t="s">
        <v>7</v>
      </c>
      <c r="F1749">
        <f>tbl_AQI[[#This Row],[Most AQI Reached]]-tbl_AQI[[#This Row],[Current AQI]]</f>
        <v>67</v>
      </c>
      <c r="G17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49">
        <f>RANK(tbl_AQI[[#This Row],[Current AQI]], tbl_AQI[Current AQI], 0)</f>
        <v>4129</v>
      </c>
    </row>
    <row r="1750" spans="1:8" x14ac:dyDescent="0.35">
      <c r="A1750" t="s">
        <v>1685</v>
      </c>
      <c r="B1750" t="s">
        <v>1768</v>
      </c>
      <c r="C1750">
        <v>279</v>
      </c>
      <c r="D1750">
        <v>93</v>
      </c>
      <c r="E1750" t="s">
        <v>11</v>
      </c>
      <c r="F1750">
        <f>tbl_AQI[[#This Row],[Most AQI Reached]]-tbl_AQI[[#This Row],[Current AQI]]</f>
        <v>186</v>
      </c>
      <c r="G17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50">
        <f>RANK(tbl_AQI[[#This Row],[Current AQI]], tbl_AQI[Current AQI], 0)</f>
        <v>3678</v>
      </c>
    </row>
    <row r="1751" spans="1:8" x14ac:dyDescent="0.35">
      <c r="A1751" t="s">
        <v>1685</v>
      </c>
      <c r="B1751" t="s">
        <v>1769</v>
      </c>
      <c r="C1751">
        <v>218</v>
      </c>
      <c r="D1751">
        <v>186</v>
      </c>
      <c r="E1751" t="s">
        <v>21</v>
      </c>
      <c r="F1751">
        <f>tbl_AQI[[#This Row],[Most AQI Reached]]-tbl_AQI[[#This Row],[Current AQI]]</f>
        <v>32</v>
      </c>
      <c r="G17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1">
        <f>RANK(tbl_AQI[[#This Row],[Current AQI]], tbl_AQI[Current AQI], 0)</f>
        <v>1478</v>
      </c>
    </row>
    <row r="1752" spans="1:8" x14ac:dyDescent="0.35">
      <c r="A1752" t="s">
        <v>1685</v>
      </c>
      <c r="B1752" t="s">
        <v>1770</v>
      </c>
      <c r="C1752">
        <v>299</v>
      </c>
      <c r="D1752">
        <v>104</v>
      </c>
      <c r="E1752" t="s">
        <v>7</v>
      </c>
      <c r="F1752">
        <f>tbl_AQI[[#This Row],[Most AQI Reached]]-tbl_AQI[[#This Row],[Current AQI]]</f>
        <v>195</v>
      </c>
      <c r="G17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2">
        <f>RANK(tbl_AQI[[#This Row],[Current AQI]], tbl_AQI[Current AQI], 0)</f>
        <v>3454</v>
      </c>
    </row>
    <row r="1753" spans="1:8" x14ac:dyDescent="0.35">
      <c r="A1753" t="s">
        <v>1685</v>
      </c>
      <c r="B1753" t="s">
        <v>1771</v>
      </c>
      <c r="C1753">
        <v>273</v>
      </c>
      <c r="D1753">
        <v>155</v>
      </c>
      <c r="E1753" t="s">
        <v>9</v>
      </c>
      <c r="F1753">
        <f>tbl_AQI[[#This Row],[Most AQI Reached]]-tbl_AQI[[#This Row],[Current AQI]]</f>
        <v>118</v>
      </c>
      <c r="G17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3">
        <f>RANK(tbl_AQI[[#This Row],[Current AQI]], tbl_AQI[Current AQI], 0)</f>
        <v>2275</v>
      </c>
    </row>
    <row r="1754" spans="1:8" x14ac:dyDescent="0.35">
      <c r="A1754" t="s">
        <v>1685</v>
      </c>
      <c r="B1754" t="s">
        <v>1772</v>
      </c>
      <c r="C1754">
        <v>210</v>
      </c>
      <c r="D1754">
        <v>157</v>
      </c>
      <c r="E1754" t="s">
        <v>21</v>
      </c>
      <c r="F1754">
        <f>tbl_AQI[[#This Row],[Most AQI Reached]]-tbl_AQI[[#This Row],[Current AQI]]</f>
        <v>53</v>
      </c>
      <c r="G17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4">
        <f>RANK(tbl_AQI[[#This Row],[Current AQI]], tbl_AQI[Current AQI], 0)</f>
        <v>2239</v>
      </c>
    </row>
    <row r="1755" spans="1:8" x14ac:dyDescent="0.35">
      <c r="A1755" t="s">
        <v>1685</v>
      </c>
      <c r="B1755" t="s">
        <v>1773</v>
      </c>
      <c r="C1755">
        <v>320</v>
      </c>
      <c r="D1755">
        <v>104</v>
      </c>
      <c r="E1755" t="s">
        <v>17</v>
      </c>
      <c r="F1755">
        <f>tbl_AQI[[#This Row],[Most AQI Reached]]-tbl_AQI[[#This Row],[Current AQI]]</f>
        <v>216</v>
      </c>
      <c r="G17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5">
        <f>RANK(tbl_AQI[[#This Row],[Current AQI]], tbl_AQI[Current AQI], 0)</f>
        <v>3454</v>
      </c>
    </row>
    <row r="1756" spans="1:8" x14ac:dyDescent="0.35">
      <c r="A1756" t="s">
        <v>1685</v>
      </c>
      <c r="B1756" t="s">
        <v>1774</v>
      </c>
      <c r="C1756">
        <v>251</v>
      </c>
      <c r="D1756">
        <v>103</v>
      </c>
      <c r="E1756" t="s">
        <v>33</v>
      </c>
      <c r="F1756">
        <f>tbl_AQI[[#This Row],[Most AQI Reached]]-tbl_AQI[[#This Row],[Current AQI]]</f>
        <v>148</v>
      </c>
      <c r="G17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6">
        <f>RANK(tbl_AQI[[#This Row],[Current AQI]], tbl_AQI[Current AQI], 0)</f>
        <v>3474</v>
      </c>
    </row>
    <row r="1757" spans="1:8" x14ac:dyDescent="0.35">
      <c r="A1757" t="s">
        <v>1685</v>
      </c>
      <c r="B1757" t="s">
        <v>1775</v>
      </c>
      <c r="C1757">
        <v>66</v>
      </c>
      <c r="D1757">
        <v>41</v>
      </c>
      <c r="E1757" t="s">
        <v>21</v>
      </c>
      <c r="F1757">
        <f>tbl_AQI[[#This Row],[Most AQI Reached]]-tbl_AQI[[#This Row],[Current AQI]]</f>
        <v>25</v>
      </c>
      <c r="G17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57">
        <f>RANK(tbl_AQI[[#This Row],[Current AQI]], tbl_AQI[Current AQI], 0)</f>
        <v>4789</v>
      </c>
    </row>
    <row r="1758" spans="1:8" x14ac:dyDescent="0.35">
      <c r="A1758" t="s">
        <v>1685</v>
      </c>
      <c r="B1758" t="s">
        <v>1776</v>
      </c>
      <c r="C1758">
        <v>198</v>
      </c>
      <c r="D1758">
        <v>159</v>
      </c>
      <c r="E1758" t="s">
        <v>33</v>
      </c>
      <c r="F1758">
        <f>tbl_AQI[[#This Row],[Most AQI Reached]]-tbl_AQI[[#This Row],[Current AQI]]</f>
        <v>39</v>
      </c>
      <c r="G17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58">
        <f>RANK(tbl_AQI[[#This Row],[Current AQI]], tbl_AQI[Current AQI], 0)</f>
        <v>2183</v>
      </c>
    </row>
    <row r="1759" spans="1:8" x14ac:dyDescent="0.35">
      <c r="A1759" t="s">
        <v>1685</v>
      </c>
      <c r="B1759" t="s">
        <v>1777</v>
      </c>
      <c r="C1759">
        <v>174</v>
      </c>
      <c r="D1759">
        <v>76</v>
      </c>
      <c r="E1759" t="s">
        <v>15</v>
      </c>
      <c r="F1759">
        <f>tbl_AQI[[#This Row],[Most AQI Reached]]-tbl_AQI[[#This Row],[Current AQI]]</f>
        <v>98</v>
      </c>
      <c r="G17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59">
        <f>RANK(tbl_AQI[[#This Row],[Current AQI]], tbl_AQI[Current AQI], 0)</f>
        <v>4023</v>
      </c>
    </row>
    <row r="1760" spans="1:8" x14ac:dyDescent="0.35">
      <c r="A1760" t="s">
        <v>1685</v>
      </c>
      <c r="B1760" t="s">
        <v>1778</v>
      </c>
      <c r="C1760">
        <v>318</v>
      </c>
      <c r="D1760">
        <v>87</v>
      </c>
      <c r="E1760" t="s">
        <v>11</v>
      </c>
      <c r="F1760">
        <f>tbl_AQI[[#This Row],[Most AQI Reached]]-tbl_AQI[[#This Row],[Current AQI]]</f>
        <v>231</v>
      </c>
      <c r="G17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60">
        <f>RANK(tbl_AQI[[#This Row],[Current AQI]], tbl_AQI[Current AQI], 0)</f>
        <v>3813</v>
      </c>
    </row>
    <row r="1761" spans="1:8" x14ac:dyDescent="0.35">
      <c r="A1761" t="s">
        <v>1685</v>
      </c>
      <c r="B1761" t="s">
        <v>1779</v>
      </c>
      <c r="C1761">
        <v>65</v>
      </c>
      <c r="D1761">
        <v>54</v>
      </c>
      <c r="E1761" t="s">
        <v>17</v>
      </c>
      <c r="F1761">
        <f>tbl_AQI[[#This Row],[Most AQI Reached]]-tbl_AQI[[#This Row],[Current AQI]]</f>
        <v>11</v>
      </c>
      <c r="G17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61">
        <f>RANK(tbl_AQI[[#This Row],[Current AQI]], tbl_AQI[Current AQI], 0)</f>
        <v>4523</v>
      </c>
    </row>
    <row r="1762" spans="1:8" x14ac:dyDescent="0.35">
      <c r="A1762" t="s">
        <v>1685</v>
      </c>
      <c r="B1762" t="s">
        <v>1780</v>
      </c>
      <c r="C1762">
        <v>236</v>
      </c>
      <c r="D1762">
        <v>187</v>
      </c>
      <c r="E1762" t="s">
        <v>21</v>
      </c>
      <c r="F1762">
        <f>tbl_AQI[[#This Row],[Most AQI Reached]]-tbl_AQI[[#This Row],[Current AQI]]</f>
        <v>49</v>
      </c>
      <c r="G17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62">
        <f>RANK(tbl_AQI[[#This Row],[Current AQI]], tbl_AQI[Current AQI], 0)</f>
        <v>1455</v>
      </c>
    </row>
    <row r="1763" spans="1:8" x14ac:dyDescent="0.35">
      <c r="A1763" t="s">
        <v>1685</v>
      </c>
      <c r="B1763" t="s">
        <v>1781</v>
      </c>
      <c r="C1763">
        <v>239</v>
      </c>
      <c r="D1763">
        <v>121</v>
      </c>
      <c r="E1763" t="s">
        <v>7</v>
      </c>
      <c r="F1763">
        <f>tbl_AQI[[#This Row],[Most AQI Reached]]-tbl_AQI[[#This Row],[Current AQI]]</f>
        <v>118</v>
      </c>
      <c r="G17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63">
        <f>RANK(tbl_AQI[[#This Row],[Current AQI]], tbl_AQI[Current AQI], 0)</f>
        <v>3037</v>
      </c>
    </row>
    <row r="1764" spans="1:8" x14ac:dyDescent="0.35">
      <c r="A1764" t="s">
        <v>1685</v>
      </c>
      <c r="B1764" t="s">
        <v>1782</v>
      </c>
      <c r="C1764">
        <v>276</v>
      </c>
      <c r="D1764">
        <v>115</v>
      </c>
      <c r="E1764" t="s">
        <v>11</v>
      </c>
      <c r="F1764">
        <f>tbl_AQI[[#This Row],[Most AQI Reached]]-tbl_AQI[[#This Row],[Current AQI]]</f>
        <v>161</v>
      </c>
      <c r="G17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64">
        <f>RANK(tbl_AQI[[#This Row],[Current AQI]], tbl_AQI[Current AQI], 0)</f>
        <v>3206</v>
      </c>
    </row>
    <row r="1765" spans="1:8" x14ac:dyDescent="0.35">
      <c r="A1765" t="s">
        <v>1685</v>
      </c>
      <c r="B1765" t="s">
        <v>1783</v>
      </c>
      <c r="C1765">
        <v>211</v>
      </c>
      <c r="D1765">
        <v>108</v>
      </c>
      <c r="E1765" t="s">
        <v>21</v>
      </c>
      <c r="F1765">
        <f>tbl_AQI[[#This Row],[Most AQI Reached]]-tbl_AQI[[#This Row],[Current AQI]]</f>
        <v>103</v>
      </c>
      <c r="G17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65">
        <f>RANK(tbl_AQI[[#This Row],[Current AQI]], tbl_AQI[Current AQI], 0)</f>
        <v>3362</v>
      </c>
    </row>
    <row r="1766" spans="1:8" x14ac:dyDescent="0.35">
      <c r="A1766" t="s">
        <v>1685</v>
      </c>
      <c r="B1766" t="s">
        <v>1784</v>
      </c>
      <c r="C1766">
        <v>145</v>
      </c>
      <c r="D1766">
        <v>128</v>
      </c>
      <c r="E1766" t="s">
        <v>9</v>
      </c>
      <c r="F1766">
        <f>tbl_AQI[[#This Row],[Most AQI Reached]]-tbl_AQI[[#This Row],[Current AQI]]</f>
        <v>17</v>
      </c>
      <c r="G17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66">
        <f>RANK(tbl_AQI[[#This Row],[Current AQI]], tbl_AQI[Current AQI], 0)</f>
        <v>2872</v>
      </c>
    </row>
    <row r="1767" spans="1:8" x14ac:dyDescent="0.35">
      <c r="A1767" t="s">
        <v>1685</v>
      </c>
      <c r="B1767" t="s">
        <v>1785</v>
      </c>
      <c r="C1767">
        <v>70</v>
      </c>
      <c r="D1767">
        <v>55</v>
      </c>
      <c r="E1767" t="s">
        <v>11</v>
      </c>
      <c r="F1767">
        <f>tbl_AQI[[#This Row],[Most AQI Reached]]-tbl_AQI[[#This Row],[Current AQI]]</f>
        <v>15</v>
      </c>
      <c r="G17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67">
        <f>RANK(tbl_AQI[[#This Row],[Current AQI]], tbl_AQI[Current AQI], 0)</f>
        <v>4497</v>
      </c>
    </row>
    <row r="1768" spans="1:8" x14ac:dyDescent="0.35">
      <c r="A1768" t="s">
        <v>1685</v>
      </c>
      <c r="B1768" t="s">
        <v>1786</v>
      </c>
      <c r="C1768">
        <v>220</v>
      </c>
      <c r="D1768">
        <v>116</v>
      </c>
      <c r="E1768" t="s">
        <v>17</v>
      </c>
      <c r="F1768">
        <f>tbl_AQI[[#This Row],[Most AQI Reached]]-tbl_AQI[[#This Row],[Current AQI]]</f>
        <v>104</v>
      </c>
      <c r="G17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68">
        <f>RANK(tbl_AQI[[#This Row],[Current AQI]], tbl_AQI[Current AQI], 0)</f>
        <v>3173</v>
      </c>
    </row>
    <row r="1769" spans="1:8" x14ac:dyDescent="0.35">
      <c r="A1769" t="s">
        <v>1685</v>
      </c>
      <c r="B1769" t="s">
        <v>1787</v>
      </c>
      <c r="C1769">
        <v>117</v>
      </c>
      <c r="D1769">
        <v>65</v>
      </c>
      <c r="E1769" t="s">
        <v>33</v>
      </c>
      <c r="F1769">
        <f>tbl_AQI[[#This Row],[Most AQI Reached]]-tbl_AQI[[#This Row],[Current AQI]]</f>
        <v>52</v>
      </c>
      <c r="G17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69">
        <f>RANK(tbl_AQI[[#This Row],[Current AQI]], tbl_AQI[Current AQI], 0)</f>
        <v>4267</v>
      </c>
    </row>
    <row r="1770" spans="1:8" x14ac:dyDescent="0.35">
      <c r="A1770" t="s">
        <v>1685</v>
      </c>
      <c r="B1770" t="s">
        <v>1788</v>
      </c>
      <c r="C1770">
        <v>299</v>
      </c>
      <c r="D1770">
        <v>85</v>
      </c>
      <c r="E1770" t="s">
        <v>11</v>
      </c>
      <c r="F1770">
        <f>tbl_AQI[[#This Row],[Most AQI Reached]]-tbl_AQI[[#This Row],[Current AQI]]</f>
        <v>214</v>
      </c>
      <c r="G17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70">
        <f>RANK(tbl_AQI[[#This Row],[Current AQI]], tbl_AQI[Current AQI], 0)</f>
        <v>3852</v>
      </c>
    </row>
    <row r="1771" spans="1:8" x14ac:dyDescent="0.35">
      <c r="A1771" t="s">
        <v>1685</v>
      </c>
      <c r="B1771" t="s">
        <v>1789</v>
      </c>
      <c r="C1771">
        <v>256</v>
      </c>
      <c r="D1771">
        <v>171</v>
      </c>
      <c r="E1771" t="s">
        <v>21</v>
      </c>
      <c r="F1771">
        <f>tbl_AQI[[#This Row],[Most AQI Reached]]-tbl_AQI[[#This Row],[Current AQI]]</f>
        <v>85</v>
      </c>
      <c r="G17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71">
        <f>RANK(tbl_AQI[[#This Row],[Current AQI]], tbl_AQI[Current AQI], 0)</f>
        <v>1866</v>
      </c>
    </row>
    <row r="1772" spans="1:8" x14ac:dyDescent="0.35">
      <c r="A1772" t="s">
        <v>1685</v>
      </c>
      <c r="B1772" t="s">
        <v>1790</v>
      </c>
      <c r="C1772">
        <v>213</v>
      </c>
      <c r="D1772">
        <v>184</v>
      </c>
      <c r="E1772" t="s">
        <v>9</v>
      </c>
      <c r="F1772">
        <f>tbl_AQI[[#This Row],[Most AQI Reached]]-tbl_AQI[[#This Row],[Current AQI]]</f>
        <v>29</v>
      </c>
      <c r="G17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72">
        <f>RANK(tbl_AQI[[#This Row],[Current AQI]], tbl_AQI[Current AQI], 0)</f>
        <v>1544</v>
      </c>
    </row>
    <row r="1773" spans="1:8" x14ac:dyDescent="0.35">
      <c r="A1773" t="s">
        <v>1685</v>
      </c>
      <c r="B1773" t="s">
        <v>1791</v>
      </c>
      <c r="C1773">
        <v>254</v>
      </c>
      <c r="D1773">
        <v>64</v>
      </c>
      <c r="E1773" t="s">
        <v>11</v>
      </c>
      <c r="F1773">
        <f>tbl_AQI[[#This Row],[Most AQI Reached]]-tbl_AQI[[#This Row],[Current AQI]]</f>
        <v>190</v>
      </c>
      <c r="G17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73">
        <f>RANK(tbl_AQI[[#This Row],[Current AQI]], tbl_AQI[Current AQI], 0)</f>
        <v>4293</v>
      </c>
    </row>
    <row r="1774" spans="1:8" x14ac:dyDescent="0.35">
      <c r="A1774" t="s">
        <v>1685</v>
      </c>
      <c r="B1774" t="s">
        <v>1792</v>
      </c>
      <c r="C1774">
        <v>282</v>
      </c>
      <c r="D1774">
        <v>166</v>
      </c>
      <c r="E1774" t="s">
        <v>15</v>
      </c>
      <c r="F1774">
        <f>tbl_AQI[[#This Row],[Most AQI Reached]]-tbl_AQI[[#This Row],[Current AQI]]</f>
        <v>116</v>
      </c>
      <c r="G17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74">
        <f>RANK(tbl_AQI[[#This Row],[Current AQI]], tbl_AQI[Current AQI], 0)</f>
        <v>2007</v>
      </c>
    </row>
    <row r="1775" spans="1:8" x14ac:dyDescent="0.35">
      <c r="A1775" t="s">
        <v>1685</v>
      </c>
      <c r="B1775" t="s">
        <v>1793</v>
      </c>
      <c r="C1775">
        <v>285</v>
      </c>
      <c r="D1775">
        <v>127</v>
      </c>
      <c r="E1775" t="s">
        <v>9</v>
      </c>
      <c r="F1775">
        <f>tbl_AQI[[#This Row],[Most AQI Reached]]-tbl_AQI[[#This Row],[Current AQI]]</f>
        <v>158</v>
      </c>
      <c r="G17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75">
        <f>RANK(tbl_AQI[[#This Row],[Current AQI]], tbl_AQI[Current AQI], 0)</f>
        <v>2909</v>
      </c>
    </row>
    <row r="1776" spans="1:8" x14ac:dyDescent="0.35">
      <c r="A1776" t="s">
        <v>1685</v>
      </c>
      <c r="B1776" t="s">
        <v>1794</v>
      </c>
      <c r="C1776">
        <v>167</v>
      </c>
      <c r="D1776">
        <v>45</v>
      </c>
      <c r="E1776" t="s">
        <v>7</v>
      </c>
      <c r="F1776">
        <f>tbl_AQI[[#This Row],[Most AQI Reached]]-tbl_AQI[[#This Row],[Current AQI]]</f>
        <v>122</v>
      </c>
      <c r="G17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76">
        <f>RANK(tbl_AQI[[#This Row],[Current AQI]], tbl_AQI[Current AQI], 0)</f>
        <v>4702</v>
      </c>
    </row>
    <row r="1777" spans="1:8" x14ac:dyDescent="0.35">
      <c r="A1777" t="s">
        <v>1685</v>
      </c>
      <c r="B1777" t="s">
        <v>1795</v>
      </c>
      <c r="C1777">
        <v>291</v>
      </c>
      <c r="D1777">
        <v>123</v>
      </c>
      <c r="E1777" t="s">
        <v>9</v>
      </c>
      <c r="F1777">
        <f>tbl_AQI[[#This Row],[Most AQI Reached]]-tbl_AQI[[#This Row],[Current AQI]]</f>
        <v>168</v>
      </c>
      <c r="G17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77">
        <f>RANK(tbl_AQI[[#This Row],[Current AQI]], tbl_AQI[Current AQI], 0)</f>
        <v>2983</v>
      </c>
    </row>
    <row r="1778" spans="1:8" x14ac:dyDescent="0.35">
      <c r="A1778" t="s">
        <v>1685</v>
      </c>
      <c r="B1778" t="s">
        <v>1796</v>
      </c>
      <c r="C1778">
        <v>229</v>
      </c>
      <c r="D1778">
        <v>184</v>
      </c>
      <c r="E1778" t="s">
        <v>15</v>
      </c>
      <c r="F1778">
        <f>tbl_AQI[[#This Row],[Most AQI Reached]]-tbl_AQI[[#This Row],[Current AQI]]</f>
        <v>45</v>
      </c>
      <c r="G17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78">
        <f>RANK(tbl_AQI[[#This Row],[Current AQI]], tbl_AQI[Current AQI], 0)</f>
        <v>1544</v>
      </c>
    </row>
    <row r="1779" spans="1:8" x14ac:dyDescent="0.35">
      <c r="A1779" t="s">
        <v>1685</v>
      </c>
      <c r="B1779" t="s">
        <v>1797</v>
      </c>
      <c r="C1779">
        <v>236</v>
      </c>
      <c r="D1779">
        <v>91</v>
      </c>
      <c r="E1779" t="s">
        <v>33</v>
      </c>
      <c r="F1779">
        <f>tbl_AQI[[#This Row],[Most AQI Reached]]-tbl_AQI[[#This Row],[Current AQI]]</f>
        <v>145</v>
      </c>
      <c r="G17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79">
        <f>RANK(tbl_AQI[[#This Row],[Current AQI]], tbl_AQI[Current AQI], 0)</f>
        <v>3726</v>
      </c>
    </row>
    <row r="1780" spans="1:8" x14ac:dyDescent="0.35">
      <c r="A1780" t="s">
        <v>1685</v>
      </c>
      <c r="B1780" t="s">
        <v>1798</v>
      </c>
      <c r="C1780">
        <v>99</v>
      </c>
      <c r="D1780">
        <v>95</v>
      </c>
      <c r="E1780" t="s">
        <v>15</v>
      </c>
      <c r="F1780">
        <f>tbl_AQI[[#This Row],[Most AQI Reached]]-tbl_AQI[[#This Row],[Current AQI]]</f>
        <v>4</v>
      </c>
      <c r="G17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80">
        <f>RANK(tbl_AQI[[#This Row],[Current AQI]], tbl_AQI[Current AQI], 0)</f>
        <v>3634</v>
      </c>
    </row>
    <row r="1781" spans="1:8" x14ac:dyDescent="0.35">
      <c r="A1781" t="s">
        <v>1685</v>
      </c>
      <c r="B1781" t="s">
        <v>1799</v>
      </c>
      <c r="C1781">
        <v>175</v>
      </c>
      <c r="D1781">
        <v>117</v>
      </c>
      <c r="E1781" t="s">
        <v>15</v>
      </c>
      <c r="F1781">
        <f>tbl_AQI[[#This Row],[Most AQI Reached]]-tbl_AQI[[#This Row],[Current AQI]]</f>
        <v>58</v>
      </c>
      <c r="G17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1">
        <f>RANK(tbl_AQI[[#This Row],[Current AQI]], tbl_AQI[Current AQI], 0)</f>
        <v>3144</v>
      </c>
    </row>
    <row r="1782" spans="1:8" x14ac:dyDescent="0.35">
      <c r="A1782" t="s">
        <v>1685</v>
      </c>
      <c r="B1782" t="s">
        <v>1800</v>
      </c>
      <c r="C1782">
        <v>145</v>
      </c>
      <c r="D1782">
        <v>135</v>
      </c>
      <c r="E1782" t="s">
        <v>15</v>
      </c>
      <c r="F1782">
        <f>tbl_AQI[[#This Row],[Most AQI Reached]]-tbl_AQI[[#This Row],[Current AQI]]</f>
        <v>10</v>
      </c>
      <c r="G17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2">
        <f>RANK(tbl_AQI[[#This Row],[Current AQI]], tbl_AQI[Current AQI], 0)</f>
        <v>2714</v>
      </c>
    </row>
    <row r="1783" spans="1:8" x14ac:dyDescent="0.35">
      <c r="A1783" t="s">
        <v>1685</v>
      </c>
      <c r="B1783" t="s">
        <v>1801</v>
      </c>
      <c r="C1783">
        <v>211</v>
      </c>
      <c r="D1783">
        <v>137</v>
      </c>
      <c r="E1783" t="s">
        <v>21</v>
      </c>
      <c r="F1783">
        <f>tbl_AQI[[#This Row],[Most AQI Reached]]-tbl_AQI[[#This Row],[Current AQI]]</f>
        <v>74</v>
      </c>
      <c r="G17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3">
        <f>RANK(tbl_AQI[[#This Row],[Current AQI]], tbl_AQI[Current AQI], 0)</f>
        <v>2677</v>
      </c>
    </row>
    <row r="1784" spans="1:8" x14ac:dyDescent="0.35">
      <c r="A1784" t="s">
        <v>1685</v>
      </c>
      <c r="B1784" t="s">
        <v>1802</v>
      </c>
      <c r="C1784">
        <v>281</v>
      </c>
      <c r="D1784">
        <v>145</v>
      </c>
      <c r="E1784" t="s">
        <v>7</v>
      </c>
      <c r="F1784">
        <f>tbl_AQI[[#This Row],[Most AQI Reached]]-tbl_AQI[[#This Row],[Current AQI]]</f>
        <v>136</v>
      </c>
      <c r="G17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4">
        <f>RANK(tbl_AQI[[#This Row],[Current AQI]], tbl_AQI[Current AQI], 0)</f>
        <v>2526</v>
      </c>
    </row>
    <row r="1785" spans="1:8" x14ac:dyDescent="0.35">
      <c r="A1785" t="s">
        <v>1685</v>
      </c>
      <c r="B1785" t="s">
        <v>1803</v>
      </c>
      <c r="C1785">
        <v>310</v>
      </c>
      <c r="D1785">
        <v>47</v>
      </c>
      <c r="E1785" t="s">
        <v>7</v>
      </c>
      <c r="F1785">
        <f>tbl_AQI[[#This Row],[Most AQI Reached]]-tbl_AQI[[#This Row],[Current AQI]]</f>
        <v>263</v>
      </c>
      <c r="G17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785">
        <f>RANK(tbl_AQI[[#This Row],[Current AQI]], tbl_AQI[Current AQI], 0)</f>
        <v>4656</v>
      </c>
    </row>
    <row r="1786" spans="1:8" x14ac:dyDescent="0.35">
      <c r="A1786" t="s">
        <v>1685</v>
      </c>
      <c r="B1786" t="s">
        <v>1804</v>
      </c>
      <c r="C1786">
        <v>149</v>
      </c>
      <c r="D1786">
        <v>94</v>
      </c>
      <c r="E1786" t="s">
        <v>7</v>
      </c>
      <c r="F1786">
        <f>tbl_AQI[[#This Row],[Most AQI Reached]]-tbl_AQI[[#This Row],[Current AQI]]</f>
        <v>55</v>
      </c>
      <c r="G17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86">
        <f>RANK(tbl_AQI[[#This Row],[Current AQI]], tbl_AQI[Current AQI], 0)</f>
        <v>3654</v>
      </c>
    </row>
    <row r="1787" spans="1:8" x14ac:dyDescent="0.35">
      <c r="A1787" t="s">
        <v>1685</v>
      </c>
      <c r="B1787" t="s">
        <v>1805</v>
      </c>
      <c r="C1787">
        <v>249</v>
      </c>
      <c r="D1787">
        <v>111</v>
      </c>
      <c r="E1787" t="s">
        <v>17</v>
      </c>
      <c r="F1787">
        <f>tbl_AQI[[#This Row],[Most AQI Reached]]-tbl_AQI[[#This Row],[Current AQI]]</f>
        <v>138</v>
      </c>
      <c r="G17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7">
        <f>RANK(tbl_AQI[[#This Row],[Current AQI]], tbl_AQI[Current AQI], 0)</f>
        <v>3285</v>
      </c>
    </row>
    <row r="1788" spans="1:8" x14ac:dyDescent="0.35">
      <c r="A1788" t="s">
        <v>1685</v>
      </c>
      <c r="B1788" t="s">
        <v>1806</v>
      </c>
      <c r="C1788">
        <v>313</v>
      </c>
      <c r="D1788">
        <v>162</v>
      </c>
      <c r="E1788" t="s">
        <v>33</v>
      </c>
      <c r="F1788">
        <f>tbl_AQI[[#This Row],[Most AQI Reached]]-tbl_AQI[[#This Row],[Current AQI]]</f>
        <v>151</v>
      </c>
      <c r="G17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8">
        <f>RANK(tbl_AQI[[#This Row],[Current AQI]], tbl_AQI[Current AQI], 0)</f>
        <v>2106</v>
      </c>
    </row>
    <row r="1789" spans="1:8" x14ac:dyDescent="0.35">
      <c r="A1789" t="s">
        <v>1685</v>
      </c>
      <c r="B1789" t="s">
        <v>1807</v>
      </c>
      <c r="C1789">
        <v>153</v>
      </c>
      <c r="D1789">
        <v>115</v>
      </c>
      <c r="E1789" t="s">
        <v>11</v>
      </c>
      <c r="F1789">
        <f>tbl_AQI[[#This Row],[Most AQI Reached]]-tbl_AQI[[#This Row],[Current AQI]]</f>
        <v>38</v>
      </c>
      <c r="G17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89">
        <f>RANK(tbl_AQI[[#This Row],[Current AQI]], tbl_AQI[Current AQI], 0)</f>
        <v>3206</v>
      </c>
    </row>
    <row r="1790" spans="1:8" x14ac:dyDescent="0.35">
      <c r="A1790" t="s">
        <v>1685</v>
      </c>
      <c r="B1790" t="s">
        <v>1808</v>
      </c>
      <c r="C1790">
        <v>208</v>
      </c>
      <c r="D1790">
        <v>167</v>
      </c>
      <c r="E1790" t="s">
        <v>17</v>
      </c>
      <c r="F1790">
        <f>tbl_AQI[[#This Row],[Most AQI Reached]]-tbl_AQI[[#This Row],[Current AQI]]</f>
        <v>41</v>
      </c>
      <c r="G17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0">
        <f>RANK(tbl_AQI[[#This Row],[Current AQI]], tbl_AQI[Current AQI], 0)</f>
        <v>1979</v>
      </c>
    </row>
    <row r="1791" spans="1:8" x14ac:dyDescent="0.35">
      <c r="A1791" t="s">
        <v>1685</v>
      </c>
      <c r="B1791" t="s">
        <v>1809</v>
      </c>
      <c r="C1791">
        <v>179</v>
      </c>
      <c r="D1791">
        <v>109</v>
      </c>
      <c r="E1791" t="s">
        <v>21</v>
      </c>
      <c r="F1791">
        <f>tbl_AQI[[#This Row],[Most AQI Reached]]-tbl_AQI[[#This Row],[Current AQI]]</f>
        <v>70</v>
      </c>
      <c r="G17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1">
        <f>RANK(tbl_AQI[[#This Row],[Current AQI]], tbl_AQI[Current AQI], 0)</f>
        <v>3338</v>
      </c>
    </row>
    <row r="1792" spans="1:8" x14ac:dyDescent="0.35">
      <c r="A1792" t="s">
        <v>1685</v>
      </c>
      <c r="B1792" t="s">
        <v>1810</v>
      </c>
      <c r="C1792">
        <v>171</v>
      </c>
      <c r="D1792">
        <v>124</v>
      </c>
      <c r="E1792" t="s">
        <v>33</v>
      </c>
      <c r="F1792">
        <f>tbl_AQI[[#This Row],[Most AQI Reached]]-tbl_AQI[[#This Row],[Current AQI]]</f>
        <v>47</v>
      </c>
      <c r="G17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2">
        <f>RANK(tbl_AQI[[#This Row],[Current AQI]], tbl_AQI[Current AQI], 0)</f>
        <v>2971</v>
      </c>
    </row>
    <row r="1793" spans="1:8" x14ac:dyDescent="0.35">
      <c r="A1793" t="s">
        <v>1685</v>
      </c>
      <c r="B1793" t="s">
        <v>1811</v>
      </c>
      <c r="C1793">
        <v>318</v>
      </c>
      <c r="D1793">
        <v>167</v>
      </c>
      <c r="E1793" t="s">
        <v>21</v>
      </c>
      <c r="F1793">
        <f>tbl_AQI[[#This Row],[Most AQI Reached]]-tbl_AQI[[#This Row],[Current AQI]]</f>
        <v>151</v>
      </c>
      <c r="G17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3">
        <f>RANK(tbl_AQI[[#This Row],[Current AQI]], tbl_AQI[Current AQI], 0)</f>
        <v>1979</v>
      </c>
    </row>
    <row r="1794" spans="1:8" x14ac:dyDescent="0.35">
      <c r="A1794" t="s">
        <v>1685</v>
      </c>
      <c r="B1794" t="s">
        <v>1812</v>
      </c>
      <c r="C1794">
        <v>298</v>
      </c>
      <c r="D1794">
        <v>170</v>
      </c>
      <c r="E1794" t="s">
        <v>17</v>
      </c>
      <c r="F1794">
        <f>tbl_AQI[[#This Row],[Most AQI Reached]]-tbl_AQI[[#This Row],[Current AQI]]</f>
        <v>128</v>
      </c>
      <c r="G17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4">
        <f>RANK(tbl_AQI[[#This Row],[Current AQI]], tbl_AQI[Current AQI], 0)</f>
        <v>1898</v>
      </c>
    </row>
    <row r="1795" spans="1:8" x14ac:dyDescent="0.35">
      <c r="A1795" t="s">
        <v>1685</v>
      </c>
      <c r="B1795" t="s">
        <v>1813</v>
      </c>
      <c r="C1795">
        <v>136</v>
      </c>
      <c r="D1795">
        <v>130</v>
      </c>
      <c r="E1795" t="s">
        <v>9</v>
      </c>
      <c r="F1795">
        <f>tbl_AQI[[#This Row],[Most AQI Reached]]-tbl_AQI[[#This Row],[Current AQI]]</f>
        <v>6</v>
      </c>
      <c r="G17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5">
        <f>RANK(tbl_AQI[[#This Row],[Current AQI]], tbl_AQI[Current AQI], 0)</f>
        <v>2832</v>
      </c>
    </row>
    <row r="1796" spans="1:8" x14ac:dyDescent="0.35">
      <c r="A1796" t="s">
        <v>1685</v>
      </c>
      <c r="B1796" t="s">
        <v>1814</v>
      </c>
      <c r="C1796">
        <v>202</v>
      </c>
      <c r="D1796">
        <v>121</v>
      </c>
      <c r="E1796" t="s">
        <v>9</v>
      </c>
      <c r="F1796">
        <f>tbl_AQI[[#This Row],[Most AQI Reached]]-tbl_AQI[[#This Row],[Current AQI]]</f>
        <v>81</v>
      </c>
      <c r="G17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6">
        <f>RANK(tbl_AQI[[#This Row],[Current AQI]], tbl_AQI[Current AQI], 0)</f>
        <v>3037</v>
      </c>
    </row>
    <row r="1797" spans="1:8" x14ac:dyDescent="0.35">
      <c r="A1797" t="s">
        <v>1685</v>
      </c>
      <c r="B1797" t="s">
        <v>1815</v>
      </c>
      <c r="C1797">
        <v>253</v>
      </c>
      <c r="D1797">
        <v>162</v>
      </c>
      <c r="E1797" t="s">
        <v>9</v>
      </c>
      <c r="F1797">
        <f>tbl_AQI[[#This Row],[Most AQI Reached]]-tbl_AQI[[#This Row],[Current AQI]]</f>
        <v>91</v>
      </c>
      <c r="G17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7">
        <f>RANK(tbl_AQI[[#This Row],[Current AQI]], tbl_AQI[Current AQI], 0)</f>
        <v>2106</v>
      </c>
    </row>
    <row r="1798" spans="1:8" x14ac:dyDescent="0.35">
      <c r="A1798" t="s">
        <v>1685</v>
      </c>
      <c r="B1798" t="s">
        <v>1816</v>
      </c>
      <c r="C1798">
        <v>103</v>
      </c>
      <c r="D1798">
        <v>72</v>
      </c>
      <c r="E1798" t="s">
        <v>9</v>
      </c>
      <c r="F1798">
        <f>tbl_AQI[[#This Row],[Most AQI Reached]]-tbl_AQI[[#This Row],[Current AQI]]</f>
        <v>31</v>
      </c>
      <c r="G17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798">
        <f>RANK(tbl_AQI[[#This Row],[Current AQI]], tbl_AQI[Current AQI], 0)</f>
        <v>4100</v>
      </c>
    </row>
    <row r="1799" spans="1:8" x14ac:dyDescent="0.35">
      <c r="A1799" t="s">
        <v>1685</v>
      </c>
      <c r="B1799" t="s">
        <v>1817</v>
      </c>
      <c r="C1799">
        <v>190</v>
      </c>
      <c r="D1799">
        <v>186</v>
      </c>
      <c r="E1799" t="s">
        <v>11</v>
      </c>
      <c r="F1799">
        <f>tbl_AQI[[#This Row],[Most AQI Reached]]-tbl_AQI[[#This Row],[Current AQI]]</f>
        <v>4</v>
      </c>
      <c r="G17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799">
        <f>RANK(tbl_AQI[[#This Row],[Current AQI]], tbl_AQI[Current AQI], 0)</f>
        <v>1478</v>
      </c>
    </row>
    <row r="1800" spans="1:8" x14ac:dyDescent="0.35">
      <c r="A1800" t="s">
        <v>1685</v>
      </c>
      <c r="B1800" t="s">
        <v>1818</v>
      </c>
      <c r="C1800">
        <v>196</v>
      </c>
      <c r="D1800">
        <v>187</v>
      </c>
      <c r="E1800" t="s">
        <v>15</v>
      </c>
      <c r="F1800">
        <f>tbl_AQI[[#This Row],[Most AQI Reached]]-tbl_AQI[[#This Row],[Current AQI]]</f>
        <v>9</v>
      </c>
      <c r="G18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0">
        <f>RANK(tbl_AQI[[#This Row],[Current AQI]], tbl_AQI[Current AQI], 0)</f>
        <v>1455</v>
      </c>
    </row>
    <row r="1801" spans="1:8" x14ac:dyDescent="0.35">
      <c r="A1801" t="s">
        <v>1685</v>
      </c>
      <c r="B1801" t="s">
        <v>1819</v>
      </c>
      <c r="C1801">
        <v>308</v>
      </c>
      <c r="D1801">
        <v>165</v>
      </c>
      <c r="E1801" t="s">
        <v>33</v>
      </c>
      <c r="F1801">
        <f>tbl_AQI[[#This Row],[Most AQI Reached]]-tbl_AQI[[#This Row],[Current AQI]]</f>
        <v>143</v>
      </c>
      <c r="G18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1">
        <f>RANK(tbl_AQI[[#This Row],[Current AQI]], tbl_AQI[Current AQI], 0)</f>
        <v>2028</v>
      </c>
    </row>
    <row r="1802" spans="1:8" x14ac:dyDescent="0.35">
      <c r="A1802" t="s">
        <v>1685</v>
      </c>
      <c r="B1802" t="s">
        <v>1820</v>
      </c>
      <c r="C1802">
        <v>290</v>
      </c>
      <c r="D1802">
        <v>136</v>
      </c>
      <c r="E1802" t="s">
        <v>33</v>
      </c>
      <c r="F1802">
        <f>tbl_AQI[[#This Row],[Most AQI Reached]]-tbl_AQI[[#This Row],[Current AQI]]</f>
        <v>154</v>
      </c>
      <c r="G18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2">
        <f>RANK(tbl_AQI[[#This Row],[Current AQI]], tbl_AQI[Current AQI], 0)</f>
        <v>2692</v>
      </c>
    </row>
    <row r="1803" spans="1:8" x14ac:dyDescent="0.35">
      <c r="A1803" t="s">
        <v>1685</v>
      </c>
      <c r="B1803" t="s">
        <v>1821</v>
      </c>
      <c r="C1803">
        <v>306</v>
      </c>
      <c r="D1803">
        <v>31</v>
      </c>
      <c r="E1803" t="s">
        <v>7</v>
      </c>
      <c r="F1803">
        <f>tbl_AQI[[#This Row],[Most AQI Reached]]-tbl_AQI[[#This Row],[Current AQI]]</f>
        <v>275</v>
      </c>
      <c r="G18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03">
        <f>RANK(tbl_AQI[[#This Row],[Current AQI]], tbl_AQI[Current AQI], 0)</f>
        <v>5016</v>
      </c>
    </row>
    <row r="1804" spans="1:8" x14ac:dyDescent="0.35">
      <c r="A1804" t="s">
        <v>1685</v>
      </c>
      <c r="B1804" t="s">
        <v>1822</v>
      </c>
      <c r="C1804">
        <v>189</v>
      </c>
      <c r="D1804">
        <v>109</v>
      </c>
      <c r="E1804" t="s">
        <v>21</v>
      </c>
      <c r="F1804">
        <f>tbl_AQI[[#This Row],[Most AQI Reached]]-tbl_AQI[[#This Row],[Current AQI]]</f>
        <v>80</v>
      </c>
      <c r="G18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4">
        <f>RANK(tbl_AQI[[#This Row],[Current AQI]], tbl_AQI[Current AQI], 0)</f>
        <v>3338</v>
      </c>
    </row>
    <row r="1805" spans="1:8" x14ac:dyDescent="0.35">
      <c r="A1805" t="s">
        <v>1685</v>
      </c>
      <c r="B1805" t="s">
        <v>1823</v>
      </c>
      <c r="C1805">
        <v>304</v>
      </c>
      <c r="D1805">
        <v>134</v>
      </c>
      <c r="E1805" t="s">
        <v>9</v>
      </c>
      <c r="F1805">
        <f>tbl_AQI[[#This Row],[Most AQI Reached]]-tbl_AQI[[#This Row],[Current AQI]]</f>
        <v>170</v>
      </c>
      <c r="G18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5">
        <f>RANK(tbl_AQI[[#This Row],[Current AQI]], tbl_AQI[Current AQI], 0)</f>
        <v>2740</v>
      </c>
    </row>
    <row r="1806" spans="1:8" x14ac:dyDescent="0.35">
      <c r="A1806" t="s">
        <v>1685</v>
      </c>
      <c r="B1806" t="s">
        <v>1824</v>
      </c>
      <c r="C1806">
        <v>172</v>
      </c>
      <c r="D1806">
        <v>169</v>
      </c>
      <c r="E1806" t="s">
        <v>9</v>
      </c>
      <c r="F1806">
        <f>tbl_AQI[[#This Row],[Most AQI Reached]]-tbl_AQI[[#This Row],[Current AQI]]</f>
        <v>3</v>
      </c>
      <c r="G18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6">
        <f>RANK(tbl_AQI[[#This Row],[Current AQI]], tbl_AQI[Current AQI], 0)</f>
        <v>1925</v>
      </c>
    </row>
    <row r="1807" spans="1:8" x14ac:dyDescent="0.35">
      <c r="A1807" t="s">
        <v>1685</v>
      </c>
      <c r="B1807" t="s">
        <v>1825</v>
      </c>
      <c r="C1807">
        <v>201</v>
      </c>
      <c r="D1807">
        <v>86</v>
      </c>
      <c r="E1807" t="s">
        <v>7</v>
      </c>
      <c r="F1807">
        <f>tbl_AQI[[#This Row],[Most AQI Reached]]-tbl_AQI[[#This Row],[Current AQI]]</f>
        <v>115</v>
      </c>
      <c r="G18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07">
        <f>RANK(tbl_AQI[[#This Row],[Current AQI]], tbl_AQI[Current AQI], 0)</f>
        <v>3830</v>
      </c>
    </row>
    <row r="1808" spans="1:8" x14ac:dyDescent="0.35">
      <c r="A1808" t="s">
        <v>1685</v>
      </c>
      <c r="B1808" t="s">
        <v>1826</v>
      </c>
      <c r="C1808">
        <v>181</v>
      </c>
      <c r="D1808">
        <v>142</v>
      </c>
      <c r="E1808" t="s">
        <v>17</v>
      </c>
      <c r="F1808">
        <f>tbl_AQI[[#This Row],[Most AQI Reached]]-tbl_AQI[[#This Row],[Current AQI]]</f>
        <v>39</v>
      </c>
      <c r="G18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08">
        <f>RANK(tbl_AQI[[#This Row],[Current AQI]], tbl_AQI[Current AQI], 0)</f>
        <v>2585</v>
      </c>
    </row>
    <row r="1809" spans="1:8" x14ac:dyDescent="0.35">
      <c r="A1809" t="s">
        <v>1685</v>
      </c>
      <c r="B1809" t="s">
        <v>1827</v>
      </c>
      <c r="C1809">
        <v>78</v>
      </c>
      <c r="D1809">
        <v>67</v>
      </c>
      <c r="E1809" t="s">
        <v>9</v>
      </c>
      <c r="F1809">
        <f>tbl_AQI[[#This Row],[Most AQI Reached]]-tbl_AQI[[#This Row],[Current AQI]]</f>
        <v>11</v>
      </c>
      <c r="G18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09">
        <f>RANK(tbl_AQI[[#This Row],[Current AQI]], tbl_AQI[Current AQI], 0)</f>
        <v>4225</v>
      </c>
    </row>
    <row r="1810" spans="1:8" x14ac:dyDescent="0.35">
      <c r="A1810" t="s">
        <v>1685</v>
      </c>
      <c r="B1810" t="s">
        <v>1828</v>
      </c>
      <c r="C1810">
        <v>223</v>
      </c>
      <c r="D1810">
        <v>53</v>
      </c>
      <c r="E1810" t="s">
        <v>21</v>
      </c>
      <c r="F1810">
        <f>tbl_AQI[[#This Row],[Most AQI Reached]]-tbl_AQI[[#This Row],[Current AQI]]</f>
        <v>170</v>
      </c>
      <c r="G18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10">
        <f>RANK(tbl_AQI[[#This Row],[Current AQI]], tbl_AQI[Current AQI], 0)</f>
        <v>4544</v>
      </c>
    </row>
    <row r="1811" spans="1:8" x14ac:dyDescent="0.35">
      <c r="A1811" t="s">
        <v>1685</v>
      </c>
      <c r="B1811" t="s">
        <v>1829</v>
      </c>
      <c r="C1811">
        <v>151</v>
      </c>
      <c r="D1811">
        <v>151</v>
      </c>
      <c r="E1811" t="s">
        <v>9</v>
      </c>
      <c r="F1811">
        <f>tbl_AQI[[#This Row],[Most AQI Reached]]-tbl_AQI[[#This Row],[Current AQI]]</f>
        <v>0</v>
      </c>
      <c r="G18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1">
        <f>RANK(tbl_AQI[[#This Row],[Current AQI]], tbl_AQI[Current AQI], 0)</f>
        <v>2376</v>
      </c>
    </row>
    <row r="1812" spans="1:8" x14ac:dyDescent="0.35">
      <c r="A1812" t="s">
        <v>1685</v>
      </c>
      <c r="B1812" t="s">
        <v>1830</v>
      </c>
      <c r="C1812">
        <v>285</v>
      </c>
      <c r="D1812">
        <v>71</v>
      </c>
      <c r="E1812" t="s">
        <v>15</v>
      </c>
      <c r="F1812">
        <f>tbl_AQI[[#This Row],[Most AQI Reached]]-tbl_AQI[[#This Row],[Current AQI]]</f>
        <v>214</v>
      </c>
      <c r="G18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12">
        <f>RANK(tbl_AQI[[#This Row],[Current AQI]], tbl_AQI[Current AQI], 0)</f>
        <v>4129</v>
      </c>
    </row>
    <row r="1813" spans="1:8" x14ac:dyDescent="0.35">
      <c r="A1813" t="s">
        <v>1685</v>
      </c>
      <c r="B1813" t="s">
        <v>1831</v>
      </c>
      <c r="C1813">
        <v>282</v>
      </c>
      <c r="D1813">
        <v>126</v>
      </c>
      <c r="E1813" t="s">
        <v>11</v>
      </c>
      <c r="F1813">
        <f>tbl_AQI[[#This Row],[Most AQI Reached]]-tbl_AQI[[#This Row],[Current AQI]]</f>
        <v>156</v>
      </c>
      <c r="G18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3">
        <f>RANK(tbl_AQI[[#This Row],[Current AQI]], tbl_AQI[Current AQI], 0)</f>
        <v>2934</v>
      </c>
    </row>
    <row r="1814" spans="1:8" x14ac:dyDescent="0.35">
      <c r="A1814" t="s">
        <v>1685</v>
      </c>
      <c r="B1814" t="s">
        <v>1832</v>
      </c>
      <c r="C1814">
        <v>263</v>
      </c>
      <c r="D1814">
        <v>122</v>
      </c>
      <c r="E1814" t="s">
        <v>11</v>
      </c>
      <c r="F1814">
        <f>tbl_AQI[[#This Row],[Most AQI Reached]]-tbl_AQI[[#This Row],[Current AQI]]</f>
        <v>141</v>
      </c>
      <c r="G18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4">
        <f>RANK(tbl_AQI[[#This Row],[Current AQI]], tbl_AQI[Current AQI], 0)</f>
        <v>3013</v>
      </c>
    </row>
    <row r="1815" spans="1:8" x14ac:dyDescent="0.35">
      <c r="A1815" t="s">
        <v>1685</v>
      </c>
      <c r="B1815" t="s">
        <v>1833</v>
      </c>
      <c r="C1815">
        <v>292</v>
      </c>
      <c r="D1815">
        <v>137</v>
      </c>
      <c r="E1815" t="s">
        <v>17</v>
      </c>
      <c r="F1815">
        <f>tbl_AQI[[#This Row],[Most AQI Reached]]-tbl_AQI[[#This Row],[Current AQI]]</f>
        <v>155</v>
      </c>
      <c r="G18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5">
        <f>RANK(tbl_AQI[[#This Row],[Current AQI]], tbl_AQI[Current AQI], 0)</f>
        <v>2677</v>
      </c>
    </row>
    <row r="1816" spans="1:8" x14ac:dyDescent="0.35">
      <c r="A1816" t="s">
        <v>1685</v>
      </c>
      <c r="B1816" t="s">
        <v>1834</v>
      </c>
      <c r="C1816">
        <v>185</v>
      </c>
      <c r="D1816">
        <v>151</v>
      </c>
      <c r="E1816" t="s">
        <v>17</v>
      </c>
      <c r="F1816">
        <f>tbl_AQI[[#This Row],[Most AQI Reached]]-tbl_AQI[[#This Row],[Current AQI]]</f>
        <v>34</v>
      </c>
      <c r="G18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6">
        <f>RANK(tbl_AQI[[#This Row],[Current AQI]], tbl_AQI[Current AQI], 0)</f>
        <v>2376</v>
      </c>
    </row>
    <row r="1817" spans="1:8" x14ac:dyDescent="0.35">
      <c r="A1817" t="s">
        <v>1685</v>
      </c>
      <c r="B1817" t="s">
        <v>1835</v>
      </c>
      <c r="C1817">
        <v>215</v>
      </c>
      <c r="D1817">
        <v>154</v>
      </c>
      <c r="E1817" t="s">
        <v>21</v>
      </c>
      <c r="F1817">
        <f>tbl_AQI[[#This Row],[Most AQI Reached]]-tbl_AQI[[#This Row],[Current AQI]]</f>
        <v>61</v>
      </c>
      <c r="G18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7">
        <f>RANK(tbl_AQI[[#This Row],[Current AQI]], tbl_AQI[Current AQI], 0)</f>
        <v>2307</v>
      </c>
    </row>
    <row r="1818" spans="1:8" x14ac:dyDescent="0.35">
      <c r="A1818" t="s">
        <v>1685</v>
      </c>
      <c r="B1818" t="s">
        <v>1836</v>
      </c>
      <c r="C1818">
        <v>239</v>
      </c>
      <c r="D1818">
        <v>183</v>
      </c>
      <c r="E1818" t="s">
        <v>33</v>
      </c>
      <c r="F1818">
        <f>tbl_AQI[[#This Row],[Most AQI Reached]]-tbl_AQI[[#This Row],[Current AQI]]</f>
        <v>56</v>
      </c>
      <c r="G18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8">
        <f>RANK(tbl_AQI[[#This Row],[Current AQI]], tbl_AQI[Current AQI], 0)</f>
        <v>1572</v>
      </c>
    </row>
    <row r="1819" spans="1:8" x14ac:dyDescent="0.35">
      <c r="A1819" t="s">
        <v>1685</v>
      </c>
      <c r="B1819" t="s">
        <v>1837</v>
      </c>
      <c r="C1819">
        <v>227</v>
      </c>
      <c r="D1819">
        <v>128</v>
      </c>
      <c r="E1819" t="s">
        <v>9</v>
      </c>
      <c r="F1819">
        <f>tbl_AQI[[#This Row],[Most AQI Reached]]-tbl_AQI[[#This Row],[Current AQI]]</f>
        <v>99</v>
      </c>
      <c r="G18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19">
        <f>RANK(tbl_AQI[[#This Row],[Current AQI]], tbl_AQI[Current AQI], 0)</f>
        <v>2872</v>
      </c>
    </row>
    <row r="1820" spans="1:8" x14ac:dyDescent="0.35">
      <c r="A1820" t="s">
        <v>1685</v>
      </c>
      <c r="B1820" t="s">
        <v>1838</v>
      </c>
      <c r="C1820">
        <v>48</v>
      </c>
      <c r="D1820">
        <v>37</v>
      </c>
      <c r="E1820" t="s">
        <v>9</v>
      </c>
      <c r="F1820">
        <f>tbl_AQI[[#This Row],[Most AQI Reached]]-tbl_AQI[[#This Row],[Current AQI]]</f>
        <v>11</v>
      </c>
      <c r="G18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20">
        <f>RANK(tbl_AQI[[#This Row],[Current AQI]], tbl_AQI[Current AQI], 0)</f>
        <v>4863</v>
      </c>
    </row>
    <row r="1821" spans="1:8" x14ac:dyDescent="0.35">
      <c r="A1821" t="s">
        <v>1685</v>
      </c>
      <c r="B1821" t="s">
        <v>1839</v>
      </c>
      <c r="C1821">
        <v>260</v>
      </c>
      <c r="D1821">
        <v>181</v>
      </c>
      <c r="E1821" t="s">
        <v>33</v>
      </c>
      <c r="F1821">
        <f>tbl_AQI[[#This Row],[Most AQI Reached]]-tbl_AQI[[#This Row],[Current AQI]]</f>
        <v>79</v>
      </c>
      <c r="G18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1">
        <f>RANK(tbl_AQI[[#This Row],[Current AQI]], tbl_AQI[Current AQI], 0)</f>
        <v>1609</v>
      </c>
    </row>
    <row r="1822" spans="1:8" x14ac:dyDescent="0.35">
      <c r="A1822" t="s">
        <v>1685</v>
      </c>
      <c r="B1822" t="s">
        <v>1840</v>
      </c>
      <c r="C1822">
        <v>188</v>
      </c>
      <c r="D1822">
        <v>183</v>
      </c>
      <c r="E1822" t="s">
        <v>9</v>
      </c>
      <c r="F1822">
        <f>tbl_AQI[[#This Row],[Most AQI Reached]]-tbl_AQI[[#This Row],[Current AQI]]</f>
        <v>5</v>
      </c>
      <c r="G18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2">
        <f>RANK(tbl_AQI[[#This Row],[Current AQI]], tbl_AQI[Current AQI], 0)</f>
        <v>1572</v>
      </c>
    </row>
    <row r="1823" spans="1:8" x14ac:dyDescent="0.35">
      <c r="A1823" t="s">
        <v>1685</v>
      </c>
      <c r="B1823" t="s">
        <v>1841</v>
      </c>
      <c r="C1823">
        <v>243</v>
      </c>
      <c r="D1823">
        <v>137</v>
      </c>
      <c r="E1823" t="s">
        <v>9</v>
      </c>
      <c r="F1823">
        <f>tbl_AQI[[#This Row],[Most AQI Reached]]-tbl_AQI[[#This Row],[Current AQI]]</f>
        <v>106</v>
      </c>
      <c r="G18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3">
        <f>RANK(tbl_AQI[[#This Row],[Current AQI]], tbl_AQI[Current AQI], 0)</f>
        <v>2677</v>
      </c>
    </row>
    <row r="1824" spans="1:8" x14ac:dyDescent="0.35">
      <c r="A1824" t="s">
        <v>1685</v>
      </c>
      <c r="B1824" t="s">
        <v>1842</v>
      </c>
      <c r="C1824">
        <v>136</v>
      </c>
      <c r="D1824">
        <v>66</v>
      </c>
      <c r="E1824" t="s">
        <v>17</v>
      </c>
      <c r="F1824">
        <f>tbl_AQI[[#This Row],[Most AQI Reached]]-tbl_AQI[[#This Row],[Current AQI]]</f>
        <v>70</v>
      </c>
      <c r="G18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24">
        <f>RANK(tbl_AQI[[#This Row],[Current AQI]], tbl_AQI[Current AQI], 0)</f>
        <v>4247</v>
      </c>
    </row>
    <row r="1825" spans="1:8" x14ac:dyDescent="0.35">
      <c r="A1825" t="s">
        <v>1685</v>
      </c>
      <c r="B1825" t="s">
        <v>1843</v>
      </c>
      <c r="C1825">
        <v>276</v>
      </c>
      <c r="D1825">
        <v>129</v>
      </c>
      <c r="E1825" t="s">
        <v>33</v>
      </c>
      <c r="F1825">
        <f>tbl_AQI[[#This Row],[Most AQI Reached]]-tbl_AQI[[#This Row],[Current AQI]]</f>
        <v>147</v>
      </c>
      <c r="G18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5">
        <f>RANK(tbl_AQI[[#This Row],[Current AQI]], tbl_AQI[Current AQI], 0)</f>
        <v>2852</v>
      </c>
    </row>
    <row r="1826" spans="1:8" x14ac:dyDescent="0.35">
      <c r="A1826" t="s">
        <v>1685</v>
      </c>
      <c r="B1826" t="s">
        <v>1844</v>
      </c>
      <c r="C1826">
        <v>293</v>
      </c>
      <c r="D1826">
        <v>160</v>
      </c>
      <c r="E1826" t="s">
        <v>21</v>
      </c>
      <c r="F1826">
        <f>tbl_AQI[[#This Row],[Most AQI Reached]]-tbl_AQI[[#This Row],[Current AQI]]</f>
        <v>133</v>
      </c>
      <c r="G18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6">
        <f>RANK(tbl_AQI[[#This Row],[Current AQI]], tbl_AQI[Current AQI], 0)</f>
        <v>2154</v>
      </c>
    </row>
    <row r="1827" spans="1:8" x14ac:dyDescent="0.35">
      <c r="A1827" t="s">
        <v>1685</v>
      </c>
      <c r="B1827" t="s">
        <v>1845</v>
      </c>
      <c r="C1827">
        <v>129</v>
      </c>
      <c r="D1827">
        <v>126</v>
      </c>
      <c r="E1827" t="s">
        <v>17</v>
      </c>
      <c r="F1827">
        <f>tbl_AQI[[#This Row],[Most AQI Reached]]-tbl_AQI[[#This Row],[Current AQI]]</f>
        <v>3</v>
      </c>
      <c r="G18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7">
        <f>RANK(tbl_AQI[[#This Row],[Current AQI]], tbl_AQI[Current AQI], 0)</f>
        <v>2934</v>
      </c>
    </row>
    <row r="1828" spans="1:8" x14ac:dyDescent="0.35">
      <c r="A1828" t="s">
        <v>1685</v>
      </c>
      <c r="B1828" t="s">
        <v>1846</v>
      </c>
      <c r="C1828">
        <v>170</v>
      </c>
      <c r="D1828">
        <v>117</v>
      </c>
      <c r="E1828" t="s">
        <v>21</v>
      </c>
      <c r="F1828">
        <f>tbl_AQI[[#This Row],[Most AQI Reached]]-tbl_AQI[[#This Row],[Current AQI]]</f>
        <v>53</v>
      </c>
      <c r="G18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8">
        <f>RANK(tbl_AQI[[#This Row],[Current AQI]], tbl_AQI[Current AQI], 0)</f>
        <v>3144</v>
      </c>
    </row>
    <row r="1829" spans="1:8" x14ac:dyDescent="0.35">
      <c r="A1829" t="s">
        <v>1685</v>
      </c>
      <c r="B1829" t="s">
        <v>1847</v>
      </c>
      <c r="C1829">
        <v>247</v>
      </c>
      <c r="D1829">
        <v>110</v>
      </c>
      <c r="E1829" t="s">
        <v>33</v>
      </c>
      <c r="F1829">
        <f>tbl_AQI[[#This Row],[Most AQI Reached]]-tbl_AQI[[#This Row],[Current AQI]]</f>
        <v>137</v>
      </c>
      <c r="G18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29">
        <f>RANK(tbl_AQI[[#This Row],[Current AQI]], tbl_AQI[Current AQI], 0)</f>
        <v>3302</v>
      </c>
    </row>
    <row r="1830" spans="1:8" x14ac:dyDescent="0.35">
      <c r="A1830" t="s">
        <v>1685</v>
      </c>
      <c r="B1830" t="s">
        <v>1848</v>
      </c>
      <c r="C1830">
        <v>44</v>
      </c>
      <c r="D1830">
        <v>41</v>
      </c>
      <c r="E1830" t="s">
        <v>21</v>
      </c>
      <c r="F1830">
        <f>tbl_AQI[[#This Row],[Most AQI Reached]]-tbl_AQI[[#This Row],[Current AQI]]</f>
        <v>3</v>
      </c>
      <c r="G18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30">
        <f>RANK(tbl_AQI[[#This Row],[Current AQI]], tbl_AQI[Current AQI], 0)</f>
        <v>4789</v>
      </c>
    </row>
    <row r="1831" spans="1:8" x14ac:dyDescent="0.35">
      <c r="A1831" t="s">
        <v>1685</v>
      </c>
      <c r="B1831" t="s">
        <v>1849</v>
      </c>
      <c r="C1831">
        <v>153</v>
      </c>
      <c r="D1831">
        <v>107</v>
      </c>
      <c r="E1831" t="s">
        <v>11</v>
      </c>
      <c r="F1831">
        <f>tbl_AQI[[#This Row],[Most AQI Reached]]-tbl_AQI[[#This Row],[Current AQI]]</f>
        <v>46</v>
      </c>
      <c r="G18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31">
        <f>RANK(tbl_AQI[[#This Row],[Current AQI]], tbl_AQI[Current AQI], 0)</f>
        <v>3387</v>
      </c>
    </row>
    <row r="1832" spans="1:8" x14ac:dyDescent="0.35">
      <c r="A1832" t="s">
        <v>1685</v>
      </c>
      <c r="B1832" t="s">
        <v>1850</v>
      </c>
      <c r="C1832">
        <v>217</v>
      </c>
      <c r="D1832">
        <v>42</v>
      </c>
      <c r="E1832" t="s">
        <v>33</v>
      </c>
      <c r="F1832">
        <f>tbl_AQI[[#This Row],[Most AQI Reached]]-tbl_AQI[[#This Row],[Current AQI]]</f>
        <v>175</v>
      </c>
      <c r="G18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32">
        <f>RANK(tbl_AQI[[#This Row],[Current AQI]], tbl_AQI[Current AQI], 0)</f>
        <v>4776</v>
      </c>
    </row>
    <row r="1833" spans="1:8" x14ac:dyDescent="0.35">
      <c r="A1833" t="s">
        <v>1685</v>
      </c>
      <c r="B1833" t="s">
        <v>1851</v>
      </c>
      <c r="C1833">
        <v>175</v>
      </c>
      <c r="D1833">
        <v>96</v>
      </c>
      <c r="E1833" t="s">
        <v>9</v>
      </c>
      <c r="F1833">
        <f>tbl_AQI[[#This Row],[Most AQI Reached]]-tbl_AQI[[#This Row],[Current AQI]]</f>
        <v>79</v>
      </c>
      <c r="G18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33">
        <f>RANK(tbl_AQI[[#This Row],[Current AQI]], tbl_AQI[Current AQI], 0)</f>
        <v>3616</v>
      </c>
    </row>
    <row r="1834" spans="1:8" x14ac:dyDescent="0.35">
      <c r="A1834" t="s">
        <v>1685</v>
      </c>
      <c r="B1834" t="s">
        <v>1852</v>
      </c>
      <c r="C1834">
        <v>267</v>
      </c>
      <c r="D1834">
        <v>48</v>
      </c>
      <c r="E1834" t="s">
        <v>17</v>
      </c>
      <c r="F1834">
        <f>tbl_AQI[[#This Row],[Most AQI Reached]]-tbl_AQI[[#This Row],[Current AQI]]</f>
        <v>219</v>
      </c>
      <c r="G18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34">
        <f>RANK(tbl_AQI[[#This Row],[Current AQI]], tbl_AQI[Current AQI], 0)</f>
        <v>4638</v>
      </c>
    </row>
    <row r="1835" spans="1:8" x14ac:dyDescent="0.35">
      <c r="A1835" t="s">
        <v>1685</v>
      </c>
      <c r="B1835" t="s">
        <v>1853</v>
      </c>
      <c r="C1835">
        <v>176</v>
      </c>
      <c r="D1835">
        <v>163</v>
      </c>
      <c r="E1835" t="s">
        <v>15</v>
      </c>
      <c r="F1835">
        <f>tbl_AQI[[#This Row],[Most AQI Reached]]-tbl_AQI[[#This Row],[Current AQI]]</f>
        <v>13</v>
      </c>
      <c r="G18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35">
        <f>RANK(tbl_AQI[[#This Row],[Current AQI]], tbl_AQI[Current AQI], 0)</f>
        <v>2075</v>
      </c>
    </row>
    <row r="1836" spans="1:8" x14ac:dyDescent="0.35">
      <c r="A1836" t="s">
        <v>1854</v>
      </c>
      <c r="B1836" t="s">
        <v>1855</v>
      </c>
      <c r="C1836">
        <v>229</v>
      </c>
      <c r="D1836">
        <v>166</v>
      </c>
      <c r="E1836" t="s">
        <v>33</v>
      </c>
      <c r="F1836">
        <f>tbl_AQI[[#This Row],[Most AQI Reached]]-tbl_AQI[[#This Row],[Current AQI]]</f>
        <v>63</v>
      </c>
      <c r="G18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36">
        <f>RANK(tbl_AQI[[#This Row],[Current AQI]], tbl_AQI[Current AQI], 0)</f>
        <v>2007</v>
      </c>
    </row>
    <row r="1837" spans="1:8" x14ac:dyDescent="0.35">
      <c r="A1837" t="s">
        <v>1854</v>
      </c>
      <c r="B1837" t="s">
        <v>1856</v>
      </c>
      <c r="C1837">
        <v>221</v>
      </c>
      <c r="D1837">
        <v>117</v>
      </c>
      <c r="E1837" t="s">
        <v>9</v>
      </c>
      <c r="F1837">
        <f>tbl_AQI[[#This Row],[Most AQI Reached]]-tbl_AQI[[#This Row],[Current AQI]]</f>
        <v>104</v>
      </c>
      <c r="G18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37">
        <f>RANK(tbl_AQI[[#This Row],[Current AQI]], tbl_AQI[Current AQI], 0)</f>
        <v>3144</v>
      </c>
    </row>
    <row r="1838" spans="1:8" x14ac:dyDescent="0.35">
      <c r="A1838" t="s">
        <v>1854</v>
      </c>
      <c r="B1838" t="s">
        <v>1857</v>
      </c>
      <c r="C1838">
        <v>214</v>
      </c>
      <c r="D1838">
        <v>36</v>
      </c>
      <c r="E1838" t="s">
        <v>15</v>
      </c>
      <c r="F1838">
        <f>tbl_AQI[[#This Row],[Most AQI Reached]]-tbl_AQI[[#This Row],[Current AQI]]</f>
        <v>178</v>
      </c>
      <c r="G18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38">
        <f>RANK(tbl_AQI[[#This Row],[Current AQI]], tbl_AQI[Current AQI], 0)</f>
        <v>4893</v>
      </c>
    </row>
    <row r="1839" spans="1:8" x14ac:dyDescent="0.35">
      <c r="A1839" t="s">
        <v>1854</v>
      </c>
      <c r="B1839" t="s">
        <v>1858</v>
      </c>
      <c r="C1839">
        <v>158</v>
      </c>
      <c r="D1839">
        <v>132</v>
      </c>
      <c r="E1839" t="s">
        <v>9</v>
      </c>
      <c r="F1839">
        <f>tbl_AQI[[#This Row],[Most AQI Reached]]-tbl_AQI[[#This Row],[Current AQI]]</f>
        <v>26</v>
      </c>
      <c r="G18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39">
        <f>RANK(tbl_AQI[[#This Row],[Current AQI]], tbl_AQI[Current AQI], 0)</f>
        <v>2792</v>
      </c>
    </row>
    <row r="1840" spans="1:8" x14ac:dyDescent="0.35">
      <c r="A1840" t="s">
        <v>1854</v>
      </c>
      <c r="B1840" t="s">
        <v>1859</v>
      </c>
      <c r="C1840">
        <v>117</v>
      </c>
      <c r="D1840">
        <v>110</v>
      </c>
      <c r="E1840" t="s">
        <v>21</v>
      </c>
      <c r="F1840">
        <f>tbl_AQI[[#This Row],[Most AQI Reached]]-tbl_AQI[[#This Row],[Current AQI]]</f>
        <v>7</v>
      </c>
      <c r="G18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0">
        <f>RANK(tbl_AQI[[#This Row],[Current AQI]], tbl_AQI[Current AQI], 0)</f>
        <v>3302</v>
      </c>
    </row>
    <row r="1841" spans="1:8" x14ac:dyDescent="0.35">
      <c r="A1841" t="s">
        <v>1854</v>
      </c>
      <c r="B1841" t="s">
        <v>1860</v>
      </c>
      <c r="C1841">
        <v>232</v>
      </c>
      <c r="D1841">
        <v>161</v>
      </c>
      <c r="E1841" t="s">
        <v>9</v>
      </c>
      <c r="F1841">
        <f>tbl_AQI[[#This Row],[Most AQI Reached]]-tbl_AQI[[#This Row],[Current AQI]]</f>
        <v>71</v>
      </c>
      <c r="G18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1">
        <f>RANK(tbl_AQI[[#This Row],[Current AQI]], tbl_AQI[Current AQI], 0)</f>
        <v>2129</v>
      </c>
    </row>
    <row r="1842" spans="1:8" x14ac:dyDescent="0.35">
      <c r="A1842" t="s">
        <v>1854</v>
      </c>
      <c r="B1842" t="s">
        <v>1861</v>
      </c>
      <c r="C1842">
        <v>225</v>
      </c>
      <c r="D1842">
        <v>122</v>
      </c>
      <c r="E1842" t="s">
        <v>15</v>
      </c>
      <c r="F1842">
        <f>tbl_AQI[[#This Row],[Most AQI Reached]]-tbl_AQI[[#This Row],[Current AQI]]</f>
        <v>103</v>
      </c>
      <c r="G18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2">
        <f>RANK(tbl_AQI[[#This Row],[Current AQI]], tbl_AQI[Current AQI], 0)</f>
        <v>3013</v>
      </c>
    </row>
    <row r="1843" spans="1:8" x14ac:dyDescent="0.35">
      <c r="A1843" t="s">
        <v>1854</v>
      </c>
      <c r="B1843" t="s">
        <v>1862</v>
      </c>
      <c r="C1843">
        <v>271</v>
      </c>
      <c r="D1843">
        <v>131</v>
      </c>
      <c r="E1843" t="s">
        <v>9</v>
      </c>
      <c r="F1843">
        <f>tbl_AQI[[#This Row],[Most AQI Reached]]-tbl_AQI[[#This Row],[Current AQI]]</f>
        <v>140</v>
      </c>
      <c r="G18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3">
        <f>RANK(tbl_AQI[[#This Row],[Current AQI]], tbl_AQI[Current AQI], 0)</f>
        <v>2815</v>
      </c>
    </row>
    <row r="1844" spans="1:8" x14ac:dyDescent="0.35">
      <c r="A1844" t="s">
        <v>1854</v>
      </c>
      <c r="B1844" t="s">
        <v>1863</v>
      </c>
      <c r="C1844">
        <v>164</v>
      </c>
      <c r="D1844">
        <v>152</v>
      </c>
      <c r="E1844" t="s">
        <v>9</v>
      </c>
      <c r="F1844">
        <f>tbl_AQI[[#This Row],[Most AQI Reached]]-tbl_AQI[[#This Row],[Current AQI]]</f>
        <v>12</v>
      </c>
      <c r="G18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4">
        <f>RANK(tbl_AQI[[#This Row],[Current AQI]], tbl_AQI[Current AQI], 0)</f>
        <v>2349</v>
      </c>
    </row>
    <row r="1845" spans="1:8" x14ac:dyDescent="0.35">
      <c r="A1845" t="s">
        <v>1854</v>
      </c>
      <c r="B1845" t="s">
        <v>1864</v>
      </c>
      <c r="C1845">
        <v>283</v>
      </c>
      <c r="D1845">
        <v>167</v>
      </c>
      <c r="E1845" t="s">
        <v>7</v>
      </c>
      <c r="F1845">
        <f>tbl_AQI[[#This Row],[Most AQI Reached]]-tbl_AQI[[#This Row],[Current AQI]]</f>
        <v>116</v>
      </c>
      <c r="G18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5">
        <f>RANK(tbl_AQI[[#This Row],[Current AQI]], tbl_AQI[Current AQI], 0)</f>
        <v>1979</v>
      </c>
    </row>
    <row r="1846" spans="1:8" x14ac:dyDescent="0.35">
      <c r="A1846" t="s">
        <v>1854</v>
      </c>
      <c r="B1846" t="s">
        <v>1865</v>
      </c>
      <c r="C1846">
        <v>92</v>
      </c>
      <c r="D1846">
        <v>32</v>
      </c>
      <c r="E1846" t="s">
        <v>7</v>
      </c>
      <c r="F1846">
        <f>tbl_AQI[[#This Row],[Most AQI Reached]]-tbl_AQI[[#This Row],[Current AQI]]</f>
        <v>60</v>
      </c>
      <c r="G18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46">
        <f>RANK(tbl_AQI[[#This Row],[Current AQI]], tbl_AQI[Current AQI], 0)</f>
        <v>4983</v>
      </c>
    </row>
    <row r="1847" spans="1:8" x14ac:dyDescent="0.35">
      <c r="A1847" t="s">
        <v>1854</v>
      </c>
      <c r="B1847" t="s">
        <v>1866</v>
      </c>
      <c r="C1847">
        <v>120</v>
      </c>
      <c r="D1847">
        <v>105</v>
      </c>
      <c r="E1847" t="s">
        <v>15</v>
      </c>
      <c r="F1847">
        <f>tbl_AQI[[#This Row],[Most AQI Reached]]-tbl_AQI[[#This Row],[Current AQI]]</f>
        <v>15</v>
      </c>
      <c r="G18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47">
        <f>RANK(tbl_AQI[[#This Row],[Current AQI]], tbl_AQI[Current AQI], 0)</f>
        <v>3436</v>
      </c>
    </row>
    <row r="1848" spans="1:8" x14ac:dyDescent="0.35">
      <c r="A1848" t="s">
        <v>1854</v>
      </c>
      <c r="B1848" t="s">
        <v>1867</v>
      </c>
      <c r="C1848">
        <v>275</v>
      </c>
      <c r="D1848">
        <v>49</v>
      </c>
      <c r="E1848" t="s">
        <v>33</v>
      </c>
      <c r="F1848">
        <f>tbl_AQI[[#This Row],[Most AQI Reached]]-tbl_AQI[[#This Row],[Current AQI]]</f>
        <v>226</v>
      </c>
      <c r="G18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48">
        <f>RANK(tbl_AQI[[#This Row],[Current AQI]], tbl_AQI[Current AQI], 0)</f>
        <v>4614</v>
      </c>
    </row>
    <row r="1849" spans="1:8" x14ac:dyDescent="0.35">
      <c r="A1849" t="s">
        <v>1854</v>
      </c>
      <c r="B1849" t="s">
        <v>1868</v>
      </c>
      <c r="C1849">
        <v>255</v>
      </c>
      <c r="D1849">
        <v>98</v>
      </c>
      <c r="E1849" t="s">
        <v>21</v>
      </c>
      <c r="F1849">
        <f>tbl_AQI[[#This Row],[Most AQI Reached]]-tbl_AQI[[#This Row],[Current AQI]]</f>
        <v>157</v>
      </c>
      <c r="G18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49">
        <f>RANK(tbl_AQI[[#This Row],[Current AQI]], tbl_AQI[Current AQI], 0)</f>
        <v>3574</v>
      </c>
    </row>
    <row r="1850" spans="1:8" x14ac:dyDescent="0.35">
      <c r="A1850" t="s">
        <v>1854</v>
      </c>
      <c r="B1850" t="s">
        <v>1869</v>
      </c>
      <c r="C1850">
        <v>266</v>
      </c>
      <c r="D1850">
        <v>153</v>
      </c>
      <c r="E1850" t="s">
        <v>21</v>
      </c>
      <c r="F1850">
        <f>tbl_AQI[[#This Row],[Most AQI Reached]]-tbl_AQI[[#This Row],[Current AQI]]</f>
        <v>113</v>
      </c>
      <c r="G18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50">
        <f>RANK(tbl_AQI[[#This Row],[Current AQI]], tbl_AQI[Current AQI], 0)</f>
        <v>2329</v>
      </c>
    </row>
    <row r="1851" spans="1:8" x14ac:dyDescent="0.35">
      <c r="A1851" t="s">
        <v>1854</v>
      </c>
      <c r="B1851" t="s">
        <v>1870</v>
      </c>
      <c r="C1851">
        <v>248</v>
      </c>
      <c r="D1851">
        <v>91</v>
      </c>
      <c r="E1851" t="s">
        <v>11</v>
      </c>
      <c r="F1851">
        <f>tbl_AQI[[#This Row],[Most AQI Reached]]-tbl_AQI[[#This Row],[Current AQI]]</f>
        <v>157</v>
      </c>
      <c r="G18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51">
        <f>RANK(tbl_AQI[[#This Row],[Current AQI]], tbl_AQI[Current AQI], 0)</f>
        <v>3726</v>
      </c>
    </row>
    <row r="1852" spans="1:8" x14ac:dyDescent="0.35">
      <c r="A1852" t="s">
        <v>1854</v>
      </c>
      <c r="B1852" t="s">
        <v>1871</v>
      </c>
      <c r="C1852">
        <v>109</v>
      </c>
      <c r="D1852">
        <v>79</v>
      </c>
      <c r="E1852" t="s">
        <v>21</v>
      </c>
      <c r="F1852">
        <f>tbl_AQI[[#This Row],[Most AQI Reached]]-tbl_AQI[[#This Row],[Current AQI]]</f>
        <v>30</v>
      </c>
      <c r="G18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52">
        <f>RANK(tbl_AQI[[#This Row],[Current AQI]], tbl_AQI[Current AQI], 0)</f>
        <v>3967</v>
      </c>
    </row>
    <row r="1853" spans="1:8" x14ac:dyDescent="0.35">
      <c r="A1853" t="s">
        <v>1854</v>
      </c>
      <c r="B1853" t="s">
        <v>1872</v>
      </c>
      <c r="C1853">
        <v>137</v>
      </c>
      <c r="D1853">
        <v>108</v>
      </c>
      <c r="E1853" t="s">
        <v>33</v>
      </c>
      <c r="F1853">
        <f>tbl_AQI[[#This Row],[Most AQI Reached]]-tbl_AQI[[#This Row],[Current AQI]]</f>
        <v>29</v>
      </c>
      <c r="G18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53">
        <f>RANK(tbl_AQI[[#This Row],[Current AQI]], tbl_AQI[Current AQI], 0)</f>
        <v>3362</v>
      </c>
    </row>
    <row r="1854" spans="1:8" x14ac:dyDescent="0.35">
      <c r="A1854" t="s">
        <v>1854</v>
      </c>
      <c r="B1854" t="s">
        <v>1873</v>
      </c>
      <c r="C1854">
        <v>67</v>
      </c>
      <c r="D1854">
        <v>38</v>
      </c>
      <c r="E1854" t="s">
        <v>7</v>
      </c>
      <c r="F1854">
        <f>tbl_AQI[[#This Row],[Most AQI Reached]]-tbl_AQI[[#This Row],[Current AQI]]</f>
        <v>29</v>
      </c>
      <c r="G18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54">
        <f>RANK(tbl_AQI[[#This Row],[Current AQI]], tbl_AQI[Current AQI], 0)</f>
        <v>4845</v>
      </c>
    </row>
    <row r="1855" spans="1:8" x14ac:dyDescent="0.35">
      <c r="A1855" t="s">
        <v>1854</v>
      </c>
      <c r="B1855" t="s">
        <v>1874</v>
      </c>
      <c r="C1855">
        <v>72</v>
      </c>
      <c r="D1855">
        <v>50</v>
      </c>
      <c r="E1855" t="s">
        <v>7</v>
      </c>
      <c r="F1855">
        <f>tbl_AQI[[#This Row],[Most AQI Reached]]-tbl_AQI[[#This Row],[Current AQI]]</f>
        <v>22</v>
      </c>
      <c r="G18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55">
        <f>RANK(tbl_AQI[[#This Row],[Current AQI]], tbl_AQI[Current AQI], 0)</f>
        <v>4596</v>
      </c>
    </row>
    <row r="1856" spans="1:8" x14ac:dyDescent="0.35">
      <c r="A1856" t="s">
        <v>1854</v>
      </c>
      <c r="B1856" t="s">
        <v>1875</v>
      </c>
      <c r="C1856">
        <v>161</v>
      </c>
      <c r="D1856">
        <v>130</v>
      </c>
      <c r="E1856" t="s">
        <v>11</v>
      </c>
      <c r="F1856">
        <f>tbl_AQI[[#This Row],[Most AQI Reached]]-tbl_AQI[[#This Row],[Current AQI]]</f>
        <v>31</v>
      </c>
      <c r="G18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56">
        <f>RANK(tbl_AQI[[#This Row],[Current AQI]], tbl_AQI[Current AQI], 0)</f>
        <v>2832</v>
      </c>
    </row>
    <row r="1857" spans="1:8" x14ac:dyDescent="0.35">
      <c r="A1857" t="s">
        <v>1854</v>
      </c>
      <c r="B1857" t="s">
        <v>1876</v>
      </c>
      <c r="C1857">
        <v>116</v>
      </c>
      <c r="D1857">
        <v>114</v>
      </c>
      <c r="E1857" t="s">
        <v>21</v>
      </c>
      <c r="F1857">
        <f>tbl_AQI[[#This Row],[Most AQI Reached]]-tbl_AQI[[#This Row],[Current AQI]]</f>
        <v>2</v>
      </c>
      <c r="G18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57">
        <f>RANK(tbl_AQI[[#This Row],[Current AQI]], tbl_AQI[Current AQI], 0)</f>
        <v>3226</v>
      </c>
    </row>
    <row r="1858" spans="1:8" x14ac:dyDescent="0.35">
      <c r="A1858" t="s">
        <v>1854</v>
      </c>
      <c r="B1858" t="s">
        <v>1877</v>
      </c>
      <c r="C1858">
        <v>105</v>
      </c>
      <c r="D1858">
        <v>30</v>
      </c>
      <c r="E1858" t="s">
        <v>17</v>
      </c>
      <c r="F1858">
        <f>tbl_AQI[[#This Row],[Most AQI Reached]]-tbl_AQI[[#This Row],[Current AQI]]</f>
        <v>75</v>
      </c>
      <c r="G18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58">
        <f>RANK(tbl_AQI[[#This Row],[Current AQI]], tbl_AQI[Current AQI], 0)</f>
        <v>5042</v>
      </c>
    </row>
    <row r="1859" spans="1:8" x14ac:dyDescent="0.35">
      <c r="A1859" t="s">
        <v>1854</v>
      </c>
      <c r="B1859" t="s">
        <v>1878</v>
      </c>
      <c r="C1859">
        <v>144</v>
      </c>
      <c r="D1859">
        <v>111</v>
      </c>
      <c r="E1859" t="s">
        <v>17</v>
      </c>
      <c r="F1859">
        <f>tbl_AQI[[#This Row],[Most AQI Reached]]-tbl_AQI[[#This Row],[Current AQI]]</f>
        <v>33</v>
      </c>
      <c r="G18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59">
        <f>RANK(tbl_AQI[[#This Row],[Current AQI]], tbl_AQI[Current AQI], 0)</f>
        <v>3285</v>
      </c>
    </row>
    <row r="1860" spans="1:8" x14ac:dyDescent="0.35">
      <c r="A1860" t="s">
        <v>1854</v>
      </c>
      <c r="B1860" t="s">
        <v>1879</v>
      </c>
      <c r="C1860">
        <v>241</v>
      </c>
      <c r="D1860">
        <v>149</v>
      </c>
      <c r="E1860" t="s">
        <v>15</v>
      </c>
      <c r="F1860">
        <f>tbl_AQI[[#This Row],[Most AQI Reached]]-tbl_AQI[[#This Row],[Current AQI]]</f>
        <v>92</v>
      </c>
      <c r="G18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60">
        <f>RANK(tbl_AQI[[#This Row],[Current AQI]], tbl_AQI[Current AQI], 0)</f>
        <v>2426</v>
      </c>
    </row>
    <row r="1861" spans="1:8" x14ac:dyDescent="0.35">
      <c r="A1861" t="s">
        <v>1854</v>
      </c>
      <c r="B1861" t="s">
        <v>1880</v>
      </c>
      <c r="C1861">
        <v>228</v>
      </c>
      <c r="D1861">
        <v>116</v>
      </c>
      <c r="E1861" t="s">
        <v>17</v>
      </c>
      <c r="F1861">
        <f>tbl_AQI[[#This Row],[Most AQI Reached]]-tbl_AQI[[#This Row],[Current AQI]]</f>
        <v>112</v>
      </c>
      <c r="G18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61">
        <f>RANK(tbl_AQI[[#This Row],[Current AQI]], tbl_AQI[Current AQI], 0)</f>
        <v>3173</v>
      </c>
    </row>
    <row r="1862" spans="1:8" x14ac:dyDescent="0.35">
      <c r="A1862" t="s">
        <v>1854</v>
      </c>
      <c r="B1862" t="s">
        <v>1881</v>
      </c>
      <c r="C1862">
        <v>276</v>
      </c>
      <c r="D1862">
        <v>73</v>
      </c>
      <c r="E1862" t="s">
        <v>9</v>
      </c>
      <c r="F1862">
        <f>tbl_AQI[[#This Row],[Most AQI Reached]]-tbl_AQI[[#This Row],[Current AQI]]</f>
        <v>203</v>
      </c>
      <c r="G18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62">
        <f>RANK(tbl_AQI[[#This Row],[Current AQI]], tbl_AQI[Current AQI], 0)</f>
        <v>4083</v>
      </c>
    </row>
    <row r="1863" spans="1:8" x14ac:dyDescent="0.35">
      <c r="A1863" t="s">
        <v>1854</v>
      </c>
      <c r="B1863" t="s">
        <v>1882</v>
      </c>
      <c r="C1863">
        <v>87</v>
      </c>
      <c r="D1863">
        <v>76</v>
      </c>
      <c r="E1863" t="s">
        <v>33</v>
      </c>
      <c r="F1863">
        <f>tbl_AQI[[#This Row],[Most AQI Reached]]-tbl_AQI[[#This Row],[Current AQI]]</f>
        <v>11</v>
      </c>
      <c r="G18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63">
        <f>RANK(tbl_AQI[[#This Row],[Current AQI]], tbl_AQI[Current AQI], 0)</f>
        <v>4023</v>
      </c>
    </row>
    <row r="1864" spans="1:8" x14ac:dyDescent="0.35">
      <c r="A1864" t="s">
        <v>1854</v>
      </c>
      <c r="B1864" t="s">
        <v>1883</v>
      </c>
      <c r="C1864">
        <v>190</v>
      </c>
      <c r="D1864">
        <v>160</v>
      </c>
      <c r="E1864" t="s">
        <v>17</v>
      </c>
      <c r="F1864">
        <f>tbl_AQI[[#This Row],[Most AQI Reached]]-tbl_AQI[[#This Row],[Current AQI]]</f>
        <v>30</v>
      </c>
      <c r="G18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64">
        <f>RANK(tbl_AQI[[#This Row],[Current AQI]], tbl_AQI[Current AQI], 0)</f>
        <v>2154</v>
      </c>
    </row>
    <row r="1865" spans="1:8" x14ac:dyDescent="0.35">
      <c r="A1865" t="s">
        <v>1854</v>
      </c>
      <c r="B1865" t="s">
        <v>1884</v>
      </c>
      <c r="C1865">
        <v>159</v>
      </c>
      <c r="D1865">
        <v>137</v>
      </c>
      <c r="E1865" t="s">
        <v>15</v>
      </c>
      <c r="F1865">
        <f>tbl_AQI[[#This Row],[Most AQI Reached]]-tbl_AQI[[#This Row],[Current AQI]]</f>
        <v>22</v>
      </c>
      <c r="G18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65">
        <f>RANK(tbl_AQI[[#This Row],[Current AQI]], tbl_AQI[Current AQI], 0)</f>
        <v>2677</v>
      </c>
    </row>
    <row r="1866" spans="1:8" x14ac:dyDescent="0.35">
      <c r="A1866" t="s">
        <v>1854</v>
      </c>
      <c r="B1866" t="s">
        <v>1885</v>
      </c>
      <c r="C1866">
        <v>298</v>
      </c>
      <c r="D1866">
        <v>72</v>
      </c>
      <c r="E1866" t="s">
        <v>7</v>
      </c>
      <c r="F1866">
        <f>tbl_AQI[[#This Row],[Most AQI Reached]]-tbl_AQI[[#This Row],[Current AQI]]</f>
        <v>226</v>
      </c>
      <c r="G18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66">
        <f>RANK(tbl_AQI[[#This Row],[Current AQI]], tbl_AQI[Current AQI], 0)</f>
        <v>4100</v>
      </c>
    </row>
    <row r="1867" spans="1:8" x14ac:dyDescent="0.35">
      <c r="A1867" t="s">
        <v>1854</v>
      </c>
      <c r="B1867" t="s">
        <v>1886</v>
      </c>
      <c r="C1867">
        <v>265</v>
      </c>
      <c r="D1867">
        <v>188</v>
      </c>
      <c r="E1867" t="s">
        <v>33</v>
      </c>
      <c r="F1867">
        <f>tbl_AQI[[#This Row],[Most AQI Reached]]-tbl_AQI[[#This Row],[Current AQI]]</f>
        <v>77</v>
      </c>
      <c r="G18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67">
        <f>RANK(tbl_AQI[[#This Row],[Current AQI]], tbl_AQI[Current AQI], 0)</f>
        <v>1423</v>
      </c>
    </row>
    <row r="1868" spans="1:8" x14ac:dyDescent="0.35">
      <c r="A1868" t="s">
        <v>1854</v>
      </c>
      <c r="B1868" t="s">
        <v>1887</v>
      </c>
      <c r="C1868">
        <v>280</v>
      </c>
      <c r="D1868">
        <v>96</v>
      </c>
      <c r="E1868" t="s">
        <v>11</v>
      </c>
      <c r="F1868">
        <f>tbl_AQI[[#This Row],[Most AQI Reached]]-tbl_AQI[[#This Row],[Current AQI]]</f>
        <v>184</v>
      </c>
      <c r="G18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68">
        <f>RANK(tbl_AQI[[#This Row],[Current AQI]], tbl_AQI[Current AQI], 0)</f>
        <v>3616</v>
      </c>
    </row>
    <row r="1869" spans="1:8" x14ac:dyDescent="0.35">
      <c r="A1869" t="s">
        <v>1854</v>
      </c>
      <c r="B1869" t="s">
        <v>1888</v>
      </c>
      <c r="C1869">
        <v>283</v>
      </c>
      <c r="D1869">
        <v>97</v>
      </c>
      <c r="E1869" t="s">
        <v>9</v>
      </c>
      <c r="F1869">
        <f>tbl_AQI[[#This Row],[Most AQI Reached]]-tbl_AQI[[#This Row],[Current AQI]]</f>
        <v>186</v>
      </c>
      <c r="G18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69">
        <f>RANK(tbl_AQI[[#This Row],[Current AQI]], tbl_AQI[Current AQI], 0)</f>
        <v>3593</v>
      </c>
    </row>
    <row r="1870" spans="1:8" x14ac:dyDescent="0.35">
      <c r="A1870" t="s">
        <v>1854</v>
      </c>
      <c r="B1870" t="s">
        <v>1889</v>
      </c>
      <c r="C1870">
        <v>295</v>
      </c>
      <c r="D1870">
        <v>189</v>
      </c>
      <c r="E1870" t="s">
        <v>9</v>
      </c>
      <c r="F1870">
        <f>tbl_AQI[[#This Row],[Most AQI Reached]]-tbl_AQI[[#This Row],[Current AQI]]</f>
        <v>106</v>
      </c>
      <c r="G18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70">
        <f>RANK(tbl_AQI[[#This Row],[Current AQI]], tbl_AQI[Current AQI], 0)</f>
        <v>1395</v>
      </c>
    </row>
    <row r="1871" spans="1:8" x14ac:dyDescent="0.35">
      <c r="A1871" t="s">
        <v>1854</v>
      </c>
      <c r="B1871" t="s">
        <v>1890</v>
      </c>
      <c r="C1871">
        <v>249</v>
      </c>
      <c r="D1871">
        <v>101</v>
      </c>
      <c r="E1871" t="s">
        <v>21</v>
      </c>
      <c r="F1871">
        <f>tbl_AQI[[#This Row],[Most AQI Reached]]-tbl_AQI[[#This Row],[Current AQI]]</f>
        <v>148</v>
      </c>
      <c r="G18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71">
        <f>RANK(tbl_AQI[[#This Row],[Current AQI]], tbl_AQI[Current AQI], 0)</f>
        <v>3515</v>
      </c>
    </row>
    <row r="1872" spans="1:8" x14ac:dyDescent="0.35">
      <c r="A1872" t="s">
        <v>1854</v>
      </c>
      <c r="B1872" t="s">
        <v>1891</v>
      </c>
      <c r="C1872">
        <v>140</v>
      </c>
      <c r="D1872">
        <v>104</v>
      </c>
      <c r="E1872" t="s">
        <v>21</v>
      </c>
      <c r="F1872">
        <f>tbl_AQI[[#This Row],[Most AQI Reached]]-tbl_AQI[[#This Row],[Current AQI]]</f>
        <v>36</v>
      </c>
      <c r="G18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72">
        <f>RANK(tbl_AQI[[#This Row],[Current AQI]], tbl_AQI[Current AQI], 0)</f>
        <v>3454</v>
      </c>
    </row>
    <row r="1873" spans="1:8" x14ac:dyDescent="0.35">
      <c r="A1873" t="s">
        <v>1854</v>
      </c>
      <c r="B1873" t="s">
        <v>1892</v>
      </c>
      <c r="C1873">
        <v>113</v>
      </c>
      <c r="D1873">
        <v>60</v>
      </c>
      <c r="E1873" t="s">
        <v>17</v>
      </c>
      <c r="F1873">
        <f>tbl_AQI[[#This Row],[Most AQI Reached]]-tbl_AQI[[#This Row],[Current AQI]]</f>
        <v>53</v>
      </c>
      <c r="G18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73">
        <f>RANK(tbl_AQI[[#This Row],[Current AQI]], tbl_AQI[Current AQI], 0)</f>
        <v>4390</v>
      </c>
    </row>
    <row r="1874" spans="1:8" x14ac:dyDescent="0.35">
      <c r="A1874" t="s">
        <v>1854</v>
      </c>
      <c r="B1874" t="s">
        <v>1893</v>
      </c>
      <c r="C1874">
        <v>299</v>
      </c>
      <c r="D1874">
        <v>31</v>
      </c>
      <c r="E1874" t="s">
        <v>15</v>
      </c>
      <c r="F1874">
        <f>tbl_AQI[[#This Row],[Most AQI Reached]]-tbl_AQI[[#This Row],[Current AQI]]</f>
        <v>268</v>
      </c>
      <c r="G18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74">
        <f>RANK(tbl_AQI[[#This Row],[Current AQI]], tbl_AQI[Current AQI], 0)</f>
        <v>5016</v>
      </c>
    </row>
    <row r="1875" spans="1:8" x14ac:dyDescent="0.35">
      <c r="A1875" t="s">
        <v>1854</v>
      </c>
      <c r="B1875" t="s">
        <v>1894</v>
      </c>
      <c r="C1875">
        <v>150</v>
      </c>
      <c r="D1875">
        <v>142</v>
      </c>
      <c r="E1875" t="s">
        <v>21</v>
      </c>
      <c r="F1875">
        <f>tbl_AQI[[#This Row],[Most AQI Reached]]-tbl_AQI[[#This Row],[Current AQI]]</f>
        <v>8</v>
      </c>
      <c r="G18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75">
        <f>RANK(tbl_AQI[[#This Row],[Current AQI]], tbl_AQI[Current AQI], 0)</f>
        <v>2585</v>
      </c>
    </row>
    <row r="1876" spans="1:8" x14ac:dyDescent="0.35">
      <c r="A1876" t="s">
        <v>1854</v>
      </c>
      <c r="B1876" t="s">
        <v>1895</v>
      </c>
      <c r="C1876">
        <v>178</v>
      </c>
      <c r="D1876">
        <v>50</v>
      </c>
      <c r="E1876" t="s">
        <v>7</v>
      </c>
      <c r="F1876">
        <f>tbl_AQI[[#This Row],[Most AQI Reached]]-tbl_AQI[[#This Row],[Current AQI]]</f>
        <v>128</v>
      </c>
      <c r="G18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76">
        <f>RANK(tbl_AQI[[#This Row],[Current AQI]], tbl_AQI[Current AQI], 0)</f>
        <v>4596</v>
      </c>
    </row>
    <row r="1877" spans="1:8" x14ac:dyDescent="0.35">
      <c r="A1877" t="s">
        <v>1854</v>
      </c>
      <c r="B1877" t="s">
        <v>1896</v>
      </c>
      <c r="C1877">
        <v>222</v>
      </c>
      <c r="D1877">
        <v>48</v>
      </c>
      <c r="E1877" t="s">
        <v>15</v>
      </c>
      <c r="F1877">
        <f>tbl_AQI[[#This Row],[Most AQI Reached]]-tbl_AQI[[#This Row],[Current AQI]]</f>
        <v>174</v>
      </c>
      <c r="G18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77">
        <f>RANK(tbl_AQI[[#This Row],[Current AQI]], tbl_AQI[Current AQI], 0)</f>
        <v>4638</v>
      </c>
    </row>
    <row r="1878" spans="1:8" x14ac:dyDescent="0.35">
      <c r="A1878" t="s">
        <v>1854</v>
      </c>
      <c r="B1878" t="s">
        <v>1897</v>
      </c>
      <c r="C1878">
        <v>117</v>
      </c>
      <c r="D1878">
        <v>104</v>
      </c>
      <c r="E1878" t="s">
        <v>11</v>
      </c>
      <c r="F1878">
        <f>tbl_AQI[[#This Row],[Most AQI Reached]]-tbl_AQI[[#This Row],[Current AQI]]</f>
        <v>13</v>
      </c>
      <c r="G18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78">
        <f>RANK(tbl_AQI[[#This Row],[Current AQI]], tbl_AQI[Current AQI], 0)</f>
        <v>3454</v>
      </c>
    </row>
    <row r="1879" spans="1:8" x14ac:dyDescent="0.35">
      <c r="A1879" t="s">
        <v>1854</v>
      </c>
      <c r="B1879" t="s">
        <v>1898</v>
      </c>
      <c r="C1879">
        <v>222</v>
      </c>
      <c r="D1879">
        <v>156</v>
      </c>
      <c r="E1879" t="s">
        <v>7</v>
      </c>
      <c r="F1879">
        <f>tbl_AQI[[#This Row],[Most AQI Reached]]-tbl_AQI[[#This Row],[Current AQI]]</f>
        <v>66</v>
      </c>
      <c r="G18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79">
        <f>RANK(tbl_AQI[[#This Row],[Current AQI]], tbl_AQI[Current AQI], 0)</f>
        <v>2251</v>
      </c>
    </row>
    <row r="1880" spans="1:8" x14ac:dyDescent="0.35">
      <c r="A1880" t="s">
        <v>1854</v>
      </c>
      <c r="B1880" t="s">
        <v>1899</v>
      </c>
      <c r="C1880">
        <v>315</v>
      </c>
      <c r="D1880">
        <v>167</v>
      </c>
      <c r="E1880" t="s">
        <v>11</v>
      </c>
      <c r="F1880">
        <f>tbl_AQI[[#This Row],[Most AQI Reached]]-tbl_AQI[[#This Row],[Current AQI]]</f>
        <v>148</v>
      </c>
      <c r="G18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80">
        <f>RANK(tbl_AQI[[#This Row],[Current AQI]], tbl_AQI[Current AQI], 0)</f>
        <v>1979</v>
      </c>
    </row>
    <row r="1881" spans="1:8" x14ac:dyDescent="0.35">
      <c r="A1881" t="s">
        <v>1854</v>
      </c>
      <c r="B1881" t="s">
        <v>1900</v>
      </c>
      <c r="C1881">
        <v>276</v>
      </c>
      <c r="D1881">
        <v>182</v>
      </c>
      <c r="E1881" t="s">
        <v>17</v>
      </c>
      <c r="F1881">
        <f>tbl_AQI[[#This Row],[Most AQI Reached]]-tbl_AQI[[#This Row],[Current AQI]]</f>
        <v>94</v>
      </c>
      <c r="G18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81">
        <f>RANK(tbl_AQI[[#This Row],[Current AQI]], tbl_AQI[Current AQI], 0)</f>
        <v>1593</v>
      </c>
    </row>
    <row r="1882" spans="1:8" x14ac:dyDescent="0.35">
      <c r="A1882" t="s">
        <v>1854</v>
      </c>
      <c r="B1882" t="s">
        <v>1901</v>
      </c>
      <c r="C1882">
        <v>78</v>
      </c>
      <c r="D1882">
        <v>40</v>
      </c>
      <c r="E1882" t="s">
        <v>21</v>
      </c>
      <c r="F1882">
        <f>tbl_AQI[[#This Row],[Most AQI Reached]]-tbl_AQI[[#This Row],[Current AQI]]</f>
        <v>38</v>
      </c>
      <c r="G18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82">
        <f>RANK(tbl_AQI[[#This Row],[Current AQI]], tbl_AQI[Current AQI], 0)</f>
        <v>4808</v>
      </c>
    </row>
    <row r="1883" spans="1:8" x14ac:dyDescent="0.35">
      <c r="A1883" t="s">
        <v>1854</v>
      </c>
      <c r="B1883" t="s">
        <v>1902</v>
      </c>
      <c r="C1883">
        <v>304</v>
      </c>
      <c r="D1883">
        <v>166</v>
      </c>
      <c r="E1883" t="s">
        <v>7</v>
      </c>
      <c r="F1883">
        <f>tbl_AQI[[#This Row],[Most AQI Reached]]-tbl_AQI[[#This Row],[Current AQI]]</f>
        <v>138</v>
      </c>
      <c r="G18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83">
        <f>RANK(tbl_AQI[[#This Row],[Current AQI]], tbl_AQI[Current AQI], 0)</f>
        <v>2007</v>
      </c>
    </row>
    <row r="1884" spans="1:8" x14ac:dyDescent="0.35">
      <c r="A1884" t="s">
        <v>1854</v>
      </c>
      <c r="B1884" t="s">
        <v>1903</v>
      </c>
      <c r="C1884">
        <v>271</v>
      </c>
      <c r="D1884">
        <v>109</v>
      </c>
      <c r="E1884" t="s">
        <v>15</v>
      </c>
      <c r="F1884">
        <f>tbl_AQI[[#This Row],[Most AQI Reached]]-tbl_AQI[[#This Row],[Current AQI]]</f>
        <v>162</v>
      </c>
      <c r="G18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84">
        <f>RANK(tbl_AQI[[#This Row],[Current AQI]], tbl_AQI[Current AQI], 0)</f>
        <v>3338</v>
      </c>
    </row>
    <row r="1885" spans="1:8" x14ac:dyDescent="0.35">
      <c r="A1885" t="s">
        <v>1854</v>
      </c>
      <c r="B1885" t="s">
        <v>1904</v>
      </c>
      <c r="C1885">
        <v>145</v>
      </c>
      <c r="D1885">
        <v>90</v>
      </c>
      <c r="E1885" t="s">
        <v>21</v>
      </c>
      <c r="F1885">
        <f>tbl_AQI[[#This Row],[Most AQI Reached]]-tbl_AQI[[#This Row],[Current AQI]]</f>
        <v>55</v>
      </c>
      <c r="G18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85">
        <f>RANK(tbl_AQI[[#This Row],[Current AQI]], tbl_AQI[Current AQI], 0)</f>
        <v>3750</v>
      </c>
    </row>
    <row r="1886" spans="1:8" x14ac:dyDescent="0.35">
      <c r="A1886" t="s">
        <v>1854</v>
      </c>
      <c r="B1886" t="s">
        <v>1905</v>
      </c>
      <c r="C1886">
        <v>142</v>
      </c>
      <c r="D1886">
        <v>97</v>
      </c>
      <c r="E1886" t="s">
        <v>7</v>
      </c>
      <c r="F1886">
        <f>tbl_AQI[[#This Row],[Most AQI Reached]]-tbl_AQI[[#This Row],[Current AQI]]</f>
        <v>45</v>
      </c>
      <c r="G18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86">
        <f>RANK(tbl_AQI[[#This Row],[Current AQI]], tbl_AQI[Current AQI], 0)</f>
        <v>3593</v>
      </c>
    </row>
    <row r="1887" spans="1:8" x14ac:dyDescent="0.35">
      <c r="A1887" t="s">
        <v>1854</v>
      </c>
      <c r="B1887" t="s">
        <v>1906</v>
      </c>
      <c r="C1887">
        <v>217</v>
      </c>
      <c r="D1887">
        <v>67</v>
      </c>
      <c r="E1887" t="s">
        <v>33</v>
      </c>
      <c r="F1887">
        <f>tbl_AQI[[#This Row],[Most AQI Reached]]-tbl_AQI[[#This Row],[Current AQI]]</f>
        <v>150</v>
      </c>
      <c r="G18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87">
        <f>RANK(tbl_AQI[[#This Row],[Current AQI]], tbl_AQI[Current AQI], 0)</f>
        <v>4225</v>
      </c>
    </row>
    <row r="1888" spans="1:8" x14ac:dyDescent="0.35">
      <c r="A1888" t="s">
        <v>1854</v>
      </c>
      <c r="B1888" t="s">
        <v>1907</v>
      </c>
      <c r="C1888">
        <v>235</v>
      </c>
      <c r="D1888">
        <v>107</v>
      </c>
      <c r="E1888" t="s">
        <v>17</v>
      </c>
      <c r="F1888">
        <f>tbl_AQI[[#This Row],[Most AQI Reached]]-tbl_AQI[[#This Row],[Current AQI]]</f>
        <v>128</v>
      </c>
      <c r="G18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88">
        <f>RANK(tbl_AQI[[#This Row],[Current AQI]], tbl_AQI[Current AQI], 0)</f>
        <v>3387</v>
      </c>
    </row>
    <row r="1889" spans="1:8" x14ac:dyDescent="0.35">
      <c r="A1889" t="s">
        <v>1854</v>
      </c>
      <c r="B1889" t="s">
        <v>1908</v>
      </c>
      <c r="C1889">
        <v>208</v>
      </c>
      <c r="D1889">
        <v>114</v>
      </c>
      <c r="E1889" t="s">
        <v>7</v>
      </c>
      <c r="F1889">
        <f>tbl_AQI[[#This Row],[Most AQI Reached]]-tbl_AQI[[#This Row],[Current AQI]]</f>
        <v>94</v>
      </c>
      <c r="G18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89">
        <f>RANK(tbl_AQI[[#This Row],[Current AQI]], tbl_AQI[Current AQI], 0)</f>
        <v>3226</v>
      </c>
    </row>
    <row r="1890" spans="1:8" x14ac:dyDescent="0.35">
      <c r="A1890" t="s">
        <v>1854</v>
      </c>
      <c r="B1890" t="s">
        <v>1909</v>
      </c>
      <c r="C1890">
        <v>304</v>
      </c>
      <c r="D1890">
        <v>170</v>
      </c>
      <c r="E1890" t="s">
        <v>9</v>
      </c>
      <c r="F1890">
        <f>tbl_AQI[[#This Row],[Most AQI Reached]]-tbl_AQI[[#This Row],[Current AQI]]</f>
        <v>134</v>
      </c>
      <c r="G18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90">
        <f>RANK(tbl_AQI[[#This Row],[Current AQI]], tbl_AQI[Current AQI], 0)</f>
        <v>1898</v>
      </c>
    </row>
    <row r="1891" spans="1:8" x14ac:dyDescent="0.35">
      <c r="A1891" t="s">
        <v>1854</v>
      </c>
      <c r="B1891" t="s">
        <v>1910</v>
      </c>
      <c r="C1891">
        <v>200</v>
      </c>
      <c r="D1891">
        <v>36</v>
      </c>
      <c r="E1891" t="s">
        <v>7</v>
      </c>
      <c r="F1891">
        <f>tbl_AQI[[#This Row],[Most AQI Reached]]-tbl_AQI[[#This Row],[Current AQI]]</f>
        <v>164</v>
      </c>
      <c r="G18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891">
        <f>RANK(tbl_AQI[[#This Row],[Current AQI]], tbl_AQI[Current AQI], 0)</f>
        <v>4893</v>
      </c>
    </row>
    <row r="1892" spans="1:8" x14ac:dyDescent="0.35">
      <c r="A1892" t="s">
        <v>1854</v>
      </c>
      <c r="B1892" t="s">
        <v>1911</v>
      </c>
      <c r="C1892">
        <v>164</v>
      </c>
      <c r="D1892">
        <v>138</v>
      </c>
      <c r="E1892" t="s">
        <v>11</v>
      </c>
      <c r="F1892">
        <f>tbl_AQI[[#This Row],[Most AQI Reached]]-tbl_AQI[[#This Row],[Current AQI]]</f>
        <v>26</v>
      </c>
      <c r="G18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92">
        <f>RANK(tbl_AQI[[#This Row],[Current AQI]], tbl_AQI[Current AQI], 0)</f>
        <v>2660</v>
      </c>
    </row>
    <row r="1893" spans="1:8" x14ac:dyDescent="0.35">
      <c r="A1893" t="s">
        <v>1854</v>
      </c>
      <c r="B1893" t="s">
        <v>1912</v>
      </c>
      <c r="C1893">
        <v>180</v>
      </c>
      <c r="D1893">
        <v>89</v>
      </c>
      <c r="E1893" t="s">
        <v>33</v>
      </c>
      <c r="F1893">
        <f>tbl_AQI[[#This Row],[Most AQI Reached]]-tbl_AQI[[#This Row],[Current AQI]]</f>
        <v>91</v>
      </c>
      <c r="G18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93">
        <f>RANK(tbl_AQI[[#This Row],[Current AQI]], tbl_AQI[Current AQI], 0)</f>
        <v>3772</v>
      </c>
    </row>
    <row r="1894" spans="1:8" x14ac:dyDescent="0.35">
      <c r="A1894" t="s">
        <v>1854</v>
      </c>
      <c r="B1894" t="s">
        <v>1913</v>
      </c>
      <c r="C1894">
        <v>222</v>
      </c>
      <c r="D1894">
        <v>162</v>
      </c>
      <c r="E1894" t="s">
        <v>11</v>
      </c>
      <c r="F1894">
        <f>tbl_AQI[[#This Row],[Most AQI Reached]]-tbl_AQI[[#This Row],[Current AQI]]</f>
        <v>60</v>
      </c>
      <c r="G18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94">
        <f>RANK(tbl_AQI[[#This Row],[Current AQI]], tbl_AQI[Current AQI], 0)</f>
        <v>2106</v>
      </c>
    </row>
    <row r="1895" spans="1:8" x14ac:dyDescent="0.35">
      <c r="A1895" t="s">
        <v>1854</v>
      </c>
      <c r="B1895" t="s">
        <v>1914</v>
      </c>
      <c r="C1895">
        <v>228</v>
      </c>
      <c r="D1895">
        <v>127</v>
      </c>
      <c r="E1895" t="s">
        <v>21</v>
      </c>
      <c r="F1895">
        <f>tbl_AQI[[#This Row],[Most AQI Reached]]-tbl_AQI[[#This Row],[Current AQI]]</f>
        <v>101</v>
      </c>
      <c r="G18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95">
        <f>RANK(tbl_AQI[[#This Row],[Current AQI]], tbl_AQI[Current AQI], 0)</f>
        <v>2909</v>
      </c>
    </row>
    <row r="1896" spans="1:8" x14ac:dyDescent="0.35">
      <c r="A1896" t="s">
        <v>1854</v>
      </c>
      <c r="B1896" t="s">
        <v>1915</v>
      </c>
      <c r="C1896">
        <v>287</v>
      </c>
      <c r="D1896">
        <v>59</v>
      </c>
      <c r="E1896" t="s">
        <v>15</v>
      </c>
      <c r="F1896">
        <f>tbl_AQI[[#This Row],[Most AQI Reached]]-tbl_AQI[[#This Row],[Current AQI]]</f>
        <v>228</v>
      </c>
      <c r="G18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96">
        <f>RANK(tbl_AQI[[#This Row],[Current AQI]], tbl_AQI[Current AQI], 0)</f>
        <v>4416</v>
      </c>
    </row>
    <row r="1897" spans="1:8" x14ac:dyDescent="0.35">
      <c r="A1897" t="s">
        <v>1854</v>
      </c>
      <c r="B1897" t="s">
        <v>1916</v>
      </c>
      <c r="C1897">
        <v>142</v>
      </c>
      <c r="D1897">
        <v>131</v>
      </c>
      <c r="E1897" t="s">
        <v>11</v>
      </c>
      <c r="F1897">
        <f>tbl_AQI[[#This Row],[Most AQI Reached]]-tbl_AQI[[#This Row],[Current AQI]]</f>
        <v>11</v>
      </c>
      <c r="G18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97">
        <f>RANK(tbl_AQI[[#This Row],[Current AQI]], tbl_AQI[Current AQI], 0)</f>
        <v>2815</v>
      </c>
    </row>
    <row r="1898" spans="1:8" x14ac:dyDescent="0.35">
      <c r="A1898" t="s">
        <v>1854</v>
      </c>
      <c r="B1898" t="s">
        <v>1917</v>
      </c>
      <c r="C1898">
        <v>320</v>
      </c>
      <c r="D1898">
        <v>123</v>
      </c>
      <c r="E1898" t="s">
        <v>11</v>
      </c>
      <c r="F1898">
        <f>tbl_AQI[[#This Row],[Most AQI Reached]]-tbl_AQI[[#This Row],[Current AQI]]</f>
        <v>197</v>
      </c>
      <c r="G18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898">
        <f>RANK(tbl_AQI[[#This Row],[Current AQI]], tbl_AQI[Current AQI], 0)</f>
        <v>2983</v>
      </c>
    </row>
    <row r="1899" spans="1:8" x14ac:dyDescent="0.35">
      <c r="A1899" t="s">
        <v>1854</v>
      </c>
      <c r="B1899" t="s">
        <v>1918</v>
      </c>
      <c r="C1899">
        <v>172</v>
      </c>
      <c r="D1899">
        <v>74</v>
      </c>
      <c r="E1899" t="s">
        <v>33</v>
      </c>
      <c r="F1899">
        <f>tbl_AQI[[#This Row],[Most AQI Reached]]-tbl_AQI[[#This Row],[Current AQI]]</f>
        <v>98</v>
      </c>
      <c r="G18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899">
        <f>RANK(tbl_AQI[[#This Row],[Current AQI]], tbl_AQI[Current AQI], 0)</f>
        <v>4064</v>
      </c>
    </row>
    <row r="1900" spans="1:8" x14ac:dyDescent="0.35">
      <c r="A1900" t="s">
        <v>1854</v>
      </c>
      <c r="B1900" t="s">
        <v>1919</v>
      </c>
      <c r="C1900">
        <v>156</v>
      </c>
      <c r="D1900">
        <v>33</v>
      </c>
      <c r="E1900" t="s">
        <v>17</v>
      </c>
      <c r="F1900">
        <f>tbl_AQI[[#This Row],[Most AQI Reached]]-tbl_AQI[[#This Row],[Current AQI]]</f>
        <v>123</v>
      </c>
      <c r="G19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00">
        <f>RANK(tbl_AQI[[#This Row],[Current AQI]], tbl_AQI[Current AQI], 0)</f>
        <v>4964</v>
      </c>
    </row>
    <row r="1901" spans="1:8" x14ac:dyDescent="0.35">
      <c r="A1901" t="s">
        <v>1854</v>
      </c>
      <c r="B1901" t="s">
        <v>1920</v>
      </c>
      <c r="C1901">
        <v>228</v>
      </c>
      <c r="D1901">
        <v>91</v>
      </c>
      <c r="E1901" t="s">
        <v>33</v>
      </c>
      <c r="F1901">
        <f>tbl_AQI[[#This Row],[Most AQI Reached]]-tbl_AQI[[#This Row],[Current AQI]]</f>
        <v>137</v>
      </c>
      <c r="G19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01">
        <f>RANK(tbl_AQI[[#This Row],[Current AQI]], tbl_AQI[Current AQI], 0)</f>
        <v>3726</v>
      </c>
    </row>
    <row r="1902" spans="1:8" x14ac:dyDescent="0.35">
      <c r="A1902" t="s">
        <v>1854</v>
      </c>
      <c r="B1902" t="s">
        <v>1921</v>
      </c>
      <c r="C1902">
        <v>170</v>
      </c>
      <c r="D1902">
        <v>33</v>
      </c>
      <c r="E1902" t="s">
        <v>15</v>
      </c>
      <c r="F1902">
        <f>tbl_AQI[[#This Row],[Most AQI Reached]]-tbl_AQI[[#This Row],[Current AQI]]</f>
        <v>137</v>
      </c>
      <c r="G19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02">
        <f>RANK(tbl_AQI[[#This Row],[Current AQI]], tbl_AQI[Current AQI], 0)</f>
        <v>4964</v>
      </c>
    </row>
    <row r="1903" spans="1:8" x14ac:dyDescent="0.35">
      <c r="A1903" t="s">
        <v>1854</v>
      </c>
      <c r="B1903" t="s">
        <v>1922</v>
      </c>
      <c r="C1903">
        <v>239</v>
      </c>
      <c r="D1903">
        <v>172</v>
      </c>
      <c r="E1903" t="s">
        <v>15</v>
      </c>
      <c r="F1903">
        <f>tbl_AQI[[#This Row],[Most AQI Reached]]-tbl_AQI[[#This Row],[Current AQI]]</f>
        <v>67</v>
      </c>
      <c r="G19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03">
        <f>RANK(tbl_AQI[[#This Row],[Current AQI]], tbl_AQI[Current AQI], 0)</f>
        <v>1852</v>
      </c>
    </row>
    <row r="1904" spans="1:8" x14ac:dyDescent="0.35">
      <c r="A1904" t="s">
        <v>1854</v>
      </c>
      <c r="B1904" t="s">
        <v>1923</v>
      </c>
      <c r="C1904">
        <v>159</v>
      </c>
      <c r="D1904">
        <v>89</v>
      </c>
      <c r="E1904" t="s">
        <v>15</v>
      </c>
      <c r="F1904">
        <f>tbl_AQI[[#This Row],[Most AQI Reached]]-tbl_AQI[[#This Row],[Current AQI]]</f>
        <v>70</v>
      </c>
      <c r="G19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04">
        <f>RANK(tbl_AQI[[#This Row],[Current AQI]], tbl_AQI[Current AQI], 0)</f>
        <v>3772</v>
      </c>
    </row>
    <row r="1905" spans="1:8" x14ac:dyDescent="0.35">
      <c r="A1905" t="s">
        <v>1854</v>
      </c>
      <c r="B1905" t="s">
        <v>1924</v>
      </c>
      <c r="C1905">
        <v>311</v>
      </c>
      <c r="D1905">
        <v>146</v>
      </c>
      <c r="E1905" t="s">
        <v>33</v>
      </c>
      <c r="F1905">
        <f>tbl_AQI[[#This Row],[Most AQI Reached]]-tbl_AQI[[#This Row],[Current AQI]]</f>
        <v>165</v>
      </c>
      <c r="G19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05">
        <f>RANK(tbl_AQI[[#This Row],[Current AQI]], tbl_AQI[Current AQI], 0)</f>
        <v>2499</v>
      </c>
    </row>
    <row r="1906" spans="1:8" x14ac:dyDescent="0.35">
      <c r="A1906" t="s">
        <v>1854</v>
      </c>
      <c r="B1906" t="s">
        <v>1925</v>
      </c>
      <c r="C1906">
        <v>165</v>
      </c>
      <c r="D1906">
        <v>142</v>
      </c>
      <c r="E1906" t="s">
        <v>9</v>
      </c>
      <c r="F1906">
        <f>tbl_AQI[[#This Row],[Most AQI Reached]]-tbl_AQI[[#This Row],[Current AQI]]</f>
        <v>23</v>
      </c>
      <c r="G19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06">
        <f>RANK(tbl_AQI[[#This Row],[Current AQI]], tbl_AQI[Current AQI], 0)</f>
        <v>2585</v>
      </c>
    </row>
    <row r="1907" spans="1:8" x14ac:dyDescent="0.35">
      <c r="A1907" t="s">
        <v>1854</v>
      </c>
      <c r="B1907" t="s">
        <v>1926</v>
      </c>
      <c r="C1907">
        <v>161</v>
      </c>
      <c r="D1907">
        <v>56</v>
      </c>
      <c r="E1907" t="s">
        <v>11</v>
      </c>
      <c r="F1907">
        <f>tbl_AQI[[#This Row],[Most AQI Reached]]-tbl_AQI[[#This Row],[Current AQI]]</f>
        <v>105</v>
      </c>
      <c r="G19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07">
        <f>RANK(tbl_AQI[[#This Row],[Current AQI]], tbl_AQI[Current AQI], 0)</f>
        <v>4474</v>
      </c>
    </row>
    <row r="1908" spans="1:8" x14ac:dyDescent="0.35">
      <c r="A1908" t="s">
        <v>1854</v>
      </c>
      <c r="B1908" t="s">
        <v>1927</v>
      </c>
      <c r="C1908">
        <v>278</v>
      </c>
      <c r="D1908">
        <v>140</v>
      </c>
      <c r="E1908" t="s">
        <v>33</v>
      </c>
      <c r="F1908">
        <f>tbl_AQI[[#This Row],[Most AQI Reached]]-tbl_AQI[[#This Row],[Current AQI]]</f>
        <v>138</v>
      </c>
      <c r="G19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08">
        <f>RANK(tbl_AQI[[#This Row],[Current AQI]], tbl_AQI[Current AQI], 0)</f>
        <v>2627</v>
      </c>
    </row>
    <row r="1909" spans="1:8" x14ac:dyDescent="0.35">
      <c r="A1909" t="s">
        <v>1854</v>
      </c>
      <c r="B1909" t="s">
        <v>1928</v>
      </c>
      <c r="C1909">
        <v>131</v>
      </c>
      <c r="D1909">
        <v>31</v>
      </c>
      <c r="E1909" t="s">
        <v>11</v>
      </c>
      <c r="F1909">
        <f>tbl_AQI[[#This Row],[Most AQI Reached]]-tbl_AQI[[#This Row],[Current AQI]]</f>
        <v>100</v>
      </c>
      <c r="G19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09">
        <f>RANK(tbl_AQI[[#This Row],[Current AQI]], tbl_AQI[Current AQI], 0)</f>
        <v>5016</v>
      </c>
    </row>
    <row r="1910" spans="1:8" x14ac:dyDescent="0.35">
      <c r="A1910" t="s">
        <v>1854</v>
      </c>
      <c r="B1910" t="s">
        <v>1929</v>
      </c>
      <c r="C1910">
        <v>258</v>
      </c>
      <c r="D1910">
        <v>107</v>
      </c>
      <c r="E1910" t="s">
        <v>11</v>
      </c>
      <c r="F1910">
        <f>tbl_AQI[[#This Row],[Most AQI Reached]]-tbl_AQI[[#This Row],[Current AQI]]</f>
        <v>151</v>
      </c>
      <c r="G19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10">
        <f>RANK(tbl_AQI[[#This Row],[Current AQI]], tbl_AQI[Current AQI], 0)</f>
        <v>3387</v>
      </c>
    </row>
    <row r="1911" spans="1:8" x14ac:dyDescent="0.35">
      <c r="A1911" t="s">
        <v>1854</v>
      </c>
      <c r="B1911" t="s">
        <v>1930</v>
      </c>
      <c r="C1911">
        <v>225</v>
      </c>
      <c r="D1911">
        <v>184</v>
      </c>
      <c r="E1911" t="s">
        <v>21</v>
      </c>
      <c r="F1911">
        <f>tbl_AQI[[#This Row],[Most AQI Reached]]-tbl_AQI[[#This Row],[Current AQI]]</f>
        <v>41</v>
      </c>
      <c r="G19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11">
        <f>RANK(tbl_AQI[[#This Row],[Current AQI]], tbl_AQI[Current AQI], 0)</f>
        <v>1544</v>
      </c>
    </row>
    <row r="1912" spans="1:8" x14ac:dyDescent="0.35">
      <c r="A1912" t="s">
        <v>1854</v>
      </c>
      <c r="B1912" t="s">
        <v>1931</v>
      </c>
      <c r="C1912">
        <v>259</v>
      </c>
      <c r="D1912">
        <v>89</v>
      </c>
      <c r="E1912" t="s">
        <v>17</v>
      </c>
      <c r="F1912">
        <f>tbl_AQI[[#This Row],[Most AQI Reached]]-tbl_AQI[[#This Row],[Current AQI]]</f>
        <v>170</v>
      </c>
      <c r="G19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12">
        <f>RANK(tbl_AQI[[#This Row],[Current AQI]], tbl_AQI[Current AQI], 0)</f>
        <v>3772</v>
      </c>
    </row>
    <row r="1913" spans="1:8" x14ac:dyDescent="0.35">
      <c r="A1913" t="s">
        <v>1854</v>
      </c>
      <c r="B1913" t="s">
        <v>1932</v>
      </c>
      <c r="C1913">
        <v>276</v>
      </c>
      <c r="D1913">
        <v>76</v>
      </c>
      <c r="E1913" t="s">
        <v>15</v>
      </c>
      <c r="F1913">
        <f>tbl_AQI[[#This Row],[Most AQI Reached]]-tbl_AQI[[#This Row],[Current AQI]]</f>
        <v>200</v>
      </c>
      <c r="G19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13">
        <f>RANK(tbl_AQI[[#This Row],[Current AQI]], tbl_AQI[Current AQI], 0)</f>
        <v>4023</v>
      </c>
    </row>
    <row r="1914" spans="1:8" x14ac:dyDescent="0.35">
      <c r="A1914" t="s">
        <v>1854</v>
      </c>
      <c r="B1914" t="s">
        <v>1933</v>
      </c>
      <c r="C1914">
        <v>283</v>
      </c>
      <c r="D1914">
        <v>147</v>
      </c>
      <c r="E1914" t="s">
        <v>15</v>
      </c>
      <c r="F1914">
        <f>tbl_AQI[[#This Row],[Most AQI Reached]]-tbl_AQI[[#This Row],[Current AQI]]</f>
        <v>136</v>
      </c>
      <c r="G19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14">
        <f>RANK(tbl_AQI[[#This Row],[Current AQI]], tbl_AQI[Current AQI], 0)</f>
        <v>2478</v>
      </c>
    </row>
    <row r="1915" spans="1:8" x14ac:dyDescent="0.35">
      <c r="A1915" t="s">
        <v>1854</v>
      </c>
      <c r="B1915" t="s">
        <v>1934</v>
      </c>
      <c r="C1915">
        <v>138</v>
      </c>
      <c r="D1915">
        <v>82</v>
      </c>
      <c r="E1915" t="s">
        <v>21</v>
      </c>
      <c r="F1915">
        <f>tbl_AQI[[#This Row],[Most AQI Reached]]-tbl_AQI[[#This Row],[Current AQI]]</f>
        <v>56</v>
      </c>
      <c r="G19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15">
        <f>RANK(tbl_AQI[[#This Row],[Current AQI]], tbl_AQI[Current AQI], 0)</f>
        <v>3904</v>
      </c>
    </row>
    <row r="1916" spans="1:8" x14ac:dyDescent="0.35">
      <c r="A1916" t="s">
        <v>1854</v>
      </c>
      <c r="B1916" t="s">
        <v>1935</v>
      </c>
      <c r="C1916">
        <v>307</v>
      </c>
      <c r="D1916">
        <v>81</v>
      </c>
      <c r="E1916" t="s">
        <v>33</v>
      </c>
      <c r="F1916">
        <f>tbl_AQI[[#This Row],[Most AQI Reached]]-tbl_AQI[[#This Row],[Current AQI]]</f>
        <v>226</v>
      </c>
      <c r="G19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16">
        <f>RANK(tbl_AQI[[#This Row],[Current AQI]], tbl_AQI[Current AQI], 0)</f>
        <v>3923</v>
      </c>
    </row>
    <row r="1917" spans="1:8" x14ac:dyDescent="0.35">
      <c r="A1917" t="s">
        <v>1854</v>
      </c>
      <c r="B1917" t="s">
        <v>1936</v>
      </c>
      <c r="C1917">
        <v>150</v>
      </c>
      <c r="D1917">
        <v>103</v>
      </c>
      <c r="E1917" t="s">
        <v>11</v>
      </c>
      <c r="F1917">
        <f>tbl_AQI[[#This Row],[Most AQI Reached]]-tbl_AQI[[#This Row],[Current AQI]]</f>
        <v>47</v>
      </c>
      <c r="G19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17">
        <f>RANK(tbl_AQI[[#This Row],[Current AQI]], tbl_AQI[Current AQI], 0)</f>
        <v>3474</v>
      </c>
    </row>
    <row r="1918" spans="1:8" x14ac:dyDescent="0.35">
      <c r="A1918" t="s">
        <v>1854</v>
      </c>
      <c r="B1918" t="s">
        <v>1937</v>
      </c>
      <c r="C1918">
        <v>100</v>
      </c>
      <c r="D1918">
        <v>99</v>
      </c>
      <c r="E1918" t="s">
        <v>15</v>
      </c>
      <c r="F1918">
        <f>tbl_AQI[[#This Row],[Most AQI Reached]]-tbl_AQI[[#This Row],[Current AQI]]</f>
        <v>1</v>
      </c>
      <c r="G19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18">
        <f>RANK(tbl_AQI[[#This Row],[Current AQI]], tbl_AQI[Current AQI], 0)</f>
        <v>3553</v>
      </c>
    </row>
    <row r="1919" spans="1:8" x14ac:dyDescent="0.35">
      <c r="A1919" t="s">
        <v>1854</v>
      </c>
      <c r="B1919" t="s">
        <v>1938</v>
      </c>
      <c r="C1919">
        <v>114</v>
      </c>
      <c r="D1919">
        <v>108</v>
      </c>
      <c r="E1919" t="s">
        <v>21</v>
      </c>
      <c r="F1919">
        <f>tbl_AQI[[#This Row],[Most AQI Reached]]-tbl_AQI[[#This Row],[Current AQI]]</f>
        <v>6</v>
      </c>
      <c r="G19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19">
        <f>RANK(tbl_AQI[[#This Row],[Current AQI]], tbl_AQI[Current AQI], 0)</f>
        <v>3362</v>
      </c>
    </row>
    <row r="1920" spans="1:8" x14ac:dyDescent="0.35">
      <c r="A1920" t="s">
        <v>1854</v>
      </c>
      <c r="B1920" t="s">
        <v>1939</v>
      </c>
      <c r="C1920">
        <v>219</v>
      </c>
      <c r="D1920">
        <v>99</v>
      </c>
      <c r="E1920" t="s">
        <v>17</v>
      </c>
      <c r="F1920">
        <f>tbl_AQI[[#This Row],[Most AQI Reached]]-tbl_AQI[[#This Row],[Current AQI]]</f>
        <v>120</v>
      </c>
      <c r="G19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20">
        <f>RANK(tbl_AQI[[#This Row],[Current AQI]], tbl_AQI[Current AQI], 0)</f>
        <v>3553</v>
      </c>
    </row>
    <row r="1921" spans="1:8" x14ac:dyDescent="0.35">
      <c r="A1921" t="s">
        <v>1854</v>
      </c>
      <c r="B1921" t="s">
        <v>1940</v>
      </c>
      <c r="C1921">
        <v>227</v>
      </c>
      <c r="D1921">
        <v>190</v>
      </c>
      <c r="E1921" t="s">
        <v>15</v>
      </c>
      <c r="F1921">
        <f>tbl_AQI[[#This Row],[Most AQI Reached]]-tbl_AQI[[#This Row],[Current AQI]]</f>
        <v>37</v>
      </c>
      <c r="G19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21">
        <f>RANK(tbl_AQI[[#This Row],[Current AQI]], tbl_AQI[Current AQI], 0)</f>
        <v>1355</v>
      </c>
    </row>
    <row r="1922" spans="1:8" x14ac:dyDescent="0.35">
      <c r="A1922" t="s">
        <v>1854</v>
      </c>
      <c r="B1922" t="s">
        <v>1941</v>
      </c>
      <c r="C1922">
        <v>94</v>
      </c>
      <c r="D1922">
        <v>66</v>
      </c>
      <c r="E1922" t="s">
        <v>9</v>
      </c>
      <c r="F1922">
        <f>tbl_AQI[[#This Row],[Most AQI Reached]]-tbl_AQI[[#This Row],[Current AQI]]</f>
        <v>28</v>
      </c>
      <c r="G19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22">
        <f>RANK(tbl_AQI[[#This Row],[Current AQI]], tbl_AQI[Current AQI], 0)</f>
        <v>4247</v>
      </c>
    </row>
    <row r="1923" spans="1:8" x14ac:dyDescent="0.35">
      <c r="A1923" t="s">
        <v>1854</v>
      </c>
      <c r="B1923" t="s">
        <v>1942</v>
      </c>
      <c r="C1923">
        <v>168</v>
      </c>
      <c r="D1923">
        <v>85</v>
      </c>
      <c r="E1923" t="s">
        <v>15</v>
      </c>
      <c r="F1923">
        <f>tbl_AQI[[#This Row],[Most AQI Reached]]-tbl_AQI[[#This Row],[Current AQI]]</f>
        <v>83</v>
      </c>
      <c r="G19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23">
        <f>RANK(tbl_AQI[[#This Row],[Current AQI]], tbl_AQI[Current AQI], 0)</f>
        <v>3852</v>
      </c>
    </row>
    <row r="1924" spans="1:8" x14ac:dyDescent="0.35">
      <c r="A1924" t="s">
        <v>1854</v>
      </c>
      <c r="B1924" t="s">
        <v>1943</v>
      </c>
      <c r="C1924">
        <v>282</v>
      </c>
      <c r="D1924">
        <v>143</v>
      </c>
      <c r="E1924" t="s">
        <v>7</v>
      </c>
      <c r="F1924">
        <f>tbl_AQI[[#This Row],[Most AQI Reached]]-tbl_AQI[[#This Row],[Current AQI]]</f>
        <v>139</v>
      </c>
      <c r="G19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24">
        <f>RANK(tbl_AQI[[#This Row],[Current AQI]], tbl_AQI[Current AQI], 0)</f>
        <v>2567</v>
      </c>
    </row>
    <row r="1925" spans="1:8" x14ac:dyDescent="0.35">
      <c r="A1925" t="s">
        <v>1854</v>
      </c>
      <c r="B1925" t="s">
        <v>1944</v>
      </c>
      <c r="C1925">
        <v>176</v>
      </c>
      <c r="D1925">
        <v>40</v>
      </c>
      <c r="E1925" t="s">
        <v>11</v>
      </c>
      <c r="F1925">
        <f>tbl_AQI[[#This Row],[Most AQI Reached]]-tbl_AQI[[#This Row],[Current AQI]]</f>
        <v>136</v>
      </c>
      <c r="G19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25">
        <f>RANK(tbl_AQI[[#This Row],[Current AQI]], tbl_AQI[Current AQI], 0)</f>
        <v>4808</v>
      </c>
    </row>
    <row r="1926" spans="1:8" x14ac:dyDescent="0.35">
      <c r="A1926" t="s">
        <v>1854</v>
      </c>
      <c r="B1926" t="s">
        <v>1945</v>
      </c>
      <c r="C1926">
        <v>229</v>
      </c>
      <c r="D1926">
        <v>189</v>
      </c>
      <c r="E1926" t="s">
        <v>15</v>
      </c>
      <c r="F1926">
        <f>tbl_AQI[[#This Row],[Most AQI Reached]]-tbl_AQI[[#This Row],[Current AQI]]</f>
        <v>40</v>
      </c>
      <c r="G19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26">
        <f>RANK(tbl_AQI[[#This Row],[Current AQI]], tbl_AQI[Current AQI], 0)</f>
        <v>1395</v>
      </c>
    </row>
    <row r="1927" spans="1:8" x14ac:dyDescent="0.35">
      <c r="A1927" t="s">
        <v>1854</v>
      </c>
      <c r="B1927" t="s">
        <v>1946</v>
      </c>
      <c r="C1927">
        <v>301</v>
      </c>
      <c r="D1927">
        <v>170</v>
      </c>
      <c r="E1927" t="s">
        <v>21</v>
      </c>
      <c r="F1927">
        <f>tbl_AQI[[#This Row],[Most AQI Reached]]-tbl_AQI[[#This Row],[Current AQI]]</f>
        <v>131</v>
      </c>
      <c r="G19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27">
        <f>RANK(tbl_AQI[[#This Row],[Current AQI]], tbl_AQI[Current AQI], 0)</f>
        <v>1898</v>
      </c>
    </row>
    <row r="1928" spans="1:8" x14ac:dyDescent="0.35">
      <c r="A1928" t="s">
        <v>1854</v>
      </c>
      <c r="B1928" t="s">
        <v>1947</v>
      </c>
      <c r="C1928">
        <v>269</v>
      </c>
      <c r="D1928">
        <v>141</v>
      </c>
      <c r="E1928" t="s">
        <v>7</v>
      </c>
      <c r="F1928">
        <f>tbl_AQI[[#This Row],[Most AQI Reached]]-tbl_AQI[[#This Row],[Current AQI]]</f>
        <v>128</v>
      </c>
      <c r="G19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28">
        <f>RANK(tbl_AQI[[#This Row],[Current AQI]], tbl_AQI[Current AQI], 0)</f>
        <v>2609</v>
      </c>
    </row>
    <row r="1929" spans="1:8" x14ac:dyDescent="0.35">
      <c r="A1929" t="s">
        <v>1854</v>
      </c>
      <c r="B1929" t="s">
        <v>1948</v>
      </c>
      <c r="C1929">
        <v>206</v>
      </c>
      <c r="D1929">
        <v>127</v>
      </c>
      <c r="E1929" t="s">
        <v>15</v>
      </c>
      <c r="F1929">
        <f>tbl_AQI[[#This Row],[Most AQI Reached]]-tbl_AQI[[#This Row],[Current AQI]]</f>
        <v>79</v>
      </c>
      <c r="G19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29">
        <f>RANK(tbl_AQI[[#This Row],[Current AQI]], tbl_AQI[Current AQI], 0)</f>
        <v>2909</v>
      </c>
    </row>
    <row r="1930" spans="1:8" x14ac:dyDescent="0.35">
      <c r="A1930" t="s">
        <v>1854</v>
      </c>
      <c r="B1930" t="s">
        <v>1949</v>
      </c>
      <c r="C1930">
        <v>173</v>
      </c>
      <c r="D1930">
        <v>145</v>
      </c>
      <c r="E1930" t="s">
        <v>7</v>
      </c>
      <c r="F1930">
        <f>tbl_AQI[[#This Row],[Most AQI Reached]]-tbl_AQI[[#This Row],[Current AQI]]</f>
        <v>28</v>
      </c>
      <c r="G19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30">
        <f>RANK(tbl_AQI[[#This Row],[Current AQI]], tbl_AQI[Current AQI], 0)</f>
        <v>2526</v>
      </c>
    </row>
    <row r="1931" spans="1:8" x14ac:dyDescent="0.35">
      <c r="A1931" t="s">
        <v>1854</v>
      </c>
      <c r="B1931" t="s">
        <v>1950</v>
      </c>
      <c r="C1931">
        <v>158</v>
      </c>
      <c r="D1931">
        <v>79</v>
      </c>
      <c r="E1931" t="s">
        <v>7</v>
      </c>
      <c r="F1931">
        <f>tbl_AQI[[#This Row],[Most AQI Reached]]-tbl_AQI[[#This Row],[Current AQI]]</f>
        <v>79</v>
      </c>
      <c r="G19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31">
        <f>RANK(tbl_AQI[[#This Row],[Current AQI]], tbl_AQI[Current AQI], 0)</f>
        <v>3967</v>
      </c>
    </row>
    <row r="1932" spans="1:8" x14ac:dyDescent="0.35">
      <c r="A1932" t="s">
        <v>1854</v>
      </c>
      <c r="B1932" t="s">
        <v>1951</v>
      </c>
      <c r="C1932">
        <v>308</v>
      </c>
      <c r="D1932">
        <v>38</v>
      </c>
      <c r="E1932" t="s">
        <v>21</v>
      </c>
      <c r="F1932">
        <f>tbl_AQI[[#This Row],[Most AQI Reached]]-tbl_AQI[[#This Row],[Current AQI]]</f>
        <v>270</v>
      </c>
      <c r="G19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32">
        <f>RANK(tbl_AQI[[#This Row],[Current AQI]], tbl_AQI[Current AQI], 0)</f>
        <v>4845</v>
      </c>
    </row>
    <row r="1933" spans="1:8" x14ac:dyDescent="0.35">
      <c r="A1933" t="s">
        <v>1854</v>
      </c>
      <c r="B1933" t="s">
        <v>1952</v>
      </c>
      <c r="C1933">
        <v>208</v>
      </c>
      <c r="D1933">
        <v>147</v>
      </c>
      <c r="E1933" t="s">
        <v>15</v>
      </c>
      <c r="F1933">
        <f>tbl_AQI[[#This Row],[Most AQI Reached]]-tbl_AQI[[#This Row],[Current AQI]]</f>
        <v>61</v>
      </c>
      <c r="G19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33">
        <f>RANK(tbl_AQI[[#This Row],[Current AQI]], tbl_AQI[Current AQI], 0)</f>
        <v>2478</v>
      </c>
    </row>
    <row r="1934" spans="1:8" x14ac:dyDescent="0.35">
      <c r="A1934" t="s">
        <v>1854</v>
      </c>
      <c r="B1934" t="s">
        <v>1953</v>
      </c>
      <c r="C1934">
        <v>57</v>
      </c>
      <c r="D1934">
        <v>37</v>
      </c>
      <c r="E1934" t="s">
        <v>17</v>
      </c>
      <c r="F1934">
        <f>tbl_AQI[[#This Row],[Most AQI Reached]]-tbl_AQI[[#This Row],[Current AQI]]</f>
        <v>20</v>
      </c>
      <c r="G19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34">
        <f>RANK(tbl_AQI[[#This Row],[Current AQI]], tbl_AQI[Current AQI], 0)</f>
        <v>4863</v>
      </c>
    </row>
    <row r="1935" spans="1:8" x14ac:dyDescent="0.35">
      <c r="A1935" t="s">
        <v>1854</v>
      </c>
      <c r="B1935" t="s">
        <v>1954</v>
      </c>
      <c r="C1935">
        <v>225</v>
      </c>
      <c r="D1935">
        <v>185</v>
      </c>
      <c r="E1935" t="s">
        <v>33</v>
      </c>
      <c r="F1935">
        <f>tbl_AQI[[#This Row],[Most AQI Reached]]-tbl_AQI[[#This Row],[Current AQI]]</f>
        <v>40</v>
      </c>
      <c r="G19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35">
        <f>RANK(tbl_AQI[[#This Row],[Current AQI]], tbl_AQI[Current AQI], 0)</f>
        <v>1517</v>
      </c>
    </row>
    <row r="1936" spans="1:8" x14ac:dyDescent="0.35">
      <c r="A1936" t="s">
        <v>1854</v>
      </c>
      <c r="B1936" t="s">
        <v>1955</v>
      </c>
      <c r="C1936">
        <v>125</v>
      </c>
      <c r="D1936">
        <v>85</v>
      </c>
      <c r="E1936" t="s">
        <v>17</v>
      </c>
      <c r="F1936">
        <f>tbl_AQI[[#This Row],[Most AQI Reached]]-tbl_AQI[[#This Row],[Current AQI]]</f>
        <v>40</v>
      </c>
      <c r="G19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36">
        <f>RANK(tbl_AQI[[#This Row],[Current AQI]], tbl_AQI[Current AQI], 0)</f>
        <v>3852</v>
      </c>
    </row>
    <row r="1937" spans="1:8" x14ac:dyDescent="0.35">
      <c r="A1937" t="s">
        <v>1854</v>
      </c>
      <c r="B1937" t="s">
        <v>1956</v>
      </c>
      <c r="C1937">
        <v>307</v>
      </c>
      <c r="D1937">
        <v>155</v>
      </c>
      <c r="E1937" t="s">
        <v>9</v>
      </c>
      <c r="F1937">
        <f>tbl_AQI[[#This Row],[Most AQI Reached]]-tbl_AQI[[#This Row],[Current AQI]]</f>
        <v>152</v>
      </c>
      <c r="G19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37">
        <f>RANK(tbl_AQI[[#This Row],[Current AQI]], tbl_AQI[Current AQI], 0)</f>
        <v>2275</v>
      </c>
    </row>
    <row r="1938" spans="1:8" x14ac:dyDescent="0.35">
      <c r="A1938" t="s">
        <v>1854</v>
      </c>
      <c r="B1938" t="s">
        <v>1957</v>
      </c>
      <c r="C1938">
        <v>282</v>
      </c>
      <c r="D1938">
        <v>57</v>
      </c>
      <c r="E1938" t="s">
        <v>9</v>
      </c>
      <c r="F1938">
        <f>tbl_AQI[[#This Row],[Most AQI Reached]]-tbl_AQI[[#This Row],[Current AQI]]</f>
        <v>225</v>
      </c>
      <c r="G19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38">
        <f>RANK(tbl_AQI[[#This Row],[Current AQI]], tbl_AQI[Current AQI], 0)</f>
        <v>4452</v>
      </c>
    </row>
    <row r="1939" spans="1:8" x14ac:dyDescent="0.35">
      <c r="A1939" t="s">
        <v>1854</v>
      </c>
      <c r="B1939" t="s">
        <v>1958</v>
      </c>
      <c r="C1939">
        <v>277</v>
      </c>
      <c r="D1939">
        <v>76</v>
      </c>
      <c r="E1939" t="s">
        <v>17</v>
      </c>
      <c r="F1939">
        <f>tbl_AQI[[#This Row],[Most AQI Reached]]-tbl_AQI[[#This Row],[Current AQI]]</f>
        <v>201</v>
      </c>
      <c r="G19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39">
        <f>RANK(tbl_AQI[[#This Row],[Current AQI]], tbl_AQI[Current AQI], 0)</f>
        <v>4023</v>
      </c>
    </row>
    <row r="1940" spans="1:8" x14ac:dyDescent="0.35">
      <c r="A1940" t="s">
        <v>1854</v>
      </c>
      <c r="B1940" t="s">
        <v>1959</v>
      </c>
      <c r="C1940">
        <v>115</v>
      </c>
      <c r="D1940">
        <v>36</v>
      </c>
      <c r="E1940" t="s">
        <v>21</v>
      </c>
      <c r="F1940">
        <f>tbl_AQI[[#This Row],[Most AQI Reached]]-tbl_AQI[[#This Row],[Current AQI]]</f>
        <v>79</v>
      </c>
      <c r="G19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40">
        <f>RANK(tbl_AQI[[#This Row],[Current AQI]], tbl_AQI[Current AQI], 0)</f>
        <v>4893</v>
      </c>
    </row>
    <row r="1941" spans="1:8" x14ac:dyDescent="0.35">
      <c r="A1941" t="s">
        <v>1854</v>
      </c>
      <c r="B1941" t="s">
        <v>1960</v>
      </c>
      <c r="C1941">
        <v>196</v>
      </c>
      <c r="D1941">
        <v>89</v>
      </c>
      <c r="E1941" t="s">
        <v>17</v>
      </c>
      <c r="F1941">
        <f>tbl_AQI[[#This Row],[Most AQI Reached]]-tbl_AQI[[#This Row],[Current AQI]]</f>
        <v>107</v>
      </c>
      <c r="G19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41">
        <f>RANK(tbl_AQI[[#This Row],[Current AQI]], tbl_AQI[Current AQI], 0)</f>
        <v>3772</v>
      </c>
    </row>
    <row r="1942" spans="1:8" x14ac:dyDescent="0.35">
      <c r="A1942" t="s">
        <v>1854</v>
      </c>
      <c r="B1942" t="s">
        <v>1961</v>
      </c>
      <c r="C1942">
        <v>208</v>
      </c>
      <c r="D1942">
        <v>75</v>
      </c>
      <c r="E1942" t="s">
        <v>17</v>
      </c>
      <c r="F1942">
        <f>tbl_AQI[[#This Row],[Most AQI Reached]]-tbl_AQI[[#This Row],[Current AQI]]</f>
        <v>133</v>
      </c>
      <c r="G19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42">
        <f>RANK(tbl_AQI[[#This Row],[Current AQI]], tbl_AQI[Current AQI], 0)</f>
        <v>4041</v>
      </c>
    </row>
    <row r="1943" spans="1:8" x14ac:dyDescent="0.35">
      <c r="A1943" t="s">
        <v>1854</v>
      </c>
      <c r="B1943" t="s">
        <v>1962</v>
      </c>
      <c r="C1943">
        <v>294</v>
      </c>
      <c r="D1943">
        <v>162</v>
      </c>
      <c r="E1943" t="s">
        <v>9</v>
      </c>
      <c r="F1943">
        <f>tbl_AQI[[#This Row],[Most AQI Reached]]-tbl_AQI[[#This Row],[Current AQI]]</f>
        <v>132</v>
      </c>
      <c r="G19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43">
        <f>RANK(tbl_AQI[[#This Row],[Current AQI]], tbl_AQI[Current AQI], 0)</f>
        <v>2106</v>
      </c>
    </row>
    <row r="1944" spans="1:8" x14ac:dyDescent="0.35">
      <c r="A1944" t="s">
        <v>1854</v>
      </c>
      <c r="B1944" t="s">
        <v>1963</v>
      </c>
      <c r="C1944">
        <v>149</v>
      </c>
      <c r="D1944">
        <v>32</v>
      </c>
      <c r="E1944" t="s">
        <v>17</v>
      </c>
      <c r="F1944">
        <f>tbl_AQI[[#This Row],[Most AQI Reached]]-tbl_AQI[[#This Row],[Current AQI]]</f>
        <v>117</v>
      </c>
      <c r="G19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44">
        <f>RANK(tbl_AQI[[#This Row],[Current AQI]], tbl_AQI[Current AQI], 0)</f>
        <v>4983</v>
      </c>
    </row>
    <row r="1945" spans="1:8" x14ac:dyDescent="0.35">
      <c r="A1945" t="s">
        <v>1854</v>
      </c>
      <c r="B1945" t="s">
        <v>1964</v>
      </c>
      <c r="C1945">
        <v>299</v>
      </c>
      <c r="D1945">
        <v>58</v>
      </c>
      <c r="E1945" t="s">
        <v>15</v>
      </c>
      <c r="F1945">
        <f>tbl_AQI[[#This Row],[Most AQI Reached]]-tbl_AQI[[#This Row],[Current AQI]]</f>
        <v>241</v>
      </c>
      <c r="G19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45">
        <f>RANK(tbl_AQI[[#This Row],[Current AQI]], tbl_AQI[Current AQI], 0)</f>
        <v>4431</v>
      </c>
    </row>
    <row r="1946" spans="1:8" x14ac:dyDescent="0.35">
      <c r="A1946" t="s">
        <v>1854</v>
      </c>
      <c r="B1946" t="s">
        <v>1965</v>
      </c>
      <c r="C1946">
        <v>284</v>
      </c>
      <c r="D1946">
        <v>162</v>
      </c>
      <c r="E1946" t="s">
        <v>33</v>
      </c>
      <c r="F1946">
        <f>tbl_AQI[[#This Row],[Most AQI Reached]]-tbl_AQI[[#This Row],[Current AQI]]</f>
        <v>122</v>
      </c>
      <c r="G19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46">
        <f>RANK(tbl_AQI[[#This Row],[Current AQI]], tbl_AQI[Current AQI], 0)</f>
        <v>2106</v>
      </c>
    </row>
    <row r="1947" spans="1:8" x14ac:dyDescent="0.35">
      <c r="A1947" t="s">
        <v>1854</v>
      </c>
      <c r="B1947" t="s">
        <v>1966</v>
      </c>
      <c r="C1947">
        <v>256</v>
      </c>
      <c r="D1947">
        <v>184</v>
      </c>
      <c r="E1947" t="s">
        <v>11</v>
      </c>
      <c r="F1947">
        <f>tbl_AQI[[#This Row],[Most AQI Reached]]-tbl_AQI[[#This Row],[Current AQI]]</f>
        <v>72</v>
      </c>
      <c r="G19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47">
        <f>RANK(tbl_AQI[[#This Row],[Current AQI]], tbl_AQI[Current AQI], 0)</f>
        <v>1544</v>
      </c>
    </row>
    <row r="1948" spans="1:8" x14ac:dyDescent="0.35">
      <c r="A1948" t="s">
        <v>1854</v>
      </c>
      <c r="B1948" t="s">
        <v>1967</v>
      </c>
      <c r="C1948">
        <v>215</v>
      </c>
      <c r="D1948">
        <v>69</v>
      </c>
      <c r="E1948" t="s">
        <v>11</v>
      </c>
      <c r="F1948">
        <f>tbl_AQI[[#This Row],[Most AQI Reached]]-tbl_AQI[[#This Row],[Current AQI]]</f>
        <v>146</v>
      </c>
      <c r="G19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48">
        <f>RANK(tbl_AQI[[#This Row],[Current AQI]], tbl_AQI[Current AQI], 0)</f>
        <v>4186</v>
      </c>
    </row>
    <row r="1949" spans="1:8" x14ac:dyDescent="0.35">
      <c r="A1949" t="s">
        <v>1854</v>
      </c>
      <c r="B1949" t="s">
        <v>1968</v>
      </c>
      <c r="C1949">
        <v>198</v>
      </c>
      <c r="D1949">
        <v>190</v>
      </c>
      <c r="E1949" t="s">
        <v>15</v>
      </c>
      <c r="F1949">
        <f>tbl_AQI[[#This Row],[Most AQI Reached]]-tbl_AQI[[#This Row],[Current AQI]]</f>
        <v>8</v>
      </c>
      <c r="G19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49">
        <f>RANK(tbl_AQI[[#This Row],[Current AQI]], tbl_AQI[Current AQI], 0)</f>
        <v>1355</v>
      </c>
    </row>
    <row r="1950" spans="1:8" x14ac:dyDescent="0.35">
      <c r="A1950" t="s">
        <v>1854</v>
      </c>
      <c r="B1950" t="s">
        <v>1969</v>
      </c>
      <c r="C1950">
        <v>170</v>
      </c>
      <c r="D1950">
        <v>102</v>
      </c>
      <c r="E1950" t="s">
        <v>15</v>
      </c>
      <c r="F1950">
        <f>tbl_AQI[[#This Row],[Most AQI Reached]]-tbl_AQI[[#This Row],[Current AQI]]</f>
        <v>68</v>
      </c>
      <c r="G19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50">
        <f>RANK(tbl_AQI[[#This Row],[Current AQI]], tbl_AQI[Current AQI], 0)</f>
        <v>3493</v>
      </c>
    </row>
    <row r="1951" spans="1:8" x14ac:dyDescent="0.35">
      <c r="A1951" t="s">
        <v>1854</v>
      </c>
      <c r="B1951" t="s">
        <v>1970</v>
      </c>
      <c r="C1951">
        <v>206</v>
      </c>
      <c r="D1951">
        <v>133</v>
      </c>
      <c r="E1951" t="s">
        <v>7</v>
      </c>
      <c r="F1951">
        <f>tbl_AQI[[#This Row],[Most AQI Reached]]-tbl_AQI[[#This Row],[Current AQI]]</f>
        <v>73</v>
      </c>
      <c r="G19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51">
        <f>RANK(tbl_AQI[[#This Row],[Current AQI]], tbl_AQI[Current AQI], 0)</f>
        <v>2758</v>
      </c>
    </row>
    <row r="1952" spans="1:8" x14ac:dyDescent="0.35">
      <c r="A1952" t="s">
        <v>1854</v>
      </c>
      <c r="B1952" t="s">
        <v>1971</v>
      </c>
      <c r="C1952">
        <v>113</v>
      </c>
      <c r="D1952">
        <v>67</v>
      </c>
      <c r="E1952" t="s">
        <v>21</v>
      </c>
      <c r="F1952">
        <f>tbl_AQI[[#This Row],[Most AQI Reached]]-tbl_AQI[[#This Row],[Current AQI]]</f>
        <v>46</v>
      </c>
      <c r="G19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52">
        <f>RANK(tbl_AQI[[#This Row],[Current AQI]], tbl_AQI[Current AQI], 0)</f>
        <v>4225</v>
      </c>
    </row>
    <row r="1953" spans="1:8" x14ac:dyDescent="0.35">
      <c r="A1953" t="s">
        <v>1854</v>
      </c>
      <c r="B1953" t="s">
        <v>1972</v>
      </c>
      <c r="C1953">
        <v>305</v>
      </c>
      <c r="D1953">
        <v>62</v>
      </c>
      <c r="E1953" t="s">
        <v>21</v>
      </c>
      <c r="F1953">
        <f>tbl_AQI[[#This Row],[Most AQI Reached]]-tbl_AQI[[#This Row],[Current AQI]]</f>
        <v>243</v>
      </c>
      <c r="G19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53">
        <f>RANK(tbl_AQI[[#This Row],[Current AQI]], tbl_AQI[Current AQI], 0)</f>
        <v>4343</v>
      </c>
    </row>
    <row r="1954" spans="1:8" x14ac:dyDescent="0.35">
      <c r="A1954" t="s">
        <v>1854</v>
      </c>
      <c r="B1954" t="s">
        <v>1973</v>
      </c>
      <c r="C1954">
        <v>188</v>
      </c>
      <c r="D1954">
        <v>118</v>
      </c>
      <c r="E1954" t="s">
        <v>11</v>
      </c>
      <c r="F1954">
        <f>tbl_AQI[[#This Row],[Most AQI Reached]]-tbl_AQI[[#This Row],[Current AQI]]</f>
        <v>70</v>
      </c>
      <c r="G19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54">
        <f>RANK(tbl_AQI[[#This Row],[Current AQI]], tbl_AQI[Current AQI], 0)</f>
        <v>3122</v>
      </c>
    </row>
    <row r="1955" spans="1:8" x14ac:dyDescent="0.35">
      <c r="A1955" t="s">
        <v>1854</v>
      </c>
      <c r="B1955" t="s">
        <v>1974</v>
      </c>
      <c r="C1955">
        <v>123</v>
      </c>
      <c r="D1955">
        <v>65</v>
      </c>
      <c r="E1955" t="s">
        <v>7</v>
      </c>
      <c r="F1955">
        <f>tbl_AQI[[#This Row],[Most AQI Reached]]-tbl_AQI[[#This Row],[Current AQI]]</f>
        <v>58</v>
      </c>
      <c r="G19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55">
        <f>RANK(tbl_AQI[[#This Row],[Current AQI]], tbl_AQI[Current AQI], 0)</f>
        <v>4267</v>
      </c>
    </row>
    <row r="1956" spans="1:8" x14ac:dyDescent="0.35">
      <c r="A1956" t="s">
        <v>1854</v>
      </c>
      <c r="B1956" t="s">
        <v>1975</v>
      </c>
      <c r="C1956">
        <v>224</v>
      </c>
      <c r="D1956">
        <v>118</v>
      </c>
      <c r="E1956" t="s">
        <v>33</v>
      </c>
      <c r="F1956">
        <f>tbl_AQI[[#This Row],[Most AQI Reached]]-tbl_AQI[[#This Row],[Current AQI]]</f>
        <v>106</v>
      </c>
      <c r="G19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56">
        <f>RANK(tbl_AQI[[#This Row],[Current AQI]], tbl_AQI[Current AQI], 0)</f>
        <v>3122</v>
      </c>
    </row>
    <row r="1957" spans="1:8" x14ac:dyDescent="0.35">
      <c r="A1957" t="s">
        <v>1854</v>
      </c>
      <c r="B1957" t="s">
        <v>1976</v>
      </c>
      <c r="C1957">
        <v>307</v>
      </c>
      <c r="D1957">
        <v>173</v>
      </c>
      <c r="E1957" t="s">
        <v>11</v>
      </c>
      <c r="F1957">
        <f>tbl_AQI[[#This Row],[Most AQI Reached]]-tbl_AQI[[#This Row],[Current AQI]]</f>
        <v>134</v>
      </c>
      <c r="G19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57">
        <f>RANK(tbl_AQI[[#This Row],[Current AQI]], tbl_AQI[Current AQI], 0)</f>
        <v>1826</v>
      </c>
    </row>
    <row r="1958" spans="1:8" x14ac:dyDescent="0.35">
      <c r="A1958" t="s">
        <v>1854</v>
      </c>
      <c r="B1958" t="s">
        <v>1977</v>
      </c>
      <c r="C1958">
        <v>245</v>
      </c>
      <c r="D1958">
        <v>86</v>
      </c>
      <c r="E1958" t="s">
        <v>21</v>
      </c>
      <c r="F1958">
        <f>tbl_AQI[[#This Row],[Most AQI Reached]]-tbl_AQI[[#This Row],[Current AQI]]</f>
        <v>159</v>
      </c>
      <c r="G19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58">
        <f>RANK(tbl_AQI[[#This Row],[Current AQI]], tbl_AQI[Current AQI], 0)</f>
        <v>3830</v>
      </c>
    </row>
    <row r="1959" spans="1:8" x14ac:dyDescent="0.35">
      <c r="A1959" t="s">
        <v>1854</v>
      </c>
      <c r="B1959" t="s">
        <v>1978</v>
      </c>
      <c r="C1959">
        <v>306</v>
      </c>
      <c r="D1959">
        <v>173</v>
      </c>
      <c r="E1959" t="s">
        <v>9</v>
      </c>
      <c r="F1959">
        <f>tbl_AQI[[#This Row],[Most AQI Reached]]-tbl_AQI[[#This Row],[Current AQI]]</f>
        <v>133</v>
      </c>
      <c r="G19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59">
        <f>RANK(tbl_AQI[[#This Row],[Current AQI]], tbl_AQI[Current AQI], 0)</f>
        <v>1826</v>
      </c>
    </row>
    <row r="1960" spans="1:8" x14ac:dyDescent="0.35">
      <c r="A1960" t="s">
        <v>1854</v>
      </c>
      <c r="B1960" t="s">
        <v>1979</v>
      </c>
      <c r="C1960">
        <v>248</v>
      </c>
      <c r="D1960">
        <v>102</v>
      </c>
      <c r="E1960" t="s">
        <v>33</v>
      </c>
      <c r="F1960">
        <f>tbl_AQI[[#This Row],[Most AQI Reached]]-tbl_AQI[[#This Row],[Current AQI]]</f>
        <v>146</v>
      </c>
      <c r="G19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0">
        <f>RANK(tbl_AQI[[#This Row],[Current AQI]], tbl_AQI[Current AQI], 0)</f>
        <v>3493</v>
      </c>
    </row>
    <row r="1961" spans="1:8" x14ac:dyDescent="0.35">
      <c r="A1961" t="s">
        <v>1854</v>
      </c>
      <c r="B1961" t="s">
        <v>1980</v>
      </c>
      <c r="C1961">
        <v>190</v>
      </c>
      <c r="D1961">
        <v>104</v>
      </c>
      <c r="E1961" t="s">
        <v>17</v>
      </c>
      <c r="F1961">
        <f>tbl_AQI[[#This Row],[Most AQI Reached]]-tbl_AQI[[#This Row],[Current AQI]]</f>
        <v>86</v>
      </c>
      <c r="G19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1">
        <f>RANK(tbl_AQI[[#This Row],[Current AQI]], tbl_AQI[Current AQI], 0)</f>
        <v>3454</v>
      </c>
    </row>
    <row r="1962" spans="1:8" x14ac:dyDescent="0.35">
      <c r="A1962" t="s">
        <v>1854</v>
      </c>
      <c r="B1962" t="s">
        <v>1981</v>
      </c>
      <c r="C1962">
        <v>310</v>
      </c>
      <c r="D1962">
        <v>171</v>
      </c>
      <c r="E1962" t="s">
        <v>33</v>
      </c>
      <c r="F1962">
        <f>tbl_AQI[[#This Row],[Most AQI Reached]]-tbl_AQI[[#This Row],[Current AQI]]</f>
        <v>139</v>
      </c>
      <c r="G19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2">
        <f>RANK(tbl_AQI[[#This Row],[Current AQI]], tbl_AQI[Current AQI], 0)</f>
        <v>1866</v>
      </c>
    </row>
    <row r="1963" spans="1:8" x14ac:dyDescent="0.35">
      <c r="A1963" t="s">
        <v>1854</v>
      </c>
      <c r="B1963" t="s">
        <v>1982</v>
      </c>
      <c r="C1963">
        <v>263</v>
      </c>
      <c r="D1963">
        <v>58</v>
      </c>
      <c r="E1963" t="s">
        <v>15</v>
      </c>
      <c r="F1963">
        <f>tbl_AQI[[#This Row],[Most AQI Reached]]-tbl_AQI[[#This Row],[Current AQI]]</f>
        <v>205</v>
      </c>
      <c r="G19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63">
        <f>RANK(tbl_AQI[[#This Row],[Current AQI]], tbl_AQI[Current AQI], 0)</f>
        <v>4431</v>
      </c>
    </row>
    <row r="1964" spans="1:8" x14ac:dyDescent="0.35">
      <c r="A1964" t="s">
        <v>1854</v>
      </c>
      <c r="B1964" t="s">
        <v>1983</v>
      </c>
      <c r="C1964">
        <v>259</v>
      </c>
      <c r="D1964">
        <v>85</v>
      </c>
      <c r="E1964" t="s">
        <v>21</v>
      </c>
      <c r="F1964">
        <f>tbl_AQI[[#This Row],[Most AQI Reached]]-tbl_AQI[[#This Row],[Current AQI]]</f>
        <v>174</v>
      </c>
      <c r="G19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64">
        <f>RANK(tbl_AQI[[#This Row],[Current AQI]], tbl_AQI[Current AQI], 0)</f>
        <v>3852</v>
      </c>
    </row>
    <row r="1965" spans="1:8" x14ac:dyDescent="0.35">
      <c r="A1965" t="s">
        <v>1854</v>
      </c>
      <c r="B1965" t="s">
        <v>1984</v>
      </c>
      <c r="C1965">
        <v>201</v>
      </c>
      <c r="D1965">
        <v>156</v>
      </c>
      <c r="E1965" t="s">
        <v>17</v>
      </c>
      <c r="F1965">
        <f>tbl_AQI[[#This Row],[Most AQI Reached]]-tbl_AQI[[#This Row],[Current AQI]]</f>
        <v>45</v>
      </c>
      <c r="G19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5">
        <f>RANK(tbl_AQI[[#This Row],[Current AQI]], tbl_AQI[Current AQI], 0)</f>
        <v>2251</v>
      </c>
    </row>
    <row r="1966" spans="1:8" x14ac:dyDescent="0.35">
      <c r="A1966" t="s">
        <v>1854</v>
      </c>
      <c r="B1966" t="s">
        <v>1985</v>
      </c>
      <c r="C1966">
        <v>164</v>
      </c>
      <c r="D1966">
        <v>155</v>
      </c>
      <c r="E1966" t="s">
        <v>21</v>
      </c>
      <c r="F1966">
        <f>tbl_AQI[[#This Row],[Most AQI Reached]]-tbl_AQI[[#This Row],[Current AQI]]</f>
        <v>9</v>
      </c>
      <c r="G19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6">
        <f>RANK(tbl_AQI[[#This Row],[Current AQI]], tbl_AQI[Current AQI], 0)</f>
        <v>2275</v>
      </c>
    </row>
    <row r="1967" spans="1:8" x14ac:dyDescent="0.35">
      <c r="A1967" t="s">
        <v>1854</v>
      </c>
      <c r="B1967" t="s">
        <v>1986</v>
      </c>
      <c r="C1967">
        <v>283</v>
      </c>
      <c r="D1967">
        <v>168</v>
      </c>
      <c r="E1967" t="s">
        <v>15</v>
      </c>
      <c r="F1967">
        <f>tbl_AQI[[#This Row],[Most AQI Reached]]-tbl_AQI[[#This Row],[Current AQI]]</f>
        <v>115</v>
      </c>
      <c r="G19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7">
        <f>RANK(tbl_AQI[[#This Row],[Current AQI]], tbl_AQI[Current AQI], 0)</f>
        <v>1954</v>
      </c>
    </row>
    <row r="1968" spans="1:8" x14ac:dyDescent="0.35">
      <c r="A1968" t="s">
        <v>1854</v>
      </c>
      <c r="B1968" t="s">
        <v>1987</v>
      </c>
      <c r="C1968">
        <v>279</v>
      </c>
      <c r="D1968">
        <v>46</v>
      </c>
      <c r="E1968" t="s">
        <v>21</v>
      </c>
      <c r="F1968">
        <f>tbl_AQI[[#This Row],[Most AQI Reached]]-tbl_AQI[[#This Row],[Current AQI]]</f>
        <v>233</v>
      </c>
      <c r="G19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68">
        <f>RANK(tbl_AQI[[#This Row],[Current AQI]], tbl_AQI[Current AQI], 0)</f>
        <v>4680</v>
      </c>
    </row>
    <row r="1969" spans="1:8" x14ac:dyDescent="0.35">
      <c r="A1969" t="s">
        <v>1854</v>
      </c>
      <c r="B1969" t="s">
        <v>1988</v>
      </c>
      <c r="C1969">
        <v>129</v>
      </c>
      <c r="D1969">
        <v>118</v>
      </c>
      <c r="E1969" t="s">
        <v>21</v>
      </c>
      <c r="F1969">
        <f>tbl_AQI[[#This Row],[Most AQI Reached]]-tbl_AQI[[#This Row],[Current AQI]]</f>
        <v>11</v>
      </c>
      <c r="G19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69">
        <f>RANK(tbl_AQI[[#This Row],[Current AQI]], tbl_AQI[Current AQI], 0)</f>
        <v>3122</v>
      </c>
    </row>
    <row r="1970" spans="1:8" x14ac:dyDescent="0.35">
      <c r="A1970" t="s">
        <v>1854</v>
      </c>
      <c r="B1970" t="s">
        <v>1989</v>
      </c>
      <c r="C1970">
        <v>106</v>
      </c>
      <c r="D1970">
        <v>77</v>
      </c>
      <c r="E1970" t="s">
        <v>33</v>
      </c>
      <c r="F1970">
        <f>tbl_AQI[[#This Row],[Most AQI Reached]]-tbl_AQI[[#This Row],[Current AQI]]</f>
        <v>29</v>
      </c>
      <c r="G19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70">
        <f>RANK(tbl_AQI[[#This Row],[Current AQI]], tbl_AQI[Current AQI], 0)</f>
        <v>4006</v>
      </c>
    </row>
    <row r="1971" spans="1:8" x14ac:dyDescent="0.35">
      <c r="A1971" t="s">
        <v>1854</v>
      </c>
      <c r="B1971" t="s">
        <v>1990</v>
      </c>
      <c r="C1971">
        <v>141</v>
      </c>
      <c r="D1971">
        <v>119</v>
      </c>
      <c r="E1971" t="s">
        <v>21</v>
      </c>
      <c r="F1971">
        <f>tbl_AQI[[#This Row],[Most AQI Reached]]-tbl_AQI[[#This Row],[Current AQI]]</f>
        <v>22</v>
      </c>
      <c r="G19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71">
        <f>RANK(tbl_AQI[[#This Row],[Current AQI]], tbl_AQI[Current AQI], 0)</f>
        <v>3093</v>
      </c>
    </row>
    <row r="1972" spans="1:8" x14ac:dyDescent="0.35">
      <c r="A1972" t="s">
        <v>1854</v>
      </c>
      <c r="B1972" t="s">
        <v>1991</v>
      </c>
      <c r="C1972">
        <v>70</v>
      </c>
      <c r="D1972">
        <v>40</v>
      </c>
      <c r="E1972" t="s">
        <v>33</v>
      </c>
      <c r="F1972">
        <f>tbl_AQI[[#This Row],[Most AQI Reached]]-tbl_AQI[[#This Row],[Current AQI]]</f>
        <v>30</v>
      </c>
      <c r="G19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72">
        <f>RANK(tbl_AQI[[#This Row],[Current AQI]], tbl_AQI[Current AQI], 0)</f>
        <v>4808</v>
      </c>
    </row>
    <row r="1973" spans="1:8" x14ac:dyDescent="0.35">
      <c r="A1973" t="s">
        <v>1854</v>
      </c>
      <c r="B1973" t="s">
        <v>1992</v>
      </c>
      <c r="C1973">
        <v>95</v>
      </c>
      <c r="D1973">
        <v>73</v>
      </c>
      <c r="E1973" t="s">
        <v>11</v>
      </c>
      <c r="F1973">
        <f>tbl_AQI[[#This Row],[Most AQI Reached]]-tbl_AQI[[#This Row],[Current AQI]]</f>
        <v>22</v>
      </c>
      <c r="G19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73">
        <f>RANK(tbl_AQI[[#This Row],[Current AQI]], tbl_AQI[Current AQI], 0)</f>
        <v>4083</v>
      </c>
    </row>
    <row r="1974" spans="1:8" x14ac:dyDescent="0.35">
      <c r="A1974" t="s">
        <v>1854</v>
      </c>
      <c r="B1974" t="s">
        <v>1993</v>
      </c>
      <c r="C1974">
        <v>201</v>
      </c>
      <c r="D1974">
        <v>106</v>
      </c>
      <c r="E1974" t="s">
        <v>15</v>
      </c>
      <c r="F1974">
        <f>tbl_AQI[[#This Row],[Most AQI Reached]]-tbl_AQI[[#This Row],[Current AQI]]</f>
        <v>95</v>
      </c>
      <c r="G19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74">
        <f>RANK(tbl_AQI[[#This Row],[Current AQI]], tbl_AQI[Current AQI], 0)</f>
        <v>3413</v>
      </c>
    </row>
    <row r="1975" spans="1:8" x14ac:dyDescent="0.35">
      <c r="A1975" t="s">
        <v>1854</v>
      </c>
      <c r="B1975" t="s">
        <v>1994</v>
      </c>
      <c r="C1975">
        <v>129</v>
      </c>
      <c r="D1975">
        <v>68</v>
      </c>
      <c r="E1975" t="s">
        <v>33</v>
      </c>
      <c r="F1975">
        <f>tbl_AQI[[#This Row],[Most AQI Reached]]-tbl_AQI[[#This Row],[Current AQI]]</f>
        <v>61</v>
      </c>
      <c r="G19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75">
        <f>RANK(tbl_AQI[[#This Row],[Current AQI]], tbl_AQI[Current AQI], 0)</f>
        <v>4204</v>
      </c>
    </row>
    <row r="1976" spans="1:8" x14ac:dyDescent="0.35">
      <c r="A1976" t="s">
        <v>1854</v>
      </c>
      <c r="B1976" t="s">
        <v>1995</v>
      </c>
      <c r="C1976">
        <v>171</v>
      </c>
      <c r="D1976">
        <v>132</v>
      </c>
      <c r="E1976" t="s">
        <v>21</v>
      </c>
      <c r="F1976">
        <f>tbl_AQI[[#This Row],[Most AQI Reached]]-tbl_AQI[[#This Row],[Current AQI]]</f>
        <v>39</v>
      </c>
      <c r="G19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76">
        <f>RANK(tbl_AQI[[#This Row],[Current AQI]], tbl_AQI[Current AQI], 0)</f>
        <v>2792</v>
      </c>
    </row>
    <row r="1977" spans="1:8" x14ac:dyDescent="0.35">
      <c r="A1977" t="s">
        <v>1854</v>
      </c>
      <c r="B1977" t="s">
        <v>1996</v>
      </c>
      <c r="C1977">
        <v>181</v>
      </c>
      <c r="D1977">
        <v>91</v>
      </c>
      <c r="E1977" t="s">
        <v>21</v>
      </c>
      <c r="F1977">
        <f>tbl_AQI[[#This Row],[Most AQI Reached]]-tbl_AQI[[#This Row],[Current AQI]]</f>
        <v>90</v>
      </c>
      <c r="G19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77">
        <f>RANK(tbl_AQI[[#This Row],[Current AQI]], tbl_AQI[Current AQI], 0)</f>
        <v>3726</v>
      </c>
    </row>
    <row r="1978" spans="1:8" x14ac:dyDescent="0.35">
      <c r="A1978" t="s">
        <v>1854</v>
      </c>
      <c r="B1978" t="s">
        <v>1997</v>
      </c>
      <c r="C1978">
        <v>276</v>
      </c>
      <c r="D1978">
        <v>147</v>
      </c>
      <c r="E1978" t="s">
        <v>11</v>
      </c>
      <c r="F1978">
        <f>tbl_AQI[[#This Row],[Most AQI Reached]]-tbl_AQI[[#This Row],[Current AQI]]</f>
        <v>129</v>
      </c>
      <c r="G19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78">
        <f>RANK(tbl_AQI[[#This Row],[Current AQI]], tbl_AQI[Current AQI], 0)</f>
        <v>2478</v>
      </c>
    </row>
    <row r="1979" spans="1:8" x14ac:dyDescent="0.35">
      <c r="A1979" t="s">
        <v>1854</v>
      </c>
      <c r="B1979" t="s">
        <v>1998</v>
      </c>
      <c r="C1979">
        <v>271</v>
      </c>
      <c r="D1979">
        <v>104</v>
      </c>
      <c r="E1979" t="s">
        <v>9</v>
      </c>
      <c r="F1979">
        <f>tbl_AQI[[#This Row],[Most AQI Reached]]-tbl_AQI[[#This Row],[Current AQI]]</f>
        <v>167</v>
      </c>
      <c r="G19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79">
        <f>RANK(tbl_AQI[[#This Row],[Current AQI]], tbl_AQI[Current AQI], 0)</f>
        <v>3454</v>
      </c>
    </row>
    <row r="1980" spans="1:8" x14ac:dyDescent="0.35">
      <c r="A1980" t="s">
        <v>1854</v>
      </c>
      <c r="B1980" t="s">
        <v>1999</v>
      </c>
      <c r="C1980">
        <v>318</v>
      </c>
      <c r="D1980">
        <v>155</v>
      </c>
      <c r="E1980" t="s">
        <v>33</v>
      </c>
      <c r="F1980">
        <f>tbl_AQI[[#This Row],[Most AQI Reached]]-tbl_AQI[[#This Row],[Current AQI]]</f>
        <v>163</v>
      </c>
      <c r="G19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0">
        <f>RANK(tbl_AQI[[#This Row],[Current AQI]], tbl_AQI[Current AQI], 0)</f>
        <v>2275</v>
      </c>
    </row>
    <row r="1981" spans="1:8" x14ac:dyDescent="0.35">
      <c r="A1981" t="s">
        <v>1854</v>
      </c>
      <c r="B1981" t="s">
        <v>2000</v>
      </c>
      <c r="C1981">
        <v>152</v>
      </c>
      <c r="D1981">
        <v>120</v>
      </c>
      <c r="E1981" t="s">
        <v>7</v>
      </c>
      <c r="F1981">
        <f>tbl_AQI[[#This Row],[Most AQI Reached]]-tbl_AQI[[#This Row],[Current AQI]]</f>
        <v>32</v>
      </c>
      <c r="G19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1">
        <f>RANK(tbl_AQI[[#This Row],[Current AQI]], tbl_AQI[Current AQI], 0)</f>
        <v>3066</v>
      </c>
    </row>
    <row r="1982" spans="1:8" x14ac:dyDescent="0.35">
      <c r="A1982" t="s">
        <v>1854</v>
      </c>
      <c r="B1982" t="s">
        <v>2001</v>
      </c>
      <c r="C1982">
        <v>81</v>
      </c>
      <c r="D1982">
        <v>40</v>
      </c>
      <c r="E1982" t="s">
        <v>9</v>
      </c>
      <c r="F1982">
        <f>tbl_AQI[[#This Row],[Most AQI Reached]]-tbl_AQI[[#This Row],[Current AQI]]</f>
        <v>41</v>
      </c>
      <c r="G19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82">
        <f>RANK(tbl_AQI[[#This Row],[Current AQI]], tbl_AQI[Current AQI], 0)</f>
        <v>4808</v>
      </c>
    </row>
    <row r="1983" spans="1:8" x14ac:dyDescent="0.35">
      <c r="A1983" t="s">
        <v>1854</v>
      </c>
      <c r="B1983" t="s">
        <v>2002</v>
      </c>
      <c r="C1983">
        <v>293</v>
      </c>
      <c r="D1983">
        <v>186</v>
      </c>
      <c r="E1983" t="s">
        <v>15</v>
      </c>
      <c r="F1983">
        <f>tbl_AQI[[#This Row],[Most AQI Reached]]-tbl_AQI[[#This Row],[Current AQI]]</f>
        <v>107</v>
      </c>
      <c r="G19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3">
        <f>RANK(tbl_AQI[[#This Row],[Current AQI]], tbl_AQI[Current AQI], 0)</f>
        <v>1478</v>
      </c>
    </row>
    <row r="1984" spans="1:8" x14ac:dyDescent="0.35">
      <c r="A1984" t="s">
        <v>1854</v>
      </c>
      <c r="B1984" t="s">
        <v>2003</v>
      </c>
      <c r="C1984">
        <v>319</v>
      </c>
      <c r="D1984">
        <v>186</v>
      </c>
      <c r="E1984" t="s">
        <v>7</v>
      </c>
      <c r="F1984">
        <f>tbl_AQI[[#This Row],[Most AQI Reached]]-tbl_AQI[[#This Row],[Current AQI]]</f>
        <v>133</v>
      </c>
      <c r="G19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4">
        <f>RANK(tbl_AQI[[#This Row],[Current AQI]], tbl_AQI[Current AQI], 0)</f>
        <v>1478</v>
      </c>
    </row>
    <row r="1985" spans="1:8" x14ac:dyDescent="0.35">
      <c r="A1985" t="s">
        <v>1854</v>
      </c>
      <c r="B1985" t="s">
        <v>2004</v>
      </c>
      <c r="C1985">
        <v>137</v>
      </c>
      <c r="D1985">
        <v>109</v>
      </c>
      <c r="E1985" t="s">
        <v>17</v>
      </c>
      <c r="F1985">
        <f>tbl_AQI[[#This Row],[Most AQI Reached]]-tbl_AQI[[#This Row],[Current AQI]]</f>
        <v>28</v>
      </c>
      <c r="G19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5">
        <f>RANK(tbl_AQI[[#This Row],[Current AQI]], tbl_AQI[Current AQI], 0)</f>
        <v>3338</v>
      </c>
    </row>
    <row r="1986" spans="1:8" x14ac:dyDescent="0.35">
      <c r="A1986" t="s">
        <v>1854</v>
      </c>
      <c r="B1986" t="s">
        <v>2005</v>
      </c>
      <c r="C1986">
        <v>256</v>
      </c>
      <c r="D1986">
        <v>166</v>
      </c>
      <c r="E1986" t="s">
        <v>15</v>
      </c>
      <c r="F1986">
        <f>tbl_AQI[[#This Row],[Most AQI Reached]]-tbl_AQI[[#This Row],[Current AQI]]</f>
        <v>90</v>
      </c>
      <c r="G19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6">
        <f>RANK(tbl_AQI[[#This Row],[Current AQI]], tbl_AQI[Current AQI], 0)</f>
        <v>2007</v>
      </c>
    </row>
    <row r="1987" spans="1:8" x14ac:dyDescent="0.35">
      <c r="A1987" t="s">
        <v>1854</v>
      </c>
      <c r="B1987" t="s">
        <v>2006</v>
      </c>
      <c r="C1987">
        <v>208</v>
      </c>
      <c r="D1987">
        <v>145</v>
      </c>
      <c r="E1987" t="s">
        <v>9</v>
      </c>
      <c r="F1987">
        <f>tbl_AQI[[#This Row],[Most AQI Reached]]-tbl_AQI[[#This Row],[Current AQI]]</f>
        <v>63</v>
      </c>
      <c r="G19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87">
        <f>RANK(tbl_AQI[[#This Row],[Current AQI]], tbl_AQI[Current AQI], 0)</f>
        <v>2526</v>
      </c>
    </row>
    <row r="1988" spans="1:8" x14ac:dyDescent="0.35">
      <c r="A1988" t="s">
        <v>1854</v>
      </c>
      <c r="B1988" t="s">
        <v>2007</v>
      </c>
      <c r="C1988">
        <v>82</v>
      </c>
      <c r="D1988">
        <v>60</v>
      </c>
      <c r="E1988" t="s">
        <v>7</v>
      </c>
      <c r="F1988">
        <f>tbl_AQI[[#This Row],[Most AQI Reached]]-tbl_AQI[[#This Row],[Current AQI]]</f>
        <v>22</v>
      </c>
      <c r="G19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88">
        <f>RANK(tbl_AQI[[#This Row],[Current AQI]], tbl_AQI[Current AQI], 0)</f>
        <v>4390</v>
      </c>
    </row>
    <row r="1989" spans="1:8" x14ac:dyDescent="0.35">
      <c r="A1989" t="s">
        <v>1854</v>
      </c>
      <c r="B1989" t="s">
        <v>2008</v>
      </c>
      <c r="C1989">
        <v>318</v>
      </c>
      <c r="D1989">
        <v>91</v>
      </c>
      <c r="E1989" t="s">
        <v>17</v>
      </c>
      <c r="F1989">
        <f>tbl_AQI[[#This Row],[Most AQI Reached]]-tbl_AQI[[#This Row],[Current AQI]]</f>
        <v>227</v>
      </c>
      <c r="G19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89">
        <f>RANK(tbl_AQI[[#This Row],[Current AQI]], tbl_AQI[Current AQI], 0)</f>
        <v>3726</v>
      </c>
    </row>
    <row r="1990" spans="1:8" x14ac:dyDescent="0.35">
      <c r="A1990" t="s">
        <v>1854</v>
      </c>
      <c r="B1990" t="s">
        <v>2009</v>
      </c>
      <c r="C1990">
        <v>231</v>
      </c>
      <c r="D1990">
        <v>84</v>
      </c>
      <c r="E1990" t="s">
        <v>15</v>
      </c>
      <c r="F1990">
        <f>tbl_AQI[[#This Row],[Most AQI Reached]]-tbl_AQI[[#This Row],[Current AQI]]</f>
        <v>147</v>
      </c>
      <c r="G19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90">
        <f>RANK(tbl_AQI[[#This Row],[Current AQI]], tbl_AQI[Current AQI], 0)</f>
        <v>3872</v>
      </c>
    </row>
    <row r="1991" spans="1:8" x14ac:dyDescent="0.35">
      <c r="A1991" t="s">
        <v>1854</v>
      </c>
      <c r="B1991" t="s">
        <v>2010</v>
      </c>
      <c r="C1991">
        <v>173</v>
      </c>
      <c r="D1991">
        <v>70</v>
      </c>
      <c r="E1991" t="s">
        <v>9</v>
      </c>
      <c r="F1991">
        <f>tbl_AQI[[#This Row],[Most AQI Reached]]-tbl_AQI[[#This Row],[Current AQI]]</f>
        <v>103</v>
      </c>
      <c r="G19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91">
        <f>RANK(tbl_AQI[[#This Row],[Current AQI]], tbl_AQI[Current AQI], 0)</f>
        <v>4153</v>
      </c>
    </row>
    <row r="1992" spans="1:8" x14ac:dyDescent="0.35">
      <c r="A1992" t="s">
        <v>1854</v>
      </c>
      <c r="B1992" t="s">
        <v>2011</v>
      </c>
      <c r="C1992">
        <v>52</v>
      </c>
      <c r="D1992">
        <v>47</v>
      </c>
      <c r="E1992" t="s">
        <v>17</v>
      </c>
      <c r="F1992">
        <f>tbl_AQI[[#This Row],[Most AQI Reached]]-tbl_AQI[[#This Row],[Current AQI]]</f>
        <v>5</v>
      </c>
      <c r="G19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92">
        <f>RANK(tbl_AQI[[#This Row],[Current AQI]], tbl_AQI[Current AQI], 0)</f>
        <v>4656</v>
      </c>
    </row>
    <row r="1993" spans="1:8" x14ac:dyDescent="0.35">
      <c r="A1993" t="s">
        <v>1854</v>
      </c>
      <c r="B1993" t="s">
        <v>2012</v>
      </c>
      <c r="C1993">
        <v>278</v>
      </c>
      <c r="D1993">
        <v>160</v>
      </c>
      <c r="E1993" t="s">
        <v>33</v>
      </c>
      <c r="F1993">
        <f>tbl_AQI[[#This Row],[Most AQI Reached]]-tbl_AQI[[#This Row],[Current AQI]]</f>
        <v>118</v>
      </c>
      <c r="G19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93">
        <f>RANK(tbl_AQI[[#This Row],[Current AQI]], tbl_AQI[Current AQI], 0)</f>
        <v>2154</v>
      </c>
    </row>
    <row r="1994" spans="1:8" x14ac:dyDescent="0.35">
      <c r="A1994" t="s">
        <v>1854</v>
      </c>
      <c r="B1994" t="s">
        <v>2013</v>
      </c>
      <c r="C1994">
        <v>149</v>
      </c>
      <c r="D1994">
        <v>68</v>
      </c>
      <c r="E1994" t="s">
        <v>9</v>
      </c>
      <c r="F1994">
        <f>tbl_AQI[[#This Row],[Most AQI Reached]]-tbl_AQI[[#This Row],[Current AQI]]</f>
        <v>81</v>
      </c>
      <c r="G19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94">
        <f>RANK(tbl_AQI[[#This Row],[Current AQI]], tbl_AQI[Current AQI], 0)</f>
        <v>4204</v>
      </c>
    </row>
    <row r="1995" spans="1:8" x14ac:dyDescent="0.35">
      <c r="A1995" t="s">
        <v>1854</v>
      </c>
      <c r="B1995" t="s">
        <v>2014</v>
      </c>
      <c r="C1995">
        <v>287</v>
      </c>
      <c r="D1995">
        <v>136</v>
      </c>
      <c r="E1995" t="s">
        <v>33</v>
      </c>
      <c r="F1995">
        <f>tbl_AQI[[#This Row],[Most AQI Reached]]-tbl_AQI[[#This Row],[Current AQI]]</f>
        <v>151</v>
      </c>
      <c r="G19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95">
        <f>RANK(tbl_AQI[[#This Row],[Current AQI]], tbl_AQI[Current AQI], 0)</f>
        <v>2692</v>
      </c>
    </row>
    <row r="1996" spans="1:8" x14ac:dyDescent="0.35">
      <c r="A1996" t="s">
        <v>1854</v>
      </c>
      <c r="B1996" t="s">
        <v>2015</v>
      </c>
      <c r="C1996">
        <v>159</v>
      </c>
      <c r="D1996">
        <v>73</v>
      </c>
      <c r="E1996" t="s">
        <v>21</v>
      </c>
      <c r="F1996">
        <f>tbl_AQI[[#This Row],[Most AQI Reached]]-tbl_AQI[[#This Row],[Current AQI]]</f>
        <v>86</v>
      </c>
      <c r="G19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96">
        <f>RANK(tbl_AQI[[#This Row],[Current AQI]], tbl_AQI[Current AQI], 0)</f>
        <v>4083</v>
      </c>
    </row>
    <row r="1997" spans="1:8" x14ac:dyDescent="0.35">
      <c r="A1997" t="s">
        <v>1854</v>
      </c>
      <c r="B1997" t="s">
        <v>2016</v>
      </c>
      <c r="C1997">
        <v>107</v>
      </c>
      <c r="D1997">
        <v>48</v>
      </c>
      <c r="E1997" t="s">
        <v>15</v>
      </c>
      <c r="F1997">
        <f>tbl_AQI[[#This Row],[Most AQI Reached]]-tbl_AQI[[#This Row],[Current AQI]]</f>
        <v>59</v>
      </c>
      <c r="G19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1997">
        <f>RANK(tbl_AQI[[#This Row],[Current AQI]], tbl_AQI[Current AQI], 0)</f>
        <v>4638</v>
      </c>
    </row>
    <row r="1998" spans="1:8" x14ac:dyDescent="0.35">
      <c r="A1998" t="s">
        <v>1854</v>
      </c>
      <c r="B1998" t="s">
        <v>2017</v>
      </c>
      <c r="C1998">
        <v>194</v>
      </c>
      <c r="D1998">
        <v>108</v>
      </c>
      <c r="E1998" t="s">
        <v>33</v>
      </c>
      <c r="F1998">
        <f>tbl_AQI[[#This Row],[Most AQI Reached]]-tbl_AQI[[#This Row],[Current AQI]]</f>
        <v>86</v>
      </c>
      <c r="G19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1998">
        <f>RANK(tbl_AQI[[#This Row],[Current AQI]], tbl_AQI[Current AQI], 0)</f>
        <v>3362</v>
      </c>
    </row>
    <row r="1999" spans="1:8" x14ac:dyDescent="0.35">
      <c r="A1999" t="s">
        <v>1854</v>
      </c>
      <c r="B1999" t="s">
        <v>2018</v>
      </c>
      <c r="C1999">
        <v>202</v>
      </c>
      <c r="D1999">
        <v>92</v>
      </c>
      <c r="E1999" t="s">
        <v>21</v>
      </c>
      <c r="F1999">
        <f>tbl_AQI[[#This Row],[Most AQI Reached]]-tbl_AQI[[#This Row],[Current AQI]]</f>
        <v>110</v>
      </c>
      <c r="G19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1999">
        <f>RANK(tbl_AQI[[#This Row],[Current AQI]], tbl_AQI[Current AQI], 0)</f>
        <v>3706</v>
      </c>
    </row>
    <row r="2000" spans="1:8" x14ac:dyDescent="0.35">
      <c r="A2000" t="s">
        <v>1854</v>
      </c>
      <c r="B2000" t="s">
        <v>2019</v>
      </c>
      <c r="C2000">
        <v>225</v>
      </c>
      <c r="D2000">
        <v>185</v>
      </c>
      <c r="E2000" t="s">
        <v>15</v>
      </c>
      <c r="F2000">
        <f>tbl_AQI[[#This Row],[Most AQI Reached]]-tbl_AQI[[#This Row],[Current AQI]]</f>
        <v>40</v>
      </c>
      <c r="G20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00">
        <f>RANK(tbl_AQI[[#This Row],[Current AQI]], tbl_AQI[Current AQI], 0)</f>
        <v>1517</v>
      </c>
    </row>
    <row r="2001" spans="1:8" x14ac:dyDescent="0.35">
      <c r="A2001" t="s">
        <v>1854</v>
      </c>
      <c r="B2001" t="s">
        <v>2020</v>
      </c>
      <c r="C2001">
        <v>157</v>
      </c>
      <c r="D2001">
        <v>100</v>
      </c>
      <c r="E2001" t="s">
        <v>11</v>
      </c>
      <c r="F2001">
        <f>tbl_AQI[[#This Row],[Most AQI Reached]]-tbl_AQI[[#This Row],[Current AQI]]</f>
        <v>57</v>
      </c>
      <c r="G20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01">
        <f>RANK(tbl_AQI[[#This Row],[Current AQI]], tbl_AQI[Current AQI], 0)</f>
        <v>3535</v>
      </c>
    </row>
    <row r="2002" spans="1:8" x14ac:dyDescent="0.35">
      <c r="A2002" t="s">
        <v>1854</v>
      </c>
      <c r="B2002" t="s">
        <v>2021</v>
      </c>
      <c r="C2002">
        <v>261</v>
      </c>
      <c r="D2002">
        <v>186</v>
      </c>
      <c r="E2002" t="s">
        <v>7</v>
      </c>
      <c r="F2002">
        <f>tbl_AQI[[#This Row],[Most AQI Reached]]-tbl_AQI[[#This Row],[Current AQI]]</f>
        <v>75</v>
      </c>
      <c r="G20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02">
        <f>RANK(tbl_AQI[[#This Row],[Current AQI]], tbl_AQI[Current AQI], 0)</f>
        <v>1478</v>
      </c>
    </row>
    <row r="2003" spans="1:8" x14ac:dyDescent="0.35">
      <c r="A2003" t="s">
        <v>1854</v>
      </c>
      <c r="B2003" t="s">
        <v>2022</v>
      </c>
      <c r="C2003">
        <v>295</v>
      </c>
      <c r="D2003">
        <v>57</v>
      </c>
      <c r="E2003" t="s">
        <v>11</v>
      </c>
      <c r="F2003">
        <f>tbl_AQI[[#This Row],[Most AQI Reached]]-tbl_AQI[[#This Row],[Current AQI]]</f>
        <v>238</v>
      </c>
      <c r="G20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03">
        <f>RANK(tbl_AQI[[#This Row],[Current AQI]], tbl_AQI[Current AQI], 0)</f>
        <v>4452</v>
      </c>
    </row>
    <row r="2004" spans="1:8" x14ac:dyDescent="0.35">
      <c r="A2004" t="s">
        <v>1854</v>
      </c>
      <c r="B2004" t="s">
        <v>2023</v>
      </c>
      <c r="C2004">
        <v>218</v>
      </c>
      <c r="D2004">
        <v>64</v>
      </c>
      <c r="E2004" t="s">
        <v>33</v>
      </c>
      <c r="F2004">
        <f>tbl_AQI[[#This Row],[Most AQI Reached]]-tbl_AQI[[#This Row],[Current AQI]]</f>
        <v>154</v>
      </c>
      <c r="G20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04">
        <f>RANK(tbl_AQI[[#This Row],[Current AQI]], tbl_AQI[Current AQI], 0)</f>
        <v>4293</v>
      </c>
    </row>
    <row r="2005" spans="1:8" x14ac:dyDescent="0.35">
      <c r="A2005" t="s">
        <v>1854</v>
      </c>
      <c r="B2005" t="s">
        <v>2024</v>
      </c>
      <c r="C2005">
        <v>239</v>
      </c>
      <c r="D2005">
        <v>177</v>
      </c>
      <c r="E2005" t="s">
        <v>21</v>
      </c>
      <c r="F2005">
        <f>tbl_AQI[[#This Row],[Most AQI Reached]]-tbl_AQI[[#This Row],[Current AQI]]</f>
        <v>62</v>
      </c>
      <c r="G20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05">
        <f>RANK(tbl_AQI[[#This Row],[Current AQI]], tbl_AQI[Current AQI], 0)</f>
        <v>1733</v>
      </c>
    </row>
    <row r="2006" spans="1:8" x14ac:dyDescent="0.35">
      <c r="A2006" t="s">
        <v>1854</v>
      </c>
      <c r="B2006" t="s">
        <v>2025</v>
      </c>
      <c r="C2006">
        <v>198</v>
      </c>
      <c r="D2006">
        <v>132</v>
      </c>
      <c r="E2006" t="s">
        <v>15</v>
      </c>
      <c r="F2006">
        <f>tbl_AQI[[#This Row],[Most AQI Reached]]-tbl_AQI[[#This Row],[Current AQI]]</f>
        <v>66</v>
      </c>
      <c r="G20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06">
        <f>RANK(tbl_AQI[[#This Row],[Current AQI]], tbl_AQI[Current AQI], 0)</f>
        <v>2792</v>
      </c>
    </row>
    <row r="2007" spans="1:8" x14ac:dyDescent="0.35">
      <c r="A2007" t="s">
        <v>1854</v>
      </c>
      <c r="B2007" t="s">
        <v>2026</v>
      </c>
      <c r="C2007">
        <v>170</v>
      </c>
      <c r="D2007">
        <v>34</v>
      </c>
      <c r="E2007" t="s">
        <v>11</v>
      </c>
      <c r="F2007">
        <f>tbl_AQI[[#This Row],[Most AQI Reached]]-tbl_AQI[[#This Row],[Current AQI]]</f>
        <v>136</v>
      </c>
      <c r="G20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07">
        <f>RANK(tbl_AQI[[#This Row],[Current AQI]], tbl_AQI[Current AQI], 0)</f>
        <v>4944</v>
      </c>
    </row>
    <row r="2008" spans="1:8" x14ac:dyDescent="0.35">
      <c r="A2008" t="s">
        <v>1854</v>
      </c>
      <c r="B2008" t="s">
        <v>2027</v>
      </c>
      <c r="C2008">
        <v>257</v>
      </c>
      <c r="D2008">
        <v>160</v>
      </c>
      <c r="E2008" t="s">
        <v>11</v>
      </c>
      <c r="F2008">
        <f>tbl_AQI[[#This Row],[Most AQI Reached]]-tbl_AQI[[#This Row],[Current AQI]]</f>
        <v>97</v>
      </c>
      <c r="G20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08">
        <f>RANK(tbl_AQI[[#This Row],[Current AQI]], tbl_AQI[Current AQI], 0)</f>
        <v>2154</v>
      </c>
    </row>
    <row r="2009" spans="1:8" x14ac:dyDescent="0.35">
      <c r="A2009" t="s">
        <v>1854</v>
      </c>
      <c r="B2009" t="s">
        <v>2028</v>
      </c>
      <c r="C2009">
        <v>306</v>
      </c>
      <c r="D2009">
        <v>186</v>
      </c>
      <c r="E2009" t="s">
        <v>17</v>
      </c>
      <c r="F2009">
        <f>tbl_AQI[[#This Row],[Most AQI Reached]]-tbl_AQI[[#This Row],[Current AQI]]</f>
        <v>120</v>
      </c>
      <c r="G20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09">
        <f>RANK(tbl_AQI[[#This Row],[Current AQI]], tbl_AQI[Current AQI], 0)</f>
        <v>1478</v>
      </c>
    </row>
    <row r="2010" spans="1:8" x14ac:dyDescent="0.35">
      <c r="A2010" t="s">
        <v>1854</v>
      </c>
      <c r="B2010" t="s">
        <v>2029</v>
      </c>
      <c r="C2010">
        <v>216</v>
      </c>
      <c r="D2010">
        <v>37</v>
      </c>
      <c r="E2010" t="s">
        <v>9</v>
      </c>
      <c r="F2010">
        <f>tbl_AQI[[#This Row],[Most AQI Reached]]-tbl_AQI[[#This Row],[Current AQI]]</f>
        <v>179</v>
      </c>
      <c r="G20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10">
        <f>RANK(tbl_AQI[[#This Row],[Current AQI]], tbl_AQI[Current AQI], 0)</f>
        <v>4863</v>
      </c>
    </row>
    <row r="2011" spans="1:8" x14ac:dyDescent="0.35">
      <c r="A2011" t="s">
        <v>1854</v>
      </c>
      <c r="B2011" t="s">
        <v>2030</v>
      </c>
      <c r="C2011">
        <v>296</v>
      </c>
      <c r="D2011">
        <v>188</v>
      </c>
      <c r="E2011" t="s">
        <v>9</v>
      </c>
      <c r="F2011">
        <f>tbl_AQI[[#This Row],[Most AQI Reached]]-tbl_AQI[[#This Row],[Current AQI]]</f>
        <v>108</v>
      </c>
      <c r="G20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11">
        <f>RANK(tbl_AQI[[#This Row],[Current AQI]], tbl_AQI[Current AQI], 0)</f>
        <v>1423</v>
      </c>
    </row>
    <row r="2012" spans="1:8" x14ac:dyDescent="0.35">
      <c r="A2012" t="s">
        <v>1854</v>
      </c>
      <c r="B2012" t="s">
        <v>2031</v>
      </c>
      <c r="C2012">
        <v>245</v>
      </c>
      <c r="D2012">
        <v>190</v>
      </c>
      <c r="E2012" t="s">
        <v>17</v>
      </c>
      <c r="F2012">
        <f>tbl_AQI[[#This Row],[Most AQI Reached]]-tbl_AQI[[#This Row],[Current AQI]]</f>
        <v>55</v>
      </c>
      <c r="G20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12">
        <f>RANK(tbl_AQI[[#This Row],[Current AQI]], tbl_AQI[Current AQI], 0)</f>
        <v>1355</v>
      </c>
    </row>
    <row r="2013" spans="1:8" x14ac:dyDescent="0.35">
      <c r="A2013" t="s">
        <v>1854</v>
      </c>
      <c r="B2013" t="s">
        <v>2032</v>
      </c>
      <c r="C2013">
        <v>197</v>
      </c>
      <c r="D2013">
        <v>57</v>
      </c>
      <c r="E2013" t="s">
        <v>33</v>
      </c>
      <c r="F2013">
        <f>tbl_AQI[[#This Row],[Most AQI Reached]]-tbl_AQI[[#This Row],[Current AQI]]</f>
        <v>140</v>
      </c>
      <c r="G20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13">
        <f>RANK(tbl_AQI[[#This Row],[Current AQI]], tbl_AQI[Current AQI], 0)</f>
        <v>4452</v>
      </c>
    </row>
    <row r="2014" spans="1:8" x14ac:dyDescent="0.35">
      <c r="A2014" t="s">
        <v>1854</v>
      </c>
      <c r="B2014" t="s">
        <v>2033</v>
      </c>
      <c r="C2014">
        <v>127</v>
      </c>
      <c r="D2014">
        <v>58</v>
      </c>
      <c r="E2014" t="s">
        <v>7</v>
      </c>
      <c r="F2014">
        <f>tbl_AQI[[#This Row],[Most AQI Reached]]-tbl_AQI[[#This Row],[Current AQI]]</f>
        <v>69</v>
      </c>
      <c r="G20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14">
        <f>RANK(tbl_AQI[[#This Row],[Current AQI]], tbl_AQI[Current AQI], 0)</f>
        <v>4431</v>
      </c>
    </row>
    <row r="2015" spans="1:8" x14ac:dyDescent="0.35">
      <c r="A2015" t="s">
        <v>1854</v>
      </c>
      <c r="B2015" t="s">
        <v>2034</v>
      </c>
      <c r="C2015">
        <v>213</v>
      </c>
      <c r="D2015">
        <v>108</v>
      </c>
      <c r="E2015" t="s">
        <v>9</v>
      </c>
      <c r="F2015">
        <f>tbl_AQI[[#This Row],[Most AQI Reached]]-tbl_AQI[[#This Row],[Current AQI]]</f>
        <v>105</v>
      </c>
      <c r="G20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15">
        <f>RANK(tbl_AQI[[#This Row],[Current AQI]], tbl_AQI[Current AQI], 0)</f>
        <v>3362</v>
      </c>
    </row>
    <row r="2016" spans="1:8" x14ac:dyDescent="0.35">
      <c r="A2016" t="s">
        <v>1854</v>
      </c>
      <c r="B2016" t="s">
        <v>2035</v>
      </c>
      <c r="C2016">
        <v>180</v>
      </c>
      <c r="D2016">
        <v>123</v>
      </c>
      <c r="E2016" t="s">
        <v>15</v>
      </c>
      <c r="F2016">
        <f>tbl_AQI[[#This Row],[Most AQI Reached]]-tbl_AQI[[#This Row],[Current AQI]]</f>
        <v>57</v>
      </c>
      <c r="G20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16">
        <f>RANK(tbl_AQI[[#This Row],[Current AQI]], tbl_AQI[Current AQI], 0)</f>
        <v>2983</v>
      </c>
    </row>
    <row r="2017" spans="1:8" x14ac:dyDescent="0.35">
      <c r="A2017" t="s">
        <v>1854</v>
      </c>
      <c r="B2017" t="s">
        <v>2036</v>
      </c>
      <c r="C2017">
        <v>263</v>
      </c>
      <c r="D2017">
        <v>61</v>
      </c>
      <c r="E2017" t="s">
        <v>21</v>
      </c>
      <c r="F2017">
        <f>tbl_AQI[[#This Row],[Most AQI Reached]]-tbl_AQI[[#This Row],[Current AQI]]</f>
        <v>202</v>
      </c>
      <c r="G20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17">
        <f>RANK(tbl_AQI[[#This Row],[Current AQI]], tbl_AQI[Current AQI], 0)</f>
        <v>4368</v>
      </c>
    </row>
    <row r="2018" spans="1:8" x14ac:dyDescent="0.35">
      <c r="A2018" t="s">
        <v>1854</v>
      </c>
      <c r="B2018" t="s">
        <v>2037</v>
      </c>
      <c r="C2018">
        <v>177</v>
      </c>
      <c r="D2018">
        <v>137</v>
      </c>
      <c r="E2018" t="s">
        <v>21</v>
      </c>
      <c r="F2018">
        <f>tbl_AQI[[#This Row],[Most AQI Reached]]-tbl_AQI[[#This Row],[Current AQI]]</f>
        <v>40</v>
      </c>
      <c r="G20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18">
        <f>RANK(tbl_AQI[[#This Row],[Current AQI]], tbl_AQI[Current AQI], 0)</f>
        <v>2677</v>
      </c>
    </row>
    <row r="2019" spans="1:8" x14ac:dyDescent="0.35">
      <c r="A2019" t="s">
        <v>1854</v>
      </c>
      <c r="B2019" t="s">
        <v>2038</v>
      </c>
      <c r="C2019">
        <v>146</v>
      </c>
      <c r="D2019">
        <v>120</v>
      </c>
      <c r="E2019" t="s">
        <v>15</v>
      </c>
      <c r="F2019">
        <f>tbl_AQI[[#This Row],[Most AQI Reached]]-tbl_AQI[[#This Row],[Current AQI]]</f>
        <v>26</v>
      </c>
      <c r="G20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19">
        <f>RANK(tbl_AQI[[#This Row],[Current AQI]], tbl_AQI[Current AQI], 0)</f>
        <v>3066</v>
      </c>
    </row>
    <row r="2020" spans="1:8" x14ac:dyDescent="0.35">
      <c r="A2020" t="s">
        <v>1854</v>
      </c>
      <c r="B2020" t="s">
        <v>2039</v>
      </c>
      <c r="C2020">
        <v>262</v>
      </c>
      <c r="D2020">
        <v>109</v>
      </c>
      <c r="E2020" t="s">
        <v>15</v>
      </c>
      <c r="F2020">
        <f>tbl_AQI[[#This Row],[Most AQI Reached]]-tbl_AQI[[#This Row],[Current AQI]]</f>
        <v>153</v>
      </c>
      <c r="G20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20">
        <f>RANK(tbl_AQI[[#This Row],[Current AQI]], tbl_AQI[Current AQI], 0)</f>
        <v>3338</v>
      </c>
    </row>
    <row r="2021" spans="1:8" x14ac:dyDescent="0.35">
      <c r="A2021" t="s">
        <v>1854</v>
      </c>
      <c r="B2021" t="s">
        <v>2040</v>
      </c>
      <c r="C2021">
        <v>291</v>
      </c>
      <c r="D2021">
        <v>81</v>
      </c>
      <c r="E2021" t="s">
        <v>21</v>
      </c>
      <c r="F2021">
        <f>tbl_AQI[[#This Row],[Most AQI Reached]]-tbl_AQI[[#This Row],[Current AQI]]</f>
        <v>210</v>
      </c>
      <c r="G20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21">
        <f>RANK(tbl_AQI[[#This Row],[Current AQI]], tbl_AQI[Current AQI], 0)</f>
        <v>3923</v>
      </c>
    </row>
    <row r="2022" spans="1:8" x14ac:dyDescent="0.35">
      <c r="A2022" t="s">
        <v>1854</v>
      </c>
      <c r="B2022" t="s">
        <v>2041</v>
      </c>
      <c r="C2022">
        <v>239</v>
      </c>
      <c r="D2022">
        <v>98</v>
      </c>
      <c r="E2022" t="s">
        <v>33</v>
      </c>
      <c r="F2022">
        <f>tbl_AQI[[#This Row],[Most AQI Reached]]-tbl_AQI[[#This Row],[Current AQI]]</f>
        <v>141</v>
      </c>
      <c r="G20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22">
        <f>RANK(tbl_AQI[[#This Row],[Current AQI]], tbl_AQI[Current AQI], 0)</f>
        <v>3574</v>
      </c>
    </row>
    <row r="2023" spans="1:8" x14ac:dyDescent="0.35">
      <c r="A2023" t="s">
        <v>1854</v>
      </c>
      <c r="B2023" t="s">
        <v>2042</v>
      </c>
      <c r="C2023">
        <v>234</v>
      </c>
      <c r="D2023">
        <v>97</v>
      </c>
      <c r="E2023" t="s">
        <v>17</v>
      </c>
      <c r="F2023">
        <f>tbl_AQI[[#This Row],[Most AQI Reached]]-tbl_AQI[[#This Row],[Current AQI]]</f>
        <v>137</v>
      </c>
      <c r="G20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23">
        <f>RANK(tbl_AQI[[#This Row],[Current AQI]], tbl_AQI[Current AQI], 0)</f>
        <v>3593</v>
      </c>
    </row>
    <row r="2024" spans="1:8" x14ac:dyDescent="0.35">
      <c r="A2024" t="s">
        <v>1854</v>
      </c>
      <c r="B2024" t="s">
        <v>2043</v>
      </c>
      <c r="C2024">
        <v>176</v>
      </c>
      <c r="D2024">
        <v>155</v>
      </c>
      <c r="E2024" t="s">
        <v>17</v>
      </c>
      <c r="F2024">
        <f>tbl_AQI[[#This Row],[Most AQI Reached]]-tbl_AQI[[#This Row],[Current AQI]]</f>
        <v>21</v>
      </c>
      <c r="G20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24">
        <f>RANK(tbl_AQI[[#This Row],[Current AQI]], tbl_AQI[Current AQI], 0)</f>
        <v>2275</v>
      </c>
    </row>
    <row r="2025" spans="1:8" x14ac:dyDescent="0.35">
      <c r="A2025" t="s">
        <v>1854</v>
      </c>
      <c r="B2025" t="s">
        <v>2044</v>
      </c>
      <c r="C2025">
        <v>54</v>
      </c>
      <c r="D2025">
        <v>44</v>
      </c>
      <c r="E2025" t="s">
        <v>21</v>
      </c>
      <c r="F2025">
        <f>tbl_AQI[[#This Row],[Most AQI Reached]]-tbl_AQI[[#This Row],[Current AQI]]</f>
        <v>10</v>
      </c>
      <c r="G20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25">
        <f>RANK(tbl_AQI[[#This Row],[Current AQI]], tbl_AQI[Current AQI], 0)</f>
        <v>4732</v>
      </c>
    </row>
    <row r="2026" spans="1:8" x14ac:dyDescent="0.35">
      <c r="A2026" t="s">
        <v>1854</v>
      </c>
      <c r="B2026" t="s">
        <v>2045</v>
      </c>
      <c r="C2026">
        <v>278</v>
      </c>
      <c r="D2026">
        <v>167</v>
      </c>
      <c r="E2026" t="s">
        <v>21</v>
      </c>
      <c r="F2026">
        <f>tbl_AQI[[#This Row],[Most AQI Reached]]-tbl_AQI[[#This Row],[Current AQI]]</f>
        <v>111</v>
      </c>
      <c r="G20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26">
        <f>RANK(tbl_AQI[[#This Row],[Current AQI]], tbl_AQI[Current AQI], 0)</f>
        <v>1979</v>
      </c>
    </row>
    <row r="2027" spans="1:8" x14ac:dyDescent="0.35">
      <c r="A2027" t="s">
        <v>1854</v>
      </c>
      <c r="B2027" t="s">
        <v>2046</v>
      </c>
      <c r="C2027">
        <v>189</v>
      </c>
      <c r="D2027">
        <v>148</v>
      </c>
      <c r="E2027" t="s">
        <v>21</v>
      </c>
      <c r="F2027">
        <f>tbl_AQI[[#This Row],[Most AQI Reached]]-tbl_AQI[[#This Row],[Current AQI]]</f>
        <v>41</v>
      </c>
      <c r="G20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27">
        <f>RANK(tbl_AQI[[#This Row],[Current AQI]], tbl_AQI[Current AQI], 0)</f>
        <v>2446</v>
      </c>
    </row>
    <row r="2028" spans="1:8" x14ac:dyDescent="0.35">
      <c r="A2028" t="s">
        <v>1854</v>
      </c>
      <c r="B2028" t="s">
        <v>2047</v>
      </c>
      <c r="C2028">
        <v>240</v>
      </c>
      <c r="D2028">
        <v>100</v>
      </c>
      <c r="E2028" t="s">
        <v>17</v>
      </c>
      <c r="F2028">
        <f>tbl_AQI[[#This Row],[Most AQI Reached]]-tbl_AQI[[#This Row],[Current AQI]]</f>
        <v>140</v>
      </c>
      <c r="G20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28">
        <f>RANK(tbl_AQI[[#This Row],[Current AQI]], tbl_AQI[Current AQI], 0)</f>
        <v>3535</v>
      </c>
    </row>
    <row r="2029" spans="1:8" x14ac:dyDescent="0.35">
      <c r="A2029" t="s">
        <v>1854</v>
      </c>
      <c r="B2029" t="s">
        <v>2048</v>
      </c>
      <c r="C2029">
        <v>198</v>
      </c>
      <c r="D2029">
        <v>150</v>
      </c>
      <c r="E2029" t="s">
        <v>15</v>
      </c>
      <c r="F2029">
        <f>tbl_AQI[[#This Row],[Most AQI Reached]]-tbl_AQI[[#This Row],[Current AQI]]</f>
        <v>48</v>
      </c>
      <c r="G20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29">
        <f>RANK(tbl_AQI[[#This Row],[Current AQI]], tbl_AQI[Current AQI], 0)</f>
        <v>2400</v>
      </c>
    </row>
    <row r="2030" spans="1:8" x14ac:dyDescent="0.35">
      <c r="A2030" t="s">
        <v>1854</v>
      </c>
      <c r="B2030" t="s">
        <v>2049</v>
      </c>
      <c r="C2030">
        <v>107</v>
      </c>
      <c r="D2030">
        <v>55</v>
      </c>
      <c r="E2030" t="s">
        <v>21</v>
      </c>
      <c r="F2030">
        <f>tbl_AQI[[#This Row],[Most AQI Reached]]-tbl_AQI[[#This Row],[Current AQI]]</f>
        <v>52</v>
      </c>
      <c r="G20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30">
        <f>RANK(tbl_AQI[[#This Row],[Current AQI]], tbl_AQI[Current AQI], 0)</f>
        <v>4497</v>
      </c>
    </row>
    <row r="2031" spans="1:8" x14ac:dyDescent="0.35">
      <c r="A2031" t="s">
        <v>1854</v>
      </c>
      <c r="B2031" t="s">
        <v>2050</v>
      </c>
      <c r="C2031">
        <v>279</v>
      </c>
      <c r="D2031">
        <v>49</v>
      </c>
      <c r="E2031" t="s">
        <v>7</v>
      </c>
      <c r="F2031">
        <f>tbl_AQI[[#This Row],[Most AQI Reached]]-tbl_AQI[[#This Row],[Current AQI]]</f>
        <v>230</v>
      </c>
      <c r="G20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31">
        <f>RANK(tbl_AQI[[#This Row],[Current AQI]], tbl_AQI[Current AQI], 0)</f>
        <v>4614</v>
      </c>
    </row>
    <row r="2032" spans="1:8" x14ac:dyDescent="0.35">
      <c r="A2032" t="s">
        <v>1854</v>
      </c>
      <c r="B2032" t="s">
        <v>2051</v>
      </c>
      <c r="C2032">
        <v>213</v>
      </c>
      <c r="D2032">
        <v>89</v>
      </c>
      <c r="E2032" t="s">
        <v>15</v>
      </c>
      <c r="F2032">
        <f>tbl_AQI[[#This Row],[Most AQI Reached]]-tbl_AQI[[#This Row],[Current AQI]]</f>
        <v>124</v>
      </c>
      <c r="G20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32">
        <f>RANK(tbl_AQI[[#This Row],[Current AQI]], tbl_AQI[Current AQI], 0)</f>
        <v>3772</v>
      </c>
    </row>
    <row r="2033" spans="1:8" x14ac:dyDescent="0.35">
      <c r="A2033" t="s">
        <v>1854</v>
      </c>
      <c r="B2033" t="s">
        <v>2052</v>
      </c>
      <c r="C2033">
        <v>292</v>
      </c>
      <c r="D2033">
        <v>158</v>
      </c>
      <c r="E2033" t="s">
        <v>15</v>
      </c>
      <c r="F2033">
        <f>tbl_AQI[[#This Row],[Most AQI Reached]]-tbl_AQI[[#This Row],[Current AQI]]</f>
        <v>134</v>
      </c>
      <c r="G20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33">
        <f>RANK(tbl_AQI[[#This Row],[Current AQI]], tbl_AQI[Current AQI], 0)</f>
        <v>2207</v>
      </c>
    </row>
    <row r="2034" spans="1:8" x14ac:dyDescent="0.35">
      <c r="A2034" t="s">
        <v>1854</v>
      </c>
      <c r="B2034" t="s">
        <v>2053</v>
      </c>
      <c r="C2034">
        <v>256</v>
      </c>
      <c r="D2034">
        <v>139</v>
      </c>
      <c r="E2034" t="s">
        <v>17</v>
      </c>
      <c r="F2034">
        <f>tbl_AQI[[#This Row],[Most AQI Reached]]-tbl_AQI[[#This Row],[Current AQI]]</f>
        <v>117</v>
      </c>
      <c r="G20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34">
        <f>RANK(tbl_AQI[[#This Row],[Current AQI]], tbl_AQI[Current AQI], 0)</f>
        <v>2647</v>
      </c>
    </row>
    <row r="2035" spans="1:8" x14ac:dyDescent="0.35">
      <c r="A2035" t="s">
        <v>1854</v>
      </c>
      <c r="B2035" t="s">
        <v>2054</v>
      </c>
      <c r="C2035">
        <v>161</v>
      </c>
      <c r="D2035">
        <v>155</v>
      </c>
      <c r="E2035" t="s">
        <v>7</v>
      </c>
      <c r="F2035">
        <f>tbl_AQI[[#This Row],[Most AQI Reached]]-tbl_AQI[[#This Row],[Current AQI]]</f>
        <v>6</v>
      </c>
      <c r="G20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35">
        <f>RANK(tbl_AQI[[#This Row],[Current AQI]], tbl_AQI[Current AQI], 0)</f>
        <v>2275</v>
      </c>
    </row>
    <row r="2036" spans="1:8" x14ac:dyDescent="0.35">
      <c r="A2036" t="s">
        <v>1854</v>
      </c>
      <c r="B2036" t="s">
        <v>2055</v>
      </c>
      <c r="C2036">
        <v>289</v>
      </c>
      <c r="D2036">
        <v>123</v>
      </c>
      <c r="E2036" t="s">
        <v>11</v>
      </c>
      <c r="F2036">
        <f>tbl_AQI[[#This Row],[Most AQI Reached]]-tbl_AQI[[#This Row],[Current AQI]]</f>
        <v>166</v>
      </c>
      <c r="G20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36">
        <f>RANK(tbl_AQI[[#This Row],[Current AQI]], tbl_AQI[Current AQI], 0)</f>
        <v>2983</v>
      </c>
    </row>
    <row r="2037" spans="1:8" x14ac:dyDescent="0.35">
      <c r="A2037" t="s">
        <v>1854</v>
      </c>
      <c r="B2037" t="s">
        <v>2056</v>
      </c>
      <c r="C2037">
        <v>190</v>
      </c>
      <c r="D2037">
        <v>179</v>
      </c>
      <c r="E2037" t="s">
        <v>9</v>
      </c>
      <c r="F2037">
        <f>tbl_AQI[[#This Row],[Most AQI Reached]]-tbl_AQI[[#This Row],[Current AQI]]</f>
        <v>11</v>
      </c>
      <c r="G20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37">
        <f>RANK(tbl_AQI[[#This Row],[Current AQI]], tbl_AQI[Current AQI], 0)</f>
        <v>1667</v>
      </c>
    </row>
    <row r="2038" spans="1:8" x14ac:dyDescent="0.35">
      <c r="A2038" t="s">
        <v>1854</v>
      </c>
      <c r="B2038" t="s">
        <v>2057</v>
      </c>
      <c r="C2038">
        <v>178</v>
      </c>
      <c r="D2038">
        <v>32</v>
      </c>
      <c r="E2038" t="s">
        <v>33</v>
      </c>
      <c r="F2038">
        <f>tbl_AQI[[#This Row],[Most AQI Reached]]-tbl_AQI[[#This Row],[Current AQI]]</f>
        <v>146</v>
      </c>
      <c r="G20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38">
        <f>RANK(tbl_AQI[[#This Row],[Current AQI]], tbl_AQI[Current AQI], 0)</f>
        <v>4983</v>
      </c>
    </row>
    <row r="2039" spans="1:8" x14ac:dyDescent="0.35">
      <c r="A2039" t="s">
        <v>1854</v>
      </c>
      <c r="B2039" t="s">
        <v>2058</v>
      </c>
      <c r="C2039">
        <v>305</v>
      </c>
      <c r="D2039">
        <v>94</v>
      </c>
      <c r="E2039" t="s">
        <v>7</v>
      </c>
      <c r="F2039">
        <f>tbl_AQI[[#This Row],[Most AQI Reached]]-tbl_AQI[[#This Row],[Current AQI]]</f>
        <v>211</v>
      </c>
      <c r="G20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39">
        <f>RANK(tbl_AQI[[#This Row],[Current AQI]], tbl_AQI[Current AQI], 0)</f>
        <v>3654</v>
      </c>
    </row>
    <row r="2040" spans="1:8" x14ac:dyDescent="0.35">
      <c r="A2040" t="s">
        <v>1854</v>
      </c>
      <c r="B2040" t="s">
        <v>2059</v>
      </c>
      <c r="C2040">
        <v>127</v>
      </c>
      <c r="D2040">
        <v>100</v>
      </c>
      <c r="E2040" t="s">
        <v>7</v>
      </c>
      <c r="F2040">
        <f>tbl_AQI[[#This Row],[Most AQI Reached]]-tbl_AQI[[#This Row],[Current AQI]]</f>
        <v>27</v>
      </c>
      <c r="G20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40">
        <f>RANK(tbl_AQI[[#This Row],[Current AQI]], tbl_AQI[Current AQI], 0)</f>
        <v>3535</v>
      </c>
    </row>
    <row r="2041" spans="1:8" x14ac:dyDescent="0.35">
      <c r="A2041" t="s">
        <v>1854</v>
      </c>
      <c r="B2041" t="s">
        <v>2060</v>
      </c>
      <c r="C2041">
        <v>319</v>
      </c>
      <c r="D2041">
        <v>130</v>
      </c>
      <c r="E2041" t="s">
        <v>11</v>
      </c>
      <c r="F2041">
        <f>tbl_AQI[[#This Row],[Most AQI Reached]]-tbl_AQI[[#This Row],[Current AQI]]</f>
        <v>189</v>
      </c>
      <c r="G20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41">
        <f>RANK(tbl_AQI[[#This Row],[Current AQI]], tbl_AQI[Current AQI], 0)</f>
        <v>2832</v>
      </c>
    </row>
    <row r="2042" spans="1:8" x14ac:dyDescent="0.35">
      <c r="A2042" t="s">
        <v>1854</v>
      </c>
      <c r="B2042" t="s">
        <v>2061</v>
      </c>
      <c r="C2042">
        <v>151</v>
      </c>
      <c r="D2042">
        <v>103</v>
      </c>
      <c r="E2042" t="s">
        <v>15</v>
      </c>
      <c r="F2042">
        <f>tbl_AQI[[#This Row],[Most AQI Reached]]-tbl_AQI[[#This Row],[Current AQI]]</f>
        <v>48</v>
      </c>
      <c r="G20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42">
        <f>RANK(tbl_AQI[[#This Row],[Current AQI]], tbl_AQI[Current AQI], 0)</f>
        <v>3474</v>
      </c>
    </row>
    <row r="2043" spans="1:8" x14ac:dyDescent="0.35">
      <c r="A2043" t="s">
        <v>1854</v>
      </c>
      <c r="B2043" t="s">
        <v>2062</v>
      </c>
      <c r="C2043">
        <v>255</v>
      </c>
      <c r="D2043">
        <v>187</v>
      </c>
      <c r="E2043" t="s">
        <v>9</v>
      </c>
      <c r="F2043">
        <f>tbl_AQI[[#This Row],[Most AQI Reached]]-tbl_AQI[[#This Row],[Current AQI]]</f>
        <v>68</v>
      </c>
      <c r="G20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43">
        <f>RANK(tbl_AQI[[#This Row],[Current AQI]], tbl_AQI[Current AQI], 0)</f>
        <v>1455</v>
      </c>
    </row>
    <row r="2044" spans="1:8" x14ac:dyDescent="0.35">
      <c r="A2044" t="s">
        <v>1854</v>
      </c>
      <c r="B2044" t="s">
        <v>2063</v>
      </c>
      <c r="C2044">
        <v>258</v>
      </c>
      <c r="D2044">
        <v>36</v>
      </c>
      <c r="E2044" t="s">
        <v>7</v>
      </c>
      <c r="F2044">
        <f>tbl_AQI[[#This Row],[Most AQI Reached]]-tbl_AQI[[#This Row],[Current AQI]]</f>
        <v>222</v>
      </c>
      <c r="G20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44">
        <f>RANK(tbl_AQI[[#This Row],[Current AQI]], tbl_AQI[Current AQI], 0)</f>
        <v>4893</v>
      </c>
    </row>
    <row r="2045" spans="1:8" x14ac:dyDescent="0.35">
      <c r="A2045" t="s">
        <v>1854</v>
      </c>
      <c r="B2045" t="s">
        <v>2064</v>
      </c>
      <c r="C2045">
        <v>208</v>
      </c>
      <c r="D2045">
        <v>185</v>
      </c>
      <c r="E2045" t="s">
        <v>17</v>
      </c>
      <c r="F2045">
        <f>tbl_AQI[[#This Row],[Most AQI Reached]]-tbl_AQI[[#This Row],[Current AQI]]</f>
        <v>23</v>
      </c>
      <c r="G20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45">
        <f>RANK(tbl_AQI[[#This Row],[Current AQI]], tbl_AQI[Current AQI], 0)</f>
        <v>1517</v>
      </c>
    </row>
    <row r="2046" spans="1:8" x14ac:dyDescent="0.35">
      <c r="A2046" t="s">
        <v>2065</v>
      </c>
      <c r="B2046" t="s">
        <v>2066</v>
      </c>
      <c r="C2046">
        <v>287</v>
      </c>
      <c r="D2046">
        <v>67</v>
      </c>
      <c r="E2046" t="s">
        <v>17</v>
      </c>
      <c r="F2046">
        <f>tbl_AQI[[#This Row],[Most AQI Reached]]-tbl_AQI[[#This Row],[Current AQI]]</f>
        <v>220</v>
      </c>
      <c r="G20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46">
        <f>RANK(tbl_AQI[[#This Row],[Current AQI]], tbl_AQI[Current AQI], 0)</f>
        <v>4225</v>
      </c>
    </row>
    <row r="2047" spans="1:8" x14ac:dyDescent="0.35">
      <c r="A2047" t="s">
        <v>2065</v>
      </c>
      <c r="B2047" t="s">
        <v>2067</v>
      </c>
      <c r="C2047">
        <v>108</v>
      </c>
      <c r="D2047">
        <v>62</v>
      </c>
      <c r="E2047" t="s">
        <v>7</v>
      </c>
      <c r="F2047">
        <f>tbl_AQI[[#This Row],[Most AQI Reached]]-tbl_AQI[[#This Row],[Current AQI]]</f>
        <v>46</v>
      </c>
      <c r="G20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47">
        <f>RANK(tbl_AQI[[#This Row],[Current AQI]], tbl_AQI[Current AQI], 0)</f>
        <v>4343</v>
      </c>
    </row>
    <row r="2048" spans="1:8" x14ac:dyDescent="0.35">
      <c r="A2048" t="s">
        <v>2065</v>
      </c>
      <c r="B2048" t="s">
        <v>2068</v>
      </c>
      <c r="C2048">
        <v>305</v>
      </c>
      <c r="D2048">
        <v>72</v>
      </c>
      <c r="E2048" t="s">
        <v>17</v>
      </c>
      <c r="F2048">
        <f>tbl_AQI[[#This Row],[Most AQI Reached]]-tbl_AQI[[#This Row],[Current AQI]]</f>
        <v>233</v>
      </c>
      <c r="G20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48">
        <f>RANK(tbl_AQI[[#This Row],[Current AQI]], tbl_AQI[Current AQI], 0)</f>
        <v>4100</v>
      </c>
    </row>
    <row r="2049" spans="1:8" x14ac:dyDescent="0.35">
      <c r="A2049" t="s">
        <v>2065</v>
      </c>
      <c r="B2049" t="s">
        <v>2069</v>
      </c>
      <c r="C2049">
        <v>155</v>
      </c>
      <c r="D2049">
        <v>120</v>
      </c>
      <c r="E2049" t="s">
        <v>17</v>
      </c>
      <c r="F2049">
        <f>tbl_AQI[[#This Row],[Most AQI Reached]]-tbl_AQI[[#This Row],[Current AQI]]</f>
        <v>35</v>
      </c>
      <c r="G20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49">
        <f>RANK(tbl_AQI[[#This Row],[Current AQI]], tbl_AQI[Current AQI], 0)</f>
        <v>3066</v>
      </c>
    </row>
    <row r="2050" spans="1:8" x14ac:dyDescent="0.35">
      <c r="A2050" t="s">
        <v>2065</v>
      </c>
      <c r="B2050" t="s">
        <v>2070</v>
      </c>
      <c r="C2050">
        <v>177</v>
      </c>
      <c r="D2050">
        <v>146</v>
      </c>
      <c r="E2050" t="s">
        <v>33</v>
      </c>
      <c r="F2050">
        <f>tbl_AQI[[#This Row],[Most AQI Reached]]-tbl_AQI[[#This Row],[Current AQI]]</f>
        <v>31</v>
      </c>
      <c r="G20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50">
        <f>RANK(tbl_AQI[[#This Row],[Current AQI]], tbl_AQI[Current AQI], 0)</f>
        <v>2499</v>
      </c>
    </row>
    <row r="2051" spans="1:8" x14ac:dyDescent="0.35">
      <c r="A2051" t="s">
        <v>2065</v>
      </c>
      <c r="B2051" t="s">
        <v>2071</v>
      </c>
      <c r="C2051">
        <v>260</v>
      </c>
      <c r="D2051">
        <v>79</v>
      </c>
      <c r="E2051" t="s">
        <v>7</v>
      </c>
      <c r="F2051">
        <f>tbl_AQI[[#This Row],[Most AQI Reached]]-tbl_AQI[[#This Row],[Current AQI]]</f>
        <v>181</v>
      </c>
      <c r="G20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51">
        <f>RANK(tbl_AQI[[#This Row],[Current AQI]], tbl_AQI[Current AQI], 0)</f>
        <v>3967</v>
      </c>
    </row>
    <row r="2052" spans="1:8" x14ac:dyDescent="0.35">
      <c r="A2052" t="s">
        <v>2065</v>
      </c>
      <c r="B2052" t="s">
        <v>2072</v>
      </c>
      <c r="C2052">
        <v>243</v>
      </c>
      <c r="D2052">
        <v>128</v>
      </c>
      <c r="E2052" t="s">
        <v>17</v>
      </c>
      <c r="F2052">
        <f>tbl_AQI[[#This Row],[Most AQI Reached]]-tbl_AQI[[#This Row],[Current AQI]]</f>
        <v>115</v>
      </c>
      <c r="G20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52">
        <f>RANK(tbl_AQI[[#This Row],[Current AQI]], tbl_AQI[Current AQI], 0)</f>
        <v>2872</v>
      </c>
    </row>
    <row r="2053" spans="1:8" x14ac:dyDescent="0.35">
      <c r="A2053" t="s">
        <v>2065</v>
      </c>
      <c r="B2053" t="s">
        <v>2073</v>
      </c>
      <c r="C2053">
        <v>314</v>
      </c>
      <c r="D2053">
        <v>186</v>
      </c>
      <c r="E2053" t="s">
        <v>7</v>
      </c>
      <c r="F2053">
        <f>tbl_AQI[[#This Row],[Most AQI Reached]]-tbl_AQI[[#This Row],[Current AQI]]</f>
        <v>128</v>
      </c>
      <c r="G20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53">
        <f>RANK(tbl_AQI[[#This Row],[Current AQI]], tbl_AQI[Current AQI], 0)</f>
        <v>1478</v>
      </c>
    </row>
    <row r="2054" spans="1:8" x14ac:dyDescent="0.35">
      <c r="A2054" t="s">
        <v>2065</v>
      </c>
      <c r="B2054" t="s">
        <v>2074</v>
      </c>
      <c r="C2054">
        <v>95</v>
      </c>
      <c r="D2054">
        <v>74</v>
      </c>
      <c r="E2054" t="s">
        <v>15</v>
      </c>
      <c r="F2054">
        <f>tbl_AQI[[#This Row],[Most AQI Reached]]-tbl_AQI[[#This Row],[Current AQI]]</f>
        <v>21</v>
      </c>
      <c r="G20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54">
        <f>RANK(tbl_AQI[[#This Row],[Current AQI]], tbl_AQI[Current AQI], 0)</f>
        <v>4064</v>
      </c>
    </row>
    <row r="2055" spans="1:8" x14ac:dyDescent="0.35">
      <c r="A2055" t="s">
        <v>2065</v>
      </c>
      <c r="B2055" t="s">
        <v>2075</v>
      </c>
      <c r="C2055">
        <v>241</v>
      </c>
      <c r="D2055">
        <v>182</v>
      </c>
      <c r="E2055" t="s">
        <v>17</v>
      </c>
      <c r="F2055">
        <f>tbl_AQI[[#This Row],[Most AQI Reached]]-tbl_AQI[[#This Row],[Current AQI]]</f>
        <v>59</v>
      </c>
      <c r="G20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55">
        <f>RANK(tbl_AQI[[#This Row],[Current AQI]], tbl_AQI[Current AQI], 0)</f>
        <v>1593</v>
      </c>
    </row>
    <row r="2056" spans="1:8" x14ac:dyDescent="0.35">
      <c r="A2056" t="s">
        <v>2065</v>
      </c>
      <c r="B2056" t="s">
        <v>2076</v>
      </c>
      <c r="C2056">
        <v>187</v>
      </c>
      <c r="D2056">
        <v>80</v>
      </c>
      <c r="E2056" t="s">
        <v>9</v>
      </c>
      <c r="F2056">
        <f>tbl_AQI[[#This Row],[Most AQI Reached]]-tbl_AQI[[#This Row],[Current AQI]]</f>
        <v>107</v>
      </c>
      <c r="G20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56">
        <f>RANK(tbl_AQI[[#This Row],[Current AQI]], tbl_AQI[Current AQI], 0)</f>
        <v>3948</v>
      </c>
    </row>
    <row r="2057" spans="1:8" x14ac:dyDescent="0.35">
      <c r="A2057" t="s">
        <v>2065</v>
      </c>
      <c r="B2057" t="s">
        <v>2077</v>
      </c>
      <c r="C2057">
        <v>67</v>
      </c>
      <c r="D2057">
        <v>38</v>
      </c>
      <c r="E2057" t="s">
        <v>17</v>
      </c>
      <c r="F2057">
        <f>tbl_AQI[[#This Row],[Most AQI Reached]]-tbl_AQI[[#This Row],[Current AQI]]</f>
        <v>29</v>
      </c>
      <c r="G20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57">
        <f>RANK(tbl_AQI[[#This Row],[Current AQI]], tbl_AQI[Current AQI], 0)</f>
        <v>4845</v>
      </c>
    </row>
    <row r="2058" spans="1:8" x14ac:dyDescent="0.35">
      <c r="A2058" t="s">
        <v>2065</v>
      </c>
      <c r="B2058" t="s">
        <v>2078</v>
      </c>
      <c r="C2058">
        <v>293</v>
      </c>
      <c r="D2058">
        <v>163</v>
      </c>
      <c r="E2058" t="s">
        <v>33</v>
      </c>
      <c r="F2058">
        <f>tbl_AQI[[#This Row],[Most AQI Reached]]-tbl_AQI[[#This Row],[Current AQI]]</f>
        <v>130</v>
      </c>
      <c r="G20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58">
        <f>RANK(tbl_AQI[[#This Row],[Current AQI]], tbl_AQI[Current AQI], 0)</f>
        <v>2075</v>
      </c>
    </row>
    <row r="2059" spans="1:8" x14ac:dyDescent="0.35">
      <c r="A2059" t="s">
        <v>2065</v>
      </c>
      <c r="B2059" t="s">
        <v>2079</v>
      </c>
      <c r="C2059">
        <v>319</v>
      </c>
      <c r="D2059">
        <v>109</v>
      </c>
      <c r="E2059" t="s">
        <v>7</v>
      </c>
      <c r="F2059">
        <f>tbl_AQI[[#This Row],[Most AQI Reached]]-tbl_AQI[[#This Row],[Current AQI]]</f>
        <v>210</v>
      </c>
      <c r="G20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59">
        <f>RANK(tbl_AQI[[#This Row],[Current AQI]], tbl_AQI[Current AQI], 0)</f>
        <v>3338</v>
      </c>
    </row>
    <row r="2060" spans="1:8" x14ac:dyDescent="0.35">
      <c r="A2060" t="s">
        <v>2065</v>
      </c>
      <c r="B2060" t="s">
        <v>2080</v>
      </c>
      <c r="C2060">
        <v>255</v>
      </c>
      <c r="D2060">
        <v>101</v>
      </c>
      <c r="E2060" t="s">
        <v>15</v>
      </c>
      <c r="F2060">
        <f>tbl_AQI[[#This Row],[Most AQI Reached]]-tbl_AQI[[#This Row],[Current AQI]]</f>
        <v>154</v>
      </c>
      <c r="G20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60">
        <f>RANK(tbl_AQI[[#This Row],[Current AQI]], tbl_AQI[Current AQI], 0)</f>
        <v>3515</v>
      </c>
    </row>
    <row r="2061" spans="1:8" x14ac:dyDescent="0.35">
      <c r="A2061" t="s">
        <v>2065</v>
      </c>
      <c r="B2061" t="s">
        <v>2081</v>
      </c>
      <c r="C2061">
        <v>173</v>
      </c>
      <c r="D2061">
        <v>64</v>
      </c>
      <c r="E2061" t="s">
        <v>17</v>
      </c>
      <c r="F2061">
        <f>tbl_AQI[[#This Row],[Most AQI Reached]]-tbl_AQI[[#This Row],[Current AQI]]</f>
        <v>109</v>
      </c>
      <c r="G20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61">
        <f>RANK(tbl_AQI[[#This Row],[Current AQI]], tbl_AQI[Current AQI], 0)</f>
        <v>4293</v>
      </c>
    </row>
    <row r="2062" spans="1:8" x14ac:dyDescent="0.35">
      <c r="A2062" t="s">
        <v>2065</v>
      </c>
      <c r="B2062" t="s">
        <v>2082</v>
      </c>
      <c r="C2062">
        <v>171</v>
      </c>
      <c r="D2062">
        <v>151</v>
      </c>
      <c r="E2062" t="s">
        <v>7</v>
      </c>
      <c r="F2062">
        <f>tbl_AQI[[#This Row],[Most AQI Reached]]-tbl_AQI[[#This Row],[Current AQI]]</f>
        <v>20</v>
      </c>
      <c r="G20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62">
        <f>RANK(tbl_AQI[[#This Row],[Current AQI]], tbl_AQI[Current AQI], 0)</f>
        <v>2376</v>
      </c>
    </row>
    <row r="2063" spans="1:8" x14ac:dyDescent="0.35">
      <c r="A2063" t="s">
        <v>2065</v>
      </c>
      <c r="B2063" t="s">
        <v>2083</v>
      </c>
      <c r="C2063">
        <v>229</v>
      </c>
      <c r="D2063">
        <v>67</v>
      </c>
      <c r="E2063" t="s">
        <v>21</v>
      </c>
      <c r="F2063">
        <f>tbl_AQI[[#This Row],[Most AQI Reached]]-tbl_AQI[[#This Row],[Current AQI]]</f>
        <v>162</v>
      </c>
      <c r="G20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63">
        <f>RANK(tbl_AQI[[#This Row],[Current AQI]], tbl_AQI[Current AQI], 0)</f>
        <v>4225</v>
      </c>
    </row>
    <row r="2064" spans="1:8" x14ac:dyDescent="0.35">
      <c r="A2064" t="s">
        <v>2065</v>
      </c>
      <c r="B2064" t="s">
        <v>2084</v>
      </c>
      <c r="C2064">
        <v>262</v>
      </c>
      <c r="D2064">
        <v>117</v>
      </c>
      <c r="E2064" t="s">
        <v>21</v>
      </c>
      <c r="F2064">
        <f>tbl_AQI[[#This Row],[Most AQI Reached]]-tbl_AQI[[#This Row],[Current AQI]]</f>
        <v>145</v>
      </c>
      <c r="G20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64">
        <f>RANK(tbl_AQI[[#This Row],[Current AQI]], tbl_AQI[Current AQI], 0)</f>
        <v>3144</v>
      </c>
    </row>
    <row r="2065" spans="1:8" x14ac:dyDescent="0.35">
      <c r="A2065" t="s">
        <v>2065</v>
      </c>
      <c r="B2065" t="s">
        <v>2085</v>
      </c>
      <c r="C2065">
        <v>272</v>
      </c>
      <c r="D2065">
        <v>163</v>
      </c>
      <c r="E2065" t="s">
        <v>7</v>
      </c>
      <c r="F2065">
        <f>tbl_AQI[[#This Row],[Most AQI Reached]]-tbl_AQI[[#This Row],[Current AQI]]</f>
        <v>109</v>
      </c>
      <c r="G20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65">
        <f>RANK(tbl_AQI[[#This Row],[Current AQI]], tbl_AQI[Current AQI], 0)</f>
        <v>2075</v>
      </c>
    </row>
    <row r="2066" spans="1:8" x14ac:dyDescent="0.35">
      <c r="A2066" t="s">
        <v>2065</v>
      </c>
      <c r="B2066" t="s">
        <v>2086</v>
      </c>
      <c r="C2066">
        <v>191</v>
      </c>
      <c r="D2066">
        <v>71</v>
      </c>
      <c r="E2066" t="s">
        <v>33</v>
      </c>
      <c r="F2066">
        <f>tbl_AQI[[#This Row],[Most AQI Reached]]-tbl_AQI[[#This Row],[Current AQI]]</f>
        <v>120</v>
      </c>
      <c r="G20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66">
        <f>RANK(tbl_AQI[[#This Row],[Current AQI]], tbl_AQI[Current AQI], 0)</f>
        <v>4129</v>
      </c>
    </row>
    <row r="2067" spans="1:8" x14ac:dyDescent="0.35">
      <c r="A2067" t="s">
        <v>2065</v>
      </c>
      <c r="B2067" t="s">
        <v>2087</v>
      </c>
      <c r="C2067">
        <v>188</v>
      </c>
      <c r="D2067">
        <v>73</v>
      </c>
      <c r="E2067" t="s">
        <v>15</v>
      </c>
      <c r="F2067">
        <f>tbl_AQI[[#This Row],[Most AQI Reached]]-tbl_AQI[[#This Row],[Current AQI]]</f>
        <v>115</v>
      </c>
      <c r="G20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67">
        <f>RANK(tbl_AQI[[#This Row],[Current AQI]], tbl_AQI[Current AQI], 0)</f>
        <v>4083</v>
      </c>
    </row>
    <row r="2068" spans="1:8" x14ac:dyDescent="0.35">
      <c r="A2068" t="s">
        <v>2065</v>
      </c>
      <c r="B2068" t="s">
        <v>2088</v>
      </c>
      <c r="C2068">
        <v>247</v>
      </c>
      <c r="D2068">
        <v>185</v>
      </c>
      <c r="E2068" t="s">
        <v>11</v>
      </c>
      <c r="F2068">
        <f>tbl_AQI[[#This Row],[Most AQI Reached]]-tbl_AQI[[#This Row],[Current AQI]]</f>
        <v>62</v>
      </c>
      <c r="G20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68">
        <f>RANK(tbl_AQI[[#This Row],[Current AQI]], tbl_AQI[Current AQI], 0)</f>
        <v>1517</v>
      </c>
    </row>
    <row r="2069" spans="1:8" x14ac:dyDescent="0.35">
      <c r="A2069" t="s">
        <v>2065</v>
      </c>
      <c r="B2069" t="s">
        <v>2089</v>
      </c>
      <c r="C2069">
        <v>217</v>
      </c>
      <c r="D2069">
        <v>163</v>
      </c>
      <c r="E2069" t="s">
        <v>33</v>
      </c>
      <c r="F2069">
        <f>tbl_AQI[[#This Row],[Most AQI Reached]]-tbl_AQI[[#This Row],[Current AQI]]</f>
        <v>54</v>
      </c>
      <c r="G20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69">
        <f>RANK(tbl_AQI[[#This Row],[Current AQI]], tbl_AQI[Current AQI], 0)</f>
        <v>2075</v>
      </c>
    </row>
    <row r="2070" spans="1:8" x14ac:dyDescent="0.35">
      <c r="A2070" t="s">
        <v>2065</v>
      </c>
      <c r="B2070" t="s">
        <v>2090</v>
      </c>
      <c r="C2070">
        <v>223</v>
      </c>
      <c r="D2070">
        <v>52</v>
      </c>
      <c r="E2070" t="s">
        <v>15</v>
      </c>
      <c r="F2070">
        <f>tbl_AQI[[#This Row],[Most AQI Reached]]-tbl_AQI[[#This Row],[Current AQI]]</f>
        <v>171</v>
      </c>
      <c r="G20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70">
        <f>RANK(tbl_AQI[[#This Row],[Current AQI]], tbl_AQI[Current AQI], 0)</f>
        <v>4564</v>
      </c>
    </row>
    <row r="2071" spans="1:8" x14ac:dyDescent="0.35">
      <c r="A2071" t="s">
        <v>2065</v>
      </c>
      <c r="B2071" t="s">
        <v>2091</v>
      </c>
      <c r="C2071">
        <v>153</v>
      </c>
      <c r="D2071">
        <v>128</v>
      </c>
      <c r="E2071" t="s">
        <v>33</v>
      </c>
      <c r="F2071">
        <f>tbl_AQI[[#This Row],[Most AQI Reached]]-tbl_AQI[[#This Row],[Current AQI]]</f>
        <v>25</v>
      </c>
      <c r="G20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71">
        <f>RANK(tbl_AQI[[#This Row],[Current AQI]], tbl_AQI[Current AQI], 0)</f>
        <v>2872</v>
      </c>
    </row>
    <row r="2072" spans="1:8" x14ac:dyDescent="0.35">
      <c r="A2072" t="s">
        <v>2065</v>
      </c>
      <c r="B2072" t="s">
        <v>2092</v>
      </c>
      <c r="C2072">
        <v>201</v>
      </c>
      <c r="D2072">
        <v>97</v>
      </c>
      <c r="E2072" t="s">
        <v>11</v>
      </c>
      <c r="F2072">
        <f>tbl_AQI[[#This Row],[Most AQI Reached]]-tbl_AQI[[#This Row],[Current AQI]]</f>
        <v>104</v>
      </c>
      <c r="G20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72">
        <f>RANK(tbl_AQI[[#This Row],[Current AQI]], tbl_AQI[Current AQI], 0)</f>
        <v>3593</v>
      </c>
    </row>
    <row r="2073" spans="1:8" x14ac:dyDescent="0.35">
      <c r="A2073" t="s">
        <v>2065</v>
      </c>
      <c r="B2073" t="s">
        <v>2093</v>
      </c>
      <c r="C2073">
        <v>202</v>
      </c>
      <c r="D2073">
        <v>146</v>
      </c>
      <c r="E2073" t="s">
        <v>9</v>
      </c>
      <c r="F2073">
        <f>tbl_AQI[[#This Row],[Most AQI Reached]]-tbl_AQI[[#This Row],[Current AQI]]</f>
        <v>56</v>
      </c>
      <c r="G20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73">
        <f>RANK(tbl_AQI[[#This Row],[Current AQI]], tbl_AQI[Current AQI], 0)</f>
        <v>2499</v>
      </c>
    </row>
    <row r="2074" spans="1:8" x14ac:dyDescent="0.35">
      <c r="A2074" t="s">
        <v>2065</v>
      </c>
      <c r="B2074" t="s">
        <v>2094</v>
      </c>
      <c r="C2074">
        <v>129</v>
      </c>
      <c r="D2074">
        <v>104</v>
      </c>
      <c r="E2074" t="s">
        <v>21</v>
      </c>
      <c r="F2074">
        <f>tbl_AQI[[#This Row],[Most AQI Reached]]-tbl_AQI[[#This Row],[Current AQI]]</f>
        <v>25</v>
      </c>
      <c r="G20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74">
        <f>RANK(tbl_AQI[[#This Row],[Current AQI]], tbl_AQI[Current AQI], 0)</f>
        <v>3454</v>
      </c>
    </row>
    <row r="2075" spans="1:8" x14ac:dyDescent="0.35">
      <c r="A2075" t="s">
        <v>2065</v>
      </c>
      <c r="B2075" t="s">
        <v>2095</v>
      </c>
      <c r="C2075">
        <v>231</v>
      </c>
      <c r="D2075">
        <v>72</v>
      </c>
      <c r="E2075" t="s">
        <v>21</v>
      </c>
      <c r="F2075">
        <f>tbl_AQI[[#This Row],[Most AQI Reached]]-tbl_AQI[[#This Row],[Current AQI]]</f>
        <v>159</v>
      </c>
      <c r="G20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75">
        <f>RANK(tbl_AQI[[#This Row],[Current AQI]], tbl_AQI[Current AQI], 0)</f>
        <v>4100</v>
      </c>
    </row>
    <row r="2076" spans="1:8" x14ac:dyDescent="0.35">
      <c r="A2076" t="s">
        <v>2065</v>
      </c>
      <c r="B2076" t="s">
        <v>2096</v>
      </c>
      <c r="C2076">
        <v>225</v>
      </c>
      <c r="D2076">
        <v>89</v>
      </c>
      <c r="E2076" t="s">
        <v>7</v>
      </c>
      <c r="F2076">
        <f>tbl_AQI[[#This Row],[Most AQI Reached]]-tbl_AQI[[#This Row],[Current AQI]]</f>
        <v>136</v>
      </c>
      <c r="G20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76">
        <f>RANK(tbl_AQI[[#This Row],[Current AQI]], tbl_AQI[Current AQI], 0)</f>
        <v>3772</v>
      </c>
    </row>
    <row r="2077" spans="1:8" x14ac:dyDescent="0.35">
      <c r="A2077" t="s">
        <v>2065</v>
      </c>
      <c r="B2077" t="s">
        <v>2097</v>
      </c>
      <c r="C2077">
        <v>99</v>
      </c>
      <c r="D2077">
        <v>80</v>
      </c>
      <c r="E2077" t="s">
        <v>9</v>
      </c>
      <c r="F2077">
        <f>tbl_AQI[[#This Row],[Most AQI Reached]]-tbl_AQI[[#This Row],[Current AQI]]</f>
        <v>19</v>
      </c>
      <c r="G20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77">
        <f>RANK(tbl_AQI[[#This Row],[Current AQI]], tbl_AQI[Current AQI], 0)</f>
        <v>3948</v>
      </c>
    </row>
    <row r="2078" spans="1:8" x14ac:dyDescent="0.35">
      <c r="A2078" t="s">
        <v>2065</v>
      </c>
      <c r="B2078" t="s">
        <v>2098</v>
      </c>
      <c r="C2078">
        <v>123</v>
      </c>
      <c r="D2078">
        <v>50</v>
      </c>
      <c r="E2078" t="s">
        <v>15</v>
      </c>
      <c r="F2078">
        <f>tbl_AQI[[#This Row],[Most AQI Reached]]-tbl_AQI[[#This Row],[Current AQI]]</f>
        <v>73</v>
      </c>
      <c r="G20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78">
        <f>RANK(tbl_AQI[[#This Row],[Current AQI]], tbl_AQI[Current AQI], 0)</f>
        <v>4596</v>
      </c>
    </row>
    <row r="2079" spans="1:8" x14ac:dyDescent="0.35">
      <c r="A2079" t="s">
        <v>2065</v>
      </c>
      <c r="B2079" t="s">
        <v>2099</v>
      </c>
      <c r="C2079">
        <v>219</v>
      </c>
      <c r="D2079">
        <v>163</v>
      </c>
      <c r="E2079" t="s">
        <v>11</v>
      </c>
      <c r="F2079">
        <f>tbl_AQI[[#This Row],[Most AQI Reached]]-tbl_AQI[[#This Row],[Current AQI]]</f>
        <v>56</v>
      </c>
      <c r="G20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79">
        <f>RANK(tbl_AQI[[#This Row],[Current AQI]], tbl_AQI[Current AQI], 0)</f>
        <v>2075</v>
      </c>
    </row>
    <row r="2080" spans="1:8" x14ac:dyDescent="0.35">
      <c r="A2080" t="s">
        <v>2065</v>
      </c>
      <c r="B2080" t="s">
        <v>2100</v>
      </c>
      <c r="C2080">
        <v>108</v>
      </c>
      <c r="D2080">
        <v>104</v>
      </c>
      <c r="E2080" t="s">
        <v>11</v>
      </c>
      <c r="F2080">
        <f>tbl_AQI[[#This Row],[Most AQI Reached]]-tbl_AQI[[#This Row],[Current AQI]]</f>
        <v>4</v>
      </c>
      <c r="G20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80">
        <f>RANK(tbl_AQI[[#This Row],[Current AQI]], tbl_AQI[Current AQI], 0)</f>
        <v>3454</v>
      </c>
    </row>
    <row r="2081" spans="1:8" x14ac:dyDescent="0.35">
      <c r="A2081" t="s">
        <v>2065</v>
      </c>
      <c r="B2081" t="s">
        <v>2101</v>
      </c>
      <c r="C2081">
        <v>227</v>
      </c>
      <c r="D2081">
        <v>35</v>
      </c>
      <c r="E2081" t="s">
        <v>7</v>
      </c>
      <c r="F2081">
        <f>tbl_AQI[[#This Row],[Most AQI Reached]]-tbl_AQI[[#This Row],[Current AQI]]</f>
        <v>192</v>
      </c>
      <c r="G20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81">
        <f>RANK(tbl_AQI[[#This Row],[Current AQI]], tbl_AQI[Current AQI], 0)</f>
        <v>4916</v>
      </c>
    </row>
    <row r="2082" spans="1:8" x14ac:dyDescent="0.35">
      <c r="A2082" t="s">
        <v>2065</v>
      </c>
      <c r="B2082" t="s">
        <v>2102</v>
      </c>
      <c r="C2082">
        <v>144</v>
      </c>
      <c r="D2082">
        <v>34</v>
      </c>
      <c r="E2082" t="s">
        <v>9</v>
      </c>
      <c r="F2082">
        <f>tbl_AQI[[#This Row],[Most AQI Reached]]-tbl_AQI[[#This Row],[Current AQI]]</f>
        <v>110</v>
      </c>
      <c r="G20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82">
        <f>RANK(tbl_AQI[[#This Row],[Current AQI]], tbl_AQI[Current AQI], 0)</f>
        <v>4944</v>
      </c>
    </row>
    <row r="2083" spans="1:8" x14ac:dyDescent="0.35">
      <c r="A2083" t="s">
        <v>2065</v>
      </c>
      <c r="B2083" t="s">
        <v>2103</v>
      </c>
      <c r="C2083">
        <v>107</v>
      </c>
      <c r="D2083">
        <v>93</v>
      </c>
      <c r="E2083" t="s">
        <v>17</v>
      </c>
      <c r="F2083">
        <f>tbl_AQI[[#This Row],[Most AQI Reached]]-tbl_AQI[[#This Row],[Current AQI]]</f>
        <v>14</v>
      </c>
      <c r="G20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83">
        <f>RANK(tbl_AQI[[#This Row],[Current AQI]], tbl_AQI[Current AQI], 0)</f>
        <v>3678</v>
      </c>
    </row>
    <row r="2084" spans="1:8" x14ac:dyDescent="0.35">
      <c r="A2084" t="s">
        <v>2065</v>
      </c>
      <c r="B2084" t="s">
        <v>2104</v>
      </c>
      <c r="C2084">
        <v>283</v>
      </c>
      <c r="D2084">
        <v>122</v>
      </c>
      <c r="E2084" t="s">
        <v>11</v>
      </c>
      <c r="F2084">
        <f>tbl_AQI[[#This Row],[Most AQI Reached]]-tbl_AQI[[#This Row],[Current AQI]]</f>
        <v>161</v>
      </c>
      <c r="G20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84">
        <f>RANK(tbl_AQI[[#This Row],[Current AQI]], tbl_AQI[Current AQI], 0)</f>
        <v>3013</v>
      </c>
    </row>
    <row r="2085" spans="1:8" x14ac:dyDescent="0.35">
      <c r="A2085" t="s">
        <v>2065</v>
      </c>
      <c r="B2085" t="s">
        <v>2105</v>
      </c>
      <c r="C2085">
        <v>212</v>
      </c>
      <c r="D2085">
        <v>179</v>
      </c>
      <c r="E2085" t="s">
        <v>33</v>
      </c>
      <c r="F2085">
        <f>tbl_AQI[[#This Row],[Most AQI Reached]]-tbl_AQI[[#This Row],[Current AQI]]</f>
        <v>33</v>
      </c>
      <c r="G20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85">
        <f>RANK(tbl_AQI[[#This Row],[Current AQI]], tbl_AQI[Current AQI], 0)</f>
        <v>1667</v>
      </c>
    </row>
    <row r="2086" spans="1:8" x14ac:dyDescent="0.35">
      <c r="A2086" t="s">
        <v>2065</v>
      </c>
      <c r="B2086" t="s">
        <v>2106</v>
      </c>
      <c r="C2086">
        <v>298</v>
      </c>
      <c r="D2086">
        <v>57</v>
      </c>
      <c r="E2086" t="s">
        <v>21</v>
      </c>
      <c r="F2086">
        <f>tbl_AQI[[#This Row],[Most AQI Reached]]-tbl_AQI[[#This Row],[Current AQI]]</f>
        <v>241</v>
      </c>
      <c r="G20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86">
        <f>RANK(tbl_AQI[[#This Row],[Current AQI]], tbl_AQI[Current AQI], 0)</f>
        <v>4452</v>
      </c>
    </row>
    <row r="2087" spans="1:8" x14ac:dyDescent="0.35">
      <c r="A2087" t="s">
        <v>2065</v>
      </c>
      <c r="B2087" t="s">
        <v>2107</v>
      </c>
      <c r="C2087">
        <v>203</v>
      </c>
      <c r="D2087">
        <v>100</v>
      </c>
      <c r="E2087" t="s">
        <v>11</v>
      </c>
      <c r="F2087">
        <f>tbl_AQI[[#This Row],[Most AQI Reached]]-tbl_AQI[[#This Row],[Current AQI]]</f>
        <v>103</v>
      </c>
      <c r="G20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87">
        <f>RANK(tbl_AQI[[#This Row],[Current AQI]], tbl_AQI[Current AQI], 0)</f>
        <v>3535</v>
      </c>
    </row>
    <row r="2088" spans="1:8" x14ac:dyDescent="0.35">
      <c r="A2088" t="s">
        <v>2065</v>
      </c>
      <c r="B2088" t="s">
        <v>2108</v>
      </c>
      <c r="C2088">
        <v>216</v>
      </c>
      <c r="D2088">
        <v>183</v>
      </c>
      <c r="E2088" t="s">
        <v>15</v>
      </c>
      <c r="F2088">
        <f>tbl_AQI[[#This Row],[Most AQI Reached]]-tbl_AQI[[#This Row],[Current AQI]]</f>
        <v>33</v>
      </c>
      <c r="G20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88">
        <f>RANK(tbl_AQI[[#This Row],[Current AQI]], tbl_AQI[Current AQI], 0)</f>
        <v>1572</v>
      </c>
    </row>
    <row r="2089" spans="1:8" x14ac:dyDescent="0.35">
      <c r="A2089" t="s">
        <v>2065</v>
      </c>
      <c r="B2089" t="s">
        <v>2109</v>
      </c>
      <c r="C2089">
        <v>251</v>
      </c>
      <c r="D2089">
        <v>108</v>
      </c>
      <c r="E2089" t="s">
        <v>15</v>
      </c>
      <c r="F2089">
        <f>tbl_AQI[[#This Row],[Most AQI Reached]]-tbl_AQI[[#This Row],[Current AQI]]</f>
        <v>143</v>
      </c>
      <c r="G20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89">
        <f>RANK(tbl_AQI[[#This Row],[Current AQI]], tbl_AQI[Current AQI], 0)</f>
        <v>3362</v>
      </c>
    </row>
    <row r="2090" spans="1:8" x14ac:dyDescent="0.35">
      <c r="A2090" t="s">
        <v>2065</v>
      </c>
      <c r="B2090" t="s">
        <v>2110</v>
      </c>
      <c r="C2090">
        <v>217</v>
      </c>
      <c r="D2090">
        <v>124</v>
      </c>
      <c r="E2090" t="s">
        <v>11</v>
      </c>
      <c r="F2090">
        <f>tbl_AQI[[#This Row],[Most AQI Reached]]-tbl_AQI[[#This Row],[Current AQI]]</f>
        <v>93</v>
      </c>
      <c r="G20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90">
        <f>RANK(tbl_AQI[[#This Row],[Current AQI]], tbl_AQI[Current AQI], 0)</f>
        <v>2971</v>
      </c>
    </row>
    <row r="2091" spans="1:8" x14ac:dyDescent="0.35">
      <c r="A2091" t="s">
        <v>2065</v>
      </c>
      <c r="B2091" t="s">
        <v>2111</v>
      </c>
      <c r="C2091">
        <v>231</v>
      </c>
      <c r="D2091">
        <v>103</v>
      </c>
      <c r="E2091" t="s">
        <v>15</v>
      </c>
      <c r="F2091">
        <f>tbl_AQI[[#This Row],[Most AQI Reached]]-tbl_AQI[[#This Row],[Current AQI]]</f>
        <v>128</v>
      </c>
      <c r="G20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91">
        <f>RANK(tbl_AQI[[#This Row],[Current AQI]], tbl_AQI[Current AQI], 0)</f>
        <v>3474</v>
      </c>
    </row>
    <row r="2092" spans="1:8" x14ac:dyDescent="0.35">
      <c r="A2092" t="s">
        <v>2065</v>
      </c>
      <c r="B2092" t="s">
        <v>2112</v>
      </c>
      <c r="C2092">
        <v>67</v>
      </c>
      <c r="D2092">
        <v>53</v>
      </c>
      <c r="E2092" t="s">
        <v>21</v>
      </c>
      <c r="F2092">
        <f>tbl_AQI[[#This Row],[Most AQI Reached]]-tbl_AQI[[#This Row],[Current AQI]]</f>
        <v>14</v>
      </c>
      <c r="G20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92">
        <f>RANK(tbl_AQI[[#This Row],[Current AQI]], tbl_AQI[Current AQI], 0)</f>
        <v>4544</v>
      </c>
    </row>
    <row r="2093" spans="1:8" x14ac:dyDescent="0.35">
      <c r="A2093" t="s">
        <v>2065</v>
      </c>
      <c r="B2093" t="s">
        <v>2113</v>
      </c>
      <c r="C2093">
        <v>278</v>
      </c>
      <c r="D2093">
        <v>62</v>
      </c>
      <c r="E2093" t="s">
        <v>17</v>
      </c>
      <c r="F2093">
        <f>tbl_AQI[[#This Row],[Most AQI Reached]]-tbl_AQI[[#This Row],[Current AQI]]</f>
        <v>216</v>
      </c>
      <c r="G20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93">
        <f>RANK(tbl_AQI[[#This Row],[Current AQI]], tbl_AQI[Current AQI], 0)</f>
        <v>4343</v>
      </c>
    </row>
    <row r="2094" spans="1:8" x14ac:dyDescent="0.35">
      <c r="A2094" t="s">
        <v>2065</v>
      </c>
      <c r="B2094" t="s">
        <v>2114</v>
      </c>
      <c r="C2094">
        <v>120</v>
      </c>
      <c r="D2094">
        <v>71</v>
      </c>
      <c r="E2094" t="s">
        <v>15</v>
      </c>
      <c r="F2094">
        <f>tbl_AQI[[#This Row],[Most AQI Reached]]-tbl_AQI[[#This Row],[Current AQI]]</f>
        <v>49</v>
      </c>
      <c r="G20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94">
        <f>RANK(tbl_AQI[[#This Row],[Current AQI]], tbl_AQI[Current AQI], 0)</f>
        <v>4129</v>
      </c>
    </row>
    <row r="2095" spans="1:8" x14ac:dyDescent="0.35">
      <c r="A2095" t="s">
        <v>2065</v>
      </c>
      <c r="B2095" t="s">
        <v>2115</v>
      </c>
      <c r="C2095">
        <v>80</v>
      </c>
      <c r="D2095">
        <v>55</v>
      </c>
      <c r="E2095" t="s">
        <v>17</v>
      </c>
      <c r="F2095">
        <f>tbl_AQI[[#This Row],[Most AQI Reached]]-tbl_AQI[[#This Row],[Current AQI]]</f>
        <v>25</v>
      </c>
      <c r="G20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95">
        <f>RANK(tbl_AQI[[#This Row],[Current AQI]], tbl_AQI[Current AQI], 0)</f>
        <v>4497</v>
      </c>
    </row>
    <row r="2096" spans="1:8" x14ac:dyDescent="0.35">
      <c r="A2096" t="s">
        <v>2065</v>
      </c>
      <c r="B2096" t="s">
        <v>2116</v>
      </c>
      <c r="C2096">
        <v>88</v>
      </c>
      <c r="D2096">
        <v>82</v>
      </c>
      <c r="E2096" t="s">
        <v>9</v>
      </c>
      <c r="F2096">
        <f>tbl_AQI[[#This Row],[Most AQI Reached]]-tbl_AQI[[#This Row],[Current AQI]]</f>
        <v>6</v>
      </c>
      <c r="G20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096">
        <f>RANK(tbl_AQI[[#This Row],[Current AQI]], tbl_AQI[Current AQI], 0)</f>
        <v>3904</v>
      </c>
    </row>
    <row r="2097" spans="1:8" x14ac:dyDescent="0.35">
      <c r="A2097" t="s">
        <v>2065</v>
      </c>
      <c r="B2097" t="s">
        <v>2117</v>
      </c>
      <c r="C2097">
        <v>84</v>
      </c>
      <c r="D2097">
        <v>45</v>
      </c>
      <c r="E2097" t="s">
        <v>15</v>
      </c>
      <c r="F2097">
        <f>tbl_AQI[[#This Row],[Most AQI Reached]]-tbl_AQI[[#This Row],[Current AQI]]</f>
        <v>39</v>
      </c>
      <c r="G20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97">
        <f>RANK(tbl_AQI[[#This Row],[Current AQI]], tbl_AQI[Current AQI], 0)</f>
        <v>4702</v>
      </c>
    </row>
    <row r="2098" spans="1:8" x14ac:dyDescent="0.35">
      <c r="A2098" t="s">
        <v>2065</v>
      </c>
      <c r="B2098" t="s">
        <v>2118</v>
      </c>
      <c r="C2098">
        <v>62</v>
      </c>
      <c r="D2098">
        <v>42</v>
      </c>
      <c r="E2098" t="s">
        <v>33</v>
      </c>
      <c r="F2098">
        <f>tbl_AQI[[#This Row],[Most AQI Reached]]-tbl_AQI[[#This Row],[Current AQI]]</f>
        <v>20</v>
      </c>
      <c r="G20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098">
        <f>RANK(tbl_AQI[[#This Row],[Current AQI]], tbl_AQI[Current AQI], 0)</f>
        <v>4776</v>
      </c>
    </row>
    <row r="2099" spans="1:8" x14ac:dyDescent="0.35">
      <c r="A2099" t="s">
        <v>2065</v>
      </c>
      <c r="B2099" t="s">
        <v>2119</v>
      </c>
      <c r="C2099">
        <v>309</v>
      </c>
      <c r="D2099">
        <v>120</v>
      </c>
      <c r="E2099" t="s">
        <v>7</v>
      </c>
      <c r="F2099">
        <f>tbl_AQI[[#This Row],[Most AQI Reached]]-tbl_AQI[[#This Row],[Current AQI]]</f>
        <v>189</v>
      </c>
      <c r="G20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099">
        <f>RANK(tbl_AQI[[#This Row],[Current AQI]], tbl_AQI[Current AQI], 0)</f>
        <v>3066</v>
      </c>
    </row>
    <row r="2100" spans="1:8" x14ac:dyDescent="0.35">
      <c r="A2100" t="s">
        <v>2065</v>
      </c>
      <c r="B2100" t="s">
        <v>2120</v>
      </c>
      <c r="C2100">
        <v>275</v>
      </c>
      <c r="D2100">
        <v>183</v>
      </c>
      <c r="E2100" t="s">
        <v>33</v>
      </c>
      <c r="F2100">
        <f>tbl_AQI[[#This Row],[Most AQI Reached]]-tbl_AQI[[#This Row],[Current AQI]]</f>
        <v>92</v>
      </c>
      <c r="G21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00">
        <f>RANK(tbl_AQI[[#This Row],[Current AQI]], tbl_AQI[Current AQI], 0)</f>
        <v>1572</v>
      </c>
    </row>
    <row r="2101" spans="1:8" x14ac:dyDescent="0.35">
      <c r="A2101" t="s">
        <v>2065</v>
      </c>
      <c r="B2101" t="s">
        <v>2121</v>
      </c>
      <c r="C2101">
        <v>292</v>
      </c>
      <c r="D2101">
        <v>86</v>
      </c>
      <c r="E2101" t="s">
        <v>17</v>
      </c>
      <c r="F2101">
        <f>tbl_AQI[[#This Row],[Most AQI Reached]]-tbl_AQI[[#This Row],[Current AQI]]</f>
        <v>206</v>
      </c>
      <c r="G21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01">
        <f>RANK(tbl_AQI[[#This Row],[Current AQI]], tbl_AQI[Current AQI], 0)</f>
        <v>3830</v>
      </c>
    </row>
    <row r="2102" spans="1:8" x14ac:dyDescent="0.35">
      <c r="A2102" t="s">
        <v>2065</v>
      </c>
      <c r="B2102" t="s">
        <v>2122</v>
      </c>
      <c r="C2102">
        <v>303</v>
      </c>
      <c r="D2102">
        <v>165</v>
      </c>
      <c r="E2102" t="s">
        <v>7</v>
      </c>
      <c r="F2102">
        <f>tbl_AQI[[#This Row],[Most AQI Reached]]-tbl_AQI[[#This Row],[Current AQI]]</f>
        <v>138</v>
      </c>
      <c r="G21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02">
        <f>RANK(tbl_AQI[[#This Row],[Current AQI]], tbl_AQI[Current AQI], 0)</f>
        <v>2028</v>
      </c>
    </row>
    <row r="2103" spans="1:8" x14ac:dyDescent="0.35">
      <c r="A2103" t="s">
        <v>2065</v>
      </c>
      <c r="B2103" t="s">
        <v>2123</v>
      </c>
      <c r="C2103">
        <v>175</v>
      </c>
      <c r="D2103">
        <v>76</v>
      </c>
      <c r="E2103" t="s">
        <v>9</v>
      </c>
      <c r="F2103">
        <f>tbl_AQI[[#This Row],[Most AQI Reached]]-tbl_AQI[[#This Row],[Current AQI]]</f>
        <v>99</v>
      </c>
      <c r="G21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03">
        <f>RANK(tbl_AQI[[#This Row],[Current AQI]], tbl_AQI[Current AQI], 0)</f>
        <v>4023</v>
      </c>
    </row>
    <row r="2104" spans="1:8" x14ac:dyDescent="0.35">
      <c r="A2104" t="s">
        <v>2065</v>
      </c>
      <c r="B2104" t="s">
        <v>2124</v>
      </c>
      <c r="C2104">
        <v>245</v>
      </c>
      <c r="D2104">
        <v>47</v>
      </c>
      <c r="E2104" t="s">
        <v>9</v>
      </c>
      <c r="F2104">
        <f>tbl_AQI[[#This Row],[Most AQI Reached]]-tbl_AQI[[#This Row],[Current AQI]]</f>
        <v>198</v>
      </c>
      <c r="G21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04">
        <f>RANK(tbl_AQI[[#This Row],[Current AQI]], tbl_AQI[Current AQI], 0)</f>
        <v>4656</v>
      </c>
    </row>
    <row r="2105" spans="1:8" x14ac:dyDescent="0.35">
      <c r="A2105" t="s">
        <v>2065</v>
      </c>
      <c r="B2105" t="s">
        <v>2125</v>
      </c>
      <c r="C2105">
        <v>208</v>
      </c>
      <c r="D2105">
        <v>152</v>
      </c>
      <c r="E2105" t="s">
        <v>15</v>
      </c>
      <c r="F2105">
        <f>tbl_AQI[[#This Row],[Most AQI Reached]]-tbl_AQI[[#This Row],[Current AQI]]</f>
        <v>56</v>
      </c>
      <c r="G21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05">
        <f>RANK(tbl_AQI[[#This Row],[Current AQI]], tbl_AQI[Current AQI], 0)</f>
        <v>2349</v>
      </c>
    </row>
    <row r="2106" spans="1:8" x14ac:dyDescent="0.35">
      <c r="A2106" t="s">
        <v>2065</v>
      </c>
      <c r="B2106" t="s">
        <v>2126</v>
      </c>
      <c r="C2106">
        <v>255</v>
      </c>
      <c r="D2106">
        <v>162</v>
      </c>
      <c r="E2106" t="s">
        <v>17</v>
      </c>
      <c r="F2106">
        <f>tbl_AQI[[#This Row],[Most AQI Reached]]-tbl_AQI[[#This Row],[Current AQI]]</f>
        <v>93</v>
      </c>
      <c r="G21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06">
        <f>RANK(tbl_AQI[[#This Row],[Current AQI]], tbl_AQI[Current AQI], 0)</f>
        <v>2106</v>
      </c>
    </row>
    <row r="2107" spans="1:8" x14ac:dyDescent="0.35">
      <c r="A2107" t="s">
        <v>2065</v>
      </c>
      <c r="B2107" t="s">
        <v>2127</v>
      </c>
      <c r="C2107">
        <v>112</v>
      </c>
      <c r="D2107">
        <v>40</v>
      </c>
      <c r="E2107" t="s">
        <v>7</v>
      </c>
      <c r="F2107">
        <f>tbl_AQI[[#This Row],[Most AQI Reached]]-tbl_AQI[[#This Row],[Current AQI]]</f>
        <v>72</v>
      </c>
      <c r="G21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07">
        <f>RANK(tbl_AQI[[#This Row],[Current AQI]], tbl_AQI[Current AQI], 0)</f>
        <v>4808</v>
      </c>
    </row>
    <row r="2108" spans="1:8" x14ac:dyDescent="0.35">
      <c r="A2108" t="s">
        <v>2065</v>
      </c>
      <c r="B2108" t="s">
        <v>2128</v>
      </c>
      <c r="C2108">
        <v>293</v>
      </c>
      <c r="D2108">
        <v>60</v>
      </c>
      <c r="E2108" t="s">
        <v>17</v>
      </c>
      <c r="F2108">
        <f>tbl_AQI[[#This Row],[Most AQI Reached]]-tbl_AQI[[#This Row],[Current AQI]]</f>
        <v>233</v>
      </c>
      <c r="G21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08">
        <f>RANK(tbl_AQI[[#This Row],[Current AQI]], tbl_AQI[Current AQI], 0)</f>
        <v>4390</v>
      </c>
    </row>
    <row r="2109" spans="1:8" x14ac:dyDescent="0.35">
      <c r="A2109" t="s">
        <v>2065</v>
      </c>
      <c r="B2109" t="s">
        <v>2129</v>
      </c>
      <c r="C2109">
        <v>275</v>
      </c>
      <c r="D2109">
        <v>153</v>
      </c>
      <c r="E2109" t="s">
        <v>15</v>
      </c>
      <c r="F2109">
        <f>tbl_AQI[[#This Row],[Most AQI Reached]]-tbl_AQI[[#This Row],[Current AQI]]</f>
        <v>122</v>
      </c>
      <c r="G21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09">
        <f>RANK(tbl_AQI[[#This Row],[Current AQI]], tbl_AQI[Current AQI], 0)</f>
        <v>2329</v>
      </c>
    </row>
    <row r="2110" spans="1:8" x14ac:dyDescent="0.35">
      <c r="A2110" t="s">
        <v>2065</v>
      </c>
      <c r="B2110" t="s">
        <v>2130</v>
      </c>
      <c r="C2110">
        <v>128</v>
      </c>
      <c r="D2110">
        <v>88</v>
      </c>
      <c r="E2110" t="s">
        <v>33</v>
      </c>
      <c r="F2110">
        <f>tbl_AQI[[#This Row],[Most AQI Reached]]-tbl_AQI[[#This Row],[Current AQI]]</f>
        <v>40</v>
      </c>
      <c r="G21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10">
        <f>RANK(tbl_AQI[[#This Row],[Current AQI]], tbl_AQI[Current AQI], 0)</f>
        <v>3792</v>
      </c>
    </row>
    <row r="2111" spans="1:8" x14ac:dyDescent="0.35">
      <c r="A2111" t="s">
        <v>2065</v>
      </c>
      <c r="B2111" t="s">
        <v>2131</v>
      </c>
      <c r="C2111">
        <v>294</v>
      </c>
      <c r="D2111">
        <v>117</v>
      </c>
      <c r="E2111" t="s">
        <v>33</v>
      </c>
      <c r="F2111">
        <f>tbl_AQI[[#This Row],[Most AQI Reached]]-tbl_AQI[[#This Row],[Current AQI]]</f>
        <v>177</v>
      </c>
      <c r="G21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11">
        <f>RANK(tbl_AQI[[#This Row],[Current AQI]], tbl_AQI[Current AQI], 0)</f>
        <v>3144</v>
      </c>
    </row>
    <row r="2112" spans="1:8" x14ac:dyDescent="0.35">
      <c r="A2112" t="s">
        <v>2065</v>
      </c>
      <c r="B2112" t="s">
        <v>2132</v>
      </c>
      <c r="C2112">
        <v>284</v>
      </c>
      <c r="D2112">
        <v>56</v>
      </c>
      <c r="E2112" t="s">
        <v>21</v>
      </c>
      <c r="F2112">
        <f>tbl_AQI[[#This Row],[Most AQI Reached]]-tbl_AQI[[#This Row],[Current AQI]]</f>
        <v>228</v>
      </c>
      <c r="G21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12">
        <f>RANK(tbl_AQI[[#This Row],[Current AQI]], tbl_AQI[Current AQI], 0)</f>
        <v>4474</v>
      </c>
    </row>
    <row r="2113" spans="1:8" x14ac:dyDescent="0.35">
      <c r="A2113" t="s">
        <v>2065</v>
      </c>
      <c r="B2113" t="s">
        <v>2133</v>
      </c>
      <c r="C2113">
        <v>198</v>
      </c>
      <c r="D2113">
        <v>91</v>
      </c>
      <c r="E2113" t="s">
        <v>15</v>
      </c>
      <c r="F2113">
        <f>tbl_AQI[[#This Row],[Most AQI Reached]]-tbl_AQI[[#This Row],[Current AQI]]</f>
        <v>107</v>
      </c>
      <c r="G21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13">
        <f>RANK(tbl_AQI[[#This Row],[Current AQI]], tbl_AQI[Current AQI], 0)</f>
        <v>3726</v>
      </c>
    </row>
    <row r="2114" spans="1:8" x14ac:dyDescent="0.35">
      <c r="A2114" t="s">
        <v>2065</v>
      </c>
      <c r="B2114" t="s">
        <v>2134</v>
      </c>
      <c r="C2114">
        <v>205</v>
      </c>
      <c r="D2114">
        <v>190</v>
      </c>
      <c r="E2114" t="s">
        <v>33</v>
      </c>
      <c r="F2114">
        <f>tbl_AQI[[#This Row],[Most AQI Reached]]-tbl_AQI[[#This Row],[Current AQI]]</f>
        <v>15</v>
      </c>
      <c r="G21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14">
        <f>RANK(tbl_AQI[[#This Row],[Current AQI]], tbl_AQI[Current AQI], 0)</f>
        <v>1355</v>
      </c>
    </row>
    <row r="2115" spans="1:8" x14ac:dyDescent="0.35">
      <c r="A2115" t="s">
        <v>2065</v>
      </c>
      <c r="B2115" t="s">
        <v>2135</v>
      </c>
      <c r="C2115">
        <v>238</v>
      </c>
      <c r="D2115">
        <v>149</v>
      </c>
      <c r="E2115" t="s">
        <v>9</v>
      </c>
      <c r="F2115">
        <f>tbl_AQI[[#This Row],[Most AQI Reached]]-tbl_AQI[[#This Row],[Current AQI]]</f>
        <v>89</v>
      </c>
      <c r="G21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15">
        <f>RANK(tbl_AQI[[#This Row],[Current AQI]], tbl_AQI[Current AQI], 0)</f>
        <v>2426</v>
      </c>
    </row>
    <row r="2116" spans="1:8" x14ac:dyDescent="0.35">
      <c r="A2116" t="s">
        <v>2065</v>
      </c>
      <c r="B2116" t="s">
        <v>2136</v>
      </c>
      <c r="C2116">
        <v>170</v>
      </c>
      <c r="D2116">
        <v>121</v>
      </c>
      <c r="E2116" t="s">
        <v>15</v>
      </c>
      <c r="F2116">
        <f>tbl_AQI[[#This Row],[Most AQI Reached]]-tbl_AQI[[#This Row],[Current AQI]]</f>
        <v>49</v>
      </c>
      <c r="G21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16">
        <f>RANK(tbl_AQI[[#This Row],[Current AQI]], tbl_AQI[Current AQI], 0)</f>
        <v>3037</v>
      </c>
    </row>
    <row r="2117" spans="1:8" x14ac:dyDescent="0.35">
      <c r="A2117" t="s">
        <v>2065</v>
      </c>
      <c r="B2117" t="s">
        <v>2137</v>
      </c>
      <c r="C2117">
        <v>162</v>
      </c>
      <c r="D2117">
        <v>133</v>
      </c>
      <c r="E2117" t="s">
        <v>9</v>
      </c>
      <c r="F2117">
        <f>tbl_AQI[[#This Row],[Most AQI Reached]]-tbl_AQI[[#This Row],[Current AQI]]</f>
        <v>29</v>
      </c>
      <c r="G21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17">
        <f>RANK(tbl_AQI[[#This Row],[Current AQI]], tbl_AQI[Current AQI], 0)</f>
        <v>2758</v>
      </c>
    </row>
    <row r="2118" spans="1:8" x14ac:dyDescent="0.35">
      <c r="A2118" t="s">
        <v>2065</v>
      </c>
      <c r="B2118" t="s">
        <v>2138</v>
      </c>
      <c r="C2118">
        <v>306</v>
      </c>
      <c r="D2118">
        <v>188</v>
      </c>
      <c r="E2118" t="s">
        <v>11</v>
      </c>
      <c r="F2118">
        <f>tbl_AQI[[#This Row],[Most AQI Reached]]-tbl_AQI[[#This Row],[Current AQI]]</f>
        <v>118</v>
      </c>
      <c r="G21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18">
        <f>RANK(tbl_AQI[[#This Row],[Current AQI]], tbl_AQI[Current AQI], 0)</f>
        <v>1423</v>
      </c>
    </row>
    <row r="2119" spans="1:8" x14ac:dyDescent="0.35">
      <c r="A2119" t="s">
        <v>2065</v>
      </c>
      <c r="B2119" t="s">
        <v>2139</v>
      </c>
      <c r="C2119">
        <v>209</v>
      </c>
      <c r="D2119">
        <v>181</v>
      </c>
      <c r="E2119" t="s">
        <v>21</v>
      </c>
      <c r="F2119">
        <f>tbl_AQI[[#This Row],[Most AQI Reached]]-tbl_AQI[[#This Row],[Current AQI]]</f>
        <v>28</v>
      </c>
      <c r="G21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19">
        <f>RANK(tbl_AQI[[#This Row],[Current AQI]], tbl_AQI[Current AQI], 0)</f>
        <v>1609</v>
      </c>
    </row>
    <row r="2120" spans="1:8" x14ac:dyDescent="0.35">
      <c r="A2120" t="s">
        <v>2065</v>
      </c>
      <c r="B2120" t="s">
        <v>2140</v>
      </c>
      <c r="C2120">
        <v>106</v>
      </c>
      <c r="D2120">
        <v>106</v>
      </c>
      <c r="E2120" t="s">
        <v>9</v>
      </c>
      <c r="F2120">
        <f>tbl_AQI[[#This Row],[Most AQI Reached]]-tbl_AQI[[#This Row],[Current AQI]]</f>
        <v>0</v>
      </c>
      <c r="G21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20">
        <f>RANK(tbl_AQI[[#This Row],[Current AQI]], tbl_AQI[Current AQI], 0)</f>
        <v>3413</v>
      </c>
    </row>
    <row r="2121" spans="1:8" x14ac:dyDescent="0.35">
      <c r="A2121" t="s">
        <v>2065</v>
      </c>
      <c r="B2121" t="s">
        <v>2141</v>
      </c>
      <c r="C2121">
        <v>190</v>
      </c>
      <c r="D2121">
        <v>171</v>
      </c>
      <c r="E2121" t="s">
        <v>21</v>
      </c>
      <c r="F2121">
        <f>tbl_AQI[[#This Row],[Most AQI Reached]]-tbl_AQI[[#This Row],[Current AQI]]</f>
        <v>19</v>
      </c>
      <c r="G21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21">
        <f>RANK(tbl_AQI[[#This Row],[Current AQI]], tbl_AQI[Current AQI], 0)</f>
        <v>1866</v>
      </c>
    </row>
    <row r="2122" spans="1:8" x14ac:dyDescent="0.35">
      <c r="A2122" t="s">
        <v>2065</v>
      </c>
      <c r="B2122" t="s">
        <v>2142</v>
      </c>
      <c r="C2122">
        <v>189</v>
      </c>
      <c r="D2122">
        <v>122</v>
      </c>
      <c r="E2122" t="s">
        <v>15</v>
      </c>
      <c r="F2122">
        <f>tbl_AQI[[#This Row],[Most AQI Reached]]-tbl_AQI[[#This Row],[Current AQI]]</f>
        <v>67</v>
      </c>
      <c r="G21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22">
        <f>RANK(tbl_AQI[[#This Row],[Current AQI]], tbl_AQI[Current AQI], 0)</f>
        <v>3013</v>
      </c>
    </row>
    <row r="2123" spans="1:8" x14ac:dyDescent="0.35">
      <c r="A2123" t="s">
        <v>2065</v>
      </c>
      <c r="B2123" t="s">
        <v>2143</v>
      </c>
      <c r="C2123">
        <v>225</v>
      </c>
      <c r="D2123">
        <v>77</v>
      </c>
      <c r="E2123" t="s">
        <v>15</v>
      </c>
      <c r="F2123">
        <f>tbl_AQI[[#This Row],[Most AQI Reached]]-tbl_AQI[[#This Row],[Current AQI]]</f>
        <v>148</v>
      </c>
      <c r="G21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23">
        <f>RANK(tbl_AQI[[#This Row],[Current AQI]], tbl_AQI[Current AQI], 0)</f>
        <v>4006</v>
      </c>
    </row>
    <row r="2124" spans="1:8" x14ac:dyDescent="0.35">
      <c r="A2124" t="s">
        <v>2065</v>
      </c>
      <c r="B2124" t="s">
        <v>2144</v>
      </c>
      <c r="C2124">
        <v>204</v>
      </c>
      <c r="D2124">
        <v>45</v>
      </c>
      <c r="E2124" t="s">
        <v>9</v>
      </c>
      <c r="F2124">
        <f>tbl_AQI[[#This Row],[Most AQI Reached]]-tbl_AQI[[#This Row],[Current AQI]]</f>
        <v>159</v>
      </c>
      <c r="G21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24">
        <f>RANK(tbl_AQI[[#This Row],[Current AQI]], tbl_AQI[Current AQI], 0)</f>
        <v>4702</v>
      </c>
    </row>
    <row r="2125" spans="1:8" x14ac:dyDescent="0.35">
      <c r="A2125" t="s">
        <v>2065</v>
      </c>
      <c r="B2125" t="s">
        <v>2145</v>
      </c>
      <c r="C2125">
        <v>313</v>
      </c>
      <c r="D2125">
        <v>160</v>
      </c>
      <c r="E2125" t="s">
        <v>9</v>
      </c>
      <c r="F2125">
        <f>tbl_AQI[[#This Row],[Most AQI Reached]]-tbl_AQI[[#This Row],[Current AQI]]</f>
        <v>153</v>
      </c>
      <c r="G21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25">
        <f>RANK(tbl_AQI[[#This Row],[Current AQI]], tbl_AQI[Current AQI], 0)</f>
        <v>2154</v>
      </c>
    </row>
    <row r="2126" spans="1:8" x14ac:dyDescent="0.35">
      <c r="A2126" t="s">
        <v>2065</v>
      </c>
      <c r="B2126" t="s">
        <v>2146</v>
      </c>
      <c r="C2126">
        <v>131</v>
      </c>
      <c r="D2126">
        <v>107</v>
      </c>
      <c r="E2126" t="s">
        <v>21</v>
      </c>
      <c r="F2126">
        <f>tbl_AQI[[#This Row],[Most AQI Reached]]-tbl_AQI[[#This Row],[Current AQI]]</f>
        <v>24</v>
      </c>
      <c r="G21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26">
        <f>RANK(tbl_AQI[[#This Row],[Current AQI]], tbl_AQI[Current AQI], 0)</f>
        <v>3387</v>
      </c>
    </row>
    <row r="2127" spans="1:8" x14ac:dyDescent="0.35">
      <c r="A2127" t="s">
        <v>2065</v>
      </c>
      <c r="B2127" t="s">
        <v>2147</v>
      </c>
      <c r="C2127">
        <v>115</v>
      </c>
      <c r="D2127">
        <v>48</v>
      </c>
      <c r="E2127" t="s">
        <v>17</v>
      </c>
      <c r="F2127">
        <f>tbl_AQI[[#This Row],[Most AQI Reached]]-tbl_AQI[[#This Row],[Current AQI]]</f>
        <v>67</v>
      </c>
      <c r="G21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27">
        <f>RANK(tbl_AQI[[#This Row],[Current AQI]], tbl_AQI[Current AQI], 0)</f>
        <v>4638</v>
      </c>
    </row>
    <row r="2128" spans="1:8" x14ac:dyDescent="0.35">
      <c r="A2128" t="s">
        <v>2065</v>
      </c>
      <c r="B2128" t="s">
        <v>2148</v>
      </c>
      <c r="C2128">
        <v>283</v>
      </c>
      <c r="D2128">
        <v>34</v>
      </c>
      <c r="E2128" t="s">
        <v>33</v>
      </c>
      <c r="F2128">
        <f>tbl_AQI[[#This Row],[Most AQI Reached]]-tbl_AQI[[#This Row],[Current AQI]]</f>
        <v>249</v>
      </c>
      <c r="G21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28">
        <f>RANK(tbl_AQI[[#This Row],[Current AQI]], tbl_AQI[Current AQI], 0)</f>
        <v>4944</v>
      </c>
    </row>
    <row r="2129" spans="1:8" x14ac:dyDescent="0.35">
      <c r="A2129" t="s">
        <v>2065</v>
      </c>
      <c r="B2129" t="s">
        <v>2149</v>
      </c>
      <c r="C2129">
        <v>132</v>
      </c>
      <c r="D2129">
        <v>71</v>
      </c>
      <c r="E2129" t="s">
        <v>33</v>
      </c>
      <c r="F2129">
        <f>tbl_AQI[[#This Row],[Most AQI Reached]]-tbl_AQI[[#This Row],[Current AQI]]</f>
        <v>61</v>
      </c>
      <c r="G21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29">
        <f>RANK(tbl_AQI[[#This Row],[Current AQI]], tbl_AQI[Current AQI], 0)</f>
        <v>4129</v>
      </c>
    </row>
    <row r="2130" spans="1:8" x14ac:dyDescent="0.35">
      <c r="A2130" t="s">
        <v>2065</v>
      </c>
      <c r="B2130" t="s">
        <v>2150</v>
      </c>
      <c r="C2130">
        <v>315</v>
      </c>
      <c r="D2130">
        <v>174</v>
      </c>
      <c r="E2130" t="s">
        <v>15</v>
      </c>
      <c r="F2130">
        <f>tbl_AQI[[#This Row],[Most AQI Reached]]-tbl_AQI[[#This Row],[Current AQI]]</f>
        <v>141</v>
      </c>
      <c r="G21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30">
        <f>RANK(tbl_AQI[[#This Row],[Current AQI]], tbl_AQI[Current AQI], 0)</f>
        <v>1803</v>
      </c>
    </row>
    <row r="2131" spans="1:8" x14ac:dyDescent="0.35">
      <c r="A2131" t="s">
        <v>2065</v>
      </c>
      <c r="B2131" t="s">
        <v>2151</v>
      </c>
      <c r="C2131">
        <v>175</v>
      </c>
      <c r="D2131">
        <v>76</v>
      </c>
      <c r="E2131" t="s">
        <v>15</v>
      </c>
      <c r="F2131">
        <f>tbl_AQI[[#This Row],[Most AQI Reached]]-tbl_AQI[[#This Row],[Current AQI]]</f>
        <v>99</v>
      </c>
      <c r="G21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31">
        <f>RANK(tbl_AQI[[#This Row],[Current AQI]], tbl_AQI[Current AQI], 0)</f>
        <v>4023</v>
      </c>
    </row>
    <row r="2132" spans="1:8" x14ac:dyDescent="0.35">
      <c r="A2132" t="s">
        <v>2065</v>
      </c>
      <c r="B2132" t="s">
        <v>2152</v>
      </c>
      <c r="C2132">
        <v>205</v>
      </c>
      <c r="D2132">
        <v>110</v>
      </c>
      <c r="E2132" t="s">
        <v>17</v>
      </c>
      <c r="F2132">
        <f>tbl_AQI[[#This Row],[Most AQI Reached]]-tbl_AQI[[#This Row],[Current AQI]]</f>
        <v>95</v>
      </c>
      <c r="G21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32">
        <f>RANK(tbl_AQI[[#This Row],[Current AQI]], tbl_AQI[Current AQI], 0)</f>
        <v>3302</v>
      </c>
    </row>
    <row r="2133" spans="1:8" x14ac:dyDescent="0.35">
      <c r="A2133" t="s">
        <v>2065</v>
      </c>
      <c r="B2133" t="s">
        <v>2153</v>
      </c>
      <c r="C2133">
        <v>144</v>
      </c>
      <c r="D2133">
        <v>97</v>
      </c>
      <c r="E2133" t="s">
        <v>7</v>
      </c>
      <c r="F2133">
        <f>tbl_AQI[[#This Row],[Most AQI Reached]]-tbl_AQI[[#This Row],[Current AQI]]</f>
        <v>47</v>
      </c>
      <c r="G21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33">
        <f>RANK(tbl_AQI[[#This Row],[Current AQI]], tbl_AQI[Current AQI], 0)</f>
        <v>3593</v>
      </c>
    </row>
    <row r="2134" spans="1:8" x14ac:dyDescent="0.35">
      <c r="A2134" t="s">
        <v>2065</v>
      </c>
      <c r="B2134" t="s">
        <v>2154</v>
      </c>
      <c r="C2134">
        <v>284</v>
      </c>
      <c r="D2134">
        <v>171</v>
      </c>
      <c r="E2134" t="s">
        <v>21</v>
      </c>
      <c r="F2134">
        <f>tbl_AQI[[#This Row],[Most AQI Reached]]-tbl_AQI[[#This Row],[Current AQI]]</f>
        <v>113</v>
      </c>
      <c r="G21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34">
        <f>RANK(tbl_AQI[[#This Row],[Current AQI]], tbl_AQI[Current AQI], 0)</f>
        <v>1866</v>
      </c>
    </row>
    <row r="2135" spans="1:8" x14ac:dyDescent="0.35">
      <c r="A2135" t="s">
        <v>2065</v>
      </c>
      <c r="B2135" t="s">
        <v>2155</v>
      </c>
      <c r="C2135">
        <v>248</v>
      </c>
      <c r="D2135">
        <v>170</v>
      </c>
      <c r="E2135" t="s">
        <v>11</v>
      </c>
      <c r="F2135">
        <f>tbl_AQI[[#This Row],[Most AQI Reached]]-tbl_AQI[[#This Row],[Current AQI]]</f>
        <v>78</v>
      </c>
      <c r="G21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35">
        <f>RANK(tbl_AQI[[#This Row],[Current AQI]], tbl_AQI[Current AQI], 0)</f>
        <v>1898</v>
      </c>
    </row>
    <row r="2136" spans="1:8" x14ac:dyDescent="0.35">
      <c r="A2136" t="s">
        <v>2065</v>
      </c>
      <c r="B2136" t="s">
        <v>2156</v>
      </c>
      <c r="C2136">
        <v>191</v>
      </c>
      <c r="D2136">
        <v>64</v>
      </c>
      <c r="E2136" t="s">
        <v>15</v>
      </c>
      <c r="F2136">
        <f>tbl_AQI[[#This Row],[Most AQI Reached]]-tbl_AQI[[#This Row],[Current AQI]]</f>
        <v>127</v>
      </c>
      <c r="G21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36">
        <f>RANK(tbl_AQI[[#This Row],[Current AQI]], tbl_AQI[Current AQI], 0)</f>
        <v>4293</v>
      </c>
    </row>
    <row r="2137" spans="1:8" x14ac:dyDescent="0.35">
      <c r="A2137" t="s">
        <v>2065</v>
      </c>
      <c r="B2137" t="s">
        <v>2157</v>
      </c>
      <c r="C2137">
        <v>198</v>
      </c>
      <c r="D2137">
        <v>189</v>
      </c>
      <c r="E2137" t="s">
        <v>15</v>
      </c>
      <c r="F2137">
        <f>tbl_AQI[[#This Row],[Most AQI Reached]]-tbl_AQI[[#This Row],[Current AQI]]</f>
        <v>9</v>
      </c>
      <c r="G21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37">
        <f>RANK(tbl_AQI[[#This Row],[Current AQI]], tbl_AQI[Current AQI], 0)</f>
        <v>1395</v>
      </c>
    </row>
    <row r="2138" spans="1:8" x14ac:dyDescent="0.35">
      <c r="A2138" t="s">
        <v>2065</v>
      </c>
      <c r="B2138" t="s">
        <v>2158</v>
      </c>
      <c r="C2138">
        <v>199</v>
      </c>
      <c r="D2138">
        <v>145</v>
      </c>
      <c r="E2138" t="s">
        <v>17</v>
      </c>
      <c r="F2138">
        <f>tbl_AQI[[#This Row],[Most AQI Reached]]-tbl_AQI[[#This Row],[Current AQI]]</f>
        <v>54</v>
      </c>
      <c r="G21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38">
        <f>RANK(tbl_AQI[[#This Row],[Current AQI]], tbl_AQI[Current AQI], 0)</f>
        <v>2526</v>
      </c>
    </row>
    <row r="2139" spans="1:8" x14ac:dyDescent="0.35">
      <c r="A2139" t="s">
        <v>2065</v>
      </c>
      <c r="B2139" t="s">
        <v>2159</v>
      </c>
      <c r="C2139">
        <v>257</v>
      </c>
      <c r="D2139">
        <v>116</v>
      </c>
      <c r="E2139" t="s">
        <v>15</v>
      </c>
      <c r="F2139">
        <f>tbl_AQI[[#This Row],[Most AQI Reached]]-tbl_AQI[[#This Row],[Current AQI]]</f>
        <v>141</v>
      </c>
      <c r="G21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39">
        <f>RANK(tbl_AQI[[#This Row],[Current AQI]], tbl_AQI[Current AQI], 0)</f>
        <v>3173</v>
      </c>
    </row>
    <row r="2140" spans="1:8" x14ac:dyDescent="0.35">
      <c r="A2140" t="s">
        <v>2065</v>
      </c>
      <c r="B2140" t="s">
        <v>2160</v>
      </c>
      <c r="C2140">
        <v>287</v>
      </c>
      <c r="D2140">
        <v>95</v>
      </c>
      <c r="E2140" t="s">
        <v>9</v>
      </c>
      <c r="F2140">
        <f>tbl_AQI[[#This Row],[Most AQI Reached]]-tbl_AQI[[#This Row],[Current AQI]]</f>
        <v>192</v>
      </c>
      <c r="G21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40">
        <f>RANK(tbl_AQI[[#This Row],[Current AQI]], tbl_AQI[Current AQI], 0)</f>
        <v>3634</v>
      </c>
    </row>
    <row r="2141" spans="1:8" x14ac:dyDescent="0.35">
      <c r="A2141" t="s">
        <v>2065</v>
      </c>
      <c r="B2141" t="s">
        <v>2161</v>
      </c>
      <c r="C2141">
        <v>308</v>
      </c>
      <c r="D2141">
        <v>148</v>
      </c>
      <c r="E2141" t="s">
        <v>33</v>
      </c>
      <c r="F2141">
        <f>tbl_AQI[[#This Row],[Most AQI Reached]]-tbl_AQI[[#This Row],[Current AQI]]</f>
        <v>160</v>
      </c>
      <c r="G21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41">
        <f>RANK(tbl_AQI[[#This Row],[Current AQI]], tbl_AQI[Current AQI], 0)</f>
        <v>2446</v>
      </c>
    </row>
    <row r="2142" spans="1:8" x14ac:dyDescent="0.35">
      <c r="A2142" t="s">
        <v>2065</v>
      </c>
      <c r="B2142" t="s">
        <v>2162</v>
      </c>
      <c r="C2142">
        <v>95</v>
      </c>
      <c r="D2142">
        <v>62</v>
      </c>
      <c r="E2142" t="s">
        <v>33</v>
      </c>
      <c r="F2142">
        <f>tbl_AQI[[#This Row],[Most AQI Reached]]-tbl_AQI[[#This Row],[Current AQI]]</f>
        <v>33</v>
      </c>
      <c r="G21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42">
        <f>RANK(tbl_AQI[[#This Row],[Current AQI]], tbl_AQI[Current AQI], 0)</f>
        <v>4343</v>
      </c>
    </row>
    <row r="2143" spans="1:8" x14ac:dyDescent="0.35">
      <c r="A2143" t="s">
        <v>2065</v>
      </c>
      <c r="B2143" t="s">
        <v>2163</v>
      </c>
      <c r="C2143">
        <v>236</v>
      </c>
      <c r="D2143">
        <v>161</v>
      </c>
      <c r="E2143" t="s">
        <v>33</v>
      </c>
      <c r="F2143">
        <f>tbl_AQI[[#This Row],[Most AQI Reached]]-tbl_AQI[[#This Row],[Current AQI]]</f>
        <v>75</v>
      </c>
      <c r="G21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43">
        <f>RANK(tbl_AQI[[#This Row],[Current AQI]], tbl_AQI[Current AQI], 0)</f>
        <v>2129</v>
      </c>
    </row>
    <row r="2144" spans="1:8" x14ac:dyDescent="0.35">
      <c r="A2144" t="s">
        <v>2164</v>
      </c>
      <c r="B2144" t="s">
        <v>2165</v>
      </c>
      <c r="C2144">
        <v>166</v>
      </c>
      <c r="D2144">
        <v>123</v>
      </c>
      <c r="E2144" t="s">
        <v>21</v>
      </c>
      <c r="F2144">
        <f>tbl_AQI[[#This Row],[Most AQI Reached]]-tbl_AQI[[#This Row],[Current AQI]]</f>
        <v>43</v>
      </c>
      <c r="G21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44">
        <f>RANK(tbl_AQI[[#This Row],[Current AQI]], tbl_AQI[Current AQI], 0)</f>
        <v>2983</v>
      </c>
    </row>
    <row r="2145" spans="1:8" x14ac:dyDescent="0.35">
      <c r="A2145" t="s">
        <v>2164</v>
      </c>
      <c r="B2145" t="s">
        <v>2166</v>
      </c>
      <c r="C2145">
        <v>43</v>
      </c>
      <c r="D2145">
        <v>37</v>
      </c>
      <c r="E2145" t="s">
        <v>9</v>
      </c>
      <c r="F2145">
        <f>tbl_AQI[[#This Row],[Most AQI Reached]]-tbl_AQI[[#This Row],[Current AQI]]</f>
        <v>6</v>
      </c>
      <c r="G21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45">
        <f>RANK(tbl_AQI[[#This Row],[Current AQI]], tbl_AQI[Current AQI], 0)</f>
        <v>4863</v>
      </c>
    </row>
    <row r="2146" spans="1:8" x14ac:dyDescent="0.35">
      <c r="A2146" t="s">
        <v>2164</v>
      </c>
      <c r="B2146" t="s">
        <v>2167</v>
      </c>
      <c r="C2146">
        <v>221</v>
      </c>
      <c r="D2146">
        <v>116</v>
      </c>
      <c r="E2146" t="s">
        <v>15</v>
      </c>
      <c r="F2146">
        <f>tbl_AQI[[#This Row],[Most AQI Reached]]-tbl_AQI[[#This Row],[Current AQI]]</f>
        <v>105</v>
      </c>
      <c r="G21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46">
        <f>RANK(tbl_AQI[[#This Row],[Current AQI]], tbl_AQI[Current AQI], 0)</f>
        <v>3173</v>
      </c>
    </row>
    <row r="2147" spans="1:8" x14ac:dyDescent="0.35">
      <c r="A2147" t="s">
        <v>2164</v>
      </c>
      <c r="B2147" t="s">
        <v>2168</v>
      </c>
      <c r="C2147">
        <v>294</v>
      </c>
      <c r="D2147">
        <v>96</v>
      </c>
      <c r="E2147" t="s">
        <v>33</v>
      </c>
      <c r="F2147">
        <f>tbl_AQI[[#This Row],[Most AQI Reached]]-tbl_AQI[[#This Row],[Current AQI]]</f>
        <v>198</v>
      </c>
      <c r="G21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47">
        <f>RANK(tbl_AQI[[#This Row],[Current AQI]], tbl_AQI[Current AQI], 0)</f>
        <v>3616</v>
      </c>
    </row>
    <row r="2148" spans="1:8" x14ac:dyDescent="0.35">
      <c r="A2148" t="s">
        <v>2164</v>
      </c>
      <c r="B2148" t="s">
        <v>2169</v>
      </c>
      <c r="C2148">
        <v>272</v>
      </c>
      <c r="D2148">
        <v>161</v>
      </c>
      <c r="E2148" t="s">
        <v>9</v>
      </c>
      <c r="F2148">
        <f>tbl_AQI[[#This Row],[Most AQI Reached]]-tbl_AQI[[#This Row],[Current AQI]]</f>
        <v>111</v>
      </c>
      <c r="G21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48">
        <f>RANK(tbl_AQI[[#This Row],[Current AQI]], tbl_AQI[Current AQI], 0)</f>
        <v>2129</v>
      </c>
    </row>
    <row r="2149" spans="1:8" x14ac:dyDescent="0.35">
      <c r="A2149" t="s">
        <v>2164</v>
      </c>
      <c r="B2149" t="s">
        <v>2170</v>
      </c>
      <c r="C2149">
        <v>270</v>
      </c>
      <c r="D2149">
        <v>177</v>
      </c>
      <c r="E2149" t="s">
        <v>9</v>
      </c>
      <c r="F2149">
        <f>tbl_AQI[[#This Row],[Most AQI Reached]]-tbl_AQI[[#This Row],[Current AQI]]</f>
        <v>93</v>
      </c>
      <c r="G21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49">
        <f>RANK(tbl_AQI[[#This Row],[Current AQI]], tbl_AQI[Current AQI], 0)</f>
        <v>1733</v>
      </c>
    </row>
    <row r="2150" spans="1:8" x14ac:dyDescent="0.35">
      <c r="A2150" t="s">
        <v>2164</v>
      </c>
      <c r="B2150" t="s">
        <v>2171</v>
      </c>
      <c r="C2150">
        <v>246</v>
      </c>
      <c r="D2150">
        <v>65</v>
      </c>
      <c r="E2150" t="s">
        <v>11</v>
      </c>
      <c r="F2150">
        <f>tbl_AQI[[#This Row],[Most AQI Reached]]-tbl_AQI[[#This Row],[Current AQI]]</f>
        <v>181</v>
      </c>
      <c r="G21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50">
        <f>RANK(tbl_AQI[[#This Row],[Current AQI]], tbl_AQI[Current AQI], 0)</f>
        <v>4267</v>
      </c>
    </row>
    <row r="2151" spans="1:8" x14ac:dyDescent="0.35">
      <c r="A2151" t="s">
        <v>2164</v>
      </c>
      <c r="B2151" t="s">
        <v>2172</v>
      </c>
      <c r="C2151">
        <v>218</v>
      </c>
      <c r="D2151">
        <v>188</v>
      </c>
      <c r="E2151" t="s">
        <v>33</v>
      </c>
      <c r="F2151">
        <f>tbl_AQI[[#This Row],[Most AQI Reached]]-tbl_AQI[[#This Row],[Current AQI]]</f>
        <v>30</v>
      </c>
      <c r="G21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51">
        <f>RANK(tbl_AQI[[#This Row],[Current AQI]], tbl_AQI[Current AQI], 0)</f>
        <v>1423</v>
      </c>
    </row>
    <row r="2152" spans="1:8" x14ac:dyDescent="0.35">
      <c r="A2152" t="s">
        <v>2164</v>
      </c>
      <c r="B2152" t="s">
        <v>2173</v>
      </c>
      <c r="C2152">
        <v>146</v>
      </c>
      <c r="D2152">
        <v>106</v>
      </c>
      <c r="E2152" t="s">
        <v>21</v>
      </c>
      <c r="F2152">
        <f>tbl_AQI[[#This Row],[Most AQI Reached]]-tbl_AQI[[#This Row],[Current AQI]]</f>
        <v>40</v>
      </c>
      <c r="G21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52">
        <f>RANK(tbl_AQI[[#This Row],[Current AQI]], tbl_AQI[Current AQI], 0)</f>
        <v>3413</v>
      </c>
    </row>
    <row r="2153" spans="1:8" x14ac:dyDescent="0.35">
      <c r="A2153" t="s">
        <v>2164</v>
      </c>
      <c r="B2153" t="s">
        <v>2174</v>
      </c>
      <c r="C2153">
        <v>106</v>
      </c>
      <c r="D2153">
        <v>59</v>
      </c>
      <c r="E2153" t="s">
        <v>11</v>
      </c>
      <c r="F2153">
        <f>tbl_AQI[[#This Row],[Most AQI Reached]]-tbl_AQI[[#This Row],[Current AQI]]</f>
        <v>47</v>
      </c>
      <c r="G21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53">
        <f>RANK(tbl_AQI[[#This Row],[Current AQI]], tbl_AQI[Current AQI], 0)</f>
        <v>4416</v>
      </c>
    </row>
    <row r="2154" spans="1:8" x14ac:dyDescent="0.35">
      <c r="A2154" t="s">
        <v>2164</v>
      </c>
      <c r="B2154" t="s">
        <v>2175</v>
      </c>
      <c r="C2154">
        <v>146</v>
      </c>
      <c r="D2154">
        <v>93</v>
      </c>
      <c r="E2154" t="s">
        <v>21</v>
      </c>
      <c r="F2154">
        <f>tbl_AQI[[#This Row],[Most AQI Reached]]-tbl_AQI[[#This Row],[Current AQI]]</f>
        <v>53</v>
      </c>
      <c r="G21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54">
        <f>RANK(tbl_AQI[[#This Row],[Current AQI]], tbl_AQI[Current AQI], 0)</f>
        <v>3678</v>
      </c>
    </row>
    <row r="2155" spans="1:8" x14ac:dyDescent="0.35">
      <c r="A2155" t="s">
        <v>2164</v>
      </c>
      <c r="B2155" t="s">
        <v>2176</v>
      </c>
      <c r="C2155">
        <v>292</v>
      </c>
      <c r="D2155">
        <v>99</v>
      </c>
      <c r="E2155" t="s">
        <v>7</v>
      </c>
      <c r="F2155">
        <f>tbl_AQI[[#This Row],[Most AQI Reached]]-tbl_AQI[[#This Row],[Current AQI]]</f>
        <v>193</v>
      </c>
      <c r="G21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55">
        <f>RANK(tbl_AQI[[#This Row],[Current AQI]], tbl_AQI[Current AQI], 0)</f>
        <v>3553</v>
      </c>
    </row>
    <row r="2156" spans="1:8" x14ac:dyDescent="0.35">
      <c r="A2156" t="s">
        <v>2164</v>
      </c>
      <c r="B2156" t="s">
        <v>2177</v>
      </c>
      <c r="C2156">
        <v>266</v>
      </c>
      <c r="D2156">
        <v>145</v>
      </c>
      <c r="E2156" t="s">
        <v>21</v>
      </c>
      <c r="F2156">
        <f>tbl_AQI[[#This Row],[Most AQI Reached]]-tbl_AQI[[#This Row],[Current AQI]]</f>
        <v>121</v>
      </c>
      <c r="G21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56">
        <f>RANK(tbl_AQI[[#This Row],[Current AQI]], tbl_AQI[Current AQI], 0)</f>
        <v>2526</v>
      </c>
    </row>
    <row r="2157" spans="1:8" x14ac:dyDescent="0.35">
      <c r="A2157" t="s">
        <v>2164</v>
      </c>
      <c r="B2157" t="s">
        <v>2178</v>
      </c>
      <c r="C2157">
        <v>236</v>
      </c>
      <c r="D2157">
        <v>128</v>
      </c>
      <c r="E2157" t="s">
        <v>21</v>
      </c>
      <c r="F2157">
        <f>tbl_AQI[[#This Row],[Most AQI Reached]]-tbl_AQI[[#This Row],[Current AQI]]</f>
        <v>108</v>
      </c>
      <c r="G21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57">
        <f>RANK(tbl_AQI[[#This Row],[Current AQI]], tbl_AQI[Current AQI], 0)</f>
        <v>2872</v>
      </c>
    </row>
    <row r="2158" spans="1:8" x14ac:dyDescent="0.35">
      <c r="A2158" t="s">
        <v>2164</v>
      </c>
      <c r="B2158" t="s">
        <v>2179</v>
      </c>
      <c r="C2158">
        <v>147</v>
      </c>
      <c r="D2158">
        <v>63</v>
      </c>
      <c r="E2158" t="s">
        <v>7</v>
      </c>
      <c r="F2158">
        <f>tbl_AQI[[#This Row],[Most AQI Reached]]-tbl_AQI[[#This Row],[Current AQI]]</f>
        <v>84</v>
      </c>
      <c r="G21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58">
        <f>RANK(tbl_AQI[[#This Row],[Current AQI]], tbl_AQI[Current AQI], 0)</f>
        <v>4322</v>
      </c>
    </row>
    <row r="2159" spans="1:8" x14ac:dyDescent="0.35">
      <c r="A2159" t="s">
        <v>2164</v>
      </c>
      <c r="B2159" t="s">
        <v>2180</v>
      </c>
      <c r="C2159">
        <v>297</v>
      </c>
      <c r="D2159">
        <v>180</v>
      </c>
      <c r="E2159" t="s">
        <v>21</v>
      </c>
      <c r="F2159">
        <f>tbl_AQI[[#This Row],[Most AQI Reached]]-tbl_AQI[[#This Row],[Current AQI]]</f>
        <v>117</v>
      </c>
      <c r="G21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59">
        <f>RANK(tbl_AQI[[#This Row],[Current AQI]], tbl_AQI[Current AQI], 0)</f>
        <v>1635</v>
      </c>
    </row>
    <row r="2160" spans="1:8" x14ac:dyDescent="0.35">
      <c r="A2160" t="s">
        <v>2164</v>
      </c>
      <c r="B2160" t="s">
        <v>2181</v>
      </c>
      <c r="C2160">
        <v>222</v>
      </c>
      <c r="D2160">
        <v>172</v>
      </c>
      <c r="E2160" t="s">
        <v>15</v>
      </c>
      <c r="F2160">
        <f>tbl_AQI[[#This Row],[Most AQI Reached]]-tbl_AQI[[#This Row],[Current AQI]]</f>
        <v>50</v>
      </c>
      <c r="G21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60">
        <f>RANK(tbl_AQI[[#This Row],[Current AQI]], tbl_AQI[Current AQI], 0)</f>
        <v>1852</v>
      </c>
    </row>
    <row r="2161" spans="1:8" x14ac:dyDescent="0.35">
      <c r="A2161" t="s">
        <v>2164</v>
      </c>
      <c r="B2161" t="s">
        <v>2182</v>
      </c>
      <c r="C2161">
        <v>261</v>
      </c>
      <c r="D2161">
        <v>133</v>
      </c>
      <c r="E2161" t="s">
        <v>11</v>
      </c>
      <c r="F2161">
        <f>tbl_AQI[[#This Row],[Most AQI Reached]]-tbl_AQI[[#This Row],[Current AQI]]</f>
        <v>128</v>
      </c>
      <c r="G21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61">
        <f>RANK(tbl_AQI[[#This Row],[Current AQI]], tbl_AQI[Current AQI], 0)</f>
        <v>2758</v>
      </c>
    </row>
    <row r="2162" spans="1:8" x14ac:dyDescent="0.35">
      <c r="A2162" t="s">
        <v>2164</v>
      </c>
      <c r="B2162" t="s">
        <v>2183</v>
      </c>
      <c r="C2162">
        <v>301</v>
      </c>
      <c r="D2162">
        <v>171</v>
      </c>
      <c r="E2162" t="s">
        <v>21</v>
      </c>
      <c r="F2162">
        <f>tbl_AQI[[#This Row],[Most AQI Reached]]-tbl_AQI[[#This Row],[Current AQI]]</f>
        <v>130</v>
      </c>
      <c r="G21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62">
        <f>RANK(tbl_AQI[[#This Row],[Current AQI]], tbl_AQI[Current AQI], 0)</f>
        <v>1866</v>
      </c>
    </row>
    <row r="2163" spans="1:8" x14ac:dyDescent="0.35">
      <c r="A2163" t="s">
        <v>2164</v>
      </c>
      <c r="B2163" t="s">
        <v>2184</v>
      </c>
      <c r="C2163">
        <v>288</v>
      </c>
      <c r="D2163">
        <v>51</v>
      </c>
      <c r="E2163" t="s">
        <v>17</v>
      </c>
      <c r="F2163">
        <f>tbl_AQI[[#This Row],[Most AQI Reached]]-tbl_AQI[[#This Row],[Current AQI]]</f>
        <v>237</v>
      </c>
      <c r="G21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63">
        <f>RANK(tbl_AQI[[#This Row],[Current AQI]], tbl_AQI[Current AQI], 0)</f>
        <v>4578</v>
      </c>
    </row>
    <row r="2164" spans="1:8" x14ac:dyDescent="0.35">
      <c r="A2164" t="s">
        <v>2164</v>
      </c>
      <c r="B2164" t="s">
        <v>2185</v>
      </c>
      <c r="C2164">
        <v>182</v>
      </c>
      <c r="D2164">
        <v>99</v>
      </c>
      <c r="E2164" t="s">
        <v>33</v>
      </c>
      <c r="F2164">
        <f>tbl_AQI[[#This Row],[Most AQI Reached]]-tbl_AQI[[#This Row],[Current AQI]]</f>
        <v>83</v>
      </c>
      <c r="G21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64">
        <f>RANK(tbl_AQI[[#This Row],[Current AQI]], tbl_AQI[Current AQI], 0)</f>
        <v>3553</v>
      </c>
    </row>
    <row r="2165" spans="1:8" x14ac:dyDescent="0.35">
      <c r="A2165" t="s">
        <v>2164</v>
      </c>
      <c r="B2165" t="s">
        <v>2186</v>
      </c>
      <c r="C2165">
        <v>210</v>
      </c>
      <c r="D2165">
        <v>117</v>
      </c>
      <c r="E2165" t="s">
        <v>11</v>
      </c>
      <c r="F2165">
        <f>tbl_AQI[[#This Row],[Most AQI Reached]]-tbl_AQI[[#This Row],[Current AQI]]</f>
        <v>93</v>
      </c>
      <c r="G21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65">
        <f>RANK(tbl_AQI[[#This Row],[Current AQI]], tbl_AQI[Current AQI], 0)</f>
        <v>3144</v>
      </c>
    </row>
    <row r="2166" spans="1:8" x14ac:dyDescent="0.35">
      <c r="A2166" t="s">
        <v>2164</v>
      </c>
      <c r="B2166" t="s">
        <v>2187</v>
      </c>
      <c r="C2166">
        <v>224</v>
      </c>
      <c r="D2166">
        <v>168</v>
      </c>
      <c r="E2166" t="s">
        <v>33</v>
      </c>
      <c r="F2166">
        <f>tbl_AQI[[#This Row],[Most AQI Reached]]-tbl_AQI[[#This Row],[Current AQI]]</f>
        <v>56</v>
      </c>
      <c r="G21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66">
        <f>RANK(tbl_AQI[[#This Row],[Current AQI]], tbl_AQI[Current AQI], 0)</f>
        <v>1954</v>
      </c>
    </row>
    <row r="2167" spans="1:8" x14ac:dyDescent="0.35">
      <c r="A2167" t="s">
        <v>2164</v>
      </c>
      <c r="B2167" t="s">
        <v>2188</v>
      </c>
      <c r="C2167">
        <v>182</v>
      </c>
      <c r="D2167">
        <v>170</v>
      </c>
      <c r="E2167" t="s">
        <v>17</v>
      </c>
      <c r="F2167">
        <f>tbl_AQI[[#This Row],[Most AQI Reached]]-tbl_AQI[[#This Row],[Current AQI]]</f>
        <v>12</v>
      </c>
      <c r="G21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67">
        <f>RANK(tbl_AQI[[#This Row],[Current AQI]], tbl_AQI[Current AQI], 0)</f>
        <v>1898</v>
      </c>
    </row>
    <row r="2168" spans="1:8" x14ac:dyDescent="0.35">
      <c r="A2168" t="s">
        <v>2164</v>
      </c>
      <c r="B2168" t="s">
        <v>2189</v>
      </c>
      <c r="C2168">
        <v>237</v>
      </c>
      <c r="D2168">
        <v>72</v>
      </c>
      <c r="E2168" t="s">
        <v>9</v>
      </c>
      <c r="F2168">
        <f>tbl_AQI[[#This Row],[Most AQI Reached]]-tbl_AQI[[#This Row],[Current AQI]]</f>
        <v>165</v>
      </c>
      <c r="G21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68">
        <f>RANK(tbl_AQI[[#This Row],[Current AQI]], tbl_AQI[Current AQI], 0)</f>
        <v>4100</v>
      </c>
    </row>
    <row r="2169" spans="1:8" x14ac:dyDescent="0.35">
      <c r="A2169" t="s">
        <v>2164</v>
      </c>
      <c r="B2169" t="s">
        <v>2190</v>
      </c>
      <c r="C2169">
        <v>231</v>
      </c>
      <c r="D2169">
        <v>61</v>
      </c>
      <c r="E2169" t="s">
        <v>9</v>
      </c>
      <c r="F2169">
        <f>tbl_AQI[[#This Row],[Most AQI Reached]]-tbl_AQI[[#This Row],[Current AQI]]</f>
        <v>170</v>
      </c>
      <c r="G21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69">
        <f>RANK(tbl_AQI[[#This Row],[Current AQI]], tbl_AQI[Current AQI], 0)</f>
        <v>4368</v>
      </c>
    </row>
    <row r="2170" spans="1:8" x14ac:dyDescent="0.35">
      <c r="A2170" t="s">
        <v>2164</v>
      </c>
      <c r="B2170" t="s">
        <v>2191</v>
      </c>
      <c r="C2170">
        <v>228</v>
      </c>
      <c r="D2170">
        <v>94</v>
      </c>
      <c r="E2170" t="s">
        <v>7</v>
      </c>
      <c r="F2170">
        <f>tbl_AQI[[#This Row],[Most AQI Reached]]-tbl_AQI[[#This Row],[Current AQI]]</f>
        <v>134</v>
      </c>
      <c r="G21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70">
        <f>RANK(tbl_AQI[[#This Row],[Current AQI]], tbl_AQI[Current AQI], 0)</f>
        <v>3654</v>
      </c>
    </row>
    <row r="2171" spans="1:8" x14ac:dyDescent="0.35">
      <c r="A2171" t="s">
        <v>2164</v>
      </c>
      <c r="B2171" t="s">
        <v>2192</v>
      </c>
      <c r="C2171">
        <v>223</v>
      </c>
      <c r="D2171">
        <v>171</v>
      </c>
      <c r="E2171" t="s">
        <v>15</v>
      </c>
      <c r="F2171">
        <f>tbl_AQI[[#This Row],[Most AQI Reached]]-tbl_AQI[[#This Row],[Current AQI]]</f>
        <v>52</v>
      </c>
      <c r="G21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71">
        <f>RANK(tbl_AQI[[#This Row],[Current AQI]], tbl_AQI[Current AQI], 0)</f>
        <v>1866</v>
      </c>
    </row>
    <row r="2172" spans="1:8" x14ac:dyDescent="0.35">
      <c r="A2172" t="s">
        <v>2164</v>
      </c>
      <c r="B2172" t="s">
        <v>2193</v>
      </c>
      <c r="C2172">
        <v>275</v>
      </c>
      <c r="D2172">
        <v>127</v>
      </c>
      <c r="E2172" t="s">
        <v>17</v>
      </c>
      <c r="F2172">
        <f>tbl_AQI[[#This Row],[Most AQI Reached]]-tbl_AQI[[#This Row],[Current AQI]]</f>
        <v>148</v>
      </c>
      <c r="G21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72">
        <f>RANK(tbl_AQI[[#This Row],[Current AQI]], tbl_AQI[Current AQI], 0)</f>
        <v>2909</v>
      </c>
    </row>
    <row r="2173" spans="1:8" x14ac:dyDescent="0.35">
      <c r="A2173" t="s">
        <v>2164</v>
      </c>
      <c r="B2173" t="s">
        <v>2194</v>
      </c>
      <c r="C2173">
        <v>162</v>
      </c>
      <c r="D2173">
        <v>30</v>
      </c>
      <c r="E2173" t="s">
        <v>15</v>
      </c>
      <c r="F2173">
        <f>tbl_AQI[[#This Row],[Most AQI Reached]]-tbl_AQI[[#This Row],[Current AQI]]</f>
        <v>132</v>
      </c>
      <c r="G21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73">
        <f>RANK(tbl_AQI[[#This Row],[Current AQI]], tbl_AQI[Current AQI], 0)</f>
        <v>5042</v>
      </c>
    </row>
    <row r="2174" spans="1:8" x14ac:dyDescent="0.35">
      <c r="A2174" t="s">
        <v>2164</v>
      </c>
      <c r="B2174" t="s">
        <v>2195</v>
      </c>
      <c r="C2174">
        <v>111</v>
      </c>
      <c r="D2174">
        <v>106</v>
      </c>
      <c r="E2174" t="s">
        <v>21</v>
      </c>
      <c r="F2174">
        <f>tbl_AQI[[#This Row],[Most AQI Reached]]-tbl_AQI[[#This Row],[Current AQI]]</f>
        <v>5</v>
      </c>
      <c r="G21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74">
        <f>RANK(tbl_AQI[[#This Row],[Current AQI]], tbl_AQI[Current AQI], 0)</f>
        <v>3413</v>
      </c>
    </row>
    <row r="2175" spans="1:8" x14ac:dyDescent="0.35">
      <c r="A2175" t="s">
        <v>2164</v>
      </c>
      <c r="B2175" t="s">
        <v>2196</v>
      </c>
      <c r="C2175">
        <v>162</v>
      </c>
      <c r="D2175">
        <v>156</v>
      </c>
      <c r="E2175" t="s">
        <v>17</v>
      </c>
      <c r="F2175">
        <f>tbl_AQI[[#This Row],[Most AQI Reached]]-tbl_AQI[[#This Row],[Current AQI]]</f>
        <v>6</v>
      </c>
      <c r="G21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75">
        <f>RANK(tbl_AQI[[#This Row],[Current AQI]], tbl_AQI[Current AQI], 0)</f>
        <v>2251</v>
      </c>
    </row>
    <row r="2176" spans="1:8" x14ac:dyDescent="0.35">
      <c r="A2176" t="s">
        <v>2164</v>
      </c>
      <c r="B2176" t="s">
        <v>2197</v>
      </c>
      <c r="C2176">
        <v>307</v>
      </c>
      <c r="D2176">
        <v>114</v>
      </c>
      <c r="E2176" t="s">
        <v>7</v>
      </c>
      <c r="F2176">
        <f>tbl_AQI[[#This Row],[Most AQI Reached]]-tbl_AQI[[#This Row],[Current AQI]]</f>
        <v>193</v>
      </c>
      <c r="G21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76">
        <f>RANK(tbl_AQI[[#This Row],[Current AQI]], tbl_AQI[Current AQI], 0)</f>
        <v>3226</v>
      </c>
    </row>
    <row r="2177" spans="1:8" x14ac:dyDescent="0.35">
      <c r="A2177" t="s">
        <v>2164</v>
      </c>
      <c r="B2177" t="s">
        <v>2198</v>
      </c>
      <c r="C2177">
        <v>196</v>
      </c>
      <c r="D2177">
        <v>180</v>
      </c>
      <c r="E2177" t="s">
        <v>17</v>
      </c>
      <c r="F2177">
        <f>tbl_AQI[[#This Row],[Most AQI Reached]]-tbl_AQI[[#This Row],[Current AQI]]</f>
        <v>16</v>
      </c>
      <c r="G21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77">
        <f>RANK(tbl_AQI[[#This Row],[Current AQI]], tbl_AQI[Current AQI], 0)</f>
        <v>1635</v>
      </c>
    </row>
    <row r="2178" spans="1:8" x14ac:dyDescent="0.35">
      <c r="A2178" t="s">
        <v>2164</v>
      </c>
      <c r="B2178" t="s">
        <v>2199</v>
      </c>
      <c r="C2178">
        <v>255</v>
      </c>
      <c r="D2178">
        <v>38</v>
      </c>
      <c r="E2178" t="s">
        <v>9</v>
      </c>
      <c r="F2178">
        <f>tbl_AQI[[#This Row],[Most AQI Reached]]-tbl_AQI[[#This Row],[Current AQI]]</f>
        <v>217</v>
      </c>
      <c r="G21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78">
        <f>RANK(tbl_AQI[[#This Row],[Current AQI]], tbl_AQI[Current AQI], 0)</f>
        <v>4845</v>
      </c>
    </row>
    <row r="2179" spans="1:8" x14ac:dyDescent="0.35">
      <c r="A2179" t="s">
        <v>2164</v>
      </c>
      <c r="B2179" t="s">
        <v>2207</v>
      </c>
      <c r="C2179">
        <v>163</v>
      </c>
      <c r="D2179">
        <v>152</v>
      </c>
      <c r="E2179" t="s">
        <v>17</v>
      </c>
      <c r="F2179">
        <f>tbl_AQI[[#This Row],[Most AQI Reached]]-tbl_AQI[[#This Row],[Current AQI]]</f>
        <v>11</v>
      </c>
      <c r="G21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79">
        <f>RANK(tbl_AQI[[#This Row],[Current AQI]], tbl_AQI[Current AQI], 0)</f>
        <v>2349</v>
      </c>
    </row>
    <row r="2180" spans="1:8" x14ac:dyDescent="0.35">
      <c r="A2180" t="s">
        <v>2164</v>
      </c>
      <c r="B2180" t="s">
        <v>2208</v>
      </c>
      <c r="C2180">
        <v>247</v>
      </c>
      <c r="D2180">
        <v>158</v>
      </c>
      <c r="E2180" t="s">
        <v>33</v>
      </c>
      <c r="F2180">
        <f>tbl_AQI[[#This Row],[Most AQI Reached]]-tbl_AQI[[#This Row],[Current AQI]]</f>
        <v>89</v>
      </c>
      <c r="G21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80">
        <f>RANK(tbl_AQI[[#This Row],[Current AQI]], tbl_AQI[Current AQI], 0)</f>
        <v>2207</v>
      </c>
    </row>
    <row r="2181" spans="1:8" x14ac:dyDescent="0.35">
      <c r="A2181" t="s">
        <v>2164</v>
      </c>
      <c r="B2181" t="s">
        <v>2209</v>
      </c>
      <c r="C2181">
        <v>230</v>
      </c>
      <c r="D2181">
        <v>62</v>
      </c>
      <c r="E2181" t="s">
        <v>11</v>
      </c>
      <c r="F2181">
        <f>tbl_AQI[[#This Row],[Most AQI Reached]]-tbl_AQI[[#This Row],[Current AQI]]</f>
        <v>168</v>
      </c>
      <c r="G21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81">
        <f>RANK(tbl_AQI[[#This Row],[Current AQI]], tbl_AQI[Current AQI], 0)</f>
        <v>4343</v>
      </c>
    </row>
    <row r="2182" spans="1:8" x14ac:dyDescent="0.35">
      <c r="A2182" t="s">
        <v>2164</v>
      </c>
      <c r="B2182" t="s">
        <v>2210</v>
      </c>
      <c r="C2182">
        <v>197</v>
      </c>
      <c r="D2182">
        <v>174</v>
      </c>
      <c r="E2182" t="s">
        <v>21</v>
      </c>
      <c r="F2182">
        <f>tbl_AQI[[#This Row],[Most AQI Reached]]-tbl_AQI[[#This Row],[Current AQI]]</f>
        <v>23</v>
      </c>
      <c r="G21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82">
        <f>RANK(tbl_AQI[[#This Row],[Current AQI]], tbl_AQI[Current AQI], 0)</f>
        <v>1803</v>
      </c>
    </row>
    <row r="2183" spans="1:8" x14ac:dyDescent="0.35">
      <c r="A2183" t="s">
        <v>2164</v>
      </c>
      <c r="B2183" t="s">
        <v>2211</v>
      </c>
      <c r="C2183">
        <v>207</v>
      </c>
      <c r="D2183">
        <v>147</v>
      </c>
      <c r="E2183" t="s">
        <v>9</v>
      </c>
      <c r="F2183">
        <f>tbl_AQI[[#This Row],[Most AQI Reached]]-tbl_AQI[[#This Row],[Current AQI]]</f>
        <v>60</v>
      </c>
      <c r="G21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83">
        <f>RANK(tbl_AQI[[#This Row],[Current AQI]], tbl_AQI[Current AQI], 0)</f>
        <v>2478</v>
      </c>
    </row>
    <row r="2184" spans="1:8" x14ac:dyDescent="0.35">
      <c r="A2184" t="s">
        <v>2164</v>
      </c>
      <c r="B2184" t="s">
        <v>2212</v>
      </c>
      <c r="C2184">
        <v>224</v>
      </c>
      <c r="D2184">
        <v>88</v>
      </c>
      <c r="E2184" t="s">
        <v>21</v>
      </c>
      <c r="F2184">
        <f>tbl_AQI[[#This Row],[Most AQI Reached]]-tbl_AQI[[#This Row],[Current AQI]]</f>
        <v>136</v>
      </c>
      <c r="G21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84">
        <f>RANK(tbl_AQI[[#This Row],[Current AQI]], tbl_AQI[Current AQI], 0)</f>
        <v>3792</v>
      </c>
    </row>
    <row r="2185" spans="1:8" x14ac:dyDescent="0.35">
      <c r="A2185" t="s">
        <v>2164</v>
      </c>
      <c r="B2185" t="s">
        <v>2213</v>
      </c>
      <c r="C2185">
        <v>160</v>
      </c>
      <c r="D2185">
        <v>121</v>
      </c>
      <c r="E2185" t="s">
        <v>15</v>
      </c>
      <c r="F2185">
        <f>tbl_AQI[[#This Row],[Most AQI Reached]]-tbl_AQI[[#This Row],[Current AQI]]</f>
        <v>39</v>
      </c>
      <c r="G21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85">
        <f>RANK(tbl_AQI[[#This Row],[Current AQI]], tbl_AQI[Current AQI], 0)</f>
        <v>3037</v>
      </c>
    </row>
    <row r="2186" spans="1:8" x14ac:dyDescent="0.35">
      <c r="A2186" t="s">
        <v>2164</v>
      </c>
      <c r="B2186" t="s">
        <v>2214</v>
      </c>
      <c r="C2186">
        <v>219</v>
      </c>
      <c r="D2186">
        <v>148</v>
      </c>
      <c r="E2186" t="s">
        <v>7</v>
      </c>
      <c r="F2186">
        <f>tbl_AQI[[#This Row],[Most AQI Reached]]-tbl_AQI[[#This Row],[Current AQI]]</f>
        <v>71</v>
      </c>
      <c r="G21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86">
        <f>RANK(tbl_AQI[[#This Row],[Current AQI]], tbl_AQI[Current AQI], 0)</f>
        <v>2446</v>
      </c>
    </row>
    <row r="2187" spans="1:8" x14ac:dyDescent="0.35">
      <c r="A2187" t="s">
        <v>2164</v>
      </c>
      <c r="B2187" t="s">
        <v>2215</v>
      </c>
      <c r="C2187">
        <v>266</v>
      </c>
      <c r="D2187">
        <v>100</v>
      </c>
      <c r="E2187" t="s">
        <v>17</v>
      </c>
      <c r="F2187">
        <f>tbl_AQI[[#This Row],[Most AQI Reached]]-tbl_AQI[[#This Row],[Current AQI]]</f>
        <v>166</v>
      </c>
      <c r="G21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87">
        <f>RANK(tbl_AQI[[#This Row],[Current AQI]], tbl_AQI[Current AQI], 0)</f>
        <v>3535</v>
      </c>
    </row>
    <row r="2188" spans="1:8" x14ac:dyDescent="0.35">
      <c r="A2188" t="s">
        <v>2164</v>
      </c>
      <c r="B2188" t="s">
        <v>2216</v>
      </c>
      <c r="C2188">
        <v>234</v>
      </c>
      <c r="D2188">
        <v>181</v>
      </c>
      <c r="E2188" t="s">
        <v>33</v>
      </c>
      <c r="F2188">
        <f>tbl_AQI[[#This Row],[Most AQI Reached]]-tbl_AQI[[#This Row],[Current AQI]]</f>
        <v>53</v>
      </c>
      <c r="G21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88">
        <f>RANK(tbl_AQI[[#This Row],[Current AQI]], tbl_AQI[Current AQI], 0)</f>
        <v>1609</v>
      </c>
    </row>
    <row r="2189" spans="1:8" x14ac:dyDescent="0.35">
      <c r="A2189" t="s">
        <v>2164</v>
      </c>
      <c r="B2189" t="s">
        <v>2217</v>
      </c>
      <c r="C2189">
        <v>141</v>
      </c>
      <c r="D2189">
        <v>110</v>
      </c>
      <c r="E2189" t="s">
        <v>21</v>
      </c>
      <c r="F2189">
        <f>tbl_AQI[[#This Row],[Most AQI Reached]]-tbl_AQI[[#This Row],[Current AQI]]</f>
        <v>31</v>
      </c>
      <c r="G21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89">
        <f>RANK(tbl_AQI[[#This Row],[Current AQI]], tbl_AQI[Current AQI], 0)</f>
        <v>3302</v>
      </c>
    </row>
    <row r="2190" spans="1:8" x14ac:dyDescent="0.35">
      <c r="A2190" t="s">
        <v>2164</v>
      </c>
      <c r="B2190" t="s">
        <v>2218</v>
      </c>
      <c r="C2190">
        <v>277</v>
      </c>
      <c r="D2190">
        <v>106</v>
      </c>
      <c r="E2190" t="s">
        <v>21</v>
      </c>
      <c r="F2190">
        <f>tbl_AQI[[#This Row],[Most AQI Reached]]-tbl_AQI[[#This Row],[Current AQI]]</f>
        <v>171</v>
      </c>
      <c r="G21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90">
        <f>RANK(tbl_AQI[[#This Row],[Current AQI]], tbl_AQI[Current AQI], 0)</f>
        <v>3413</v>
      </c>
    </row>
    <row r="2191" spans="1:8" x14ac:dyDescent="0.35">
      <c r="A2191" t="s">
        <v>2164</v>
      </c>
      <c r="B2191" t="s">
        <v>2219</v>
      </c>
      <c r="C2191">
        <v>296</v>
      </c>
      <c r="D2191">
        <v>159</v>
      </c>
      <c r="E2191" t="s">
        <v>9</v>
      </c>
      <c r="F2191">
        <f>tbl_AQI[[#This Row],[Most AQI Reached]]-tbl_AQI[[#This Row],[Current AQI]]</f>
        <v>137</v>
      </c>
      <c r="G21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91">
        <f>RANK(tbl_AQI[[#This Row],[Current AQI]], tbl_AQI[Current AQI], 0)</f>
        <v>2183</v>
      </c>
    </row>
    <row r="2192" spans="1:8" x14ac:dyDescent="0.35">
      <c r="A2192" t="s">
        <v>2164</v>
      </c>
      <c r="B2192" t="s">
        <v>2220</v>
      </c>
      <c r="C2192">
        <v>255</v>
      </c>
      <c r="D2192">
        <v>116</v>
      </c>
      <c r="E2192" t="s">
        <v>33</v>
      </c>
      <c r="F2192">
        <f>tbl_AQI[[#This Row],[Most AQI Reached]]-tbl_AQI[[#This Row],[Current AQI]]</f>
        <v>139</v>
      </c>
      <c r="G21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92">
        <f>RANK(tbl_AQI[[#This Row],[Current AQI]], tbl_AQI[Current AQI], 0)</f>
        <v>3173</v>
      </c>
    </row>
    <row r="2193" spans="1:8" x14ac:dyDescent="0.35">
      <c r="A2193" t="s">
        <v>2164</v>
      </c>
      <c r="B2193" t="s">
        <v>2200</v>
      </c>
      <c r="C2193">
        <v>254</v>
      </c>
      <c r="D2193">
        <v>54</v>
      </c>
      <c r="E2193" t="s">
        <v>33</v>
      </c>
      <c r="F2193">
        <f>tbl_AQI[[#This Row],[Most AQI Reached]]-tbl_AQI[[#This Row],[Current AQI]]</f>
        <v>200</v>
      </c>
      <c r="G21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193">
        <f>RANK(tbl_AQI[[#This Row],[Current AQI]], tbl_AQI[Current AQI], 0)</f>
        <v>4523</v>
      </c>
    </row>
    <row r="2194" spans="1:8" x14ac:dyDescent="0.35">
      <c r="A2194" t="s">
        <v>2164</v>
      </c>
      <c r="B2194" t="s">
        <v>2201</v>
      </c>
      <c r="C2194">
        <v>293</v>
      </c>
      <c r="D2194">
        <v>169</v>
      </c>
      <c r="E2194" t="s">
        <v>11</v>
      </c>
      <c r="F2194">
        <f>tbl_AQI[[#This Row],[Most AQI Reached]]-tbl_AQI[[#This Row],[Current AQI]]</f>
        <v>124</v>
      </c>
      <c r="G21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94">
        <f>RANK(tbl_AQI[[#This Row],[Current AQI]], tbl_AQI[Current AQI], 0)</f>
        <v>1925</v>
      </c>
    </row>
    <row r="2195" spans="1:8" x14ac:dyDescent="0.35">
      <c r="A2195" t="s">
        <v>2164</v>
      </c>
      <c r="B2195" t="s">
        <v>2202</v>
      </c>
      <c r="C2195">
        <v>59</v>
      </c>
      <c r="D2195">
        <v>43</v>
      </c>
      <c r="E2195" t="s">
        <v>21</v>
      </c>
      <c r="F2195">
        <f>tbl_AQI[[#This Row],[Most AQI Reached]]-tbl_AQI[[#This Row],[Current AQI]]</f>
        <v>16</v>
      </c>
      <c r="G21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95">
        <f>RANK(tbl_AQI[[#This Row],[Current AQI]], tbl_AQI[Current AQI], 0)</f>
        <v>4752</v>
      </c>
    </row>
    <row r="2196" spans="1:8" x14ac:dyDescent="0.35">
      <c r="A2196" t="s">
        <v>2164</v>
      </c>
      <c r="B2196" t="s">
        <v>2203</v>
      </c>
      <c r="C2196">
        <v>40</v>
      </c>
      <c r="D2196">
        <v>37</v>
      </c>
      <c r="E2196" t="s">
        <v>17</v>
      </c>
      <c r="F2196">
        <f>tbl_AQI[[#This Row],[Most AQI Reached]]-tbl_AQI[[#This Row],[Current AQI]]</f>
        <v>3</v>
      </c>
      <c r="G21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196">
        <f>RANK(tbl_AQI[[#This Row],[Current AQI]], tbl_AQI[Current AQI], 0)</f>
        <v>4863</v>
      </c>
    </row>
    <row r="2197" spans="1:8" x14ac:dyDescent="0.35">
      <c r="A2197" t="s">
        <v>2164</v>
      </c>
      <c r="B2197" t="s">
        <v>2204</v>
      </c>
      <c r="C2197">
        <v>240</v>
      </c>
      <c r="D2197">
        <v>179</v>
      </c>
      <c r="E2197" t="s">
        <v>11</v>
      </c>
      <c r="F2197">
        <f>tbl_AQI[[#This Row],[Most AQI Reached]]-tbl_AQI[[#This Row],[Current AQI]]</f>
        <v>61</v>
      </c>
      <c r="G21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97">
        <f>RANK(tbl_AQI[[#This Row],[Current AQI]], tbl_AQI[Current AQI], 0)</f>
        <v>1667</v>
      </c>
    </row>
    <row r="2198" spans="1:8" x14ac:dyDescent="0.35">
      <c r="A2198" t="s">
        <v>2164</v>
      </c>
      <c r="B2198" t="s">
        <v>2205</v>
      </c>
      <c r="C2198">
        <v>313</v>
      </c>
      <c r="D2198">
        <v>187</v>
      </c>
      <c r="E2198" t="s">
        <v>33</v>
      </c>
      <c r="F2198">
        <f>tbl_AQI[[#This Row],[Most AQI Reached]]-tbl_AQI[[#This Row],[Current AQI]]</f>
        <v>126</v>
      </c>
      <c r="G21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98">
        <f>RANK(tbl_AQI[[#This Row],[Current AQI]], tbl_AQI[Current AQI], 0)</f>
        <v>1455</v>
      </c>
    </row>
    <row r="2199" spans="1:8" x14ac:dyDescent="0.35">
      <c r="A2199" t="s">
        <v>2164</v>
      </c>
      <c r="B2199" t="s">
        <v>2206</v>
      </c>
      <c r="C2199">
        <v>241</v>
      </c>
      <c r="D2199">
        <v>143</v>
      </c>
      <c r="E2199" t="s">
        <v>33</v>
      </c>
      <c r="F2199">
        <f>tbl_AQI[[#This Row],[Most AQI Reached]]-tbl_AQI[[#This Row],[Current AQI]]</f>
        <v>98</v>
      </c>
      <c r="G21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199">
        <f>RANK(tbl_AQI[[#This Row],[Current AQI]], tbl_AQI[Current AQI], 0)</f>
        <v>2567</v>
      </c>
    </row>
    <row r="2200" spans="1:8" x14ac:dyDescent="0.35">
      <c r="A2200" t="s">
        <v>2164</v>
      </c>
      <c r="B2200" t="s">
        <v>2221</v>
      </c>
      <c r="C2200">
        <v>226</v>
      </c>
      <c r="D2200">
        <v>175</v>
      </c>
      <c r="E2200" t="s">
        <v>7</v>
      </c>
      <c r="F2200">
        <f>tbl_AQI[[#This Row],[Most AQI Reached]]-tbl_AQI[[#This Row],[Current AQI]]</f>
        <v>51</v>
      </c>
      <c r="G22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0">
        <f>RANK(tbl_AQI[[#This Row],[Current AQI]], tbl_AQI[Current AQI], 0)</f>
        <v>1780</v>
      </c>
    </row>
    <row r="2201" spans="1:8" x14ac:dyDescent="0.35">
      <c r="A2201" t="s">
        <v>2164</v>
      </c>
      <c r="B2201" t="s">
        <v>2222</v>
      </c>
      <c r="C2201">
        <v>296</v>
      </c>
      <c r="D2201">
        <v>180</v>
      </c>
      <c r="E2201" t="s">
        <v>9</v>
      </c>
      <c r="F2201">
        <f>tbl_AQI[[#This Row],[Most AQI Reached]]-tbl_AQI[[#This Row],[Current AQI]]</f>
        <v>116</v>
      </c>
      <c r="G22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1">
        <f>RANK(tbl_AQI[[#This Row],[Current AQI]], tbl_AQI[Current AQI], 0)</f>
        <v>1635</v>
      </c>
    </row>
    <row r="2202" spans="1:8" x14ac:dyDescent="0.35">
      <c r="A2202" t="s">
        <v>2164</v>
      </c>
      <c r="B2202" t="s">
        <v>2223</v>
      </c>
      <c r="C2202">
        <v>122</v>
      </c>
      <c r="D2202">
        <v>114</v>
      </c>
      <c r="E2202" t="s">
        <v>33</v>
      </c>
      <c r="F2202">
        <f>tbl_AQI[[#This Row],[Most AQI Reached]]-tbl_AQI[[#This Row],[Current AQI]]</f>
        <v>8</v>
      </c>
      <c r="G22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2">
        <f>RANK(tbl_AQI[[#This Row],[Current AQI]], tbl_AQI[Current AQI], 0)</f>
        <v>3226</v>
      </c>
    </row>
    <row r="2203" spans="1:8" x14ac:dyDescent="0.35">
      <c r="A2203" t="s">
        <v>2164</v>
      </c>
      <c r="B2203" t="s">
        <v>2224</v>
      </c>
      <c r="C2203">
        <v>267</v>
      </c>
      <c r="D2203">
        <v>87</v>
      </c>
      <c r="E2203" t="s">
        <v>7</v>
      </c>
      <c r="F2203">
        <f>tbl_AQI[[#This Row],[Most AQI Reached]]-tbl_AQI[[#This Row],[Current AQI]]</f>
        <v>180</v>
      </c>
      <c r="G22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03">
        <f>RANK(tbl_AQI[[#This Row],[Current AQI]], tbl_AQI[Current AQI], 0)</f>
        <v>3813</v>
      </c>
    </row>
    <row r="2204" spans="1:8" x14ac:dyDescent="0.35">
      <c r="A2204" t="s">
        <v>2164</v>
      </c>
      <c r="B2204" t="s">
        <v>2225</v>
      </c>
      <c r="C2204">
        <v>106</v>
      </c>
      <c r="D2204">
        <v>91</v>
      </c>
      <c r="E2204" t="s">
        <v>15</v>
      </c>
      <c r="F2204">
        <f>tbl_AQI[[#This Row],[Most AQI Reached]]-tbl_AQI[[#This Row],[Current AQI]]</f>
        <v>15</v>
      </c>
      <c r="G22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04">
        <f>RANK(tbl_AQI[[#This Row],[Current AQI]], tbl_AQI[Current AQI], 0)</f>
        <v>3726</v>
      </c>
    </row>
    <row r="2205" spans="1:8" x14ac:dyDescent="0.35">
      <c r="A2205" t="s">
        <v>2164</v>
      </c>
      <c r="B2205" t="s">
        <v>2226</v>
      </c>
      <c r="C2205">
        <v>174</v>
      </c>
      <c r="D2205">
        <v>81</v>
      </c>
      <c r="E2205" t="s">
        <v>7</v>
      </c>
      <c r="F2205">
        <f>tbl_AQI[[#This Row],[Most AQI Reached]]-tbl_AQI[[#This Row],[Current AQI]]</f>
        <v>93</v>
      </c>
      <c r="G22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05">
        <f>RANK(tbl_AQI[[#This Row],[Current AQI]], tbl_AQI[Current AQI], 0)</f>
        <v>3923</v>
      </c>
    </row>
    <row r="2206" spans="1:8" x14ac:dyDescent="0.35">
      <c r="A2206" t="s">
        <v>2164</v>
      </c>
      <c r="B2206" t="s">
        <v>2227</v>
      </c>
      <c r="C2206">
        <v>236</v>
      </c>
      <c r="D2206">
        <v>167</v>
      </c>
      <c r="E2206" t="s">
        <v>11</v>
      </c>
      <c r="F2206">
        <f>tbl_AQI[[#This Row],[Most AQI Reached]]-tbl_AQI[[#This Row],[Current AQI]]</f>
        <v>69</v>
      </c>
      <c r="G22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6">
        <f>RANK(tbl_AQI[[#This Row],[Current AQI]], tbl_AQI[Current AQI], 0)</f>
        <v>1979</v>
      </c>
    </row>
    <row r="2207" spans="1:8" x14ac:dyDescent="0.35">
      <c r="A2207" t="s">
        <v>2164</v>
      </c>
      <c r="B2207" t="s">
        <v>2228</v>
      </c>
      <c r="C2207">
        <v>202</v>
      </c>
      <c r="D2207">
        <v>161</v>
      </c>
      <c r="E2207" t="s">
        <v>11</v>
      </c>
      <c r="F2207">
        <f>tbl_AQI[[#This Row],[Most AQI Reached]]-tbl_AQI[[#This Row],[Current AQI]]</f>
        <v>41</v>
      </c>
      <c r="G22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7">
        <f>RANK(tbl_AQI[[#This Row],[Current AQI]], tbl_AQI[Current AQI], 0)</f>
        <v>2129</v>
      </c>
    </row>
    <row r="2208" spans="1:8" x14ac:dyDescent="0.35">
      <c r="A2208" t="s">
        <v>2164</v>
      </c>
      <c r="B2208" t="s">
        <v>2229</v>
      </c>
      <c r="C2208">
        <v>155</v>
      </c>
      <c r="D2208">
        <v>134</v>
      </c>
      <c r="E2208" t="s">
        <v>33</v>
      </c>
      <c r="F2208">
        <f>tbl_AQI[[#This Row],[Most AQI Reached]]-tbl_AQI[[#This Row],[Current AQI]]</f>
        <v>21</v>
      </c>
      <c r="G22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8">
        <f>RANK(tbl_AQI[[#This Row],[Current AQI]], tbl_AQI[Current AQI], 0)</f>
        <v>2740</v>
      </c>
    </row>
    <row r="2209" spans="1:8" x14ac:dyDescent="0.35">
      <c r="A2209" t="s">
        <v>2164</v>
      </c>
      <c r="B2209" t="s">
        <v>2230</v>
      </c>
      <c r="C2209">
        <v>272</v>
      </c>
      <c r="D2209">
        <v>149</v>
      </c>
      <c r="E2209" t="s">
        <v>17</v>
      </c>
      <c r="F2209">
        <f>tbl_AQI[[#This Row],[Most AQI Reached]]-tbl_AQI[[#This Row],[Current AQI]]</f>
        <v>123</v>
      </c>
      <c r="G22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09">
        <f>RANK(tbl_AQI[[#This Row],[Current AQI]], tbl_AQI[Current AQI], 0)</f>
        <v>2426</v>
      </c>
    </row>
    <row r="2210" spans="1:8" x14ac:dyDescent="0.35">
      <c r="A2210" t="s">
        <v>2164</v>
      </c>
      <c r="B2210" t="s">
        <v>2231</v>
      </c>
      <c r="C2210">
        <v>199</v>
      </c>
      <c r="D2210">
        <v>167</v>
      </c>
      <c r="E2210" t="s">
        <v>15</v>
      </c>
      <c r="F2210">
        <f>tbl_AQI[[#This Row],[Most AQI Reached]]-tbl_AQI[[#This Row],[Current AQI]]</f>
        <v>32</v>
      </c>
      <c r="G22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0">
        <f>RANK(tbl_AQI[[#This Row],[Current AQI]], tbl_AQI[Current AQI], 0)</f>
        <v>1979</v>
      </c>
    </row>
    <row r="2211" spans="1:8" x14ac:dyDescent="0.35">
      <c r="A2211" t="s">
        <v>2164</v>
      </c>
      <c r="B2211" t="s">
        <v>2232</v>
      </c>
      <c r="C2211">
        <v>191</v>
      </c>
      <c r="D2211">
        <v>158</v>
      </c>
      <c r="E2211" t="s">
        <v>11</v>
      </c>
      <c r="F2211">
        <f>tbl_AQI[[#This Row],[Most AQI Reached]]-tbl_AQI[[#This Row],[Current AQI]]</f>
        <v>33</v>
      </c>
      <c r="G22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1">
        <f>RANK(tbl_AQI[[#This Row],[Current AQI]], tbl_AQI[Current AQI], 0)</f>
        <v>2207</v>
      </c>
    </row>
    <row r="2212" spans="1:8" x14ac:dyDescent="0.35">
      <c r="A2212" t="s">
        <v>2164</v>
      </c>
      <c r="B2212" t="s">
        <v>2233</v>
      </c>
      <c r="C2212">
        <v>199</v>
      </c>
      <c r="D2212">
        <v>121</v>
      </c>
      <c r="E2212" t="s">
        <v>17</v>
      </c>
      <c r="F2212">
        <f>tbl_AQI[[#This Row],[Most AQI Reached]]-tbl_AQI[[#This Row],[Current AQI]]</f>
        <v>78</v>
      </c>
      <c r="G22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2">
        <f>RANK(tbl_AQI[[#This Row],[Current AQI]], tbl_AQI[Current AQI], 0)</f>
        <v>3037</v>
      </c>
    </row>
    <row r="2213" spans="1:8" x14ac:dyDescent="0.35">
      <c r="A2213" t="s">
        <v>2164</v>
      </c>
      <c r="B2213" t="s">
        <v>2234</v>
      </c>
      <c r="C2213">
        <v>304</v>
      </c>
      <c r="D2213">
        <v>186</v>
      </c>
      <c r="E2213" t="s">
        <v>9</v>
      </c>
      <c r="F2213">
        <f>tbl_AQI[[#This Row],[Most AQI Reached]]-tbl_AQI[[#This Row],[Current AQI]]</f>
        <v>118</v>
      </c>
      <c r="G22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3">
        <f>RANK(tbl_AQI[[#This Row],[Current AQI]], tbl_AQI[Current AQI], 0)</f>
        <v>1478</v>
      </c>
    </row>
    <row r="2214" spans="1:8" x14ac:dyDescent="0.35">
      <c r="A2214" t="s">
        <v>2235</v>
      </c>
      <c r="B2214" t="s">
        <v>2236</v>
      </c>
      <c r="C2214">
        <v>221</v>
      </c>
      <c r="D2214">
        <v>181</v>
      </c>
      <c r="E2214" t="s">
        <v>17</v>
      </c>
      <c r="F2214">
        <f>tbl_AQI[[#This Row],[Most AQI Reached]]-tbl_AQI[[#This Row],[Current AQI]]</f>
        <v>40</v>
      </c>
      <c r="G22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4">
        <f>RANK(tbl_AQI[[#This Row],[Current AQI]], tbl_AQI[Current AQI], 0)</f>
        <v>1609</v>
      </c>
    </row>
    <row r="2215" spans="1:8" x14ac:dyDescent="0.35">
      <c r="A2215" t="s">
        <v>2235</v>
      </c>
      <c r="B2215" t="s">
        <v>2237</v>
      </c>
      <c r="C2215">
        <v>219</v>
      </c>
      <c r="D2215">
        <v>130</v>
      </c>
      <c r="E2215" t="s">
        <v>9</v>
      </c>
      <c r="F2215">
        <f>tbl_AQI[[#This Row],[Most AQI Reached]]-tbl_AQI[[#This Row],[Current AQI]]</f>
        <v>89</v>
      </c>
      <c r="G22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5">
        <f>RANK(tbl_AQI[[#This Row],[Current AQI]], tbl_AQI[Current AQI], 0)</f>
        <v>2832</v>
      </c>
    </row>
    <row r="2216" spans="1:8" x14ac:dyDescent="0.35">
      <c r="A2216" t="s">
        <v>2235</v>
      </c>
      <c r="B2216" t="s">
        <v>2238</v>
      </c>
      <c r="C2216">
        <v>156</v>
      </c>
      <c r="D2216">
        <v>153</v>
      </c>
      <c r="E2216" t="s">
        <v>11</v>
      </c>
      <c r="F2216">
        <f>tbl_AQI[[#This Row],[Most AQI Reached]]-tbl_AQI[[#This Row],[Current AQI]]</f>
        <v>3</v>
      </c>
      <c r="G22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6">
        <f>RANK(tbl_AQI[[#This Row],[Current AQI]], tbl_AQI[Current AQI], 0)</f>
        <v>2329</v>
      </c>
    </row>
    <row r="2217" spans="1:8" x14ac:dyDescent="0.35">
      <c r="A2217" t="s">
        <v>2235</v>
      </c>
      <c r="B2217" t="s">
        <v>2239</v>
      </c>
      <c r="C2217">
        <v>263</v>
      </c>
      <c r="D2217">
        <v>38</v>
      </c>
      <c r="E2217" t="s">
        <v>15</v>
      </c>
      <c r="F2217">
        <f>tbl_AQI[[#This Row],[Most AQI Reached]]-tbl_AQI[[#This Row],[Current AQI]]</f>
        <v>225</v>
      </c>
      <c r="G22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17">
        <f>RANK(tbl_AQI[[#This Row],[Current AQI]], tbl_AQI[Current AQI], 0)</f>
        <v>4845</v>
      </c>
    </row>
    <row r="2218" spans="1:8" x14ac:dyDescent="0.35">
      <c r="A2218" t="s">
        <v>2235</v>
      </c>
      <c r="B2218" t="s">
        <v>2240</v>
      </c>
      <c r="C2218">
        <v>108</v>
      </c>
      <c r="D2218">
        <v>40</v>
      </c>
      <c r="E2218" t="s">
        <v>15</v>
      </c>
      <c r="F2218">
        <f>tbl_AQI[[#This Row],[Most AQI Reached]]-tbl_AQI[[#This Row],[Current AQI]]</f>
        <v>68</v>
      </c>
      <c r="G22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18">
        <f>RANK(tbl_AQI[[#This Row],[Current AQI]], tbl_AQI[Current AQI], 0)</f>
        <v>4808</v>
      </c>
    </row>
    <row r="2219" spans="1:8" x14ac:dyDescent="0.35">
      <c r="A2219" t="s">
        <v>2235</v>
      </c>
      <c r="B2219" t="s">
        <v>2241</v>
      </c>
      <c r="C2219">
        <v>259</v>
      </c>
      <c r="D2219">
        <v>153</v>
      </c>
      <c r="E2219" t="s">
        <v>17</v>
      </c>
      <c r="F2219">
        <f>tbl_AQI[[#This Row],[Most AQI Reached]]-tbl_AQI[[#This Row],[Current AQI]]</f>
        <v>106</v>
      </c>
      <c r="G22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19">
        <f>RANK(tbl_AQI[[#This Row],[Current AQI]], tbl_AQI[Current AQI], 0)</f>
        <v>2329</v>
      </c>
    </row>
    <row r="2220" spans="1:8" x14ac:dyDescent="0.35">
      <c r="A2220" t="s">
        <v>2235</v>
      </c>
      <c r="B2220" t="s">
        <v>2242</v>
      </c>
      <c r="C2220">
        <v>92</v>
      </c>
      <c r="D2220">
        <v>58</v>
      </c>
      <c r="E2220" t="s">
        <v>17</v>
      </c>
      <c r="F2220">
        <f>tbl_AQI[[#This Row],[Most AQI Reached]]-tbl_AQI[[#This Row],[Current AQI]]</f>
        <v>34</v>
      </c>
      <c r="G22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20">
        <f>RANK(tbl_AQI[[#This Row],[Current AQI]], tbl_AQI[Current AQI], 0)</f>
        <v>4431</v>
      </c>
    </row>
    <row r="2221" spans="1:8" x14ac:dyDescent="0.35">
      <c r="A2221" t="s">
        <v>2235</v>
      </c>
      <c r="B2221" t="s">
        <v>2243</v>
      </c>
      <c r="C2221">
        <v>279</v>
      </c>
      <c r="D2221">
        <v>106</v>
      </c>
      <c r="E2221" t="s">
        <v>15</v>
      </c>
      <c r="F2221">
        <f>tbl_AQI[[#This Row],[Most AQI Reached]]-tbl_AQI[[#This Row],[Current AQI]]</f>
        <v>173</v>
      </c>
      <c r="G22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21">
        <f>RANK(tbl_AQI[[#This Row],[Current AQI]], tbl_AQI[Current AQI], 0)</f>
        <v>3413</v>
      </c>
    </row>
    <row r="2222" spans="1:8" x14ac:dyDescent="0.35">
      <c r="A2222" t="s">
        <v>2235</v>
      </c>
      <c r="B2222" t="s">
        <v>2244</v>
      </c>
      <c r="C2222">
        <v>143</v>
      </c>
      <c r="D2222">
        <v>46</v>
      </c>
      <c r="E2222" t="s">
        <v>7</v>
      </c>
      <c r="F2222">
        <f>tbl_AQI[[#This Row],[Most AQI Reached]]-tbl_AQI[[#This Row],[Current AQI]]</f>
        <v>97</v>
      </c>
      <c r="G22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22">
        <f>RANK(tbl_AQI[[#This Row],[Current AQI]], tbl_AQI[Current AQI], 0)</f>
        <v>4680</v>
      </c>
    </row>
    <row r="2223" spans="1:8" x14ac:dyDescent="0.35">
      <c r="A2223" t="s">
        <v>2235</v>
      </c>
      <c r="B2223" t="s">
        <v>2245</v>
      </c>
      <c r="C2223">
        <v>245</v>
      </c>
      <c r="D2223">
        <v>31</v>
      </c>
      <c r="E2223" t="s">
        <v>33</v>
      </c>
      <c r="F2223">
        <f>tbl_AQI[[#This Row],[Most AQI Reached]]-tbl_AQI[[#This Row],[Current AQI]]</f>
        <v>214</v>
      </c>
      <c r="G22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23">
        <f>RANK(tbl_AQI[[#This Row],[Current AQI]], tbl_AQI[Current AQI], 0)</f>
        <v>5016</v>
      </c>
    </row>
    <row r="2224" spans="1:8" x14ac:dyDescent="0.35">
      <c r="A2224" t="s">
        <v>2235</v>
      </c>
      <c r="B2224" t="s">
        <v>2246</v>
      </c>
      <c r="C2224">
        <v>202</v>
      </c>
      <c r="D2224">
        <v>84</v>
      </c>
      <c r="E2224" t="s">
        <v>9</v>
      </c>
      <c r="F2224">
        <f>tbl_AQI[[#This Row],[Most AQI Reached]]-tbl_AQI[[#This Row],[Current AQI]]</f>
        <v>118</v>
      </c>
      <c r="G22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24">
        <f>RANK(tbl_AQI[[#This Row],[Current AQI]], tbl_AQI[Current AQI], 0)</f>
        <v>3872</v>
      </c>
    </row>
    <row r="2225" spans="1:8" x14ac:dyDescent="0.35">
      <c r="A2225" t="s">
        <v>2235</v>
      </c>
      <c r="B2225" t="s">
        <v>2247</v>
      </c>
      <c r="C2225">
        <v>278</v>
      </c>
      <c r="D2225">
        <v>146</v>
      </c>
      <c r="E2225" t="s">
        <v>33</v>
      </c>
      <c r="F2225">
        <f>tbl_AQI[[#This Row],[Most AQI Reached]]-tbl_AQI[[#This Row],[Current AQI]]</f>
        <v>132</v>
      </c>
      <c r="G22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25">
        <f>RANK(tbl_AQI[[#This Row],[Current AQI]], tbl_AQI[Current AQI], 0)</f>
        <v>2499</v>
      </c>
    </row>
    <row r="2226" spans="1:8" x14ac:dyDescent="0.35">
      <c r="A2226" t="s">
        <v>2235</v>
      </c>
      <c r="B2226" t="s">
        <v>2248</v>
      </c>
      <c r="C2226">
        <v>141</v>
      </c>
      <c r="D2226">
        <v>133</v>
      </c>
      <c r="E2226" t="s">
        <v>21</v>
      </c>
      <c r="F2226">
        <f>tbl_AQI[[#This Row],[Most AQI Reached]]-tbl_AQI[[#This Row],[Current AQI]]</f>
        <v>8</v>
      </c>
      <c r="G22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26">
        <f>RANK(tbl_AQI[[#This Row],[Current AQI]], tbl_AQI[Current AQI], 0)</f>
        <v>2758</v>
      </c>
    </row>
    <row r="2227" spans="1:8" x14ac:dyDescent="0.35">
      <c r="A2227" t="s">
        <v>2235</v>
      </c>
      <c r="B2227" t="s">
        <v>2249</v>
      </c>
      <c r="C2227">
        <v>275</v>
      </c>
      <c r="D2227">
        <v>173</v>
      </c>
      <c r="E2227" t="s">
        <v>33</v>
      </c>
      <c r="F2227">
        <f>tbl_AQI[[#This Row],[Most AQI Reached]]-tbl_AQI[[#This Row],[Current AQI]]</f>
        <v>102</v>
      </c>
      <c r="G22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27">
        <f>RANK(tbl_AQI[[#This Row],[Current AQI]], tbl_AQI[Current AQI], 0)</f>
        <v>1826</v>
      </c>
    </row>
    <row r="2228" spans="1:8" x14ac:dyDescent="0.35">
      <c r="A2228" t="s">
        <v>2235</v>
      </c>
      <c r="B2228" t="s">
        <v>2250</v>
      </c>
      <c r="C2228">
        <v>132</v>
      </c>
      <c r="D2228">
        <v>82</v>
      </c>
      <c r="E2228" t="s">
        <v>17</v>
      </c>
      <c r="F2228">
        <f>tbl_AQI[[#This Row],[Most AQI Reached]]-tbl_AQI[[#This Row],[Current AQI]]</f>
        <v>50</v>
      </c>
      <c r="G22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28">
        <f>RANK(tbl_AQI[[#This Row],[Current AQI]], tbl_AQI[Current AQI], 0)</f>
        <v>3904</v>
      </c>
    </row>
    <row r="2229" spans="1:8" x14ac:dyDescent="0.35">
      <c r="A2229" t="s">
        <v>2235</v>
      </c>
      <c r="B2229" t="s">
        <v>2251</v>
      </c>
      <c r="C2229">
        <v>297</v>
      </c>
      <c r="D2229">
        <v>186</v>
      </c>
      <c r="E2229" t="s">
        <v>11</v>
      </c>
      <c r="F2229">
        <f>tbl_AQI[[#This Row],[Most AQI Reached]]-tbl_AQI[[#This Row],[Current AQI]]</f>
        <v>111</v>
      </c>
      <c r="G22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29">
        <f>RANK(tbl_AQI[[#This Row],[Current AQI]], tbl_AQI[Current AQI], 0)</f>
        <v>1478</v>
      </c>
    </row>
    <row r="2230" spans="1:8" x14ac:dyDescent="0.35">
      <c r="A2230" t="s">
        <v>2235</v>
      </c>
      <c r="B2230" t="s">
        <v>2252</v>
      </c>
      <c r="C2230">
        <v>274</v>
      </c>
      <c r="D2230">
        <v>106</v>
      </c>
      <c r="E2230" t="s">
        <v>11</v>
      </c>
      <c r="F2230">
        <f>tbl_AQI[[#This Row],[Most AQI Reached]]-tbl_AQI[[#This Row],[Current AQI]]</f>
        <v>168</v>
      </c>
      <c r="G22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30">
        <f>RANK(tbl_AQI[[#This Row],[Current AQI]], tbl_AQI[Current AQI], 0)</f>
        <v>3413</v>
      </c>
    </row>
    <row r="2231" spans="1:8" x14ac:dyDescent="0.35">
      <c r="A2231" t="s">
        <v>2235</v>
      </c>
      <c r="B2231" t="s">
        <v>2253</v>
      </c>
      <c r="C2231">
        <v>181</v>
      </c>
      <c r="D2231">
        <v>98</v>
      </c>
      <c r="E2231" t="s">
        <v>17</v>
      </c>
      <c r="F2231">
        <f>tbl_AQI[[#This Row],[Most AQI Reached]]-tbl_AQI[[#This Row],[Current AQI]]</f>
        <v>83</v>
      </c>
      <c r="G22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31">
        <f>RANK(tbl_AQI[[#This Row],[Current AQI]], tbl_AQI[Current AQI], 0)</f>
        <v>3574</v>
      </c>
    </row>
    <row r="2232" spans="1:8" x14ac:dyDescent="0.35">
      <c r="A2232" t="s">
        <v>2235</v>
      </c>
      <c r="B2232" t="s">
        <v>2254</v>
      </c>
      <c r="C2232">
        <v>214</v>
      </c>
      <c r="D2232">
        <v>146</v>
      </c>
      <c r="E2232" t="s">
        <v>33</v>
      </c>
      <c r="F2232">
        <f>tbl_AQI[[#This Row],[Most AQI Reached]]-tbl_AQI[[#This Row],[Current AQI]]</f>
        <v>68</v>
      </c>
      <c r="G22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32">
        <f>RANK(tbl_AQI[[#This Row],[Current AQI]], tbl_AQI[Current AQI], 0)</f>
        <v>2499</v>
      </c>
    </row>
    <row r="2233" spans="1:8" x14ac:dyDescent="0.35">
      <c r="A2233" t="s">
        <v>2235</v>
      </c>
      <c r="B2233" t="s">
        <v>2255</v>
      </c>
      <c r="C2233">
        <v>205</v>
      </c>
      <c r="D2233">
        <v>155</v>
      </c>
      <c r="E2233" t="s">
        <v>17</v>
      </c>
      <c r="F2233">
        <f>tbl_AQI[[#This Row],[Most AQI Reached]]-tbl_AQI[[#This Row],[Current AQI]]</f>
        <v>50</v>
      </c>
      <c r="G22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33">
        <f>RANK(tbl_AQI[[#This Row],[Current AQI]], tbl_AQI[Current AQI], 0)</f>
        <v>2275</v>
      </c>
    </row>
    <row r="2234" spans="1:8" x14ac:dyDescent="0.35">
      <c r="A2234" t="s">
        <v>2235</v>
      </c>
      <c r="B2234" t="s">
        <v>2256</v>
      </c>
      <c r="C2234">
        <v>200</v>
      </c>
      <c r="D2234">
        <v>160</v>
      </c>
      <c r="E2234" t="s">
        <v>11</v>
      </c>
      <c r="F2234">
        <f>tbl_AQI[[#This Row],[Most AQI Reached]]-tbl_AQI[[#This Row],[Current AQI]]</f>
        <v>40</v>
      </c>
      <c r="G22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34">
        <f>RANK(tbl_AQI[[#This Row],[Current AQI]], tbl_AQI[Current AQI], 0)</f>
        <v>2154</v>
      </c>
    </row>
    <row r="2235" spans="1:8" x14ac:dyDescent="0.35">
      <c r="A2235" t="s">
        <v>2235</v>
      </c>
      <c r="B2235" t="s">
        <v>2257</v>
      </c>
      <c r="C2235">
        <v>109</v>
      </c>
      <c r="D2235">
        <v>89</v>
      </c>
      <c r="E2235" t="s">
        <v>9</v>
      </c>
      <c r="F2235">
        <f>tbl_AQI[[#This Row],[Most AQI Reached]]-tbl_AQI[[#This Row],[Current AQI]]</f>
        <v>20</v>
      </c>
      <c r="G22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35">
        <f>RANK(tbl_AQI[[#This Row],[Current AQI]], tbl_AQI[Current AQI], 0)</f>
        <v>3772</v>
      </c>
    </row>
    <row r="2236" spans="1:8" x14ac:dyDescent="0.35">
      <c r="A2236" t="s">
        <v>2235</v>
      </c>
      <c r="B2236" t="s">
        <v>2258</v>
      </c>
      <c r="C2236">
        <v>228</v>
      </c>
      <c r="D2236">
        <v>144</v>
      </c>
      <c r="E2236" t="s">
        <v>9</v>
      </c>
      <c r="F2236">
        <f>tbl_AQI[[#This Row],[Most AQI Reached]]-tbl_AQI[[#This Row],[Current AQI]]</f>
        <v>84</v>
      </c>
      <c r="G22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36">
        <f>RANK(tbl_AQI[[#This Row],[Current AQI]], tbl_AQI[Current AQI], 0)</f>
        <v>2550</v>
      </c>
    </row>
    <row r="2237" spans="1:8" x14ac:dyDescent="0.35">
      <c r="A2237" t="s">
        <v>2235</v>
      </c>
      <c r="B2237" t="s">
        <v>2259</v>
      </c>
      <c r="C2237">
        <v>229</v>
      </c>
      <c r="D2237">
        <v>80</v>
      </c>
      <c r="E2237" t="s">
        <v>17</v>
      </c>
      <c r="F2237">
        <f>tbl_AQI[[#This Row],[Most AQI Reached]]-tbl_AQI[[#This Row],[Current AQI]]</f>
        <v>149</v>
      </c>
      <c r="G22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37">
        <f>RANK(tbl_AQI[[#This Row],[Current AQI]], tbl_AQI[Current AQI], 0)</f>
        <v>3948</v>
      </c>
    </row>
    <row r="2238" spans="1:8" x14ac:dyDescent="0.35">
      <c r="A2238" t="s">
        <v>2235</v>
      </c>
      <c r="B2238" t="s">
        <v>2260</v>
      </c>
      <c r="C2238">
        <v>245</v>
      </c>
      <c r="D2238">
        <v>124</v>
      </c>
      <c r="E2238" t="s">
        <v>7</v>
      </c>
      <c r="F2238">
        <f>tbl_AQI[[#This Row],[Most AQI Reached]]-tbl_AQI[[#This Row],[Current AQI]]</f>
        <v>121</v>
      </c>
      <c r="G22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38">
        <f>RANK(tbl_AQI[[#This Row],[Current AQI]], tbl_AQI[Current AQI], 0)</f>
        <v>2971</v>
      </c>
    </row>
    <row r="2239" spans="1:8" x14ac:dyDescent="0.35">
      <c r="A2239" t="s">
        <v>2235</v>
      </c>
      <c r="B2239" t="s">
        <v>2261</v>
      </c>
      <c r="C2239">
        <v>174</v>
      </c>
      <c r="D2239">
        <v>80</v>
      </c>
      <c r="E2239" t="s">
        <v>9</v>
      </c>
      <c r="F2239">
        <f>tbl_AQI[[#This Row],[Most AQI Reached]]-tbl_AQI[[#This Row],[Current AQI]]</f>
        <v>94</v>
      </c>
      <c r="G22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39">
        <f>RANK(tbl_AQI[[#This Row],[Current AQI]], tbl_AQI[Current AQI], 0)</f>
        <v>3948</v>
      </c>
    </row>
    <row r="2240" spans="1:8" x14ac:dyDescent="0.35">
      <c r="A2240" t="s">
        <v>2235</v>
      </c>
      <c r="B2240" t="s">
        <v>2262</v>
      </c>
      <c r="C2240">
        <v>264</v>
      </c>
      <c r="D2240">
        <v>171</v>
      </c>
      <c r="E2240" t="s">
        <v>33</v>
      </c>
      <c r="F2240">
        <f>tbl_AQI[[#This Row],[Most AQI Reached]]-tbl_AQI[[#This Row],[Current AQI]]</f>
        <v>93</v>
      </c>
      <c r="G22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40">
        <f>RANK(tbl_AQI[[#This Row],[Current AQI]], tbl_AQI[Current AQI], 0)</f>
        <v>1866</v>
      </c>
    </row>
    <row r="2241" spans="1:8" x14ac:dyDescent="0.35">
      <c r="A2241" t="s">
        <v>2235</v>
      </c>
      <c r="B2241" t="s">
        <v>2263</v>
      </c>
      <c r="C2241">
        <v>260</v>
      </c>
      <c r="D2241">
        <v>134</v>
      </c>
      <c r="E2241" t="s">
        <v>33</v>
      </c>
      <c r="F2241">
        <f>tbl_AQI[[#This Row],[Most AQI Reached]]-tbl_AQI[[#This Row],[Current AQI]]</f>
        <v>126</v>
      </c>
      <c r="G22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41">
        <f>RANK(tbl_AQI[[#This Row],[Current AQI]], tbl_AQI[Current AQI], 0)</f>
        <v>2740</v>
      </c>
    </row>
    <row r="2242" spans="1:8" x14ac:dyDescent="0.35">
      <c r="A2242" t="s">
        <v>2235</v>
      </c>
      <c r="B2242" t="s">
        <v>2264</v>
      </c>
      <c r="C2242">
        <v>221</v>
      </c>
      <c r="D2242">
        <v>86</v>
      </c>
      <c r="E2242" t="s">
        <v>15</v>
      </c>
      <c r="F2242">
        <f>tbl_AQI[[#This Row],[Most AQI Reached]]-tbl_AQI[[#This Row],[Current AQI]]</f>
        <v>135</v>
      </c>
      <c r="G22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42">
        <f>RANK(tbl_AQI[[#This Row],[Current AQI]], tbl_AQI[Current AQI], 0)</f>
        <v>3830</v>
      </c>
    </row>
    <row r="2243" spans="1:8" x14ac:dyDescent="0.35">
      <c r="A2243" t="s">
        <v>2235</v>
      </c>
      <c r="B2243" t="s">
        <v>2265</v>
      </c>
      <c r="C2243">
        <v>303</v>
      </c>
      <c r="D2243">
        <v>31</v>
      </c>
      <c r="E2243" t="s">
        <v>7</v>
      </c>
      <c r="F2243">
        <f>tbl_AQI[[#This Row],[Most AQI Reached]]-tbl_AQI[[#This Row],[Current AQI]]</f>
        <v>272</v>
      </c>
      <c r="G22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43">
        <f>RANK(tbl_AQI[[#This Row],[Current AQI]], tbl_AQI[Current AQI], 0)</f>
        <v>5016</v>
      </c>
    </row>
    <row r="2244" spans="1:8" x14ac:dyDescent="0.35">
      <c r="A2244" t="s">
        <v>2235</v>
      </c>
      <c r="B2244" t="s">
        <v>2266</v>
      </c>
      <c r="C2244">
        <v>234</v>
      </c>
      <c r="D2244">
        <v>190</v>
      </c>
      <c r="E2244" t="s">
        <v>15</v>
      </c>
      <c r="F2244">
        <f>tbl_AQI[[#This Row],[Most AQI Reached]]-tbl_AQI[[#This Row],[Current AQI]]</f>
        <v>44</v>
      </c>
      <c r="G22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44">
        <f>RANK(tbl_AQI[[#This Row],[Current AQI]], tbl_AQI[Current AQI], 0)</f>
        <v>1355</v>
      </c>
    </row>
    <row r="2245" spans="1:8" x14ac:dyDescent="0.35">
      <c r="A2245" t="s">
        <v>2235</v>
      </c>
      <c r="B2245" t="s">
        <v>2267</v>
      </c>
      <c r="C2245">
        <v>237</v>
      </c>
      <c r="D2245">
        <v>184</v>
      </c>
      <c r="E2245" t="s">
        <v>11</v>
      </c>
      <c r="F2245">
        <f>tbl_AQI[[#This Row],[Most AQI Reached]]-tbl_AQI[[#This Row],[Current AQI]]</f>
        <v>53</v>
      </c>
      <c r="G22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45">
        <f>RANK(tbl_AQI[[#This Row],[Current AQI]], tbl_AQI[Current AQI], 0)</f>
        <v>1544</v>
      </c>
    </row>
    <row r="2246" spans="1:8" x14ac:dyDescent="0.35">
      <c r="A2246" t="s">
        <v>2235</v>
      </c>
      <c r="B2246" t="s">
        <v>2268</v>
      </c>
      <c r="C2246">
        <v>120</v>
      </c>
      <c r="D2246">
        <v>33</v>
      </c>
      <c r="E2246" t="s">
        <v>7</v>
      </c>
      <c r="F2246">
        <f>tbl_AQI[[#This Row],[Most AQI Reached]]-tbl_AQI[[#This Row],[Current AQI]]</f>
        <v>87</v>
      </c>
      <c r="G22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46">
        <f>RANK(tbl_AQI[[#This Row],[Current AQI]], tbl_AQI[Current AQI], 0)</f>
        <v>4964</v>
      </c>
    </row>
    <row r="2247" spans="1:8" x14ac:dyDescent="0.35">
      <c r="A2247" t="s">
        <v>2235</v>
      </c>
      <c r="B2247" t="s">
        <v>2269</v>
      </c>
      <c r="C2247">
        <v>150</v>
      </c>
      <c r="D2247">
        <v>63</v>
      </c>
      <c r="E2247" t="s">
        <v>11</v>
      </c>
      <c r="F2247">
        <f>tbl_AQI[[#This Row],[Most AQI Reached]]-tbl_AQI[[#This Row],[Current AQI]]</f>
        <v>87</v>
      </c>
      <c r="G22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47">
        <f>RANK(tbl_AQI[[#This Row],[Current AQI]], tbl_AQI[Current AQI], 0)</f>
        <v>4322</v>
      </c>
    </row>
    <row r="2248" spans="1:8" x14ac:dyDescent="0.35">
      <c r="A2248" t="s">
        <v>2235</v>
      </c>
      <c r="B2248" t="s">
        <v>2270</v>
      </c>
      <c r="C2248">
        <v>232</v>
      </c>
      <c r="D2248">
        <v>100</v>
      </c>
      <c r="E2248" t="s">
        <v>21</v>
      </c>
      <c r="F2248">
        <f>tbl_AQI[[#This Row],[Most AQI Reached]]-tbl_AQI[[#This Row],[Current AQI]]</f>
        <v>132</v>
      </c>
      <c r="G22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48">
        <f>RANK(tbl_AQI[[#This Row],[Current AQI]], tbl_AQI[Current AQI], 0)</f>
        <v>3535</v>
      </c>
    </row>
    <row r="2249" spans="1:8" x14ac:dyDescent="0.35">
      <c r="A2249" t="s">
        <v>2235</v>
      </c>
      <c r="B2249" t="s">
        <v>2271</v>
      </c>
      <c r="C2249">
        <v>314</v>
      </c>
      <c r="D2249">
        <v>138</v>
      </c>
      <c r="E2249" t="s">
        <v>17</v>
      </c>
      <c r="F2249">
        <f>tbl_AQI[[#This Row],[Most AQI Reached]]-tbl_AQI[[#This Row],[Current AQI]]</f>
        <v>176</v>
      </c>
      <c r="G22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49">
        <f>RANK(tbl_AQI[[#This Row],[Current AQI]], tbl_AQI[Current AQI], 0)</f>
        <v>2660</v>
      </c>
    </row>
    <row r="2250" spans="1:8" x14ac:dyDescent="0.35">
      <c r="A2250" t="s">
        <v>2235</v>
      </c>
      <c r="B2250" t="s">
        <v>2272</v>
      </c>
      <c r="C2250">
        <v>238</v>
      </c>
      <c r="D2250">
        <v>119</v>
      </c>
      <c r="E2250" t="s">
        <v>33</v>
      </c>
      <c r="F2250">
        <f>tbl_AQI[[#This Row],[Most AQI Reached]]-tbl_AQI[[#This Row],[Current AQI]]</f>
        <v>119</v>
      </c>
      <c r="G22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0">
        <f>RANK(tbl_AQI[[#This Row],[Current AQI]], tbl_AQI[Current AQI], 0)</f>
        <v>3093</v>
      </c>
    </row>
    <row r="2251" spans="1:8" x14ac:dyDescent="0.35">
      <c r="A2251" t="s">
        <v>2235</v>
      </c>
      <c r="B2251" t="s">
        <v>2273</v>
      </c>
      <c r="C2251">
        <v>255</v>
      </c>
      <c r="D2251">
        <v>171</v>
      </c>
      <c r="E2251" t="s">
        <v>33</v>
      </c>
      <c r="F2251">
        <f>tbl_AQI[[#This Row],[Most AQI Reached]]-tbl_AQI[[#This Row],[Current AQI]]</f>
        <v>84</v>
      </c>
      <c r="G22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1">
        <f>RANK(tbl_AQI[[#This Row],[Current AQI]], tbl_AQI[Current AQI], 0)</f>
        <v>1866</v>
      </c>
    </row>
    <row r="2252" spans="1:8" x14ac:dyDescent="0.35">
      <c r="A2252" t="s">
        <v>2235</v>
      </c>
      <c r="B2252" t="s">
        <v>2274</v>
      </c>
      <c r="C2252">
        <v>255</v>
      </c>
      <c r="D2252">
        <v>172</v>
      </c>
      <c r="E2252" t="s">
        <v>11</v>
      </c>
      <c r="F2252">
        <f>tbl_AQI[[#This Row],[Most AQI Reached]]-tbl_AQI[[#This Row],[Current AQI]]</f>
        <v>83</v>
      </c>
      <c r="G22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2">
        <f>RANK(tbl_AQI[[#This Row],[Current AQI]], tbl_AQI[Current AQI], 0)</f>
        <v>1852</v>
      </c>
    </row>
    <row r="2253" spans="1:8" x14ac:dyDescent="0.35">
      <c r="A2253" t="s">
        <v>2235</v>
      </c>
      <c r="B2253" t="s">
        <v>2275</v>
      </c>
      <c r="C2253">
        <v>192</v>
      </c>
      <c r="D2253">
        <v>173</v>
      </c>
      <c r="E2253" t="s">
        <v>11</v>
      </c>
      <c r="F2253">
        <f>tbl_AQI[[#This Row],[Most AQI Reached]]-tbl_AQI[[#This Row],[Current AQI]]</f>
        <v>19</v>
      </c>
      <c r="G22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3">
        <f>RANK(tbl_AQI[[#This Row],[Current AQI]], tbl_AQI[Current AQI], 0)</f>
        <v>1826</v>
      </c>
    </row>
    <row r="2254" spans="1:8" x14ac:dyDescent="0.35">
      <c r="A2254" t="s">
        <v>2235</v>
      </c>
      <c r="B2254" t="s">
        <v>2276</v>
      </c>
      <c r="C2254">
        <v>219</v>
      </c>
      <c r="D2254">
        <v>99</v>
      </c>
      <c r="E2254" t="s">
        <v>11</v>
      </c>
      <c r="F2254">
        <f>tbl_AQI[[#This Row],[Most AQI Reached]]-tbl_AQI[[#This Row],[Current AQI]]</f>
        <v>120</v>
      </c>
      <c r="G22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54">
        <f>RANK(tbl_AQI[[#This Row],[Current AQI]], tbl_AQI[Current AQI], 0)</f>
        <v>3553</v>
      </c>
    </row>
    <row r="2255" spans="1:8" x14ac:dyDescent="0.35">
      <c r="A2255" t="s">
        <v>2235</v>
      </c>
      <c r="B2255" t="s">
        <v>2277</v>
      </c>
      <c r="C2255">
        <v>164</v>
      </c>
      <c r="D2255">
        <v>57</v>
      </c>
      <c r="E2255" t="s">
        <v>33</v>
      </c>
      <c r="F2255">
        <f>tbl_AQI[[#This Row],[Most AQI Reached]]-tbl_AQI[[#This Row],[Current AQI]]</f>
        <v>107</v>
      </c>
      <c r="G22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55">
        <f>RANK(tbl_AQI[[#This Row],[Current AQI]], tbl_AQI[Current AQI], 0)</f>
        <v>4452</v>
      </c>
    </row>
    <row r="2256" spans="1:8" x14ac:dyDescent="0.35">
      <c r="A2256" t="s">
        <v>2235</v>
      </c>
      <c r="B2256" t="s">
        <v>2278</v>
      </c>
      <c r="C2256">
        <v>251</v>
      </c>
      <c r="D2256">
        <v>173</v>
      </c>
      <c r="E2256" t="s">
        <v>9</v>
      </c>
      <c r="F2256">
        <f>tbl_AQI[[#This Row],[Most AQI Reached]]-tbl_AQI[[#This Row],[Current AQI]]</f>
        <v>78</v>
      </c>
      <c r="G22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6">
        <f>RANK(tbl_AQI[[#This Row],[Current AQI]], tbl_AQI[Current AQI], 0)</f>
        <v>1826</v>
      </c>
    </row>
    <row r="2257" spans="1:8" x14ac:dyDescent="0.35">
      <c r="A2257" t="s">
        <v>2235</v>
      </c>
      <c r="B2257" t="s">
        <v>2279</v>
      </c>
      <c r="C2257">
        <v>201</v>
      </c>
      <c r="D2257">
        <v>110</v>
      </c>
      <c r="E2257" t="s">
        <v>7</v>
      </c>
      <c r="F2257">
        <f>tbl_AQI[[#This Row],[Most AQI Reached]]-tbl_AQI[[#This Row],[Current AQI]]</f>
        <v>91</v>
      </c>
      <c r="G22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7">
        <f>RANK(tbl_AQI[[#This Row],[Current AQI]], tbl_AQI[Current AQI], 0)</f>
        <v>3302</v>
      </c>
    </row>
    <row r="2258" spans="1:8" x14ac:dyDescent="0.35">
      <c r="A2258" t="s">
        <v>2235</v>
      </c>
      <c r="B2258" t="s">
        <v>2280</v>
      </c>
      <c r="C2258">
        <v>231</v>
      </c>
      <c r="D2258">
        <v>179</v>
      </c>
      <c r="E2258" t="s">
        <v>15</v>
      </c>
      <c r="F2258">
        <f>tbl_AQI[[#This Row],[Most AQI Reached]]-tbl_AQI[[#This Row],[Current AQI]]</f>
        <v>52</v>
      </c>
      <c r="G22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8">
        <f>RANK(tbl_AQI[[#This Row],[Current AQI]], tbl_AQI[Current AQI], 0)</f>
        <v>1667</v>
      </c>
    </row>
    <row r="2259" spans="1:8" x14ac:dyDescent="0.35">
      <c r="A2259" t="s">
        <v>2235</v>
      </c>
      <c r="B2259" t="s">
        <v>2281</v>
      </c>
      <c r="C2259">
        <v>279</v>
      </c>
      <c r="D2259">
        <v>178</v>
      </c>
      <c r="E2259" t="s">
        <v>7</v>
      </c>
      <c r="F2259">
        <f>tbl_AQI[[#This Row],[Most AQI Reached]]-tbl_AQI[[#This Row],[Current AQI]]</f>
        <v>101</v>
      </c>
      <c r="G22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59">
        <f>RANK(tbl_AQI[[#This Row],[Current AQI]], tbl_AQI[Current AQI], 0)</f>
        <v>1702</v>
      </c>
    </row>
    <row r="2260" spans="1:8" x14ac:dyDescent="0.35">
      <c r="A2260" t="s">
        <v>2235</v>
      </c>
      <c r="B2260" t="s">
        <v>2282</v>
      </c>
      <c r="C2260">
        <v>253</v>
      </c>
      <c r="D2260">
        <v>128</v>
      </c>
      <c r="E2260" t="s">
        <v>15</v>
      </c>
      <c r="F2260">
        <f>tbl_AQI[[#This Row],[Most AQI Reached]]-tbl_AQI[[#This Row],[Current AQI]]</f>
        <v>125</v>
      </c>
      <c r="G22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0">
        <f>RANK(tbl_AQI[[#This Row],[Current AQI]], tbl_AQI[Current AQI], 0)</f>
        <v>2872</v>
      </c>
    </row>
    <row r="2261" spans="1:8" x14ac:dyDescent="0.35">
      <c r="A2261" t="s">
        <v>2235</v>
      </c>
      <c r="B2261" t="s">
        <v>2283</v>
      </c>
      <c r="C2261">
        <v>156</v>
      </c>
      <c r="D2261">
        <v>136</v>
      </c>
      <c r="E2261" t="s">
        <v>21</v>
      </c>
      <c r="F2261">
        <f>tbl_AQI[[#This Row],[Most AQI Reached]]-tbl_AQI[[#This Row],[Current AQI]]</f>
        <v>20</v>
      </c>
      <c r="G22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1">
        <f>RANK(tbl_AQI[[#This Row],[Current AQI]], tbl_AQI[Current AQI], 0)</f>
        <v>2692</v>
      </c>
    </row>
    <row r="2262" spans="1:8" x14ac:dyDescent="0.35">
      <c r="A2262" t="s">
        <v>2235</v>
      </c>
      <c r="B2262" t="s">
        <v>2284</v>
      </c>
      <c r="C2262">
        <v>269</v>
      </c>
      <c r="D2262">
        <v>161</v>
      </c>
      <c r="E2262" t="s">
        <v>21</v>
      </c>
      <c r="F2262">
        <f>tbl_AQI[[#This Row],[Most AQI Reached]]-tbl_AQI[[#This Row],[Current AQI]]</f>
        <v>108</v>
      </c>
      <c r="G22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2">
        <f>RANK(tbl_AQI[[#This Row],[Current AQI]], tbl_AQI[Current AQI], 0)</f>
        <v>2129</v>
      </c>
    </row>
    <row r="2263" spans="1:8" x14ac:dyDescent="0.35">
      <c r="A2263" t="s">
        <v>2235</v>
      </c>
      <c r="B2263" t="s">
        <v>2285</v>
      </c>
      <c r="C2263">
        <v>245</v>
      </c>
      <c r="D2263">
        <v>113</v>
      </c>
      <c r="E2263" t="s">
        <v>17</v>
      </c>
      <c r="F2263">
        <f>tbl_AQI[[#This Row],[Most AQI Reached]]-tbl_AQI[[#This Row],[Current AQI]]</f>
        <v>132</v>
      </c>
      <c r="G22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3">
        <f>RANK(tbl_AQI[[#This Row],[Current AQI]], tbl_AQI[Current AQI], 0)</f>
        <v>3243</v>
      </c>
    </row>
    <row r="2264" spans="1:8" x14ac:dyDescent="0.35">
      <c r="A2264" t="s">
        <v>2235</v>
      </c>
      <c r="B2264" t="s">
        <v>2286</v>
      </c>
      <c r="C2264">
        <v>136</v>
      </c>
      <c r="D2264">
        <v>68</v>
      </c>
      <c r="E2264" t="s">
        <v>7</v>
      </c>
      <c r="F2264">
        <f>tbl_AQI[[#This Row],[Most AQI Reached]]-tbl_AQI[[#This Row],[Current AQI]]</f>
        <v>68</v>
      </c>
      <c r="G22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64">
        <f>RANK(tbl_AQI[[#This Row],[Current AQI]], tbl_AQI[Current AQI], 0)</f>
        <v>4204</v>
      </c>
    </row>
    <row r="2265" spans="1:8" x14ac:dyDescent="0.35">
      <c r="A2265" t="s">
        <v>2235</v>
      </c>
      <c r="B2265" t="s">
        <v>2287</v>
      </c>
      <c r="C2265">
        <v>299</v>
      </c>
      <c r="D2265">
        <v>182</v>
      </c>
      <c r="E2265" t="s">
        <v>33</v>
      </c>
      <c r="F2265">
        <f>tbl_AQI[[#This Row],[Most AQI Reached]]-tbl_AQI[[#This Row],[Current AQI]]</f>
        <v>117</v>
      </c>
      <c r="G22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5">
        <f>RANK(tbl_AQI[[#This Row],[Current AQI]], tbl_AQI[Current AQI], 0)</f>
        <v>1593</v>
      </c>
    </row>
    <row r="2266" spans="1:8" x14ac:dyDescent="0.35">
      <c r="A2266" t="s">
        <v>2235</v>
      </c>
      <c r="B2266" t="s">
        <v>2288</v>
      </c>
      <c r="C2266">
        <v>188</v>
      </c>
      <c r="D2266">
        <v>111</v>
      </c>
      <c r="E2266" t="s">
        <v>21</v>
      </c>
      <c r="F2266">
        <f>tbl_AQI[[#This Row],[Most AQI Reached]]-tbl_AQI[[#This Row],[Current AQI]]</f>
        <v>77</v>
      </c>
      <c r="G22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6">
        <f>RANK(tbl_AQI[[#This Row],[Current AQI]], tbl_AQI[Current AQI], 0)</f>
        <v>3285</v>
      </c>
    </row>
    <row r="2267" spans="1:8" x14ac:dyDescent="0.35">
      <c r="A2267" t="s">
        <v>2235</v>
      </c>
      <c r="B2267" t="s">
        <v>2289</v>
      </c>
      <c r="C2267">
        <v>299</v>
      </c>
      <c r="D2267">
        <v>146</v>
      </c>
      <c r="E2267" t="s">
        <v>11</v>
      </c>
      <c r="F2267">
        <f>tbl_AQI[[#This Row],[Most AQI Reached]]-tbl_AQI[[#This Row],[Current AQI]]</f>
        <v>153</v>
      </c>
      <c r="G22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7">
        <f>RANK(tbl_AQI[[#This Row],[Current AQI]], tbl_AQI[Current AQI], 0)</f>
        <v>2499</v>
      </c>
    </row>
    <row r="2268" spans="1:8" x14ac:dyDescent="0.35">
      <c r="A2268" t="s">
        <v>2235</v>
      </c>
      <c r="B2268" t="s">
        <v>2290</v>
      </c>
      <c r="C2268">
        <v>252</v>
      </c>
      <c r="D2268">
        <v>131</v>
      </c>
      <c r="E2268" t="s">
        <v>33</v>
      </c>
      <c r="F2268">
        <f>tbl_AQI[[#This Row],[Most AQI Reached]]-tbl_AQI[[#This Row],[Current AQI]]</f>
        <v>121</v>
      </c>
      <c r="G22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8">
        <f>RANK(tbl_AQI[[#This Row],[Current AQI]], tbl_AQI[Current AQI], 0)</f>
        <v>2815</v>
      </c>
    </row>
    <row r="2269" spans="1:8" x14ac:dyDescent="0.35">
      <c r="A2269" t="s">
        <v>2235</v>
      </c>
      <c r="B2269" t="s">
        <v>2291</v>
      </c>
      <c r="C2269">
        <v>211</v>
      </c>
      <c r="D2269">
        <v>138</v>
      </c>
      <c r="E2269" t="s">
        <v>9</v>
      </c>
      <c r="F2269">
        <f>tbl_AQI[[#This Row],[Most AQI Reached]]-tbl_AQI[[#This Row],[Current AQI]]</f>
        <v>73</v>
      </c>
      <c r="G22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69">
        <f>RANK(tbl_AQI[[#This Row],[Current AQI]], tbl_AQI[Current AQI], 0)</f>
        <v>2660</v>
      </c>
    </row>
    <row r="2270" spans="1:8" x14ac:dyDescent="0.35">
      <c r="A2270" t="s">
        <v>2235</v>
      </c>
      <c r="B2270" t="s">
        <v>2292</v>
      </c>
      <c r="C2270">
        <v>263</v>
      </c>
      <c r="D2270">
        <v>139</v>
      </c>
      <c r="E2270" t="s">
        <v>9</v>
      </c>
      <c r="F2270">
        <f>tbl_AQI[[#This Row],[Most AQI Reached]]-tbl_AQI[[#This Row],[Current AQI]]</f>
        <v>124</v>
      </c>
      <c r="G22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70">
        <f>RANK(tbl_AQI[[#This Row],[Current AQI]], tbl_AQI[Current AQI], 0)</f>
        <v>2647</v>
      </c>
    </row>
    <row r="2271" spans="1:8" x14ac:dyDescent="0.35">
      <c r="A2271" t="s">
        <v>2235</v>
      </c>
      <c r="B2271" t="s">
        <v>2293</v>
      </c>
      <c r="C2271">
        <v>266</v>
      </c>
      <c r="D2271">
        <v>92</v>
      </c>
      <c r="E2271" t="s">
        <v>15</v>
      </c>
      <c r="F2271">
        <f>tbl_AQI[[#This Row],[Most AQI Reached]]-tbl_AQI[[#This Row],[Current AQI]]</f>
        <v>174</v>
      </c>
      <c r="G22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71">
        <f>RANK(tbl_AQI[[#This Row],[Current AQI]], tbl_AQI[Current AQI], 0)</f>
        <v>3706</v>
      </c>
    </row>
    <row r="2272" spans="1:8" x14ac:dyDescent="0.35">
      <c r="A2272" t="s">
        <v>2235</v>
      </c>
      <c r="B2272" t="s">
        <v>2294</v>
      </c>
      <c r="C2272">
        <v>313</v>
      </c>
      <c r="D2272">
        <v>133</v>
      </c>
      <c r="E2272" t="s">
        <v>33</v>
      </c>
      <c r="F2272">
        <f>tbl_AQI[[#This Row],[Most AQI Reached]]-tbl_AQI[[#This Row],[Current AQI]]</f>
        <v>180</v>
      </c>
      <c r="G22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72">
        <f>RANK(tbl_AQI[[#This Row],[Current AQI]], tbl_AQI[Current AQI], 0)</f>
        <v>2758</v>
      </c>
    </row>
    <row r="2273" spans="1:8" x14ac:dyDescent="0.35">
      <c r="A2273" t="s">
        <v>2235</v>
      </c>
      <c r="B2273" t="s">
        <v>2295</v>
      </c>
      <c r="C2273">
        <v>152</v>
      </c>
      <c r="D2273">
        <v>95</v>
      </c>
      <c r="E2273" t="s">
        <v>21</v>
      </c>
      <c r="F2273">
        <f>tbl_AQI[[#This Row],[Most AQI Reached]]-tbl_AQI[[#This Row],[Current AQI]]</f>
        <v>57</v>
      </c>
      <c r="G22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73">
        <f>RANK(tbl_AQI[[#This Row],[Current AQI]], tbl_AQI[Current AQI], 0)</f>
        <v>3634</v>
      </c>
    </row>
    <row r="2274" spans="1:8" x14ac:dyDescent="0.35">
      <c r="A2274" t="s">
        <v>2235</v>
      </c>
      <c r="B2274" t="s">
        <v>2296</v>
      </c>
      <c r="C2274">
        <v>284</v>
      </c>
      <c r="D2274">
        <v>78</v>
      </c>
      <c r="E2274" t="s">
        <v>9</v>
      </c>
      <c r="F2274">
        <f>tbl_AQI[[#This Row],[Most AQI Reached]]-tbl_AQI[[#This Row],[Current AQI]]</f>
        <v>206</v>
      </c>
      <c r="G22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74">
        <f>RANK(tbl_AQI[[#This Row],[Current AQI]], tbl_AQI[Current AQI], 0)</f>
        <v>3989</v>
      </c>
    </row>
    <row r="2275" spans="1:8" x14ac:dyDescent="0.35">
      <c r="A2275" t="s">
        <v>2235</v>
      </c>
      <c r="B2275" t="s">
        <v>2297</v>
      </c>
      <c r="C2275">
        <v>207</v>
      </c>
      <c r="D2275">
        <v>128</v>
      </c>
      <c r="E2275" t="s">
        <v>9</v>
      </c>
      <c r="F2275">
        <f>tbl_AQI[[#This Row],[Most AQI Reached]]-tbl_AQI[[#This Row],[Current AQI]]</f>
        <v>79</v>
      </c>
      <c r="G22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75">
        <f>RANK(tbl_AQI[[#This Row],[Current AQI]], tbl_AQI[Current AQI], 0)</f>
        <v>2872</v>
      </c>
    </row>
    <row r="2276" spans="1:8" x14ac:dyDescent="0.35">
      <c r="A2276" t="s">
        <v>2235</v>
      </c>
      <c r="B2276" t="s">
        <v>2298</v>
      </c>
      <c r="C2276">
        <v>88</v>
      </c>
      <c r="D2276">
        <v>60</v>
      </c>
      <c r="E2276" t="s">
        <v>17</v>
      </c>
      <c r="F2276">
        <f>tbl_AQI[[#This Row],[Most AQI Reached]]-tbl_AQI[[#This Row],[Current AQI]]</f>
        <v>28</v>
      </c>
      <c r="G22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76">
        <f>RANK(tbl_AQI[[#This Row],[Current AQI]], tbl_AQI[Current AQI], 0)</f>
        <v>4390</v>
      </c>
    </row>
    <row r="2277" spans="1:8" x14ac:dyDescent="0.35">
      <c r="A2277" t="s">
        <v>2235</v>
      </c>
      <c r="B2277" t="s">
        <v>2299</v>
      </c>
      <c r="C2277">
        <v>300</v>
      </c>
      <c r="D2277">
        <v>144</v>
      </c>
      <c r="E2277" t="s">
        <v>17</v>
      </c>
      <c r="F2277">
        <f>tbl_AQI[[#This Row],[Most AQI Reached]]-tbl_AQI[[#This Row],[Current AQI]]</f>
        <v>156</v>
      </c>
      <c r="G22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77">
        <f>RANK(tbl_AQI[[#This Row],[Current AQI]], tbl_AQI[Current AQI], 0)</f>
        <v>2550</v>
      </c>
    </row>
    <row r="2278" spans="1:8" x14ac:dyDescent="0.35">
      <c r="A2278" t="s">
        <v>2235</v>
      </c>
      <c r="B2278" t="s">
        <v>2300</v>
      </c>
      <c r="C2278">
        <v>268</v>
      </c>
      <c r="D2278">
        <v>168</v>
      </c>
      <c r="E2278" t="s">
        <v>33</v>
      </c>
      <c r="F2278">
        <f>tbl_AQI[[#This Row],[Most AQI Reached]]-tbl_AQI[[#This Row],[Current AQI]]</f>
        <v>100</v>
      </c>
      <c r="G22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78">
        <f>RANK(tbl_AQI[[#This Row],[Current AQI]], tbl_AQI[Current AQI], 0)</f>
        <v>1954</v>
      </c>
    </row>
    <row r="2279" spans="1:8" x14ac:dyDescent="0.35">
      <c r="A2279" t="s">
        <v>2235</v>
      </c>
      <c r="B2279" t="s">
        <v>2301</v>
      </c>
      <c r="C2279">
        <v>159</v>
      </c>
      <c r="D2279">
        <v>127</v>
      </c>
      <c r="E2279" t="s">
        <v>7</v>
      </c>
      <c r="F2279">
        <f>tbl_AQI[[#This Row],[Most AQI Reached]]-tbl_AQI[[#This Row],[Current AQI]]</f>
        <v>32</v>
      </c>
      <c r="G22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79">
        <f>RANK(tbl_AQI[[#This Row],[Current AQI]], tbl_AQI[Current AQI], 0)</f>
        <v>2909</v>
      </c>
    </row>
    <row r="2280" spans="1:8" x14ac:dyDescent="0.35">
      <c r="A2280" t="s">
        <v>2235</v>
      </c>
      <c r="B2280" t="s">
        <v>2302</v>
      </c>
      <c r="C2280">
        <v>228</v>
      </c>
      <c r="D2280">
        <v>104</v>
      </c>
      <c r="E2280" t="s">
        <v>9</v>
      </c>
      <c r="F2280">
        <f>tbl_AQI[[#This Row],[Most AQI Reached]]-tbl_AQI[[#This Row],[Current AQI]]</f>
        <v>124</v>
      </c>
      <c r="G22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80">
        <f>RANK(tbl_AQI[[#This Row],[Current AQI]], tbl_AQI[Current AQI], 0)</f>
        <v>3454</v>
      </c>
    </row>
    <row r="2281" spans="1:8" x14ac:dyDescent="0.35">
      <c r="A2281" t="s">
        <v>2235</v>
      </c>
      <c r="B2281" t="s">
        <v>2303</v>
      </c>
      <c r="C2281">
        <v>298</v>
      </c>
      <c r="D2281">
        <v>71</v>
      </c>
      <c r="E2281" t="s">
        <v>33</v>
      </c>
      <c r="F2281">
        <f>tbl_AQI[[#This Row],[Most AQI Reached]]-tbl_AQI[[#This Row],[Current AQI]]</f>
        <v>227</v>
      </c>
      <c r="G22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81">
        <f>RANK(tbl_AQI[[#This Row],[Current AQI]], tbl_AQI[Current AQI], 0)</f>
        <v>4129</v>
      </c>
    </row>
    <row r="2282" spans="1:8" x14ac:dyDescent="0.35">
      <c r="A2282" t="s">
        <v>2235</v>
      </c>
      <c r="B2282" t="s">
        <v>2304</v>
      </c>
      <c r="C2282">
        <v>243</v>
      </c>
      <c r="D2282">
        <v>64</v>
      </c>
      <c r="E2282" t="s">
        <v>9</v>
      </c>
      <c r="F2282">
        <f>tbl_AQI[[#This Row],[Most AQI Reached]]-tbl_AQI[[#This Row],[Current AQI]]</f>
        <v>179</v>
      </c>
      <c r="G22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82">
        <f>RANK(tbl_AQI[[#This Row],[Current AQI]], tbl_AQI[Current AQI], 0)</f>
        <v>4293</v>
      </c>
    </row>
    <row r="2283" spans="1:8" x14ac:dyDescent="0.35">
      <c r="A2283" t="s">
        <v>2235</v>
      </c>
      <c r="B2283" t="s">
        <v>2305</v>
      </c>
      <c r="C2283">
        <v>108</v>
      </c>
      <c r="D2283">
        <v>55</v>
      </c>
      <c r="E2283" t="s">
        <v>15</v>
      </c>
      <c r="F2283">
        <f>tbl_AQI[[#This Row],[Most AQI Reached]]-tbl_AQI[[#This Row],[Current AQI]]</f>
        <v>53</v>
      </c>
      <c r="G22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83">
        <f>RANK(tbl_AQI[[#This Row],[Current AQI]], tbl_AQI[Current AQI], 0)</f>
        <v>4497</v>
      </c>
    </row>
    <row r="2284" spans="1:8" x14ac:dyDescent="0.35">
      <c r="A2284" t="s">
        <v>2235</v>
      </c>
      <c r="B2284" t="s">
        <v>2306</v>
      </c>
      <c r="C2284">
        <v>209</v>
      </c>
      <c r="D2284">
        <v>116</v>
      </c>
      <c r="E2284" t="s">
        <v>15</v>
      </c>
      <c r="F2284">
        <f>tbl_AQI[[#This Row],[Most AQI Reached]]-tbl_AQI[[#This Row],[Current AQI]]</f>
        <v>93</v>
      </c>
      <c r="G22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84">
        <f>RANK(tbl_AQI[[#This Row],[Current AQI]], tbl_AQI[Current AQI], 0)</f>
        <v>3173</v>
      </c>
    </row>
    <row r="2285" spans="1:8" x14ac:dyDescent="0.35">
      <c r="A2285" t="s">
        <v>2235</v>
      </c>
      <c r="B2285" t="s">
        <v>2307</v>
      </c>
      <c r="C2285">
        <v>286</v>
      </c>
      <c r="D2285">
        <v>189</v>
      </c>
      <c r="E2285" t="s">
        <v>11</v>
      </c>
      <c r="F2285">
        <f>tbl_AQI[[#This Row],[Most AQI Reached]]-tbl_AQI[[#This Row],[Current AQI]]</f>
        <v>97</v>
      </c>
      <c r="G22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85">
        <f>RANK(tbl_AQI[[#This Row],[Current AQI]], tbl_AQI[Current AQI], 0)</f>
        <v>1395</v>
      </c>
    </row>
    <row r="2286" spans="1:8" x14ac:dyDescent="0.35">
      <c r="A2286" t="s">
        <v>2235</v>
      </c>
      <c r="B2286" t="s">
        <v>2308</v>
      </c>
      <c r="C2286">
        <v>315</v>
      </c>
      <c r="D2286">
        <v>123</v>
      </c>
      <c r="E2286" t="s">
        <v>15</v>
      </c>
      <c r="F2286">
        <f>tbl_AQI[[#This Row],[Most AQI Reached]]-tbl_AQI[[#This Row],[Current AQI]]</f>
        <v>192</v>
      </c>
      <c r="G22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86">
        <f>RANK(tbl_AQI[[#This Row],[Current AQI]], tbl_AQI[Current AQI], 0)</f>
        <v>2983</v>
      </c>
    </row>
    <row r="2287" spans="1:8" x14ac:dyDescent="0.35">
      <c r="A2287" t="s">
        <v>2235</v>
      </c>
      <c r="B2287" t="s">
        <v>2309</v>
      </c>
      <c r="C2287">
        <v>98</v>
      </c>
      <c r="D2287">
        <v>74</v>
      </c>
      <c r="E2287" t="s">
        <v>9</v>
      </c>
      <c r="F2287">
        <f>tbl_AQI[[#This Row],[Most AQI Reached]]-tbl_AQI[[#This Row],[Current AQI]]</f>
        <v>24</v>
      </c>
      <c r="G22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87">
        <f>RANK(tbl_AQI[[#This Row],[Current AQI]], tbl_AQI[Current AQI], 0)</f>
        <v>4064</v>
      </c>
    </row>
    <row r="2288" spans="1:8" x14ac:dyDescent="0.35">
      <c r="A2288" t="s">
        <v>2235</v>
      </c>
      <c r="B2288" t="s">
        <v>2310</v>
      </c>
      <c r="C2288">
        <v>262</v>
      </c>
      <c r="D2288">
        <v>179</v>
      </c>
      <c r="E2288" t="s">
        <v>33</v>
      </c>
      <c r="F2288">
        <f>tbl_AQI[[#This Row],[Most AQI Reached]]-tbl_AQI[[#This Row],[Current AQI]]</f>
        <v>83</v>
      </c>
      <c r="G22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88">
        <f>RANK(tbl_AQI[[#This Row],[Current AQI]], tbl_AQI[Current AQI], 0)</f>
        <v>1667</v>
      </c>
    </row>
    <row r="2289" spans="1:8" x14ac:dyDescent="0.35">
      <c r="A2289" t="s">
        <v>2235</v>
      </c>
      <c r="B2289" t="s">
        <v>2311</v>
      </c>
      <c r="C2289">
        <v>285</v>
      </c>
      <c r="D2289">
        <v>145</v>
      </c>
      <c r="E2289" t="s">
        <v>21</v>
      </c>
      <c r="F2289">
        <f>tbl_AQI[[#This Row],[Most AQI Reached]]-tbl_AQI[[#This Row],[Current AQI]]</f>
        <v>140</v>
      </c>
      <c r="G22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89">
        <f>RANK(tbl_AQI[[#This Row],[Current AQI]], tbl_AQI[Current AQI], 0)</f>
        <v>2526</v>
      </c>
    </row>
    <row r="2290" spans="1:8" x14ac:dyDescent="0.35">
      <c r="A2290" t="s">
        <v>2235</v>
      </c>
      <c r="B2290" t="s">
        <v>2312</v>
      </c>
      <c r="C2290">
        <v>227</v>
      </c>
      <c r="D2290">
        <v>131</v>
      </c>
      <c r="E2290" t="s">
        <v>21</v>
      </c>
      <c r="F2290">
        <f>tbl_AQI[[#This Row],[Most AQI Reached]]-tbl_AQI[[#This Row],[Current AQI]]</f>
        <v>96</v>
      </c>
      <c r="G22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90">
        <f>RANK(tbl_AQI[[#This Row],[Current AQI]], tbl_AQI[Current AQI], 0)</f>
        <v>2815</v>
      </c>
    </row>
    <row r="2291" spans="1:8" x14ac:dyDescent="0.35">
      <c r="A2291" t="s">
        <v>2235</v>
      </c>
      <c r="B2291" t="s">
        <v>2313</v>
      </c>
      <c r="C2291">
        <v>126</v>
      </c>
      <c r="D2291">
        <v>40</v>
      </c>
      <c r="E2291" t="s">
        <v>15</v>
      </c>
      <c r="F2291">
        <f>tbl_AQI[[#This Row],[Most AQI Reached]]-tbl_AQI[[#This Row],[Current AQI]]</f>
        <v>86</v>
      </c>
      <c r="G22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91">
        <f>RANK(tbl_AQI[[#This Row],[Current AQI]], tbl_AQI[Current AQI], 0)</f>
        <v>4808</v>
      </c>
    </row>
    <row r="2292" spans="1:8" x14ac:dyDescent="0.35">
      <c r="A2292" t="s">
        <v>2235</v>
      </c>
      <c r="B2292" t="s">
        <v>2314</v>
      </c>
      <c r="C2292">
        <v>287</v>
      </c>
      <c r="D2292">
        <v>178</v>
      </c>
      <c r="E2292" t="s">
        <v>17</v>
      </c>
      <c r="F2292">
        <f>tbl_AQI[[#This Row],[Most AQI Reached]]-tbl_AQI[[#This Row],[Current AQI]]</f>
        <v>109</v>
      </c>
      <c r="G22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92">
        <f>RANK(tbl_AQI[[#This Row],[Current AQI]], tbl_AQI[Current AQI], 0)</f>
        <v>1702</v>
      </c>
    </row>
    <row r="2293" spans="1:8" x14ac:dyDescent="0.35">
      <c r="A2293" t="s">
        <v>2235</v>
      </c>
      <c r="B2293" t="s">
        <v>2315</v>
      </c>
      <c r="C2293">
        <v>212</v>
      </c>
      <c r="D2293">
        <v>46</v>
      </c>
      <c r="E2293" t="s">
        <v>17</v>
      </c>
      <c r="F2293">
        <f>tbl_AQI[[#This Row],[Most AQI Reached]]-tbl_AQI[[#This Row],[Current AQI]]</f>
        <v>166</v>
      </c>
      <c r="G22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93">
        <f>RANK(tbl_AQI[[#This Row],[Current AQI]], tbl_AQI[Current AQI], 0)</f>
        <v>4680</v>
      </c>
    </row>
    <row r="2294" spans="1:8" x14ac:dyDescent="0.35">
      <c r="A2294" t="s">
        <v>2235</v>
      </c>
      <c r="B2294" t="s">
        <v>2316</v>
      </c>
      <c r="C2294">
        <v>316</v>
      </c>
      <c r="D2294">
        <v>95</v>
      </c>
      <c r="E2294" t="s">
        <v>15</v>
      </c>
      <c r="F2294">
        <f>tbl_AQI[[#This Row],[Most AQI Reached]]-tbl_AQI[[#This Row],[Current AQI]]</f>
        <v>221</v>
      </c>
      <c r="G22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294">
        <f>RANK(tbl_AQI[[#This Row],[Current AQI]], tbl_AQI[Current AQI], 0)</f>
        <v>3634</v>
      </c>
    </row>
    <row r="2295" spans="1:8" x14ac:dyDescent="0.35">
      <c r="A2295" t="s">
        <v>2235</v>
      </c>
      <c r="B2295" t="s">
        <v>2317</v>
      </c>
      <c r="C2295">
        <v>320</v>
      </c>
      <c r="D2295">
        <v>165</v>
      </c>
      <c r="E2295" t="s">
        <v>9</v>
      </c>
      <c r="F2295">
        <f>tbl_AQI[[#This Row],[Most AQI Reached]]-tbl_AQI[[#This Row],[Current AQI]]</f>
        <v>155</v>
      </c>
      <c r="G22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95">
        <f>RANK(tbl_AQI[[#This Row],[Current AQI]], tbl_AQI[Current AQI], 0)</f>
        <v>2028</v>
      </c>
    </row>
    <row r="2296" spans="1:8" x14ac:dyDescent="0.35">
      <c r="A2296" t="s">
        <v>2235</v>
      </c>
      <c r="B2296" t="s">
        <v>2318</v>
      </c>
      <c r="C2296">
        <v>275</v>
      </c>
      <c r="D2296">
        <v>32</v>
      </c>
      <c r="E2296" t="s">
        <v>33</v>
      </c>
      <c r="F2296">
        <f>tbl_AQI[[#This Row],[Most AQI Reached]]-tbl_AQI[[#This Row],[Current AQI]]</f>
        <v>243</v>
      </c>
      <c r="G22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296">
        <f>RANK(tbl_AQI[[#This Row],[Current AQI]], tbl_AQI[Current AQI], 0)</f>
        <v>4983</v>
      </c>
    </row>
    <row r="2297" spans="1:8" x14ac:dyDescent="0.35">
      <c r="A2297" t="s">
        <v>2235</v>
      </c>
      <c r="B2297" t="s">
        <v>2319</v>
      </c>
      <c r="C2297">
        <v>252</v>
      </c>
      <c r="D2297">
        <v>179</v>
      </c>
      <c r="E2297" t="s">
        <v>33</v>
      </c>
      <c r="F2297">
        <f>tbl_AQI[[#This Row],[Most AQI Reached]]-tbl_AQI[[#This Row],[Current AQI]]</f>
        <v>73</v>
      </c>
      <c r="G22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97">
        <f>RANK(tbl_AQI[[#This Row],[Current AQI]], tbl_AQI[Current AQI], 0)</f>
        <v>1667</v>
      </c>
    </row>
    <row r="2298" spans="1:8" x14ac:dyDescent="0.35">
      <c r="A2298" t="s">
        <v>2235</v>
      </c>
      <c r="B2298" t="s">
        <v>2320</v>
      </c>
      <c r="C2298">
        <v>309</v>
      </c>
      <c r="D2298">
        <v>132</v>
      </c>
      <c r="E2298" t="s">
        <v>11</v>
      </c>
      <c r="F2298">
        <f>tbl_AQI[[#This Row],[Most AQI Reached]]-tbl_AQI[[#This Row],[Current AQI]]</f>
        <v>177</v>
      </c>
      <c r="G22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98">
        <f>RANK(tbl_AQI[[#This Row],[Current AQI]], tbl_AQI[Current AQI], 0)</f>
        <v>2792</v>
      </c>
    </row>
    <row r="2299" spans="1:8" x14ac:dyDescent="0.35">
      <c r="A2299" t="s">
        <v>2235</v>
      </c>
      <c r="B2299" t="s">
        <v>2321</v>
      </c>
      <c r="C2299">
        <v>254</v>
      </c>
      <c r="D2299">
        <v>171</v>
      </c>
      <c r="E2299" t="s">
        <v>11</v>
      </c>
      <c r="F2299">
        <f>tbl_AQI[[#This Row],[Most AQI Reached]]-tbl_AQI[[#This Row],[Current AQI]]</f>
        <v>83</v>
      </c>
      <c r="G22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299">
        <f>RANK(tbl_AQI[[#This Row],[Current AQI]], tbl_AQI[Current AQI], 0)</f>
        <v>1866</v>
      </c>
    </row>
    <row r="2300" spans="1:8" x14ac:dyDescent="0.35">
      <c r="A2300" t="s">
        <v>2235</v>
      </c>
      <c r="B2300" t="s">
        <v>2322</v>
      </c>
      <c r="C2300">
        <v>220</v>
      </c>
      <c r="D2300">
        <v>189</v>
      </c>
      <c r="E2300" t="s">
        <v>9</v>
      </c>
      <c r="F2300">
        <f>tbl_AQI[[#This Row],[Most AQI Reached]]-tbl_AQI[[#This Row],[Current AQI]]</f>
        <v>31</v>
      </c>
      <c r="G23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00">
        <f>RANK(tbl_AQI[[#This Row],[Current AQI]], tbl_AQI[Current AQI], 0)</f>
        <v>1395</v>
      </c>
    </row>
    <row r="2301" spans="1:8" x14ac:dyDescent="0.35">
      <c r="A2301" t="s">
        <v>2235</v>
      </c>
      <c r="B2301" t="s">
        <v>2323</v>
      </c>
      <c r="C2301">
        <v>311</v>
      </c>
      <c r="D2301">
        <v>118</v>
      </c>
      <c r="E2301" t="s">
        <v>7</v>
      </c>
      <c r="F2301">
        <f>tbl_AQI[[#This Row],[Most AQI Reached]]-tbl_AQI[[#This Row],[Current AQI]]</f>
        <v>193</v>
      </c>
      <c r="G23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01">
        <f>RANK(tbl_AQI[[#This Row],[Current AQI]], tbl_AQI[Current AQI], 0)</f>
        <v>3122</v>
      </c>
    </row>
    <row r="2302" spans="1:8" x14ac:dyDescent="0.35">
      <c r="A2302" t="s">
        <v>2235</v>
      </c>
      <c r="B2302" t="s">
        <v>2324</v>
      </c>
      <c r="C2302">
        <v>167</v>
      </c>
      <c r="D2302">
        <v>97</v>
      </c>
      <c r="E2302" t="s">
        <v>33</v>
      </c>
      <c r="F2302">
        <f>tbl_AQI[[#This Row],[Most AQI Reached]]-tbl_AQI[[#This Row],[Current AQI]]</f>
        <v>70</v>
      </c>
      <c r="G23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02">
        <f>RANK(tbl_AQI[[#This Row],[Current AQI]], tbl_AQI[Current AQI], 0)</f>
        <v>3593</v>
      </c>
    </row>
    <row r="2303" spans="1:8" x14ac:dyDescent="0.35">
      <c r="A2303" t="s">
        <v>2235</v>
      </c>
      <c r="B2303" t="s">
        <v>2325</v>
      </c>
      <c r="C2303">
        <v>300</v>
      </c>
      <c r="D2303">
        <v>37</v>
      </c>
      <c r="E2303" t="s">
        <v>9</v>
      </c>
      <c r="F2303">
        <f>tbl_AQI[[#This Row],[Most AQI Reached]]-tbl_AQI[[#This Row],[Current AQI]]</f>
        <v>263</v>
      </c>
      <c r="G23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03">
        <f>RANK(tbl_AQI[[#This Row],[Current AQI]], tbl_AQI[Current AQI], 0)</f>
        <v>4863</v>
      </c>
    </row>
    <row r="2304" spans="1:8" x14ac:dyDescent="0.35">
      <c r="A2304" t="s">
        <v>2235</v>
      </c>
      <c r="B2304" t="s">
        <v>2326</v>
      </c>
      <c r="C2304">
        <v>150</v>
      </c>
      <c r="D2304">
        <v>106</v>
      </c>
      <c r="E2304" t="s">
        <v>33</v>
      </c>
      <c r="F2304">
        <f>tbl_AQI[[#This Row],[Most AQI Reached]]-tbl_AQI[[#This Row],[Current AQI]]</f>
        <v>44</v>
      </c>
      <c r="G23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04">
        <f>RANK(tbl_AQI[[#This Row],[Current AQI]], tbl_AQI[Current AQI], 0)</f>
        <v>3413</v>
      </c>
    </row>
    <row r="2305" spans="1:8" x14ac:dyDescent="0.35">
      <c r="A2305" t="s">
        <v>2235</v>
      </c>
      <c r="B2305" t="s">
        <v>2327</v>
      </c>
      <c r="C2305">
        <v>315</v>
      </c>
      <c r="D2305">
        <v>163</v>
      </c>
      <c r="E2305" t="s">
        <v>15</v>
      </c>
      <c r="F2305">
        <f>tbl_AQI[[#This Row],[Most AQI Reached]]-tbl_AQI[[#This Row],[Current AQI]]</f>
        <v>152</v>
      </c>
      <c r="G23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05">
        <f>RANK(tbl_AQI[[#This Row],[Current AQI]], tbl_AQI[Current AQI], 0)</f>
        <v>2075</v>
      </c>
    </row>
    <row r="2306" spans="1:8" x14ac:dyDescent="0.35">
      <c r="A2306" t="s">
        <v>2235</v>
      </c>
      <c r="B2306" t="s">
        <v>2328</v>
      </c>
      <c r="C2306">
        <v>129</v>
      </c>
      <c r="D2306">
        <v>30</v>
      </c>
      <c r="E2306" t="s">
        <v>9</v>
      </c>
      <c r="F2306">
        <f>tbl_AQI[[#This Row],[Most AQI Reached]]-tbl_AQI[[#This Row],[Current AQI]]</f>
        <v>99</v>
      </c>
      <c r="G23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06">
        <f>RANK(tbl_AQI[[#This Row],[Current AQI]], tbl_AQI[Current AQI], 0)</f>
        <v>5042</v>
      </c>
    </row>
    <row r="2307" spans="1:8" x14ac:dyDescent="0.35">
      <c r="A2307" t="s">
        <v>2235</v>
      </c>
      <c r="B2307" t="s">
        <v>2329</v>
      </c>
      <c r="C2307">
        <v>195</v>
      </c>
      <c r="D2307">
        <v>139</v>
      </c>
      <c r="E2307" t="s">
        <v>17</v>
      </c>
      <c r="F2307">
        <f>tbl_AQI[[#This Row],[Most AQI Reached]]-tbl_AQI[[#This Row],[Current AQI]]</f>
        <v>56</v>
      </c>
      <c r="G23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07">
        <f>RANK(tbl_AQI[[#This Row],[Current AQI]], tbl_AQI[Current AQI], 0)</f>
        <v>2647</v>
      </c>
    </row>
    <row r="2308" spans="1:8" x14ac:dyDescent="0.35">
      <c r="A2308" t="s">
        <v>2235</v>
      </c>
      <c r="B2308" t="s">
        <v>2330</v>
      </c>
      <c r="C2308">
        <v>92</v>
      </c>
      <c r="D2308">
        <v>77</v>
      </c>
      <c r="E2308" t="s">
        <v>7</v>
      </c>
      <c r="F2308">
        <f>tbl_AQI[[#This Row],[Most AQI Reached]]-tbl_AQI[[#This Row],[Current AQI]]</f>
        <v>15</v>
      </c>
      <c r="G23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08">
        <f>RANK(tbl_AQI[[#This Row],[Current AQI]], tbl_AQI[Current AQI], 0)</f>
        <v>4006</v>
      </c>
    </row>
    <row r="2309" spans="1:8" x14ac:dyDescent="0.35">
      <c r="A2309" t="s">
        <v>2235</v>
      </c>
      <c r="B2309" t="s">
        <v>2331</v>
      </c>
      <c r="C2309">
        <v>202</v>
      </c>
      <c r="D2309">
        <v>113</v>
      </c>
      <c r="E2309" t="s">
        <v>21</v>
      </c>
      <c r="F2309">
        <f>tbl_AQI[[#This Row],[Most AQI Reached]]-tbl_AQI[[#This Row],[Current AQI]]</f>
        <v>89</v>
      </c>
      <c r="G23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09">
        <f>RANK(tbl_AQI[[#This Row],[Current AQI]], tbl_AQI[Current AQI], 0)</f>
        <v>3243</v>
      </c>
    </row>
    <row r="2310" spans="1:8" x14ac:dyDescent="0.35">
      <c r="A2310" t="s">
        <v>2235</v>
      </c>
      <c r="B2310" t="s">
        <v>2332</v>
      </c>
      <c r="C2310">
        <v>251</v>
      </c>
      <c r="D2310">
        <v>71</v>
      </c>
      <c r="E2310" t="s">
        <v>21</v>
      </c>
      <c r="F2310">
        <f>tbl_AQI[[#This Row],[Most AQI Reached]]-tbl_AQI[[#This Row],[Current AQI]]</f>
        <v>180</v>
      </c>
      <c r="G23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10">
        <f>RANK(tbl_AQI[[#This Row],[Current AQI]], tbl_AQI[Current AQI], 0)</f>
        <v>4129</v>
      </c>
    </row>
    <row r="2311" spans="1:8" x14ac:dyDescent="0.35">
      <c r="A2311" t="s">
        <v>2235</v>
      </c>
      <c r="B2311" t="s">
        <v>2333</v>
      </c>
      <c r="C2311">
        <v>177</v>
      </c>
      <c r="D2311">
        <v>33</v>
      </c>
      <c r="E2311" t="s">
        <v>9</v>
      </c>
      <c r="F2311">
        <f>tbl_AQI[[#This Row],[Most AQI Reached]]-tbl_AQI[[#This Row],[Current AQI]]</f>
        <v>144</v>
      </c>
      <c r="G23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11">
        <f>RANK(tbl_AQI[[#This Row],[Current AQI]], tbl_AQI[Current AQI], 0)</f>
        <v>4964</v>
      </c>
    </row>
    <row r="2312" spans="1:8" x14ac:dyDescent="0.35">
      <c r="A2312" t="s">
        <v>2235</v>
      </c>
      <c r="B2312" t="s">
        <v>2334</v>
      </c>
      <c r="C2312">
        <v>317</v>
      </c>
      <c r="D2312">
        <v>144</v>
      </c>
      <c r="E2312" t="s">
        <v>17</v>
      </c>
      <c r="F2312">
        <f>tbl_AQI[[#This Row],[Most AQI Reached]]-tbl_AQI[[#This Row],[Current AQI]]</f>
        <v>173</v>
      </c>
      <c r="G23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2">
        <f>RANK(tbl_AQI[[#This Row],[Current AQI]], tbl_AQI[Current AQI], 0)</f>
        <v>2550</v>
      </c>
    </row>
    <row r="2313" spans="1:8" x14ac:dyDescent="0.35">
      <c r="A2313" t="s">
        <v>2235</v>
      </c>
      <c r="B2313" t="s">
        <v>2335</v>
      </c>
      <c r="C2313">
        <v>65</v>
      </c>
      <c r="D2313">
        <v>62</v>
      </c>
      <c r="E2313" t="s">
        <v>7</v>
      </c>
      <c r="F2313">
        <f>tbl_AQI[[#This Row],[Most AQI Reached]]-tbl_AQI[[#This Row],[Current AQI]]</f>
        <v>3</v>
      </c>
      <c r="G23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13">
        <f>RANK(tbl_AQI[[#This Row],[Current AQI]], tbl_AQI[Current AQI], 0)</f>
        <v>4343</v>
      </c>
    </row>
    <row r="2314" spans="1:8" x14ac:dyDescent="0.35">
      <c r="A2314" t="s">
        <v>2235</v>
      </c>
      <c r="B2314" t="s">
        <v>2336</v>
      </c>
      <c r="C2314">
        <v>225</v>
      </c>
      <c r="D2314">
        <v>166</v>
      </c>
      <c r="E2314" t="s">
        <v>21</v>
      </c>
      <c r="F2314">
        <f>tbl_AQI[[#This Row],[Most AQI Reached]]-tbl_AQI[[#This Row],[Current AQI]]</f>
        <v>59</v>
      </c>
      <c r="G23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4">
        <f>RANK(tbl_AQI[[#This Row],[Current AQI]], tbl_AQI[Current AQI], 0)</f>
        <v>2007</v>
      </c>
    </row>
    <row r="2315" spans="1:8" x14ac:dyDescent="0.35">
      <c r="A2315" t="s">
        <v>2235</v>
      </c>
      <c r="B2315" t="s">
        <v>2337</v>
      </c>
      <c r="C2315">
        <v>236</v>
      </c>
      <c r="D2315">
        <v>160</v>
      </c>
      <c r="E2315" t="s">
        <v>21</v>
      </c>
      <c r="F2315">
        <f>tbl_AQI[[#This Row],[Most AQI Reached]]-tbl_AQI[[#This Row],[Current AQI]]</f>
        <v>76</v>
      </c>
      <c r="G23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5">
        <f>RANK(tbl_AQI[[#This Row],[Current AQI]], tbl_AQI[Current AQI], 0)</f>
        <v>2154</v>
      </c>
    </row>
    <row r="2316" spans="1:8" x14ac:dyDescent="0.35">
      <c r="A2316" t="s">
        <v>2235</v>
      </c>
      <c r="B2316" t="s">
        <v>2338</v>
      </c>
      <c r="C2316">
        <v>313</v>
      </c>
      <c r="D2316">
        <v>180</v>
      </c>
      <c r="E2316" t="s">
        <v>15</v>
      </c>
      <c r="F2316">
        <f>tbl_AQI[[#This Row],[Most AQI Reached]]-tbl_AQI[[#This Row],[Current AQI]]</f>
        <v>133</v>
      </c>
      <c r="G23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6">
        <f>RANK(tbl_AQI[[#This Row],[Current AQI]], tbl_AQI[Current AQI], 0)</f>
        <v>1635</v>
      </c>
    </row>
    <row r="2317" spans="1:8" x14ac:dyDescent="0.35">
      <c r="A2317" t="s">
        <v>2235</v>
      </c>
      <c r="B2317" t="s">
        <v>2339</v>
      </c>
      <c r="C2317">
        <v>200</v>
      </c>
      <c r="D2317">
        <v>126</v>
      </c>
      <c r="E2317" t="s">
        <v>9</v>
      </c>
      <c r="F2317">
        <f>tbl_AQI[[#This Row],[Most AQI Reached]]-tbl_AQI[[#This Row],[Current AQI]]</f>
        <v>74</v>
      </c>
      <c r="G23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7">
        <f>RANK(tbl_AQI[[#This Row],[Current AQI]], tbl_AQI[Current AQI], 0)</f>
        <v>2934</v>
      </c>
    </row>
    <row r="2318" spans="1:8" x14ac:dyDescent="0.35">
      <c r="A2318" t="s">
        <v>2235</v>
      </c>
      <c r="B2318" t="s">
        <v>2340</v>
      </c>
      <c r="C2318">
        <v>285</v>
      </c>
      <c r="D2318">
        <v>107</v>
      </c>
      <c r="E2318" t="s">
        <v>21</v>
      </c>
      <c r="F2318">
        <f>tbl_AQI[[#This Row],[Most AQI Reached]]-tbl_AQI[[#This Row],[Current AQI]]</f>
        <v>178</v>
      </c>
      <c r="G23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8">
        <f>RANK(tbl_AQI[[#This Row],[Current AQI]], tbl_AQI[Current AQI], 0)</f>
        <v>3387</v>
      </c>
    </row>
    <row r="2319" spans="1:8" x14ac:dyDescent="0.35">
      <c r="A2319" t="s">
        <v>2235</v>
      </c>
      <c r="B2319" t="s">
        <v>2341</v>
      </c>
      <c r="C2319">
        <v>274</v>
      </c>
      <c r="D2319">
        <v>181</v>
      </c>
      <c r="E2319" t="s">
        <v>21</v>
      </c>
      <c r="F2319">
        <f>tbl_AQI[[#This Row],[Most AQI Reached]]-tbl_AQI[[#This Row],[Current AQI]]</f>
        <v>93</v>
      </c>
      <c r="G23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19">
        <f>RANK(tbl_AQI[[#This Row],[Current AQI]], tbl_AQI[Current AQI], 0)</f>
        <v>1609</v>
      </c>
    </row>
    <row r="2320" spans="1:8" x14ac:dyDescent="0.35">
      <c r="A2320" t="s">
        <v>2235</v>
      </c>
      <c r="B2320" t="s">
        <v>2342</v>
      </c>
      <c r="C2320">
        <v>234</v>
      </c>
      <c r="D2320">
        <v>182</v>
      </c>
      <c r="E2320" t="s">
        <v>11</v>
      </c>
      <c r="F2320">
        <f>tbl_AQI[[#This Row],[Most AQI Reached]]-tbl_AQI[[#This Row],[Current AQI]]</f>
        <v>52</v>
      </c>
      <c r="G23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20">
        <f>RANK(tbl_AQI[[#This Row],[Current AQI]], tbl_AQI[Current AQI], 0)</f>
        <v>1593</v>
      </c>
    </row>
    <row r="2321" spans="1:8" x14ac:dyDescent="0.35">
      <c r="A2321" t="s">
        <v>2235</v>
      </c>
      <c r="B2321" t="s">
        <v>2343</v>
      </c>
      <c r="C2321">
        <v>55</v>
      </c>
      <c r="D2321">
        <v>37</v>
      </c>
      <c r="E2321" t="s">
        <v>9</v>
      </c>
      <c r="F2321">
        <f>tbl_AQI[[#This Row],[Most AQI Reached]]-tbl_AQI[[#This Row],[Current AQI]]</f>
        <v>18</v>
      </c>
      <c r="G23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21">
        <f>RANK(tbl_AQI[[#This Row],[Current AQI]], tbl_AQI[Current AQI], 0)</f>
        <v>4863</v>
      </c>
    </row>
    <row r="2322" spans="1:8" x14ac:dyDescent="0.35">
      <c r="A2322" t="s">
        <v>2235</v>
      </c>
      <c r="B2322" t="s">
        <v>2344</v>
      </c>
      <c r="C2322">
        <v>132</v>
      </c>
      <c r="D2322">
        <v>115</v>
      </c>
      <c r="E2322" t="s">
        <v>33</v>
      </c>
      <c r="F2322">
        <f>tbl_AQI[[#This Row],[Most AQI Reached]]-tbl_AQI[[#This Row],[Current AQI]]</f>
        <v>17</v>
      </c>
      <c r="G23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22">
        <f>RANK(tbl_AQI[[#This Row],[Current AQI]], tbl_AQI[Current AQI], 0)</f>
        <v>3206</v>
      </c>
    </row>
    <row r="2323" spans="1:8" x14ac:dyDescent="0.35">
      <c r="A2323" t="s">
        <v>2235</v>
      </c>
      <c r="B2323" t="s">
        <v>2345</v>
      </c>
      <c r="C2323">
        <v>241</v>
      </c>
      <c r="D2323">
        <v>30</v>
      </c>
      <c r="E2323" t="s">
        <v>33</v>
      </c>
      <c r="F2323">
        <f>tbl_AQI[[#This Row],[Most AQI Reached]]-tbl_AQI[[#This Row],[Current AQI]]</f>
        <v>211</v>
      </c>
      <c r="G23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23">
        <f>RANK(tbl_AQI[[#This Row],[Current AQI]], tbl_AQI[Current AQI], 0)</f>
        <v>5042</v>
      </c>
    </row>
    <row r="2324" spans="1:8" x14ac:dyDescent="0.35">
      <c r="A2324" t="s">
        <v>2235</v>
      </c>
      <c r="B2324" t="s">
        <v>2346</v>
      </c>
      <c r="C2324">
        <v>279</v>
      </c>
      <c r="D2324">
        <v>154</v>
      </c>
      <c r="E2324" t="s">
        <v>11</v>
      </c>
      <c r="F2324">
        <f>tbl_AQI[[#This Row],[Most AQI Reached]]-tbl_AQI[[#This Row],[Current AQI]]</f>
        <v>125</v>
      </c>
      <c r="G23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24">
        <f>RANK(tbl_AQI[[#This Row],[Current AQI]], tbl_AQI[Current AQI], 0)</f>
        <v>2307</v>
      </c>
    </row>
    <row r="2325" spans="1:8" x14ac:dyDescent="0.35">
      <c r="A2325" t="s">
        <v>2235</v>
      </c>
      <c r="B2325" t="s">
        <v>2347</v>
      </c>
      <c r="C2325">
        <v>163</v>
      </c>
      <c r="D2325">
        <v>134</v>
      </c>
      <c r="E2325" t="s">
        <v>7</v>
      </c>
      <c r="F2325">
        <f>tbl_AQI[[#This Row],[Most AQI Reached]]-tbl_AQI[[#This Row],[Current AQI]]</f>
        <v>29</v>
      </c>
      <c r="G23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25">
        <f>RANK(tbl_AQI[[#This Row],[Current AQI]], tbl_AQI[Current AQI], 0)</f>
        <v>2740</v>
      </c>
    </row>
    <row r="2326" spans="1:8" x14ac:dyDescent="0.35">
      <c r="A2326" t="s">
        <v>2235</v>
      </c>
      <c r="B2326" t="s">
        <v>2348</v>
      </c>
      <c r="C2326">
        <v>294</v>
      </c>
      <c r="D2326">
        <v>177</v>
      </c>
      <c r="E2326" t="s">
        <v>21</v>
      </c>
      <c r="F2326">
        <f>tbl_AQI[[#This Row],[Most AQI Reached]]-tbl_AQI[[#This Row],[Current AQI]]</f>
        <v>117</v>
      </c>
      <c r="G23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26">
        <f>RANK(tbl_AQI[[#This Row],[Current AQI]], tbl_AQI[Current AQI], 0)</f>
        <v>1733</v>
      </c>
    </row>
    <row r="2327" spans="1:8" x14ac:dyDescent="0.35">
      <c r="A2327" t="s">
        <v>2235</v>
      </c>
      <c r="B2327" t="s">
        <v>2349</v>
      </c>
      <c r="C2327">
        <v>66</v>
      </c>
      <c r="D2327">
        <v>58</v>
      </c>
      <c r="E2327" t="s">
        <v>11</v>
      </c>
      <c r="F2327">
        <f>tbl_AQI[[#This Row],[Most AQI Reached]]-tbl_AQI[[#This Row],[Current AQI]]</f>
        <v>8</v>
      </c>
      <c r="G23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27">
        <f>RANK(tbl_AQI[[#This Row],[Current AQI]], tbl_AQI[Current AQI], 0)</f>
        <v>4431</v>
      </c>
    </row>
    <row r="2328" spans="1:8" x14ac:dyDescent="0.35">
      <c r="A2328" t="s">
        <v>2235</v>
      </c>
      <c r="B2328" t="s">
        <v>2350</v>
      </c>
      <c r="C2328">
        <v>215</v>
      </c>
      <c r="D2328">
        <v>124</v>
      </c>
      <c r="E2328" t="s">
        <v>33</v>
      </c>
      <c r="F2328">
        <f>tbl_AQI[[#This Row],[Most AQI Reached]]-tbl_AQI[[#This Row],[Current AQI]]</f>
        <v>91</v>
      </c>
      <c r="G23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28">
        <f>RANK(tbl_AQI[[#This Row],[Current AQI]], tbl_AQI[Current AQI], 0)</f>
        <v>2971</v>
      </c>
    </row>
    <row r="2329" spans="1:8" x14ac:dyDescent="0.35">
      <c r="A2329" t="s">
        <v>2235</v>
      </c>
      <c r="B2329" t="s">
        <v>2351</v>
      </c>
      <c r="C2329">
        <v>101</v>
      </c>
      <c r="D2329">
        <v>63</v>
      </c>
      <c r="E2329" t="s">
        <v>7</v>
      </c>
      <c r="F2329">
        <f>tbl_AQI[[#This Row],[Most AQI Reached]]-tbl_AQI[[#This Row],[Current AQI]]</f>
        <v>38</v>
      </c>
      <c r="G23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29">
        <f>RANK(tbl_AQI[[#This Row],[Current AQI]], tbl_AQI[Current AQI], 0)</f>
        <v>4322</v>
      </c>
    </row>
    <row r="2330" spans="1:8" x14ac:dyDescent="0.35">
      <c r="A2330" t="s">
        <v>2235</v>
      </c>
      <c r="B2330" t="s">
        <v>2352</v>
      </c>
      <c r="C2330">
        <v>89</v>
      </c>
      <c r="D2330">
        <v>64</v>
      </c>
      <c r="E2330" t="s">
        <v>9</v>
      </c>
      <c r="F2330">
        <f>tbl_AQI[[#This Row],[Most AQI Reached]]-tbl_AQI[[#This Row],[Current AQI]]</f>
        <v>25</v>
      </c>
      <c r="G23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30">
        <f>RANK(tbl_AQI[[#This Row],[Current AQI]], tbl_AQI[Current AQI], 0)</f>
        <v>4293</v>
      </c>
    </row>
    <row r="2331" spans="1:8" x14ac:dyDescent="0.35">
      <c r="A2331" t="s">
        <v>2235</v>
      </c>
      <c r="B2331" t="s">
        <v>2353</v>
      </c>
      <c r="C2331">
        <v>260</v>
      </c>
      <c r="D2331">
        <v>49</v>
      </c>
      <c r="E2331" t="s">
        <v>21</v>
      </c>
      <c r="F2331">
        <f>tbl_AQI[[#This Row],[Most AQI Reached]]-tbl_AQI[[#This Row],[Current AQI]]</f>
        <v>211</v>
      </c>
      <c r="G23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31">
        <f>RANK(tbl_AQI[[#This Row],[Current AQI]], tbl_AQI[Current AQI], 0)</f>
        <v>4614</v>
      </c>
    </row>
    <row r="2332" spans="1:8" x14ac:dyDescent="0.35">
      <c r="A2332" t="s">
        <v>2235</v>
      </c>
      <c r="B2332" t="s">
        <v>2354</v>
      </c>
      <c r="C2332">
        <v>271</v>
      </c>
      <c r="D2332">
        <v>147</v>
      </c>
      <c r="E2332" t="s">
        <v>21</v>
      </c>
      <c r="F2332">
        <f>tbl_AQI[[#This Row],[Most AQI Reached]]-tbl_AQI[[#This Row],[Current AQI]]</f>
        <v>124</v>
      </c>
      <c r="G23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32">
        <f>RANK(tbl_AQI[[#This Row],[Current AQI]], tbl_AQI[Current AQI], 0)</f>
        <v>2478</v>
      </c>
    </row>
    <row r="2333" spans="1:8" x14ac:dyDescent="0.35">
      <c r="A2333" t="s">
        <v>2235</v>
      </c>
      <c r="B2333" t="s">
        <v>2355</v>
      </c>
      <c r="C2333">
        <v>214</v>
      </c>
      <c r="D2333">
        <v>179</v>
      </c>
      <c r="E2333" t="s">
        <v>7</v>
      </c>
      <c r="F2333">
        <f>tbl_AQI[[#This Row],[Most AQI Reached]]-tbl_AQI[[#This Row],[Current AQI]]</f>
        <v>35</v>
      </c>
      <c r="G23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33">
        <f>RANK(tbl_AQI[[#This Row],[Current AQI]], tbl_AQI[Current AQI], 0)</f>
        <v>1667</v>
      </c>
    </row>
    <row r="2334" spans="1:8" x14ac:dyDescent="0.35">
      <c r="A2334" t="s">
        <v>2235</v>
      </c>
      <c r="B2334" t="s">
        <v>2356</v>
      </c>
      <c r="C2334">
        <v>121</v>
      </c>
      <c r="D2334">
        <v>44</v>
      </c>
      <c r="E2334" t="s">
        <v>33</v>
      </c>
      <c r="F2334">
        <f>tbl_AQI[[#This Row],[Most AQI Reached]]-tbl_AQI[[#This Row],[Current AQI]]</f>
        <v>77</v>
      </c>
      <c r="G23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34">
        <f>RANK(tbl_AQI[[#This Row],[Current AQI]], tbl_AQI[Current AQI], 0)</f>
        <v>4732</v>
      </c>
    </row>
    <row r="2335" spans="1:8" x14ac:dyDescent="0.35">
      <c r="A2335" t="s">
        <v>2235</v>
      </c>
      <c r="B2335" t="s">
        <v>2357</v>
      </c>
      <c r="C2335">
        <v>172</v>
      </c>
      <c r="D2335">
        <v>57</v>
      </c>
      <c r="E2335" t="s">
        <v>7</v>
      </c>
      <c r="F2335">
        <f>tbl_AQI[[#This Row],[Most AQI Reached]]-tbl_AQI[[#This Row],[Current AQI]]</f>
        <v>115</v>
      </c>
      <c r="G23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35">
        <f>RANK(tbl_AQI[[#This Row],[Current AQI]], tbl_AQI[Current AQI], 0)</f>
        <v>4452</v>
      </c>
    </row>
    <row r="2336" spans="1:8" x14ac:dyDescent="0.35">
      <c r="A2336" t="s">
        <v>2235</v>
      </c>
      <c r="B2336" t="s">
        <v>2358</v>
      </c>
      <c r="C2336">
        <v>215</v>
      </c>
      <c r="D2336">
        <v>85</v>
      </c>
      <c r="E2336" t="s">
        <v>9</v>
      </c>
      <c r="F2336">
        <f>tbl_AQI[[#This Row],[Most AQI Reached]]-tbl_AQI[[#This Row],[Current AQI]]</f>
        <v>130</v>
      </c>
      <c r="G23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36">
        <f>RANK(tbl_AQI[[#This Row],[Current AQI]], tbl_AQI[Current AQI], 0)</f>
        <v>3852</v>
      </c>
    </row>
    <row r="2337" spans="1:8" x14ac:dyDescent="0.35">
      <c r="A2337" t="s">
        <v>2235</v>
      </c>
      <c r="B2337" t="s">
        <v>2359</v>
      </c>
      <c r="C2337">
        <v>280</v>
      </c>
      <c r="D2337">
        <v>114</v>
      </c>
      <c r="E2337" t="s">
        <v>15</v>
      </c>
      <c r="F2337">
        <f>tbl_AQI[[#This Row],[Most AQI Reached]]-tbl_AQI[[#This Row],[Current AQI]]</f>
        <v>166</v>
      </c>
      <c r="G23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37">
        <f>RANK(tbl_AQI[[#This Row],[Current AQI]], tbl_AQI[Current AQI], 0)</f>
        <v>3226</v>
      </c>
    </row>
    <row r="2338" spans="1:8" x14ac:dyDescent="0.35">
      <c r="A2338" t="s">
        <v>2235</v>
      </c>
      <c r="B2338" t="s">
        <v>2360</v>
      </c>
      <c r="C2338">
        <v>229</v>
      </c>
      <c r="D2338">
        <v>140</v>
      </c>
      <c r="E2338" t="s">
        <v>11</v>
      </c>
      <c r="F2338">
        <f>tbl_AQI[[#This Row],[Most AQI Reached]]-tbl_AQI[[#This Row],[Current AQI]]</f>
        <v>89</v>
      </c>
      <c r="G23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38">
        <f>RANK(tbl_AQI[[#This Row],[Current AQI]], tbl_AQI[Current AQI], 0)</f>
        <v>2627</v>
      </c>
    </row>
    <row r="2339" spans="1:8" x14ac:dyDescent="0.35">
      <c r="A2339" t="s">
        <v>2235</v>
      </c>
      <c r="B2339" t="s">
        <v>2361</v>
      </c>
      <c r="C2339">
        <v>112</v>
      </c>
      <c r="D2339">
        <v>32</v>
      </c>
      <c r="E2339" t="s">
        <v>17</v>
      </c>
      <c r="F2339">
        <f>tbl_AQI[[#This Row],[Most AQI Reached]]-tbl_AQI[[#This Row],[Current AQI]]</f>
        <v>80</v>
      </c>
      <c r="G23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39">
        <f>RANK(tbl_AQI[[#This Row],[Current AQI]], tbl_AQI[Current AQI], 0)</f>
        <v>4983</v>
      </c>
    </row>
    <row r="2340" spans="1:8" x14ac:dyDescent="0.35">
      <c r="A2340" t="s">
        <v>2235</v>
      </c>
      <c r="B2340" t="s">
        <v>2362</v>
      </c>
      <c r="C2340">
        <v>207</v>
      </c>
      <c r="D2340">
        <v>71</v>
      </c>
      <c r="E2340" t="s">
        <v>21</v>
      </c>
      <c r="F2340">
        <f>tbl_AQI[[#This Row],[Most AQI Reached]]-tbl_AQI[[#This Row],[Current AQI]]</f>
        <v>136</v>
      </c>
      <c r="G23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40">
        <f>RANK(tbl_AQI[[#This Row],[Current AQI]], tbl_AQI[Current AQI], 0)</f>
        <v>4129</v>
      </c>
    </row>
    <row r="2341" spans="1:8" x14ac:dyDescent="0.35">
      <c r="A2341" t="s">
        <v>2235</v>
      </c>
      <c r="B2341" t="s">
        <v>2363</v>
      </c>
      <c r="C2341">
        <v>316</v>
      </c>
      <c r="D2341">
        <v>122</v>
      </c>
      <c r="E2341" t="s">
        <v>7</v>
      </c>
      <c r="F2341">
        <f>tbl_AQI[[#This Row],[Most AQI Reached]]-tbl_AQI[[#This Row],[Current AQI]]</f>
        <v>194</v>
      </c>
      <c r="G23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41">
        <f>RANK(tbl_AQI[[#This Row],[Current AQI]], tbl_AQI[Current AQI], 0)</f>
        <v>3013</v>
      </c>
    </row>
    <row r="2342" spans="1:8" x14ac:dyDescent="0.35">
      <c r="A2342" t="s">
        <v>2235</v>
      </c>
      <c r="B2342" t="s">
        <v>2364</v>
      </c>
      <c r="C2342">
        <v>234</v>
      </c>
      <c r="D2342">
        <v>130</v>
      </c>
      <c r="E2342" t="s">
        <v>9</v>
      </c>
      <c r="F2342">
        <f>tbl_AQI[[#This Row],[Most AQI Reached]]-tbl_AQI[[#This Row],[Current AQI]]</f>
        <v>104</v>
      </c>
      <c r="G23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42">
        <f>RANK(tbl_AQI[[#This Row],[Current AQI]], tbl_AQI[Current AQI], 0)</f>
        <v>2832</v>
      </c>
    </row>
    <row r="2343" spans="1:8" x14ac:dyDescent="0.35">
      <c r="A2343" t="s">
        <v>2235</v>
      </c>
      <c r="B2343" t="s">
        <v>2365</v>
      </c>
      <c r="C2343">
        <v>137</v>
      </c>
      <c r="D2343">
        <v>136</v>
      </c>
      <c r="E2343" t="s">
        <v>15</v>
      </c>
      <c r="F2343">
        <f>tbl_AQI[[#This Row],[Most AQI Reached]]-tbl_AQI[[#This Row],[Current AQI]]</f>
        <v>1</v>
      </c>
      <c r="G23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43">
        <f>RANK(tbl_AQI[[#This Row],[Current AQI]], tbl_AQI[Current AQI], 0)</f>
        <v>2692</v>
      </c>
    </row>
    <row r="2344" spans="1:8" x14ac:dyDescent="0.35">
      <c r="A2344" t="s">
        <v>2235</v>
      </c>
      <c r="B2344" t="s">
        <v>2366</v>
      </c>
      <c r="C2344">
        <v>260</v>
      </c>
      <c r="D2344">
        <v>94</v>
      </c>
      <c r="E2344" t="s">
        <v>33</v>
      </c>
      <c r="F2344">
        <f>tbl_AQI[[#This Row],[Most AQI Reached]]-tbl_AQI[[#This Row],[Current AQI]]</f>
        <v>166</v>
      </c>
      <c r="G23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44">
        <f>RANK(tbl_AQI[[#This Row],[Current AQI]], tbl_AQI[Current AQI], 0)</f>
        <v>3654</v>
      </c>
    </row>
    <row r="2345" spans="1:8" x14ac:dyDescent="0.35">
      <c r="A2345" t="s">
        <v>2235</v>
      </c>
      <c r="B2345" t="s">
        <v>2367</v>
      </c>
      <c r="C2345">
        <v>159</v>
      </c>
      <c r="D2345">
        <v>83</v>
      </c>
      <c r="E2345" t="s">
        <v>7</v>
      </c>
      <c r="F2345">
        <f>tbl_AQI[[#This Row],[Most AQI Reached]]-tbl_AQI[[#This Row],[Current AQI]]</f>
        <v>76</v>
      </c>
      <c r="G23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45">
        <f>RANK(tbl_AQI[[#This Row],[Current AQI]], tbl_AQI[Current AQI], 0)</f>
        <v>3892</v>
      </c>
    </row>
    <row r="2346" spans="1:8" x14ac:dyDescent="0.35">
      <c r="A2346" t="s">
        <v>2235</v>
      </c>
      <c r="B2346" t="s">
        <v>2368</v>
      </c>
      <c r="C2346">
        <v>307</v>
      </c>
      <c r="D2346">
        <v>190</v>
      </c>
      <c r="E2346" t="s">
        <v>9</v>
      </c>
      <c r="F2346">
        <f>tbl_AQI[[#This Row],[Most AQI Reached]]-tbl_AQI[[#This Row],[Current AQI]]</f>
        <v>117</v>
      </c>
      <c r="G23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46">
        <f>RANK(tbl_AQI[[#This Row],[Current AQI]], tbl_AQI[Current AQI], 0)</f>
        <v>1355</v>
      </c>
    </row>
    <row r="2347" spans="1:8" x14ac:dyDescent="0.35">
      <c r="A2347" t="s">
        <v>2235</v>
      </c>
      <c r="B2347" t="s">
        <v>2369</v>
      </c>
      <c r="C2347">
        <v>167</v>
      </c>
      <c r="D2347">
        <v>87</v>
      </c>
      <c r="E2347" t="s">
        <v>15</v>
      </c>
      <c r="F2347">
        <f>tbl_AQI[[#This Row],[Most AQI Reached]]-tbl_AQI[[#This Row],[Current AQI]]</f>
        <v>80</v>
      </c>
      <c r="G23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47">
        <f>RANK(tbl_AQI[[#This Row],[Current AQI]], tbl_AQI[Current AQI], 0)</f>
        <v>3813</v>
      </c>
    </row>
    <row r="2348" spans="1:8" x14ac:dyDescent="0.35">
      <c r="A2348" t="s">
        <v>2235</v>
      </c>
      <c r="B2348" t="s">
        <v>2370</v>
      </c>
      <c r="C2348">
        <v>247</v>
      </c>
      <c r="D2348">
        <v>148</v>
      </c>
      <c r="E2348" t="s">
        <v>17</v>
      </c>
      <c r="F2348">
        <f>tbl_AQI[[#This Row],[Most AQI Reached]]-tbl_AQI[[#This Row],[Current AQI]]</f>
        <v>99</v>
      </c>
      <c r="G23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48">
        <f>RANK(tbl_AQI[[#This Row],[Current AQI]], tbl_AQI[Current AQI], 0)</f>
        <v>2446</v>
      </c>
    </row>
    <row r="2349" spans="1:8" x14ac:dyDescent="0.35">
      <c r="A2349" t="s">
        <v>2235</v>
      </c>
      <c r="B2349" t="s">
        <v>2371</v>
      </c>
      <c r="C2349">
        <v>193</v>
      </c>
      <c r="D2349">
        <v>165</v>
      </c>
      <c r="E2349" t="s">
        <v>15</v>
      </c>
      <c r="F2349">
        <f>tbl_AQI[[#This Row],[Most AQI Reached]]-tbl_AQI[[#This Row],[Current AQI]]</f>
        <v>28</v>
      </c>
      <c r="G23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49">
        <f>RANK(tbl_AQI[[#This Row],[Current AQI]], tbl_AQI[Current AQI], 0)</f>
        <v>2028</v>
      </c>
    </row>
    <row r="2350" spans="1:8" x14ac:dyDescent="0.35">
      <c r="A2350" t="s">
        <v>2235</v>
      </c>
      <c r="B2350" t="s">
        <v>2372</v>
      </c>
      <c r="C2350">
        <v>279</v>
      </c>
      <c r="D2350">
        <v>82</v>
      </c>
      <c r="E2350" t="s">
        <v>15</v>
      </c>
      <c r="F2350">
        <f>tbl_AQI[[#This Row],[Most AQI Reached]]-tbl_AQI[[#This Row],[Current AQI]]</f>
        <v>197</v>
      </c>
      <c r="G23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50">
        <f>RANK(tbl_AQI[[#This Row],[Current AQI]], tbl_AQI[Current AQI], 0)</f>
        <v>3904</v>
      </c>
    </row>
    <row r="2351" spans="1:8" x14ac:dyDescent="0.35">
      <c r="A2351" t="s">
        <v>2235</v>
      </c>
      <c r="B2351" t="s">
        <v>2373</v>
      </c>
      <c r="C2351">
        <v>224</v>
      </c>
      <c r="D2351">
        <v>152</v>
      </c>
      <c r="E2351" t="s">
        <v>15</v>
      </c>
      <c r="F2351">
        <f>tbl_AQI[[#This Row],[Most AQI Reached]]-tbl_AQI[[#This Row],[Current AQI]]</f>
        <v>72</v>
      </c>
      <c r="G23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51">
        <f>RANK(tbl_AQI[[#This Row],[Current AQI]], tbl_AQI[Current AQI], 0)</f>
        <v>2349</v>
      </c>
    </row>
    <row r="2352" spans="1:8" x14ac:dyDescent="0.35">
      <c r="A2352" t="s">
        <v>2235</v>
      </c>
      <c r="B2352" t="s">
        <v>2374</v>
      </c>
      <c r="C2352">
        <v>211</v>
      </c>
      <c r="D2352">
        <v>148</v>
      </c>
      <c r="E2352" t="s">
        <v>11</v>
      </c>
      <c r="F2352">
        <f>tbl_AQI[[#This Row],[Most AQI Reached]]-tbl_AQI[[#This Row],[Current AQI]]</f>
        <v>63</v>
      </c>
      <c r="G23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52">
        <f>RANK(tbl_AQI[[#This Row],[Current AQI]], tbl_AQI[Current AQI], 0)</f>
        <v>2446</v>
      </c>
    </row>
    <row r="2353" spans="1:8" x14ac:dyDescent="0.35">
      <c r="A2353" t="s">
        <v>2235</v>
      </c>
      <c r="B2353" t="s">
        <v>2375</v>
      </c>
      <c r="C2353">
        <v>298</v>
      </c>
      <c r="D2353">
        <v>160</v>
      </c>
      <c r="E2353" t="s">
        <v>21</v>
      </c>
      <c r="F2353">
        <f>tbl_AQI[[#This Row],[Most AQI Reached]]-tbl_AQI[[#This Row],[Current AQI]]</f>
        <v>138</v>
      </c>
      <c r="G23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53">
        <f>RANK(tbl_AQI[[#This Row],[Current AQI]], tbl_AQI[Current AQI], 0)</f>
        <v>2154</v>
      </c>
    </row>
    <row r="2354" spans="1:8" x14ac:dyDescent="0.35">
      <c r="A2354" t="s">
        <v>2235</v>
      </c>
      <c r="B2354" t="s">
        <v>2376</v>
      </c>
      <c r="C2354">
        <v>221</v>
      </c>
      <c r="D2354">
        <v>37</v>
      </c>
      <c r="E2354" t="s">
        <v>17</v>
      </c>
      <c r="F2354">
        <f>tbl_AQI[[#This Row],[Most AQI Reached]]-tbl_AQI[[#This Row],[Current AQI]]</f>
        <v>184</v>
      </c>
      <c r="G23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54">
        <f>RANK(tbl_AQI[[#This Row],[Current AQI]], tbl_AQI[Current AQI], 0)</f>
        <v>4863</v>
      </c>
    </row>
    <row r="2355" spans="1:8" x14ac:dyDescent="0.35">
      <c r="A2355" t="s">
        <v>2235</v>
      </c>
      <c r="B2355" t="s">
        <v>2377</v>
      </c>
      <c r="C2355">
        <v>224</v>
      </c>
      <c r="D2355">
        <v>190</v>
      </c>
      <c r="E2355" t="s">
        <v>9</v>
      </c>
      <c r="F2355">
        <f>tbl_AQI[[#This Row],[Most AQI Reached]]-tbl_AQI[[#This Row],[Current AQI]]</f>
        <v>34</v>
      </c>
      <c r="G23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55">
        <f>RANK(tbl_AQI[[#This Row],[Current AQI]], tbl_AQI[Current AQI], 0)</f>
        <v>1355</v>
      </c>
    </row>
    <row r="2356" spans="1:8" x14ac:dyDescent="0.35">
      <c r="A2356" t="s">
        <v>2235</v>
      </c>
      <c r="B2356" t="s">
        <v>2378</v>
      </c>
      <c r="C2356">
        <v>210</v>
      </c>
      <c r="D2356">
        <v>159</v>
      </c>
      <c r="E2356" t="s">
        <v>33</v>
      </c>
      <c r="F2356">
        <f>tbl_AQI[[#This Row],[Most AQI Reached]]-tbl_AQI[[#This Row],[Current AQI]]</f>
        <v>51</v>
      </c>
      <c r="G23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56">
        <f>RANK(tbl_AQI[[#This Row],[Current AQI]], tbl_AQI[Current AQI], 0)</f>
        <v>2183</v>
      </c>
    </row>
    <row r="2357" spans="1:8" x14ac:dyDescent="0.35">
      <c r="A2357" t="s">
        <v>2235</v>
      </c>
      <c r="B2357" t="s">
        <v>2379</v>
      </c>
      <c r="C2357">
        <v>94</v>
      </c>
      <c r="D2357">
        <v>56</v>
      </c>
      <c r="E2357" t="s">
        <v>7</v>
      </c>
      <c r="F2357">
        <f>tbl_AQI[[#This Row],[Most AQI Reached]]-tbl_AQI[[#This Row],[Current AQI]]</f>
        <v>38</v>
      </c>
      <c r="G23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57">
        <f>RANK(tbl_AQI[[#This Row],[Current AQI]], tbl_AQI[Current AQI], 0)</f>
        <v>4474</v>
      </c>
    </row>
    <row r="2358" spans="1:8" x14ac:dyDescent="0.35">
      <c r="A2358" t="s">
        <v>2235</v>
      </c>
      <c r="B2358" t="s">
        <v>2380</v>
      </c>
      <c r="C2358">
        <v>95</v>
      </c>
      <c r="D2358">
        <v>41</v>
      </c>
      <c r="E2358" t="s">
        <v>7</v>
      </c>
      <c r="F2358">
        <f>tbl_AQI[[#This Row],[Most AQI Reached]]-tbl_AQI[[#This Row],[Current AQI]]</f>
        <v>54</v>
      </c>
      <c r="G23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58">
        <f>RANK(tbl_AQI[[#This Row],[Current AQI]], tbl_AQI[Current AQI], 0)</f>
        <v>4789</v>
      </c>
    </row>
    <row r="2359" spans="1:8" x14ac:dyDescent="0.35">
      <c r="A2359" t="s">
        <v>2235</v>
      </c>
      <c r="B2359" t="s">
        <v>2381</v>
      </c>
      <c r="C2359">
        <v>273</v>
      </c>
      <c r="D2359">
        <v>72</v>
      </c>
      <c r="E2359" t="s">
        <v>7</v>
      </c>
      <c r="F2359">
        <f>tbl_AQI[[#This Row],[Most AQI Reached]]-tbl_AQI[[#This Row],[Current AQI]]</f>
        <v>201</v>
      </c>
      <c r="G23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59">
        <f>RANK(tbl_AQI[[#This Row],[Current AQI]], tbl_AQI[Current AQI], 0)</f>
        <v>4100</v>
      </c>
    </row>
    <row r="2360" spans="1:8" x14ac:dyDescent="0.35">
      <c r="A2360" t="s">
        <v>2235</v>
      </c>
      <c r="B2360" t="s">
        <v>2382</v>
      </c>
      <c r="C2360">
        <v>257</v>
      </c>
      <c r="D2360">
        <v>163</v>
      </c>
      <c r="E2360" t="s">
        <v>15</v>
      </c>
      <c r="F2360">
        <f>tbl_AQI[[#This Row],[Most AQI Reached]]-tbl_AQI[[#This Row],[Current AQI]]</f>
        <v>94</v>
      </c>
      <c r="G23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60">
        <f>RANK(tbl_AQI[[#This Row],[Current AQI]], tbl_AQI[Current AQI], 0)</f>
        <v>2075</v>
      </c>
    </row>
    <row r="2361" spans="1:8" x14ac:dyDescent="0.35">
      <c r="A2361" t="s">
        <v>2235</v>
      </c>
      <c r="B2361" t="s">
        <v>2383</v>
      </c>
      <c r="C2361">
        <v>36</v>
      </c>
      <c r="D2361">
        <v>31</v>
      </c>
      <c r="E2361" t="s">
        <v>15</v>
      </c>
      <c r="F2361">
        <f>tbl_AQI[[#This Row],[Most AQI Reached]]-tbl_AQI[[#This Row],[Current AQI]]</f>
        <v>5</v>
      </c>
      <c r="G23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61">
        <f>RANK(tbl_AQI[[#This Row],[Current AQI]], tbl_AQI[Current AQI], 0)</f>
        <v>5016</v>
      </c>
    </row>
    <row r="2362" spans="1:8" x14ac:dyDescent="0.35">
      <c r="A2362" t="s">
        <v>2235</v>
      </c>
      <c r="B2362" t="s">
        <v>2384</v>
      </c>
      <c r="C2362">
        <v>266</v>
      </c>
      <c r="D2362">
        <v>66</v>
      </c>
      <c r="E2362" t="s">
        <v>21</v>
      </c>
      <c r="F2362">
        <f>tbl_AQI[[#This Row],[Most AQI Reached]]-tbl_AQI[[#This Row],[Current AQI]]</f>
        <v>200</v>
      </c>
      <c r="G23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62">
        <f>RANK(tbl_AQI[[#This Row],[Current AQI]], tbl_AQI[Current AQI], 0)</f>
        <v>4247</v>
      </c>
    </row>
    <row r="2363" spans="1:8" x14ac:dyDescent="0.35">
      <c r="A2363" t="s">
        <v>2235</v>
      </c>
      <c r="B2363" t="s">
        <v>2385</v>
      </c>
      <c r="C2363">
        <v>303</v>
      </c>
      <c r="D2363">
        <v>175</v>
      </c>
      <c r="E2363" t="s">
        <v>15</v>
      </c>
      <c r="F2363">
        <f>tbl_AQI[[#This Row],[Most AQI Reached]]-tbl_AQI[[#This Row],[Current AQI]]</f>
        <v>128</v>
      </c>
      <c r="G23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63">
        <f>RANK(tbl_AQI[[#This Row],[Current AQI]], tbl_AQI[Current AQI], 0)</f>
        <v>1780</v>
      </c>
    </row>
    <row r="2364" spans="1:8" x14ac:dyDescent="0.35">
      <c r="A2364" t="s">
        <v>2235</v>
      </c>
      <c r="B2364" t="s">
        <v>2386</v>
      </c>
      <c r="C2364">
        <v>101</v>
      </c>
      <c r="D2364">
        <v>53</v>
      </c>
      <c r="E2364" t="s">
        <v>9</v>
      </c>
      <c r="F2364">
        <f>tbl_AQI[[#This Row],[Most AQI Reached]]-tbl_AQI[[#This Row],[Current AQI]]</f>
        <v>48</v>
      </c>
      <c r="G23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64">
        <f>RANK(tbl_AQI[[#This Row],[Current AQI]], tbl_AQI[Current AQI], 0)</f>
        <v>4544</v>
      </c>
    </row>
    <row r="2365" spans="1:8" x14ac:dyDescent="0.35">
      <c r="A2365" t="s">
        <v>2235</v>
      </c>
      <c r="B2365" t="s">
        <v>2387</v>
      </c>
      <c r="C2365">
        <v>227</v>
      </c>
      <c r="D2365">
        <v>105</v>
      </c>
      <c r="E2365" t="s">
        <v>15</v>
      </c>
      <c r="F2365">
        <f>tbl_AQI[[#This Row],[Most AQI Reached]]-tbl_AQI[[#This Row],[Current AQI]]</f>
        <v>122</v>
      </c>
      <c r="G23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65">
        <f>RANK(tbl_AQI[[#This Row],[Current AQI]], tbl_AQI[Current AQI], 0)</f>
        <v>3436</v>
      </c>
    </row>
    <row r="2366" spans="1:8" x14ac:dyDescent="0.35">
      <c r="A2366" t="s">
        <v>2235</v>
      </c>
      <c r="B2366" t="s">
        <v>2388</v>
      </c>
      <c r="C2366">
        <v>140</v>
      </c>
      <c r="D2366">
        <v>43</v>
      </c>
      <c r="E2366" t="s">
        <v>33</v>
      </c>
      <c r="F2366">
        <f>tbl_AQI[[#This Row],[Most AQI Reached]]-tbl_AQI[[#This Row],[Current AQI]]</f>
        <v>97</v>
      </c>
      <c r="G23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66">
        <f>RANK(tbl_AQI[[#This Row],[Current AQI]], tbl_AQI[Current AQI], 0)</f>
        <v>4752</v>
      </c>
    </row>
    <row r="2367" spans="1:8" x14ac:dyDescent="0.35">
      <c r="A2367" t="s">
        <v>2235</v>
      </c>
      <c r="B2367" t="s">
        <v>2389</v>
      </c>
      <c r="C2367">
        <v>261</v>
      </c>
      <c r="D2367">
        <v>188</v>
      </c>
      <c r="E2367" t="s">
        <v>33</v>
      </c>
      <c r="F2367">
        <f>tbl_AQI[[#This Row],[Most AQI Reached]]-tbl_AQI[[#This Row],[Current AQI]]</f>
        <v>73</v>
      </c>
      <c r="G23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67">
        <f>RANK(tbl_AQI[[#This Row],[Current AQI]], tbl_AQI[Current AQI], 0)</f>
        <v>1423</v>
      </c>
    </row>
    <row r="2368" spans="1:8" x14ac:dyDescent="0.35">
      <c r="A2368" t="s">
        <v>2235</v>
      </c>
      <c r="B2368" t="s">
        <v>2390</v>
      </c>
      <c r="C2368">
        <v>226</v>
      </c>
      <c r="D2368">
        <v>150</v>
      </c>
      <c r="E2368" t="s">
        <v>15</v>
      </c>
      <c r="F2368">
        <f>tbl_AQI[[#This Row],[Most AQI Reached]]-tbl_AQI[[#This Row],[Current AQI]]</f>
        <v>76</v>
      </c>
      <c r="G23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68">
        <f>RANK(tbl_AQI[[#This Row],[Current AQI]], tbl_AQI[Current AQI], 0)</f>
        <v>2400</v>
      </c>
    </row>
    <row r="2369" spans="1:8" x14ac:dyDescent="0.35">
      <c r="A2369" t="s">
        <v>2235</v>
      </c>
      <c r="B2369" t="s">
        <v>2391</v>
      </c>
      <c r="C2369">
        <v>200</v>
      </c>
      <c r="D2369">
        <v>138</v>
      </c>
      <c r="E2369" t="s">
        <v>11</v>
      </c>
      <c r="F2369">
        <f>tbl_AQI[[#This Row],[Most AQI Reached]]-tbl_AQI[[#This Row],[Current AQI]]</f>
        <v>62</v>
      </c>
      <c r="G23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69">
        <f>RANK(tbl_AQI[[#This Row],[Current AQI]], tbl_AQI[Current AQI], 0)</f>
        <v>2660</v>
      </c>
    </row>
    <row r="2370" spans="1:8" x14ac:dyDescent="0.35">
      <c r="A2370" t="s">
        <v>2235</v>
      </c>
      <c r="B2370" t="s">
        <v>2392</v>
      </c>
      <c r="C2370">
        <v>89</v>
      </c>
      <c r="D2370">
        <v>70</v>
      </c>
      <c r="E2370" t="s">
        <v>7</v>
      </c>
      <c r="F2370">
        <f>tbl_AQI[[#This Row],[Most AQI Reached]]-tbl_AQI[[#This Row],[Current AQI]]</f>
        <v>19</v>
      </c>
      <c r="G23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70">
        <f>RANK(tbl_AQI[[#This Row],[Current AQI]], tbl_AQI[Current AQI], 0)</f>
        <v>4153</v>
      </c>
    </row>
    <row r="2371" spans="1:8" x14ac:dyDescent="0.35">
      <c r="A2371" t="s">
        <v>2235</v>
      </c>
      <c r="B2371" t="s">
        <v>2393</v>
      </c>
      <c r="C2371">
        <v>91</v>
      </c>
      <c r="D2371">
        <v>90</v>
      </c>
      <c r="E2371" t="s">
        <v>7</v>
      </c>
      <c r="F2371">
        <f>tbl_AQI[[#This Row],[Most AQI Reached]]-tbl_AQI[[#This Row],[Current AQI]]</f>
        <v>1</v>
      </c>
      <c r="G23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71">
        <f>RANK(tbl_AQI[[#This Row],[Current AQI]], tbl_AQI[Current AQI], 0)</f>
        <v>3750</v>
      </c>
    </row>
    <row r="2372" spans="1:8" x14ac:dyDescent="0.35">
      <c r="A2372" t="s">
        <v>2235</v>
      </c>
      <c r="B2372" t="s">
        <v>2394</v>
      </c>
      <c r="C2372">
        <v>252</v>
      </c>
      <c r="D2372">
        <v>125</v>
      </c>
      <c r="E2372" t="s">
        <v>15</v>
      </c>
      <c r="F2372">
        <f>tbl_AQI[[#This Row],[Most AQI Reached]]-tbl_AQI[[#This Row],[Current AQI]]</f>
        <v>127</v>
      </c>
      <c r="G23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72">
        <f>RANK(tbl_AQI[[#This Row],[Current AQI]], tbl_AQI[Current AQI], 0)</f>
        <v>2951</v>
      </c>
    </row>
    <row r="2373" spans="1:8" x14ac:dyDescent="0.35">
      <c r="A2373" t="s">
        <v>2235</v>
      </c>
      <c r="B2373" t="s">
        <v>2395</v>
      </c>
      <c r="C2373">
        <v>210</v>
      </c>
      <c r="D2373">
        <v>90</v>
      </c>
      <c r="E2373" t="s">
        <v>7</v>
      </c>
      <c r="F2373">
        <f>tbl_AQI[[#This Row],[Most AQI Reached]]-tbl_AQI[[#This Row],[Current AQI]]</f>
        <v>120</v>
      </c>
      <c r="G23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73">
        <f>RANK(tbl_AQI[[#This Row],[Current AQI]], tbl_AQI[Current AQI], 0)</f>
        <v>3750</v>
      </c>
    </row>
    <row r="2374" spans="1:8" x14ac:dyDescent="0.35">
      <c r="A2374" t="s">
        <v>2235</v>
      </c>
      <c r="B2374" t="s">
        <v>2396</v>
      </c>
      <c r="C2374">
        <v>202</v>
      </c>
      <c r="D2374">
        <v>89</v>
      </c>
      <c r="E2374" t="s">
        <v>15</v>
      </c>
      <c r="F2374">
        <f>tbl_AQI[[#This Row],[Most AQI Reached]]-tbl_AQI[[#This Row],[Current AQI]]</f>
        <v>113</v>
      </c>
      <c r="G23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74">
        <f>RANK(tbl_AQI[[#This Row],[Current AQI]], tbl_AQI[Current AQI], 0)</f>
        <v>3772</v>
      </c>
    </row>
    <row r="2375" spans="1:8" x14ac:dyDescent="0.35">
      <c r="A2375" t="s">
        <v>2235</v>
      </c>
      <c r="B2375" t="s">
        <v>2397</v>
      </c>
      <c r="C2375">
        <v>140</v>
      </c>
      <c r="D2375">
        <v>117</v>
      </c>
      <c r="E2375" t="s">
        <v>17</v>
      </c>
      <c r="F2375">
        <f>tbl_AQI[[#This Row],[Most AQI Reached]]-tbl_AQI[[#This Row],[Current AQI]]</f>
        <v>23</v>
      </c>
      <c r="G23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75">
        <f>RANK(tbl_AQI[[#This Row],[Current AQI]], tbl_AQI[Current AQI], 0)</f>
        <v>3144</v>
      </c>
    </row>
    <row r="2376" spans="1:8" x14ac:dyDescent="0.35">
      <c r="A2376" t="s">
        <v>2235</v>
      </c>
      <c r="B2376" t="s">
        <v>2398</v>
      </c>
      <c r="C2376">
        <v>281</v>
      </c>
      <c r="D2376">
        <v>87</v>
      </c>
      <c r="E2376" t="s">
        <v>15</v>
      </c>
      <c r="F2376">
        <f>tbl_AQI[[#This Row],[Most AQI Reached]]-tbl_AQI[[#This Row],[Current AQI]]</f>
        <v>194</v>
      </c>
      <c r="G23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76">
        <f>RANK(tbl_AQI[[#This Row],[Current AQI]], tbl_AQI[Current AQI], 0)</f>
        <v>3813</v>
      </c>
    </row>
    <row r="2377" spans="1:8" x14ac:dyDescent="0.35">
      <c r="A2377" t="s">
        <v>2235</v>
      </c>
      <c r="B2377" t="s">
        <v>2399</v>
      </c>
      <c r="C2377">
        <v>311</v>
      </c>
      <c r="D2377">
        <v>132</v>
      </c>
      <c r="E2377" t="s">
        <v>15</v>
      </c>
      <c r="F2377">
        <f>tbl_AQI[[#This Row],[Most AQI Reached]]-tbl_AQI[[#This Row],[Current AQI]]</f>
        <v>179</v>
      </c>
      <c r="G23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77">
        <f>RANK(tbl_AQI[[#This Row],[Current AQI]], tbl_AQI[Current AQI], 0)</f>
        <v>2792</v>
      </c>
    </row>
    <row r="2378" spans="1:8" x14ac:dyDescent="0.35">
      <c r="A2378" t="s">
        <v>2235</v>
      </c>
      <c r="B2378" t="s">
        <v>2400</v>
      </c>
      <c r="C2378">
        <v>263</v>
      </c>
      <c r="D2378">
        <v>43</v>
      </c>
      <c r="E2378" t="s">
        <v>21</v>
      </c>
      <c r="F2378">
        <f>tbl_AQI[[#This Row],[Most AQI Reached]]-tbl_AQI[[#This Row],[Current AQI]]</f>
        <v>220</v>
      </c>
      <c r="G23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78">
        <f>RANK(tbl_AQI[[#This Row],[Current AQI]], tbl_AQI[Current AQI], 0)</f>
        <v>4752</v>
      </c>
    </row>
    <row r="2379" spans="1:8" x14ac:dyDescent="0.35">
      <c r="A2379" t="s">
        <v>2235</v>
      </c>
      <c r="B2379" t="s">
        <v>2401</v>
      </c>
      <c r="C2379">
        <v>259</v>
      </c>
      <c r="D2379">
        <v>135</v>
      </c>
      <c r="E2379" t="s">
        <v>9</v>
      </c>
      <c r="F2379">
        <f>tbl_AQI[[#This Row],[Most AQI Reached]]-tbl_AQI[[#This Row],[Current AQI]]</f>
        <v>124</v>
      </c>
      <c r="G23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79">
        <f>RANK(tbl_AQI[[#This Row],[Current AQI]], tbl_AQI[Current AQI], 0)</f>
        <v>2714</v>
      </c>
    </row>
    <row r="2380" spans="1:8" x14ac:dyDescent="0.35">
      <c r="A2380" t="s">
        <v>2235</v>
      </c>
      <c r="B2380" t="s">
        <v>2402</v>
      </c>
      <c r="C2380">
        <v>220</v>
      </c>
      <c r="D2380">
        <v>120</v>
      </c>
      <c r="E2380" t="s">
        <v>33</v>
      </c>
      <c r="F2380">
        <f>tbl_AQI[[#This Row],[Most AQI Reached]]-tbl_AQI[[#This Row],[Current AQI]]</f>
        <v>100</v>
      </c>
      <c r="G23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0">
        <f>RANK(tbl_AQI[[#This Row],[Current AQI]], tbl_AQI[Current AQI], 0)</f>
        <v>3066</v>
      </c>
    </row>
    <row r="2381" spans="1:8" x14ac:dyDescent="0.35">
      <c r="A2381" t="s">
        <v>2235</v>
      </c>
      <c r="B2381" t="s">
        <v>2403</v>
      </c>
      <c r="C2381">
        <v>271</v>
      </c>
      <c r="D2381">
        <v>177</v>
      </c>
      <c r="E2381" t="s">
        <v>33</v>
      </c>
      <c r="F2381">
        <f>tbl_AQI[[#This Row],[Most AQI Reached]]-tbl_AQI[[#This Row],[Current AQI]]</f>
        <v>94</v>
      </c>
      <c r="G23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1">
        <f>RANK(tbl_AQI[[#This Row],[Current AQI]], tbl_AQI[Current AQI], 0)</f>
        <v>1733</v>
      </c>
    </row>
    <row r="2382" spans="1:8" x14ac:dyDescent="0.35">
      <c r="A2382" t="s">
        <v>2235</v>
      </c>
      <c r="B2382" t="s">
        <v>2404</v>
      </c>
      <c r="C2382">
        <v>304</v>
      </c>
      <c r="D2382">
        <v>160</v>
      </c>
      <c r="E2382" t="s">
        <v>17</v>
      </c>
      <c r="F2382">
        <f>tbl_AQI[[#This Row],[Most AQI Reached]]-tbl_AQI[[#This Row],[Current AQI]]</f>
        <v>144</v>
      </c>
      <c r="G23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2">
        <f>RANK(tbl_AQI[[#This Row],[Current AQI]], tbl_AQI[Current AQI], 0)</f>
        <v>2154</v>
      </c>
    </row>
    <row r="2383" spans="1:8" x14ac:dyDescent="0.35">
      <c r="A2383" t="s">
        <v>2235</v>
      </c>
      <c r="B2383" t="s">
        <v>2405</v>
      </c>
      <c r="C2383">
        <v>309</v>
      </c>
      <c r="D2383">
        <v>174</v>
      </c>
      <c r="E2383" t="s">
        <v>17</v>
      </c>
      <c r="F2383">
        <f>tbl_AQI[[#This Row],[Most AQI Reached]]-tbl_AQI[[#This Row],[Current AQI]]</f>
        <v>135</v>
      </c>
      <c r="G23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3">
        <f>RANK(tbl_AQI[[#This Row],[Current AQI]], tbl_AQI[Current AQI], 0)</f>
        <v>1803</v>
      </c>
    </row>
    <row r="2384" spans="1:8" x14ac:dyDescent="0.35">
      <c r="A2384" t="s">
        <v>2235</v>
      </c>
      <c r="B2384" t="s">
        <v>2406</v>
      </c>
      <c r="C2384">
        <v>185</v>
      </c>
      <c r="D2384">
        <v>176</v>
      </c>
      <c r="E2384" t="s">
        <v>17</v>
      </c>
      <c r="F2384">
        <f>tbl_AQI[[#This Row],[Most AQI Reached]]-tbl_AQI[[#This Row],[Current AQI]]</f>
        <v>9</v>
      </c>
      <c r="G23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4">
        <f>RANK(tbl_AQI[[#This Row],[Current AQI]], tbl_AQI[Current AQI], 0)</f>
        <v>1754</v>
      </c>
    </row>
    <row r="2385" spans="1:8" x14ac:dyDescent="0.35">
      <c r="A2385" t="s">
        <v>2235</v>
      </c>
      <c r="B2385" t="s">
        <v>2407</v>
      </c>
      <c r="C2385">
        <v>123</v>
      </c>
      <c r="D2385">
        <v>119</v>
      </c>
      <c r="E2385" t="s">
        <v>33</v>
      </c>
      <c r="F2385">
        <f>tbl_AQI[[#This Row],[Most AQI Reached]]-tbl_AQI[[#This Row],[Current AQI]]</f>
        <v>4</v>
      </c>
      <c r="G23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5">
        <f>RANK(tbl_AQI[[#This Row],[Current AQI]], tbl_AQI[Current AQI], 0)</f>
        <v>3093</v>
      </c>
    </row>
    <row r="2386" spans="1:8" x14ac:dyDescent="0.35">
      <c r="A2386" t="s">
        <v>2235</v>
      </c>
      <c r="B2386" t="s">
        <v>2408</v>
      </c>
      <c r="C2386">
        <v>208</v>
      </c>
      <c r="D2386">
        <v>185</v>
      </c>
      <c r="E2386" t="s">
        <v>21</v>
      </c>
      <c r="F2386">
        <f>tbl_AQI[[#This Row],[Most AQI Reached]]-tbl_AQI[[#This Row],[Current AQI]]</f>
        <v>23</v>
      </c>
      <c r="G23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6">
        <f>RANK(tbl_AQI[[#This Row],[Current AQI]], tbl_AQI[Current AQI], 0)</f>
        <v>1517</v>
      </c>
    </row>
    <row r="2387" spans="1:8" x14ac:dyDescent="0.35">
      <c r="A2387" t="s">
        <v>2235</v>
      </c>
      <c r="B2387" t="s">
        <v>2409</v>
      </c>
      <c r="C2387">
        <v>250</v>
      </c>
      <c r="D2387">
        <v>102</v>
      </c>
      <c r="E2387" t="s">
        <v>15</v>
      </c>
      <c r="F2387">
        <f>tbl_AQI[[#This Row],[Most AQI Reached]]-tbl_AQI[[#This Row],[Current AQI]]</f>
        <v>148</v>
      </c>
      <c r="G23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87">
        <f>RANK(tbl_AQI[[#This Row],[Current AQI]], tbl_AQI[Current AQI], 0)</f>
        <v>3493</v>
      </c>
    </row>
    <row r="2388" spans="1:8" x14ac:dyDescent="0.35">
      <c r="A2388" t="s">
        <v>2235</v>
      </c>
      <c r="B2388" t="s">
        <v>2410</v>
      </c>
      <c r="C2388">
        <v>144</v>
      </c>
      <c r="D2388">
        <v>65</v>
      </c>
      <c r="E2388" t="s">
        <v>7</v>
      </c>
      <c r="F2388">
        <f>tbl_AQI[[#This Row],[Most AQI Reached]]-tbl_AQI[[#This Row],[Current AQI]]</f>
        <v>79</v>
      </c>
      <c r="G23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88">
        <f>RANK(tbl_AQI[[#This Row],[Current AQI]], tbl_AQI[Current AQI], 0)</f>
        <v>4267</v>
      </c>
    </row>
    <row r="2389" spans="1:8" x14ac:dyDescent="0.35">
      <c r="A2389" t="s">
        <v>2235</v>
      </c>
      <c r="B2389" t="s">
        <v>2411</v>
      </c>
      <c r="C2389">
        <v>318</v>
      </c>
      <c r="D2389">
        <v>53</v>
      </c>
      <c r="E2389" t="s">
        <v>11</v>
      </c>
      <c r="F2389">
        <f>tbl_AQI[[#This Row],[Most AQI Reached]]-tbl_AQI[[#This Row],[Current AQI]]</f>
        <v>265</v>
      </c>
      <c r="G23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89">
        <f>RANK(tbl_AQI[[#This Row],[Current AQI]], tbl_AQI[Current AQI], 0)</f>
        <v>4544</v>
      </c>
    </row>
    <row r="2390" spans="1:8" x14ac:dyDescent="0.35">
      <c r="A2390" t="s">
        <v>2235</v>
      </c>
      <c r="B2390" t="s">
        <v>2412</v>
      </c>
      <c r="C2390">
        <v>245</v>
      </c>
      <c r="D2390">
        <v>82</v>
      </c>
      <c r="E2390" t="s">
        <v>9</v>
      </c>
      <c r="F2390">
        <f>tbl_AQI[[#This Row],[Most AQI Reached]]-tbl_AQI[[#This Row],[Current AQI]]</f>
        <v>163</v>
      </c>
      <c r="G23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90">
        <f>RANK(tbl_AQI[[#This Row],[Current AQI]], tbl_AQI[Current AQI], 0)</f>
        <v>3904</v>
      </c>
    </row>
    <row r="2391" spans="1:8" x14ac:dyDescent="0.35">
      <c r="A2391" t="s">
        <v>2235</v>
      </c>
      <c r="B2391" t="s">
        <v>2413</v>
      </c>
      <c r="C2391">
        <v>109</v>
      </c>
      <c r="D2391">
        <v>72</v>
      </c>
      <c r="E2391" t="s">
        <v>7</v>
      </c>
      <c r="F2391">
        <f>tbl_AQI[[#This Row],[Most AQI Reached]]-tbl_AQI[[#This Row],[Current AQI]]</f>
        <v>37</v>
      </c>
      <c r="G23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91">
        <f>RANK(tbl_AQI[[#This Row],[Current AQI]], tbl_AQI[Current AQI], 0)</f>
        <v>4100</v>
      </c>
    </row>
    <row r="2392" spans="1:8" x14ac:dyDescent="0.35">
      <c r="A2392" t="s">
        <v>2235</v>
      </c>
      <c r="B2392" t="s">
        <v>2414</v>
      </c>
      <c r="C2392">
        <v>117</v>
      </c>
      <c r="D2392">
        <v>61</v>
      </c>
      <c r="E2392" t="s">
        <v>9</v>
      </c>
      <c r="F2392">
        <f>tbl_AQI[[#This Row],[Most AQI Reached]]-tbl_AQI[[#This Row],[Current AQI]]</f>
        <v>56</v>
      </c>
      <c r="G23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92">
        <f>RANK(tbl_AQI[[#This Row],[Current AQI]], tbl_AQI[Current AQI], 0)</f>
        <v>4368</v>
      </c>
    </row>
    <row r="2393" spans="1:8" x14ac:dyDescent="0.35">
      <c r="A2393" t="s">
        <v>2235</v>
      </c>
      <c r="B2393" t="s">
        <v>2415</v>
      </c>
      <c r="C2393">
        <v>173</v>
      </c>
      <c r="D2393">
        <v>106</v>
      </c>
      <c r="E2393" t="s">
        <v>9</v>
      </c>
      <c r="F2393">
        <f>tbl_AQI[[#This Row],[Most AQI Reached]]-tbl_AQI[[#This Row],[Current AQI]]</f>
        <v>67</v>
      </c>
      <c r="G23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93">
        <f>RANK(tbl_AQI[[#This Row],[Current AQI]], tbl_AQI[Current AQI], 0)</f>
        <v>3413</v>
      </c>
    </row>
    <row r="2394" spans="1:8" x14ac:dyDescent="0.35">
      <c r="A2394" t="s">
        <v>2235</v>
      </c>
      <c r="B2394" t="s">
        <v>2416</v>
      </c>
      <c r="C2394">
        <v>292</v>
      </c>
      <c r="D2394">
        <v>120</v>
      </c>
      <c r="E2394" t="s">
        <v>11</v>
      </c>
      <c r="F2394">
        <f>tbl_AQI[[#This Row],[Most AQI Reached]]-tbl_AQI[[#This Row],[Current AQI]]</f>
        <v>172</v>
      </c>
      <c r="G23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94">
        <f>RANK(tbl_AQI[[#This Row],[Current AQI]], tbl_AQI[Current AQI], 0)</f>
        <v>3066</v>
      </c>
    </row>
    <row r="2395" spans="1:8" x14ac:dyDescent="0.35">
      <c r="A2395" t="s">
        <v>2235</v>
      </c>
      <c r="B2395" t="s">
        <v>2417</v>
      </c>
      <c r="C2395">
        <v>143</v>
      </c>
      <c r="D2395">
        <v>46</v>
      </c>
      <c r="E2395" t="s">
        <v>11</v>
      </c>
      <c r="F2395">
        <f>tbl_AQI[[#This Row],[Most AQI Reached]]-tbl_AQI[[#This Row],[Current AQI]]</f>
        <v>97</v>
      </c>
      <c r="G23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395">
        <f>RANK(tbl_AQI[[#This Row],[Current AQI]], tbl_AQI[Current AQI], 0)</f>
        <v>4680</v>
      </c>
    </row>
    <row r="2396" spans="1:8" x14ac:dyDescent="0.35">
      <c r="A2396" t="s">
        <v>2235</v>
      </c>
      <c r="B2396" t="s">
        <v>2418</v>
      </c>
      <c r="C2396">
        <v>130</v>
      </c>
      <c r="D2396">
        <v>65</v>
      </c>
      <c r="E2396" t="s">
        <v>33</v>
      </c>
      <c r="F2396">
        <f>tbl_AQI[[#This Row],[Most AQI Reached]]-tbl_AQI[[#This Row],[Current AQI]]</f>
        <v>65</v>
      </c>
      <c r="G23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396">
        <f>RANK(tbl_AQI[[#This Row],[Current AQI]], tbl_AQI[Current AQI], 0)</f>
        <v>4267</v>
      </c>
    </row>
    <row r="2397" spans="1:8" x14ac:dyDescent="0.35">
      <c r="A2397" t="s">
        <v>2235</v>
      </c>
      <c r="B2397" t="s">
        <v>2419</v>
      </c>
      <c r="C2397">
        <v>123</v>
      </c>
      <c r="D2397">
        <v>105</v>
      </c>
      <c r="E2397" t="s">
        <v>9</v>
      </c>
      <c r="F2397">
        <f>tbl_AQI[[#This Row],[Most AQI Reached]]-tbl_AQI[[#This Row],[Current AQI]]</f>
        <v>18</v>
      </c>
      <c r="G23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97">
        <f>RANK(tbl_AQI[[#This Row],[Current AQI]], tbl_AQI[Current AQI], 0)</f>
        <v>3436</v>
      </c>
    </row>
    <row r="2398" spans="1:8" x14ac:dyDescent="0.35">
      <c r="A2398" t="s">
        <v>2235</v>
      </c>
      <c r="B2398" t="s">
        <v>2420</v>
      </c>
      <c r="C2398">
        <v>229</v>
      </c>
      <c r="D2398">
        <v>170</v>
      </c>
      <c r="E2398" t="s">
        <v>7</v>
      </c>
      <c r="F2398">
        <f>tbl_AQI[[#This Row],[Most AQI Reached]]-tbl_AQI[[#This Row],[Current AQI]]</f>
        <v>59</v>
      </c>
      <c r="G23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98">
        <f>RANK(tbl_AQI[[#This Row],[Current AQI]], tbl_AQI[Current AQI], 0)</f>
        <v>1898</v>
      </c>
    </row>
    <row r="2399" spans="1:8" x14ac:dyDescent="0.35">
      <c r="A2399" t="s">
        <v>2235</v>
      </c>
      <c r="B2399" t="s">
        <v>2421</v>
      </c>
      <c r="C2399">
        <v>308</v>
      </c>
      <c r="D2399">
        <v>117</v>
      </c>
      <c r="E2399" t="s">
        <v>7</v>
      </c>
      <c r="F2399">
        <f>tbl_AQI[[#This Row],[Most AQI Reached]]-tbl_AQI[[#This Row],[Current AQI]]</f>
        <v>191</v>
      </c>
      <c r="G23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399">
        <f>RANK(tbl_AQI[[#This Row],[Current AQI]], tbl_AQI[Current AQI], 0)</f>
        <v>3144</v>
      </c>
    </row>
    <row r="2400" spans="1:8" x14ac:dyDescent="0.35">
      <c r="A2400" t="s">
        <v>2235</v>
      </c>
      <c r="B2400" t="s">
        <v>2422</v>
      </c>
      <c r="C2400">
        <v>250</v>
      </c>
      <c r="D2400">
        <v>128</v>
      </c>
      <c r="E2400" t="s">
        <v>9</v>
      </c>
      <c r="F2400">
        <f>tbl_AQI[[#This Row],[Most AQI Reached]]-tbl_AQI[[#This Row],[Current AQI]]</f>
        <v>122</v>
      </c>
      <c r="G24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00">
        <f>RANK(tbl_AQI[[#This Row],[Current AQI]], tbl_AQI[Current AQI], 0)</f>
        <v>2872</v>
      </c>
    </row>
    <row r="2401" spans="1:8" x14ac:dyDescent="0.35">
      <c r="A2401" t="s">
        <v>2235</v>
      </c>
      <c r="B2401" t="s">
        <v>2423</v>
      </c>
      <c r="C2401">
        <v>207</v>
      </c>
      <c r="D2401">
        <v>165</v>
      </c>
      <c r="E2401" t="s">
        <v>15</v>
      </c>
      <c r="F2401">
        <f>tbl_AQI[[#This Row],[Most AQI Reached]]-tbl_AQI[[#This Row],[Current AQI]]</f>
        <v>42</v>
      </c>
      <c r="G24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01">
        <f>RANK(tbl_AQI[[#This Row],[Current AQI]], tbl_AQI[Current AQI], 0)</f>
        <v>2028</v>
      </c>
    </row>
    <row r="2402" spans="1:8" x14ac:dyDescent="0.35">
      <c r="A2402" t="s">
        <v>2235</v>
      </c>
      <c r="B2402" t="s">
        <v>2424</v>
      </c>
      <c r="C2402">
        <v>233</v>
      </c>
      <c r="D2402">
        <v>50</v>
      </c>
      <c r="E2402" t="s">
        <v>7</v>
      </c>
      <c r="F2402">
        <f>tbl_AQI[[#This Row],[Most AQI Reached]]-tbl_AQI[[#This Row],[Current AQI]]</f>
        <v>183</v>
      </c>
      <c r="G24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02">
        <f>RANK(tbl_AQI[[#This Row],[Current AQI]], tbl_AQI[Current AQI], 0)</f>
        <v>4596</v>
      </c>
    </row>
    <row r="2403" spans="1:8" x14ac:dyDescent="0.35">
      <c r="A2403" t="s">
        <v>2235</v>
      </c>
      <c r="B2403" t="s">
        <v>2425</v>
      </c>
      <c r="C2403">
        <v>246</v>
      </c>
      <c r="D2403">
        <v>92</v>
      </c>
      <c r="E2403" t="s">
        <v>17</v>
      </c>
      <c r="F2403">
        <f>tbl_AQI[[#This Row],[Most AQI Reached]]-tbl_AQI[[#This Row],[Current AQI]]</f>
        <v>154</v>
      </c>
      <c r="G24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03">
        <f>RANK(tbl_AQI[[#This Row],[Current AQI]], tbl_AQI[Current AQI], 0)</f>
        <v>3706</v>
      </c>
    </row>
    <row r="2404" spans="1:8" x14ac:dyDescent="0.35">
      <c r="A2404" t="s">
        <v>2235</v>
      </c>
      <c r="B2404" t="s">
        <v>2426</v>
      </c>
      <c r="C2404">
        <v>312</v>
      </c>
      <c r="D2404">
        <v>142</v>
      </c>
      <c r="E2404" t="s">
        <v>9</v>
      </c>
      <c r="F2404">
        <f>tbl_AQI[[#This Row],[Most AQI Reached]]-tbl_AQI[[#This Row],[Current AQI]]</f>
        <v>170</v>
      </c>
      <c r="G24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04">
        <f>RANK(tbl_AQI[[#This Row],[Current AQI]], tbl_AQI[Current AQI], 0)</f>
        <v>2585</v>
      </c>
    </row>
    <row r="2405" spans="1:8" x14ac:dyDescent="0.35">
      <c r="A2405" t="s">
        <v>2235</v>
      </c>
      <c r="B2405" t="s">
        <v>2427</v>
      </c>
      <c r="C2405">
        <v>181</v>
      </c>
      <c r="D2405">
        <v>32</v>
      </c>
      <c r="E2405" t="s">
        <v>33</v>
      </c>
      <c r="F2405">
        <f>tbl_AQI[[#This Row],[Most AQI Reached]]-tbl_AQI[[#This Row],[Current AQI]]</f>
        <v>149</v>
      </c>
      <c r="G24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05">
        <f>RANK(tbl_AQI[[#This Row],[Current AQI]], tbl_AQI[Current AQI], 0)</f>
        <v>4983</v>
      </c>
    </row>
    <row r="2406" spans="1:8" x14ac:dyDescent="0.35">
      <c r="A2406" t="s">
        <v>2235</v>
      </c>
      <c r="B2406" t="s">
        <v>2428</v>
      </c>
      <c r="C2406">
        <v>148</v>
      </c>
      <c r="D2406">
        <v>107</v>
      </c>
      <c r="E2406" t="s">
        <v>7</v>
      </c>
      <c r="F2406">
        <f>tbl_AQI[[#This Row],[Most AQI Reached]]-tbl_AQI[[#This Row],[Current AQI]]</f>
        <v>41</v>
      </c>
      <c r="G24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06">
        <f>RANK(tbl_AQI[[#This Row],[Current AQI]], tbl_AQI[Current AQI], 0)</f>
        <v>3387</v>
      </c>
    </row>
    <row r="2407" spans="1:8" x14ac:dyDescent="0.35">
      <c r="A2407" t="s">
        <v>2235</v>
      </c>
      <c r="B2407" t="s">
        <v>2429</v>
      </c>
      <c r="C2407">
        <v>226</v>
      </c>
      <c r="D2407">
        <v>147</v>
      </c>
      <c r="E2407" t="s">
        <v>9</v>
      </c>
      <c r="F2407">
        <f>tbl_AQI[[#This Row],[Most AQI Reached]]-tbl_AQI[[#This Row],[Current AQI]]</f>
        <v>79</v>
      </c>
      <c r="G24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07">
        <f>RANK(tbl_AQI[[#This Row],[Current AQI]], tbl_AQI[Current AQI], 0)</f>
        <v>2478</v>
      </c>
    </row>
    <row r="2408" spans="1:8" x14ac:dyDescent="0.35">
      <c r="A2408" t="s">
        <v>2235</v>
      </c>
      <c r="B2408" t="s">
        <v>2430</v>
      </c>
      <c r="C2408">
        <v>131</v>
      </c>
      <c r="D2408">
        <v>35</v>
      </c>
      <c r="E2408" t="s">
        <v>11</v>
      </c>
      <c r="F2408">
        <f>tbl_AQI[[#This Row],[Most AQI Reached]]-tbl_AQI[[#This Row],[Current AQI]]</f>
        <v>96</v>
      </c>
      <c r="G24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08">
        <f>RANK(tbl_AQI[[#This Row],[Current AQI]], tbl_AQI[Current AQI], 0)</f>
        <v>4916</v>
      </c>
    </row>
    <row r="2409" spans="1:8" x14ac:dyDescent="0.35">
      <c r="A2409" t="s">
        <v>2235</v>
      </c>
      <c r="B2409" t="s">
        <v>2431</v>
      </c>
      <c r="C2409">
        <v>265</v>
      </c>
      <c r="D2409">
        <v>54</v>
      </c>
      <c r="E2409" t="s">
        <v>33</v>
      </c>
      <c r="F2409">
        <f>tbl_AQI[[#This Row],[Most AQI Reached]]-tbl_AQI[[#This Row],[Current AQI]]</f>
        <v>211</v>
      </c>
      <c r="G24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09">
        <f>RANK(tbl_AQI[[#This Row],[Current AQI]], tbl_AQI[Current AQI], 0)</f>
        <v>4523</v>
      </c>
    </row>
    <row r="2410" spans="1:8" x14ac:dyDescent="0.35">
      <c r="A2410" t="s">
        <v>2235</v>
      </c>
      <c r="B2410" t="s">
        <v>2432</v>
      </c>
      <c r="C2410">
        <v>207</v>
      </c>
      <c r="D2410">
        <v>104</v>
      </c>
      <c r="E2410" t="s">
        <v>15</v>
      </c>
      <c r="F2410">
        <f>tbl_AQI[[#This Row],[Most AQI Reached]]-tbl_AQI[[#This Row],[Current AQI]]</f>
        <v>103</v>
      </c>
      <c r="G24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10">
        <f>RANK(tbl_AQI[[#This Row],[Current AQI]], tbl_AQI[Current AQI], 0)</f>
        <v>3454</v>
      </c>
    </row>
    <row r="2411" spans="1:8" x14ac:dyDescent="0.35">
      <c r="A2411" t="s">
        <v>2235</v>
      </c>
      <c r="B2411" t="s">
        <v>2433</v>
      </c>
      <c r="C2411">
        <v>149</v>
      </c>
      <c r="D2411">
        <v>110</v>
      </c>
      <c r="E2411" t="s">
        <v>33</v>
      </c>
      <c r="F2411">
        <f>tbl_AQI[[#This Row],[Most AQI Reached]]-tbl_AQI[[#This Row],[Current AQI]]</f>
        <v>39</v>
      </c>
      <c r="G24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11">
        <f>RANK(tbl_AQI[[#This Row],[Current AQI]], tbl_AQI[Current AQI], 0)</f>
        <v>3302</v>
      </c>
    </row>
    <row r="2412" spans="1:8" x14ac:dyDescent="0.35">
      <c r="A2412" t="s">
        <v>2235</v>
      </c>
      <c r="B2412" t="s">
        <v>2434</v>
      </c>
      <c r="C2412">
        <v>48</v>
      </c>
      <c r="D2412">
        <v>44</v>
      </c>
      <c r="E2412" t="s">
        <v>21</v>
      </c>
      <c r="F2412">
        <f>tbl_AQI[[#This Row],[Most AQI Reached]]-tbl_AQI[[#This Row],[Current AQI]]</f>
        <v>4</v>
      </c>
      <c r="G24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12">
        <f>RANK(tbl_AQI[[#This Row],[Current AQI]], tbl_AQI[Current AQI], 0)</f>
        <v>4732</v>
      </c>
    </row>
    <row r="2413" spans="1:8" x14ac:dyDescent="0.35">
      <c r="A2413" t="s">
        <v>2235</v>
      </c>
      <c r="B2413" t="s">
        <v>2435</v>
      </c>
      <c r="C2413">
        <v>139</v>
      </c>
      <c r="D2413">
        <v>70</v>
      </c>
      <c r="E2413" t="s">
        <v>33</v>
      </c>
      <c r="F2413">
        <f>tbl_AQI[[#This Row],[Most AQI Reached]]-tbl_AQI[[#This Row],[Current AQI]]</f>
        <v>69</v>
      </c>
      <c r="G24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13">
        <f>RANK(tbl_AQI[[#This Row],[Current AQI]], tbl_AQI[Current AQI], 0)</f>
        <v>4153</v>
      </c>
    </row>
    <row r="2414" spans="1:8" x14ac:dyDescent="0.35">
      <c r="A2414" t="s">
        <v>2235</v>
      </c>
      <c r="B2414" t="s">
        <v>2436</v>
      </c>
      <c r="C2414">
        <v>290</v>
      </c>
      <c r="D2414">
        <v>44</v>
      </c>
      <c r="E2414" t="s">
        <v>9</v>
      </c>
      <c r="F2414">
        <f>tbl_AQI[[#This Row],[Most AQI Reached]]-tbl_AQI[[#This Row],[Current AQI]]</f>
        <v>246</v>
      </c>
      <c r="G24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14">
        <f>RANK(tbl_AQI[[#This Row],[Current AQI]], tbl_AQI[Current AQI], 0)</f>
        <v>4732</v>
      </c>
    </row>
    <row r="2415" spans="1:8" x14ac:dyDescent="0.35">
      <c r="A2415" t="s">
        <v>2235</v>
      </c>
      <c r="B2415" t="s">
        <v>2437</v>
      </c>
      <c r="C2415">
        <v>239</v>
      </c>
      <c r="D2415">
        <v>104</v>
      </c>
      <c r="E2415" t="s">
        <v>7</v>
      </c>
      <c r="F2415">
        <f>tbl_AQI[[#This Row],[Most AQI Reached]]-tbl_AQI[[#This Row],[Current AQI]]</f>
        <v>135</v>
      </c>
      <c r="G24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15">
        <f>RANK(tbl_AQI[[#This Row],[Current AQI]], tbl_AQI[Current AQI], 0)</f>
        <v>3454</v>
      </c>
    </row>
    <row r="2416" spans="1:8" x14ac:dyDescent="0.35">
      <c r="A2416" t="s">
        <v>2235</v>
      </c>
      <c r="B2416" t="s">
        <v>2438</v>
      </c>
      <c r="C2416">
        <v>146</v>
      </c>
      <c r="D2416">
        <v>103</v>
      </c>
      <c r="E2416" t="s">
        <v>33</v>
      </c>
      <c r="F2416">
        <f>tbl_AQI[[#This Row],[Most AQI Reached]]-tbl_AQI[[#This Row],[Current AQI]]</f>
        <v>43</v>
      </c>
      <c r="G24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16">
        <f>RANK(tbl_AQI[[#This Row],[Current AQI]], tbl_AQI[Current AQI], 0)</f>
        <v>3474</v>
      </c>
    </row>
    <row r="2417" spans="1:8" x14ac:dyDescent="0.35">
      <c r="A2417" t="s">
        <v>2235</v>
      </c>
      <c r="B2417" t="s">
        <v>2439</v>
      </c>
      <c r="C2417">
        <v>215</v>
      </c>
      <c r="D2417">
        <v>149</v>
      </c>
      <c r="E2417" t="s">
        <v>33</v>
      </c>
      <c r="F2417">
        <f>tbl_AQI[[#This Row],[Most AQI Reached]]-tbl_AQI[[#This Row],[Current AQI]]</f>
        <v>66</v>
      </c>
      <c r="G24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17">
        <f>RANK(tbl_AQI[[#This Row],[Current AQI]], tbl_AQI[Current AQI], 0)</f>
        <v>2426</v>
      </c>
    </row>
    <row r="2418" spans="1:8" x14ac:dyDescent="0.35">
      <c r="A2418" t="s">
        <v>2235</v>
      </c>
      <c r="B2418" t="s">
        <v>2440</v>
      </c>
      <c r="C2418">
        <v>276</v>
      </c>
      <c r="D2418">
        <v>151</v>
      </c>
      <c r="E2418" t="s">
        <v>21</v>
      </c>
      <c r="F2418">
        <f>tbl_AQI[[#This Row],[Most AQI Reached]]-tbl_AQI[[#This Row],[Current AQI]]</f>
        <v>125</v>
      </c>
      <c r="G24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18">
        <f>RANK(tbl_AQI[[#This Row],[Current AQI]], tbl_AQI[Current AQI], 0)</f>
        <v>2376</v>
      </c>
    </row>
    <row r="2419" spans="1:8" x14ac:dyDescent="0.35">
      <c r="A2419" t="s">
        <v>2235</v>
      </c>
      <c r="B2419" t="s">
        <v>2441</v>
      </c>
      <c r="C2419">
        <v>315</v>
      </c>
      <c r="D2419">
        <v>40</v>
      </c>
      <c r="E2419" t="s">
        <v>21</v>
      </c>
      <c r="F2419">
        <f>tbl_AQI[[#This Row],[Most AQI Reached]]-tbl_AQI[[#This Row],[Current AQI]]</f>
        <v>275</v>
      </c>
      <c r="G24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19">
        <f>RANK(tbl_AQI[[#This Row],[Current AQI]], tbl_AQI[Current AQI], 0)</f>
        <v>4808</v>
      </c>
    </row>
    <row r="2420" spans="1:8" x14ac:dyDescent="0.35">
      <c r="A2420" t="s">
        <v>2235</v>
      </c>
      <c r="B2420" t="s">
        <v>2442</v>
      </c>
      <c r="C2420">
        <v>197</v>
      </c>
      <c r="D2420">
        <v>188</v>
      </c>
      <c r="E2420" t="s">
        <v>7</v>
      </c>
      <c r="F2420">
        <f>tbl_AQI[[#This Row],[Most AQI Reached]]-tbl_AQI[[#This Row],[Current AQI]]</f>
        <v>9</v>
      </c>
      <c r="G24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0">
        <f>RANK(tbl_AQI[[#This Row],[Current AQI]], tbl_AQI[Current AQI], 0)</f>
        <v>1423</v>
      </c>
    </row>
    <row r="2421" spans="1:8" x14ac:dyDescent="0.35">
      <c r="A2421" t="s">
        <v>2235</v>
      </c>
      <c r="B2421" t="s">
        <v>2443</v>
      </c>
      <c r="C2421">
        <v>211</v>
      </c>
      <c r="D2421">
        <v>64</v>
      </c>
      <c r="E2421" t="s">
        <v>7</v>
      </c>
      <c r="F2421">
        <f>tbl_AQI[[#This Row],[Most AQI Reached]]-tbl_AQI[[#This Row],[Current AQI]]</f>
        <v>147</v>
      </c>
      <c r="G24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21">
        <f>RANK(tbl_AQI[[#This Row],[Current AQI]], tbl_AQI[Current AQI], 0)</f>
        <v>4293</v>
      </c>
    </row>
    <row r="2422" spans="1:8" x14ac:dyDescent="0.35">
      <c r="A2422" t="s">
        <v>2235</v>
      </c>
      <c r="B2422" t="s">
        <v>2444</v>
      </c>
      <c r="C2422">
        <v>254</v>
      </c>
      <c r="D2422">
        <v>186</v>
      </c>
      <c r="E2422" t="s">
        <v>33</v>
      </c>
      <c r="F2422">
        <f>tbl_AQI[[#This Row],[Most AQI Reached]]-tbl_AQI[[#This Row],[Current AQI]]</f>
        <v>68</v>
      </c>
      <c r="G24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2">
        <f>RANK(tbl_AQI[[#This Row],[Current AQI]], tbl_AQI[Current AQI], 0)</f>
        <v>1478</v>
      </c>
    </row>
    <row r="2423" spans="1:8" x14ac:dyDescent="0.35">
      <c r="A2423" t="s">
        <v>2235</v>
      </c>
      <c r="B2423" t="s">
        <v>2445</v>
      </c>
      <c r="C2423">
        <v>277</v>
      </c>
      <c r="D2423">
        <v>172</v>
      </c>
      <c r="E2423" t="s">
        <v>11</v>
      </c>
      <c r="F2423">
        <f>tbl_AQI[[#This Row],[Most AQI Reached]]-tbl_AQI[[#This Row],[Current AQI]]</f>
        <v>105</v>
      </c>
      <c r="G24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3">
        <f>RANK(tbl_AQI[[#This Row],[Current AQI]], tbl_AQI[Current AQI], 0)</f>
        <v>1852</v>
      </c>
    </row>
    <row r="2424" spans="1:8" x14ac:dyDescent="0.35">
      <c r="A2424" t="s">
        <v>2235</v>
      </c>
      <c r="B2424" t="s">
        <v>2446</v>
      </c>
      <c r="C2424">
        <v>223</v>
      </c>
      <c r="D2424">
        <v>132</v>
      </c>
      <c r="E2424" t="s">
        <v>7</v>
      </c>
      <c r="F2424">
        <f>tbl_AQI[[#This Row],[Most AQI Reached]]-tbl_AQI[[#This Row],[Current AQI]]</f>
        <v>91</v>
      </c>
      <c r="G24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4">
        <f>RANK(tbl_AQI[[#This Row],[Current AQI]], tbl_AQI[Current AQI], 0)</f>
        <v>2792</v>
      </c>
    </row>
    <row r="2425" spans="1:8" x14ac:dyDescent="0.35">
      <c r="A2425" t="s">
        <v>2235</v>
      </c>
      <c r="B2425" t="s">
        <v>2447</v>
      </c>
      <c r="C2425">
        <v>187</v>
      </c>
      <c r="D2425">
        <v>105</v>
      </c>
      <c r="E2425" t="s">
        <v>7</v>
      </c>
      <c r="F2425">
        <f>tbl_AQI[[#This Row],[Most AQI Reached]]-tbl_AQI[[#This Row],[Current AQI]]</f>
        <v>82</v>
      </c>
      <c r="G24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5">
        <f>RANK(tbl_AQI[[#This Row],[Current AQI]], tbl_AQI[Current AQI], 0)</f>
        <v>3436</v>
      </c>
    </row>
    <row r="2426" spans="1:8" x14ac:dyDescent="0.35">
      <c r="A2426" t="s">
        <v>2235</v>
      </c>
      <c r="B2426" t="s">
        <v>2448</v>
      </c>
      <c r="C2426">
        <v>265</v>
      </c>
      <c r="D2426">
        <v>141</v>
      </c>
      <c r="E2426" t="s">
        <v>17</v>
      </c>
      <c r="F2426">
        <f>tbl_AQI[[#This Row],[Most AQI Reached]]-tbl_AQI[[#This Row],[Current AQI]]</f>
        <v>124</v>
      </c>
      <c r="G24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6">
        <f>RANK(tbl_AQI[[#This Row],[Current AQI]], tbl_AQI[Current AQI], 0)</f>
        <v>2609</v>
      </c>
    </row>
    <row r="2427" spans="1:8" x14ac:dyDescent="0.35">
      <c r="A2427" t="s">
        <v>2235</v>
      </c>
      <c r="B2427" t="s">
        <v>2449</v>
      </c>
      <c r="C2427">
        <v>139</v>
      </c>
      <c r="D2427">
        <v>112</v>
      </c>
      <c r="E2427" t="s">
        <v>9</v>
      </c>
      <c r="F2427">
        <f>tbl_AQI[[#This Row],[Most AQI Reached]]-tbl_AQI[[#This Row],[Current AQI]]</f>
        <v>27</v>
      </c>
      <c r="G24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7">
        <f>RANK(tbl_AQI[[#This Row],[Current AQI]], tbl_AQI[Current AQI], 0)</f>
        <v>3267</v>
      </c>
    </row>
    <row r="2428" spans="1:8" x14ac:dyDescent="0.35">
      <c r="A2428" t="s">
        <v>2235</v>
      </c>
      <c r="B2428" t="s">
        <v>2450</v>
      </c>
      <c r="C2428">
        <v>270</v>
      </c>
      <c r="D2428">
        <v>128</v>
      </c>
      <c r="E2428" t="s">
        <v>9</v>
      </c>
      <c r="F2428">
        <f>tbl_AQI[[#This Row],[Most AQI Reached]]-tbl_AQI[[#This Row],[Current AQI]]</f>
        <v>142</v>
      </c>
      <c r="G24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8">
        <f>RANK(tbl_AQI[[#This Row],[Current AQI]], tbl_AQI[Current AQI], 0)</f>
        <v>2872</v>
      </c>
    </row>
    <row r="2429" spans="1:8" x14ac:dyDescent="0.35">
      <c r="A2429" t="s">
        <v>2235</v>
      </c>
      <c r="B2429" t="s">
        <v>2451</v>
      </c>
      <c r="C2429">
        <v>309</v>
      </c>
      <c r="D2429">
        <v>180</v>
      </c>
      <c r="E2429" t="s">
        <v>7</v>
      </c>
      <c r="F2429">
        <f>tbl_AQI[[#This Row],[Most AQI Reached]]-tbl_AQI[[#This Row],[Current AQI]]</f>
        <v>129</v>
      </c>
      <c r="G24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29">
        <f>RANK(tbl_AQI[[#This Row],[Current AQI]], tbl_AQI[Current AQI], 0)</f>
        <v>1635</v>
      </c>
    </row>
    <row r="2430" spans="1:8" x14ac:dyDescent="0.35">
      <c r="A2430" t="s">
        <v>2235</v>
      </c>
      <c r="B2430" t="s">
        <v>2452</v>
      </c>
      <c r="C2430">
        <v>271</v>
      </c>
      <c r="D2430">
        <v>187</v>
      </c>
      <c r="E2430" t="s">
        <v>9</v>
      </c>
      <c r="F2430">
        <f>tbl_AQI[[#This Row],[Most AQI Reached]]-tbl_AQI[[#This Row],[Current AQI]]</f>
        <v>84</v>
      </c>
      <c r="G24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30">
        <f>RANK(tbl_AQI[[#This Row],[Current AQI]], tbl_AQI[Current AQI], 0)</f>
        <v>1455</v>
      </c>
    </row>
    <row r="2431" spans="1:8" x14ac:dyDescent="0.35">
      <c r="A2431" t="s">
        <v>2235</v>
      </c>
      <c r="B2431" t="s">
        <v>2453</v>
      </c>
      <c r="C2431">
        <v>185</v>
      </c>
      <c r="D2431">
        <v>95</v>
      </c>
      <c r="E2431" t="s">
        <v>9</v>
      </c>
      <c r="F2431">
        <f>tbl_AQI[[#This Row],[Most AQI Reached]]-tbl_AQI[[#This Row],[Current AQI]]</f>
        <v>90</v>
      </c>
      <c r="G24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31">
        <f>RANK(tbl_AQI[[#This Row],[Current AQI]], tbl_AQI[Current AQI], 0)</f>
        <v>3634</v>
      </c>
    </row>
    <row r="2432" spans="1:8" x14ac:dyDescent="0.35">
      <c r="A2432" t="s">
        <v>2235</v>
      </c>
      <c r="B2432" t="s">
        <v>2454</v>
      </c>
      <c r="C2432">
        <v>153</v>
      </c>
      <c r="D2432">
        <v>33</v>
      </c>
      <c r="E2432" t="s">
        <v>21</v>
      </c>
      <c r="F2432">
        <f>tbl_AQI[[#This Row],[Most AQI Reached]]-tbl_AQI[[#This Row],[Current AQI]]</f>
        <v>120</v>
      </c>
      <c r="G24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32">
        <f>RANK(tbl_AQI[[#This Row],[Current AQI]], tbl_AQI[Current AQI], 0)</f>
        <v>4964</v>
      </c>
    </row>
    <row r="2433" spans="1:8" x14ac:dyDescent="0.35">
      <c r="A2433" t="s">
        <v>2235</v>
      </c>
      <c r="B2433" t="s">
        <v>2455</v>
      </c>
      <c r="C2433">
        <v>266</v>
      </c>
      <c r="D2433">
        <v>103</v>
      </c>
      <c r="E2433" t="s">
        <v>33</v>
      </c>
      <c r="F2433">
        <f>tbl_AQI[[#This Row],[Most AQI Reached]]-tbl_AQI[[#This Row],[Current AQI]]</f>
        <v>163</v>
      </c>
      <c r="G24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33">
        <f>RANK(tbl_AQI[[#This Row],[Current AQI]], tbl_AQI[Current AQI], 0)</f>
        <v>3474</v>
      </c>
    </row>
    <row r="2434" spans="1:8" x14ac:dyDescent="0.35">
      <c r="A2434" t="s">
        <v>2235</v>
      </c>
      <c r="B2434" t="s">
        <v>2456</v>
      </c>
      <c r="C2434">
        <v>210</v>
      </c>
      <c r="D2434">
        <v>179</v>
      </c>
      <c r="E2434" t="s">
        <v>21</v>
      </c>
      <c r="F2434">
        <f>tbl_AQI[[#This Row],[Most AQI Reached]]-tbl_AQI[[#This Row],[Current AQI]]</f>
        <v>31</v>
      </c>
      <c r="G24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34">
        <f>RANK(tbl_AQI[[#This Row],[Current AQI]], tbl_AQI[Current AQI], 0)</f>
        <v>1667</v>
      </c>
    </row>
    <row r="2435" spans="1:8" x14ac:dyDescent="0.35">
      <c r="A2435" t="s">
        <v>2235</v>
      </c>
      <c r="B2435" t="s">
        <v>2457</v>
      </c>
      <c r="C2435">
        <v>315</v>
      </c>
      <c r="D2435">
        <v>131</v>
      </c>
      <c r="E2435" t="s">
        <v>17</v>
      </c>
      <c r="F2435">
        <f>tbl_AQI[[#This Row],[Most AQI Reached]]-tbl_AQI[[#This Row],[Current AQI]]</f>
        <v>184</v>
      </c>
      <c r="G24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35">
        <f>RANK(tbl_AQI[[#This Row],[Current AQI]], tbl_AQI[Current AQI], 0)</f>
        <v>2815</v>
      </c>
    </row>
    <row r="2436" spans="1:8" x14ac:dyDescent="0.35">
      <c r="A2436" t="s">
        <v>2235</v>
      </c>
      <c r="B2436" t="s">
        <v>2458</v>
      </c>
      <c r="C2436">
        <v>137</v>
      </c>
      <c r="D2436">
        <v>137</v>
      </c>
      <c r="E2436" t="s">
        <v>9</v>
      </c>
      <c r="F2436">
        <f>tbl_AQI[[#This Row],[Most AQI Reached]]-tbl_AQI[[#This Row],[Current AQI]]</f>
        <v>0</v>
      </c>
      <c r="G24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36">
        <f>RANK(tbl_AQI[[#This Row],[Current AQI]], tbl_AQI[Current AQI], 0)</f>
        <v>2677</v>
      </c>
    </row>
    <row r="2437" spans="1:8" x14ac:dyDescent="0.35">
      <c r="A2437" t="s">
        <v>2235</v>
      </c>
      <c r="B2437" t="s">
        <v>2459</v>
      </c>
      <c r="C2437">
        <v>276</v>
      </c>
      <c r="D2437">
        <v>55</v>
      </c>
      <c r="E2437" t="s">
        <v>15</v>
      </c>
      <c r="F2437">
        <f>tbl_AQI[[#This Row],[Most AQI Reached]]-tbl_AQI[[#This Row],[Current AQI]]</f>
        <v>221</v>
      </c>
      <c r="G24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37">
        <f>RANK(tbl_AQI[[#This Row],[Current AQI]], tbl_AQI[Current AQI], 0)</f>
        <v>4497</v>
      </c>
    </row>
    <row r="2438" spans="1:8" x14ac:dyDescent="0.35">
      <c r="A2438" t="s">
        <v>2235</v>
      </c>
      <c r="B2438" t="s">
        <v>2460</v>
      </c>
      <c r="C2438">
        <v>168</v>
      </c>
      <c r="D2438">
        <v>62</v>
      </c>
      <c r="E2438" t="s">
        <v>9</v>
      </c>
      <c r="F2438">
        <f>tbl_AQI[[#This Row],[Most AQI Reached]]-tbl_AQI[[#This Row],[Current AQI]]</f>
        <v>106</v>
      </c>
      <c r="G24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38">
        <f>RANK(tbl_AQI[[#This Row],[Current AQI]], tbl_AQI[Current AQI], 0)</f>
        <v>4343</v>
      </c>
    </row>
    <row r="2439" spans="1:8" x14ac:dyDescent="0.35">
      <c r="A2439" t="s">
        <v>2235</v>
      </c>
      <c r="B2439" t="s">
        <v>2461</v>
      </c>
      <c r="C2439">
        <v>226</v>
      </c>
      <c r="D2439">
        <v>181</v>
      </c>
      <c r="E2439" t="s">
        <v>7</v>
      </c>
      <c r="F2439">
        <f>tbl_AQI[[#This Row],[Most AQI Reached]]-tbl_AQI[[#This Row],[Current AQI]]</f>
        <v>45</v>
      </c>
      <c r="G24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39">
        <f>RANK(tbl_AQI[[#This Row],[Current AQI]], tbl_AQI[Current AQI], 0)</f>
        <v>1609</v>
      </c>
    </row>
    <row r="2440" spans="1:8" x14ac:dyDescent="0.35">
      <c r="A2440" t="s">
        <v>2235</v>
      </c>
      <c r="B2440" t="s">
        <v>2462</v>
      </c>
      <c r="C2440">
        <v>194</v>
      </c>
      <c r="D2440">
        <v>180</v>
      </c>
      <c r="E2440" t="s">
        <v>15</v>
      </c>
      <c r="F2440">
        <f>tbl_AQI[[#This Row],[Most AQI Reached]]-tbl_AQI[[#This Row],[Current AQI]]</f>
        <v>14</v>
      </c>
      <c r="G24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0">
        <f>RANK(tbl_AQI[[#This Row],[Current AQI]], tbl_AQI[Current AQI], 0)</f>
        <v>1635</v>
      </c>
    </row>
    <row r="2441" spans="1:8" x14ac:dyDescent="0.35">
      <c r="A2441" t="s">
        <v>2235</v>
      </c>
      <c r="B2441" t="s">
        <v>2463</v>
      </c>
      <c r="C2441">
        <v>298</v>
      </c>
      <c r="D2441">
        <v>136</v>
      </c>
      <c r="E2441" t="s">
        <v>15</v>
      </c>
      <c r="F2441">
        <f>tbl_AQI[[#This Row],[Most AQI Reached]]-tbl_AQI[[#This Row],[Current AQI]]</f>
        <v>162</v>
      </c>
      <c r="G24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1">
        <f>RANK(tbl_AQI[[#This Row],[Current AQI]], tbl_AQI[Current AQI], 0)</f>
        <v>2692</v>
      </c>
    </row>
    <row r="2442" spans="1:8" x14ac:dyDescent="0.35">
      <c r="A2442" t="s">
        <v>2235</v>
      </c>
      <c r="B2442" t="s">
        <v>2464</v>
      </c>
      <c r="C2442">
        <v>186</v>
      </c>
      <c r="D2442">
        <v>131</v>
      </c>
      <c r="E2442" t="s">
        <v>9</v>
      </c>
      <c r="F2442">
        <f>tbl_AQI[[#This Row],[Most AQI Reached]]-tbl_AQI[[#This Row],[Current AQI]]</f>
        <v>55</v>
      </c>
      <c r="G24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2">
        <f>RANK(tbl_AQI[[#This Row],[Current AQI]], tbl_AQI[Current AQI], 0)</f>
        <v>2815</v>
      </c>
    </row>
    <row r="2443" spans="1:8" x14ac:dyDescent="0.35">
      <c r="A2443" t="s">
        <v>2235</v>
      </c>
      <c r="B2443" t="s">
        <v>2465</v>
      </c>
      <c r="C2443">
        <v>313</v>
      </c>
      <c r="D2443">
        <v>151</v>
      </c>
      <c r="E2443" t="s">
        <v>11</v>
      </c>
      <c r="F2443">
        <f>tbl_AQI[[#This Row],[Most AQI Reached]]-tbl_AQI[[#This Row],[Current AQI]]</f>
        <v>162</v>
      </c>
      <c r="G24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3">
        <f>RANK(tbl_AQI[[#This Row],[Current AQI]], tbl_AQI[Current AQI], 0)</f>
        <v>2376</v>
      </c>
    </row>
    <row r="2444" spans="1:8" x14ac:dyDescent="0.35">
      <c r="A2444" t="s">
        <v>2235</v>
      </c>
      <c r="B2444" t="s">
        <v>2466</v>
      </c>
      <c r="C2444">
        <v>240</v>
      </c>
      <c r="D2444">
        <v>121</v>
      </c>
      <c r="E2444" t="s">
        <v>17</v>
      </c>
      <c r="F2444">
        <f>tbl_AQI[[#This Row],[Most AQI Reached]]-tbl_AQI[[#This Row],[Current AQI]]</f>
        <v>119</v>
      </c>
      <c r="G24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4">
        <f>RANK(tbl_AQI[[#This Row],[Current AQI]], tbl_AQI[Current AQI], 0)</f>
        <v>3037</v>
      </c>
    </row>
    <row r="2445" spans="1:8" x14ac:dyDescent="0.35">
      <c r="A2445" t="s">
        <v>2235</v>
      </c>
      <c r="B2445" t="s">
        <v>2467</v>
      </c>
      <c r="C2445">
        <v>217</v>
      </c>
      <c r="D2445">
        <v>38</v>
      </c>
      <c r="E2445" t="s">
        <v>7</v>
      </c>
      <c r="F2445">
        <f>tbl_AQI[[#This Row],[Most AQI Reached]]-tbl_AQI[[#This Row],[Current AQI]]</f>
        <v>179</v>
      </c>
      <c r="G24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45">
        <f>RANK(tbl_AQI[[#This Row],[Current AQI]], tbl_AQI[Current AQI], 0)</f>
        <v>4845</v>
      </c>
    </row>
    <row r="2446" spans="1:8" x14ac:dyDescent="0.35">
      <c r="A2446" t="s">
        <v>2235</v>
      </c>
      <c r="B2446" t="s">
        <v>2468</v>
      </c>
      <c r="C2446">
        <v>236</v>
      </c>
      <c r="D2446">
        <v>187</v>
      </c>
      <c r="E2446" t="s">
        <v>17</v>
      </c>
      <c r="F2446">
        <f>tbl_AQI[[#This Row],[Most AQI Reached]]-tbl_AQI[[#This Row],[Current AQI]]</f>
        <v>49</v>
      </c>
      <c r="G24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6">
        <f>RANK(tbl_AQI[[#This Row],[Current AQI]], tbl_AQI[Current AQI], 0)</f>
        <v>1455</v>
      </c>
    </row>
    <row r="2447" spans="1:8" x14ac:dyDescent="0.35">
      <c r="A2447" t="s">
        <v>2235</v>
      </c>
      <c r="B2447" t="s">
        <v>2469</v>
      </c>
      <c r="C2447">
        <v>208</v>
      </c>
      <c r="D2447">
        <v>98</v>
      </c>
      <c r="E2447" t="s">
        <v>7</v>
      </c>
      <c r="F2447">
        <f>tbl_AQI[[#This Row],[Most AQI Reached]]-tbl_AQI[[#This Row],[Current AQI]]</f>
        <v>110</v>
      </c>
      <c r="G24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47">
        <f>RANK(tbl_AQI[[#This Row],[Current AQI]], tbl_AQI[Current AQI], 0)</f>
        <v>3574</v>
      </c>
    </row>
    <row r="2448" spans="1:8" x14ac:dyDescent="0.35">
      <c r="A2448" t="s">
        <v>2235</v>
      </c>
      <c r="B2448" t="s">
        <v>2470</v>
      </c>
      <c r="C2448">
        <v>297</v>
      </c>
      <c r="D2448">
        <v>116</v>
      </c>
      <c r="E2448" t="s">
        <v>11</v>
      </c>
      <c r="F2448">
        <f>tbl_AQI[[#This Row],[Most AQI Reached]]-tbl_AQI[[#This Row],[Current AQI]]</f>
        <v>181</v>
      </c>
      <c r="G24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48">
        <f>RANK(tbl_AQI[[#This Row],[Current AQI]], tbl_AQI[Current AQI], 0)</f>
        <v>3173</v>
      </c>
    </row>
    <row r="2449" spans="1:8" x14ac:dyDescent="0.35">
      <c r="A2449" t="s">
        <v>2235</v>
      </c>
      <c r="B2449" t="s">
        <v>2471</v>
      </c>
      <c r="C2449">
        <v>195</v>
      </c>
      <c r="D2449">
        <v>60</v>
      </c>
      <c r="E2449" t="s">
        <v>11</v>
      </c>
      <c r="F2449">
        <f>tbl_AQI[[#This Row],[Most AQI Reached]]-tbl_AQI[[#This Row],[Current AQI]]</f>
        <v>135</v>
      </c>
      <c r="G24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49">
        <f>RANK(tbl_AQI[[#This Row],[Current AQI]], tbl_AQI[Current AQI], 0)</f>
        <v>4390</v>
      </c>
    </row>
    <row r="2450" spans="1:8" x14ac:dyDescent="0.35">
      <c r="A2450" t="s">
        <v>2235</v>
      </c>
      <c r="B2450" t="s">
        <v>2472</v>
      </c>
      <c r="C2450">
        <v>116</v>
      </c>
      <c r="D2450">
        <v>60</v>
      </c>
      <c r="E2450" t="s">
        <v>21</v>
      </c>
      <c r="F2450">
        <f>tbl_AQI[[#This Row],[Most AQI Reached]]-tbl_AQI[[#This Row],[Current AQI]]</f>
        <v>56</v>
      </c>
      <c r="G24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50">
        <f>RANK(tbl_AQI[[#This Row],[Current AQI]], tbl_AQI[Current AQI], 0)</f>
        <v>4390</v>
      </c>
    </row>
    <row r="2451" spans="1:8" x14ac:dyDescent="0.35">
      <c r="A2451" t="s">
        <v>2235</v>
      </c>
      <c r="B2451" t="s">
        <v>2473</v>
      </c>
      <c r="C2451">
        <v>234</v>
      </c>
      <c r="D2451">
        <v>72</v>
      </c>
      <c r="E2451" t="s">
        <v>17</v>
      </c>
      <c r="F2451">
        <f>tbl_AQI[[#This Row],[Most AQI Reached]]-tbl_AQI[[#This Row],[Current AQI]]</f>
        <v>162</v>
      </c>
      <c r="G24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51">
        <f>RANK(tbl_AQI[[#This Row],[Current AQI]], tbl_AQI[Current AQI], 0)</f>
        <v>4100</v>
      </c>
    </row>
    <row r="2452" spans="1:8" x14ac:dyDescent="0.35">
      <c r="A2452" t="s">
        <v>2235</v>
      </c>
      <c r="B2452" t="s">
        <v>2474</v>
      </c>
      <c r="C2452">
        <v>236</v>
      </c>
      <c r="D2452">
        <v>122</v>
      </c>
      <c r="E2452" t="s">
        <v>7</v>
      </c>
      <c r="F2452">
        <f>tbl_AQI[[#This Row],[Most AQI Reached]]-tbl_AQI[[#This Row],[Current AQI]]</f>
        <v>114</v>
      </c>
      <c r="G24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52">
        <f>RANK(tbl_AQI[[#This Row],[Current AQI]], tbl_AQI[Current AQI], 0)</f>
        <v>3013</v>
      </c>
    </row>
    <row r="2453" spans="1:8" x14ac:dyDescent="0.35">
      <c r="A2453" t="s">
        <v>2235</v>
      </c>
      <c r="B2453" t="s">
        <v>2475</v>
      </c>
      <c r="C2453">
        <v>129</v>
      </c>
      <c r="D2453">
        <v>44</v>
      </c>
      <c r="E2453" t="s">
        <v>17</v>
      </c>
      <c r="F2453">
        <f>tbl_AQI[[#This Row],[Most AQI Reached]]-tbl_AQI[[#This Row],[Current AQI]]</f>
        <v>85</v>
      </c>
      <c r="G24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53">
        <f>RANK(tbl_AQI[[#This Row],[Current AQI]], tbl_AQI[Current AQI], 0)</f>
        <v>4732</v>
      </c>
    </row>
    <row r="2454" spans="1:8" x14ac:dyDescent="0.35">
      <c r="A2454" t="s">
        <v>2235</v>
      </c>
      <c r="B2454" t="s">
        <v>2476</v>
      </c>
      <c r="C2454">
        <v>251</v>
      </c>
      <c r="D2454">
        <v>180</v>
      </c>
      <c r="E2454" t="s">
        <v>9</v>
      </c>
      <c r="F2454">
        <f>tbl_AQI[[#This Row],[Most AQI Reached]]-tbl_AQI[[#This Row],[Current AQI]]</f>
        <v>71</v>
      </c>
      <c r="G24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54">
        <f>RANK(tbl_AQI[[#This Row],[Current AQI]], tbl_AQI[Current AQI], 0)</f>
        <v>1635</v>
      </c>
    </row>
    <row r="2455" spans="1:8" x14ac:dyDescent="0.35">
      <c r="A2455" t="s">
        <v>2235</v>
      </c>
      <c r="B2455" t="s">
        <v>2477</v>
      </c>
      <c r="C2455">
        <v>220</v>
      </c>
      <c r="D2455">
        <v>169</v>
      </c>
      <c r="E2455" t="s">
        <v>17</v>
      </c>
      <c r="F2455">
        <f>tbl_AQI[[#This Row],[Most AQI Reached]]-tbl_AQI[[#This Row],[Current AQI]]</f>
        <v>51</v>
      </c>
      <c r="G24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55">
        <f>RANK(tbl_AQI[[#This Row],[Current AQI]], tbl_AQI[Current AQI], 0)</f>
        <v>1925</v>
      </c>
    </row>
    <row r="2456" spans="1:8" x14ac:dyDescent="0.35">
      <c r="A2456" t="s">
        <v>2235</v>
      </c>
      <c r="B2456" t="s">
        <v>2478</v>
      </c>
      <c r="C2456">
        <v>308</v>
      </c>
      <c r="D2456">
        <v>48</v>
      </c>
      <c r="E2456" t="s">
        <v>15</v>
      </c>
      <c r="F2456">
        <f>tbl_AQI[[#This Row],[Most AQI Reached]]-tbl_AQI[[#This Row],[Current AQI]]</f>
        <v>260</v>
      </c>
      <c r="G24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56">
        <f>RANK(tbl_AQI[[#This Row],[Current AQI]], tbl_AQI[Current AQI], 0)</f>
        <v>4638</v>
      </c>
    </row>
    <row r="2457" spans="1:8" x14ac:dyDescent="0.35">
      <c r="A2457" t="s">
        <v>2235</v>
      </c>
      <c r="B2457" t="s">
        <v>2479</v>
      </c>
      <c r="C2457">
        <v>222</v>
      </c>
      <c r="D2457">
        <v>158</v>
      </c>
      <c r="E2457" t="s">
        <v>17</v>
      </c>
      <c r="F2457">
        <f>tbl_AQI[[#This Row],[Most AQI Reached]]-tbl_AQI[[#This Row],[Current AQI]]</f>
        <v>64</v>
      </c>
      <c r="G24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57">
        <f>RANK(tbl_AQI[[#This Row],[Current AQI]], tbl_AQI[Current AQI], 0)</f>
        <v>2207</v>
      </c>
    </row>
    <row r="2458" spans="1:8" x14ac:dyDescent="0.35">
      <c r="A2458" t="s">
        <v>2235</v>
      </c>
      <c r="B2458" t="s">
        <v>2480</v>
      </c>
      <c r="C2458">
        <v>256</v>
      </c>
      <c r="D2458">
        <v>190</v>
      </c>
      <c r="E2458" t="s">
        <v>7</v>
      </c>
      <c r="F2458">
        <f>tbl_AQI[[#This Row],[Most AQI Reached]]-tbl_AQI[[#This Row],[Current AQI]]</f>
        <v>66</v>
      </c>
      <c r="G24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58">
        <f>RANK(tbl_AQI[[#This Row],[Current AQI]], tbl_AQI[Current AQI], 0)</f>
        <v>1355</v>
      </c>
    </row>
    <row r="2459" spans="1:8" x14ac:dyDescent="0.35">
      <c r="A2459" t="s">
        <v>2235</v>
      </c>
      <c r="B2459" t="s">
        <v>2481</v>
      </c>
      <c r="C2459">
        <v>289</v>
      </c>
      <c r="D2459">
        <v>146</v>
      </c>
      <c r="E2459" t="s">
        <v>17</v>
      </c>
      <c r="F2459">
        <f>tbl_AQI[[#This Row],[Most AQI Reached]]-tbl_AQI[[#This Row],[Current AQI]]</f>
        <v>143</v>
      </c>
      <c r="G24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59">
        <f>RANK(tbl_AQI[[#This Row],[Current AQI]], tbl_AQI[Current AQI], 0)</f>
        <v>2499</v>
      </c>
    </row>
    <row r="2460" spans="1:8" x14ac:dyDescent="0.35">
      <c r="A2460" t="s">
        <v>2235</v>
      </c>
      <c r="B2460" t="s">
        <v>2482</v>
      </c>
      <c r="C2460">
        <v>197</v>
      </c>
      <c r="D2460">
        <v>84</v>
      </c>
      <c r="E2460" t="s">
        <v>11</v>
      </c>
      <c r="F2460">
        <f>tbl_AQI[[#This Row],[Most AQI Reached]]-tbl_AQI[[#This Row],[Current AQI]]</f>
        <v>113</v>
      </c>
      <c r="G24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60">
        <f>RANK(tbl_AQI[[#This Row],[Current AQI]], tbl_AQI[Current AQI], 0)</f>
        <v>3872</v>
      </c>
    </row>
    <row r="2461" spans="1:8" x14ac:dyDescent="0.35">
      <c r="A2461" t="s">
        <v>2235</v>
      </c>
      <c r="B2461" t="s">
        <v>2483</v>
      </c>
      <c r="C2461">
        <v>315</v>
      </c>
      <c r="D2461">
        <v>142</v>
      </c>
      <c r="E2461" t="s">
        <v>15</v>
      </c>
      <c r="F2461">
        <f>tbl_AQI[[#This Row],[Most AQI Reached]]-tbl_AQI[[#This Row],[Current AQI]]</f>
        <v>173</v>
      </c>
      <c r="G24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61">
        <f>RANK(tbl_AQI[[#This Row],[Current AQI]], tbl_AQI[Current AQI], 0)</f>
        <v>2585</v>
      </c>
    </row>
    <row r="2462" spans="1:8" x14ac:dyDescent="0.35">
      <c r="A2462" t="s">
        <v>2235</v>
      </c>
      <c r="B2462" t="s">
        <v>2484</v>
      </c>
      <c r="C2462">
        <v>137</v>
      </c>
      <c r="D2462">
        <v>35</v>
      </c>
      <c r="E2462" t="s">
        <v>11</v>
      </c>
      <c r="F2462">
        <f>tbl_AQI[[#This Row],[Most AQI Reached]]-tbl_AQI[[#This Row],[Current AQI]]</f>
        <v>102</v>
      </c>
      <c r="G24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62">
        <f>RANK(tbl_AQI[[#This Row],[Current AQI]], tbl_AQI[Current AQI], 0)</f>
        <v>4916</v>
      </c>
    </row>
    <row r="2463" spans="1:8" x14ac:dyDescent="0.35">
      <c r="A2463" t="s">
        <v>2235</v>
      </c>
      <c r="B2463" t="s">
        <v>2485</v>
      </c>
      <c r="C2463">
        <v>214</v>
      </c>
      <c r="D2463">
        <v>117</v>
      </c>
      <c r="E2463" t="s">
        <v>11</v>
      </c>
      <c r="F2463">
        <f>tbl_AQI[[#This Row],[Most AQI Reached]]-tbl_AQI[[#This Row],[Current AQI]]</f>
        <v>97</v>
      </c>
      <c r="G24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63">
        <f>RANK(tbl_AQI[[#This Row],[Current AQI]], tbl_AQI[Current AQI], 0)</f>
        <v>3144</v>
      </c>
    </row>
    <row r="2464" spans="1:8" x14ac:dyDescent="0.35">
      <c r="A2464" t="s">
        <v>2235</v>
      </c>
      <c r="B2464" t="s">
        <v>2486</v>
      </c>
      <c r="C2464">
        <v>120</v>
      </c>
      <c r="D2464">
        <v>75</v>
      </c>
      <c r="E2464" t="s">
        <v>15</v>
      </c>
      <c r="F2464">
        <f>tbl_AQI[[#This Row],[Most AQI Reached]]-tbl_AQI[[#This Row],[Current AQI]]</f>
        <v>45</v>
      </c>
      <c r="G24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64">
        <f>RANK(tbl_AQI[[#This Row],[Current AQI]], tbl_AQI[Current AQI], 0)</f>
        <v>4041</v>
      </c>
    </row>
    <row r="2465" spans="1:8" x14ac:dyDescent="0.35">
      <c r="A2465" t="s">
        <v>2235</v>
      </c>
      <c r="B2465" t="s">
        <v>2487</v>
      </c>
      <c r="C2465">
        <v>99</v>
      </c>
      <c r="D2465">
        <v>95</v>
      </c>
      <c r="E2465" t="s">
        <v>11</v>
      </c>
      <c r="F2465">
        <f>tbl_AQI[[#This Row],[Most AQI Reached]]-tbl_AQI[[#This Row],[Current AQI]]</f>
        <v>4</v>
      </c>
      <c r="G24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65">
        <f>RANK(tbl_AQI[[#This Row],[Current AQI]], tbl_AQI[Current AQI], 0)</f>
        <v>3634</v>
      </c>
    </row>
    <row r="2466" spans="1:8" x14ac:dyDescent="0.35">
      <c r="A2466" t="s">
        <v>2235</v>
      </c>
      <c r="B2466" t="s">
        <v>2488</v>
      </c>
      <c r="C2466">
        <v>142</v>
      </c>
      <c r="D2466">
        <v>44</v>
      </c>
      <c r="E2466" t="s">
        <v>17</v>
      </c>
      <c r="F2466">
        <f>tbl_AQI[[#This Row],[Most AQI Reached]]-tbl_AQI[[#This Row],[Current AQI]]</f>
        <v>98</v>
      </c>
      <c r="G24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66">
        <f>RANK(tbl_AQI[[#This Row],[Current AQI]], tbl_AQI[Current AQI], 0)</f>
        <v>4732</v>
      </c>
    </row>
    <row r="2467" spans="1:8" x14ac:dyDescent="0.35">
      <c r="A2467" t="s">
        <v>2235</v>
      </c>
      <c r="B2467" t="s">
        <v>2489</v>
      </c>
      <c r="C2467">
        <v>193</v>
      </c>
      <c r="D2467">
        <v>98</v>
      </c>
      <c r="E2467" t="s">
        <v>15</v>
      </c>
      <c r="F2467">
        <f>tbl_AQI[[#This Row],[Most AQI Reached]]-tbl_AQI[[#This Row],[Current AQI]]</f>
        <v>95</v>
      </c>
      <c r="G24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67">
        <f>RANK(tbl_AQI[[#This Row],[Current AQI]], tbl_AQI[Current AQI], 0)</f>
        <v>3574</v>
      </c>
    </row>
    <row r="2468" spans="1:8" x14ac:dyDescent="0.35">
      <c r="A2468" t="s">
        <v>2235</v>
      </c>
      <c r="B2468" t="s">
        <v>2490</v>
      </c>
      <c r="C2468">
        <v>234</v>
      </c>
      <c r="D2468">
        <v>122</v>
      </c>
      <c r="E2468" t="s">
        <v>9</v>
      </c>
      <c r="F2468">
        <f>tbl_AQI[[#This Row],[Most AQI Reached]]-tbl_AQI[[#This Row],[Current AQI]]</f>
        <v>112</v>
      </c>
      <c r="G24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68">
        <f>RANK(tbl_AQI[[#This Row],[Current AQI]], tbl_AQI[Current AQI], 0)</f>
        <v>3013</v>
      </c>
    </row>
    <row r="2469" spans="1:8" x14ac:dyDescent="0.35">
      <c r="A2469" t="s">
        <v>2235</v>
      </c>
      <c r="B2469" t="s">
        <v>2491</v>
      </c>
      <c r="C2469">
        <v>291</v>
      </c>
      <c r="D2469">
        <v>130</v>
      </c>
      <c r="E2469" t="s">
        <v>33</v>
      </c>
      <c r="F2469">
        <f>tbl_AQI[[#This Row],[Most AQI Reached]]-tbl_AQI[[#This Row],[Current AQI]]</f>
        <v>161</v>
      </c>
      <c r="G24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69">
        <f>RANK(tbl_AQI[[#This Row],[Current AQI]], tbl_AQI[Current AQI], 0)</f>
        <v>2832</v>
      </c>
    </row>
    <row r="2470" spans="1:8" x14ac:dyDescent="0.35">
      <c r="A2470" t="s">
        <v>2235</v>
      </c>
      <c r="B2470" t="s">
        <v>2492</v>
      </c>
      <c r="C2470">
        <v>167</v>
      </c>
      <c r="D2470">
        <v>57</v>
      </c>
      <c r="E2470" t="s">
        <v>17</v>
      </c>
      <c r="F2470">
        <f>tbl_AQI[[#This Row],[Most AQI Reached]]-tbl_AQI[[#This Row],[Current AQI]]</f>
        <v>110</v>
      </c>
      <c r="G24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70">
        <f>RANK(tbl_AQI[[#This Row],[Current AQI]], tbl_AQI[Current AQI], 0)</f>
        <v>4452</v>
      </c>
    </row>
    <row r="2471" spans="1:8" x14ac:dyDescent="0.35">
      <c r="A2471" t="s">
        <v>2235</v>
      </c>
      <c r="B2471" t="s">
        <v>2493</v>
      </c>
      <c r="C2471">
        <v>160</v>
      </c>
      <c r="D2471">
        <v>79</v>
      </c>
      <c r="E2471" t="s">
        <v>33</v>
      </c>
      <c r="F2471">
        <f>tbl_AQI[[#This Row],[Most AQI Reached]]-tbl_AQI[[#This Row],[Current AQI]]</f>
        <v>81</v>
      </c>
      <c r="G24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71">
        <f>RANK(tbl_AQI[[#This Row],[Current AQI]], tbl_AQI[Current AQI], 0)</f>
        <v>3967</v>
      </c>
    </row>
    <row r="2472" spans="1:8" x14ac:dyDescent="0.35">
      <c r="A2472" t="s">
        <v>2235</v>
      </c>
      <c r="B2472" t="s">
        <v>2494</v>
      </c>
      <c r="C2472">
        <v>240</v>
      </c>
      <c r="D2472">
        <v>66</v>
      </c>
      <c r="E2472" t="s">
        <v>17</v>
      </c>
      <c r="F2472">
        <f>tbl_AQI[[#This Row],[Most AQI Reached]]-tbl_AQI[[#This Row],[Current AQI]]</f>
        <v>174</v>
      </c>
      <c r="G24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72">
        <f>RANK(tbl_AQI[[#This Row],[Current AQI]], tbl_AQI[Current AQI], 0)</f>
        <v>4247</v>
      </c>
    </row>
    <row r="2473" spans="1:8" x14ac:dyDescent="0.35">
      <c r="A2473" t="s">
        <v>2235</v>
      </c>
      <c r="B2473" t="s">
        <v>2495</v>
      </c>
      <c r="C2473">
        <v>237</v>
      </c>
      <c r="D2473">
        <v>179</v>
      </c>
      <c r="E2473" t="s">
        <v>15</v>
      </c>
      <c r="F2473">
        <f>tbl_AQI[[#This Row],[Most AQI Reached]]-tbl_AQI[[#This Row],[Current AQI]]</f>
        <v>58</v>
      </c>
      <c r="G24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73">
        <f>RANK(tbl_AQI[[#This Row],[Current AQI]], tbl_AQI[Current AQI], 0)</f>
        <v>1667</v>
      </c>
    </row>
    <row r="2474" spans="1:8" x14ac:dyDescent="0.35">
      <c r="A2474" t="s">
        <v>2235</v>
      </c>
      <c r="B2474" t="s">
        <v>2496</v>
      </c>
      <c r="C2474">
        <v>299</v>
      </c>
      <c r="D2474">
        <v>157</v>
      </c>
      <c r="E2474" t="s">
        <v>7</v>
      </c>
      <c r="F2474">
        <f>tbl_AQI[[#This Row],[Most AQI Reached]]-tbl_AQI[[#This Row],[Current AQI]]</f>
        <v>142</v>
      </c>
      <c r="G24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74">
        <f>RANK(tbl_AQI[[#This Row],[Current AQI]], tbl_AQI[Current AQI], 0)</f>
        <v>2239</v>
      </c>
    </row>
    <row r="2475" spans="1:8" x14ac:dyDescent="0.35">
      <c r="A2475" t="s">
        <v>2235</v>
      </c>
      <c r="B2475" t="s">
        <v>2497</v>
      </c>
      <c r="C2475">
        <v>230</v>
      </c>
      <c r="D2475">
        <v>71</v>
      </c>
      <c r="E2475" t="s">
        <v>11</v>
      </c>
      <c r="F2475">
        <f>tbl_AQI[[#This Row],[Most AQI Reached]]-tbl_AQI[[#This Row],[Current AQI]]</f>
        <v>159</v>
      </c>
      <c r="G24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75">
        <f>RANK(tbl_AQI[[#This Row],[Current AQI]], tbl_AQI[Current AQI], 0)</f>
        <v>4129</v>
      </c>
    </row>
    <row r="2476" spans="1:8" x14ac:dyDescent="0.35">
      <c r="A2476" t="s">
        <v>2235</v>
      </c>
      <c r="B2476" t="s">
        <v>2498</v>
      </c>
      <c r="C2476">
        <v>194</v>
      </c>
      <c r="D2476">
        <v>154</v>
      </c>
      <c r="E2476" t="s">
        <v>33</v>
      </c>
      <c r="F2476">
        <f>tbl_AQI[[#This Row],[Most AQI Reached]]-tbl_AQI[[#This Row],[Current AQI]]</f>
        <v>40</v>
      </c>
      <c r="G24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76">
        <f>RANK(tbl_AQI[[#This Row],[Current AQI]], tbl_AQI[Current AQI], 0)</f>
        <v>2307</v>
      </c>
    </row>
    <row r="2477" spans="1:8" x14ac:dyDescent="0.35">
      <c r="A2477" t="s">
        <v>2235</v>
      </c>
      <c r="B2477" t="s">
        <v>2499</v>
      </c>
      <c r="C2477">
        <v>195</v>
      </c>
      <c r="D2477">
        <v>186</v>
      </c>
      <c r="E2477" t="s">
        <v>11</v>
      </c>
      <c r="F2477">
        <f>tbl_AQI[[#This Row],[Most AQI Reached]]-tbl_AQI[[#This Row],[Current AQI]]</f>
        <v>9</v>
      </c>
      <c r="G24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77">
        <f>RANK(tbl_AQI[[#This Row],[Current AQI]], tbl_AQI[Current AQI], 0)</f>
        <v>1478</v>
      </c>
    </row>
    <row r="2478" spans="1:8" x14ac:dyDescent="0.35">
      <c r="A2478" t="s">
        <v>2235</v>
      </c>
      <c r="B2478" t="s">
        <v>2500</v>
      </c>
      <c r="C2478">
        <v>301</v>
      </c>
      <c r="D2478">
        <v>158</v>
      </c>
      <c r="E2478" t="s">
        <v>9</v>
      </c>
      <c r="F2478">
        <f>tbl_AQI[[#This Row],[Most AQI Reached]]-tbl_AQI[[#This Row],[Current AQI]]</f>
        <v>143</v>
      </c>
      <c r="G24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78">
        <f>RANK(tbl_AQI[[#This Row],[Current AQI]], tbl_AQI[Current AQI], 0)</f>
        <v>2207</v>
      </c>
    </row>
    <row r="2479" spans="1:8" x14ac:dyDescent="0.35">
      <c r="A2479" t="s">
        <v>2235</v>
      </c>
      <c r="B2479" t="s">
        <v>2501</v>
      </c>
      <c r="C2479">
        <v>253</v>
      </c>
      <c r="D2479">
        <v>63</v>
      </c>
      <c r="E2479" t="s">
        <v>17</v>
      </c>
      <c r="F2479">
        <f>tbl_AQI[[#This Row],[Most AQI Reached]]-tbl_AQI[[#This Row],[Current AQI]]</f>
        <v>190</v>
      </c>
      <c r="G24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79">
        <f>RANK(tbl_AQI[[#This Row],[Current AQI]], tbl_AQI[Current AQI], 0)</f>
        <v>4322</v>
      </c>
    </row>
    <row r="2480" spans="1:8" x14ac:dyDescent="0.35">
      <c r="A2480" t="s">
        <v>2235</v>
      </c>
      <c r="B2480" t="s">
        <v>2502</v>
      </c>
      <c r="C2480">
        <v>243</v>
      </c>
      <c r="D2480">
        <v>40</v>
      </c>
      <c r="E2480" t="s">
        <v>17</v>
      </c>
      <c r="F2480">
        <f>tbl_AQI[[#This Row],[Most AQI Reached]]-tbl_AQI[[#This Row],[Current AQI]]</f>
        <v>203</v>
      </c>
      <c r="G24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80">
        <f>RANK(tbl_AQI[[#This Row],[Current AQI]], tbl_AQI[Current AQI], 0)</f>
        <v>4808</v>
      </c>
    </row>
    <row r="2481" spans="1:8" x14ac:dyDescent="0.35">
      <c r="A2481" t="s">
        <v>2235</v>
      </c>
      <c r="B2481" t="s">
        <v>2503</v>
      </c>
      <c r="C2481">
        <v>315</v>
      </c>
      <c r="D2481">
        <v>101</v>
      </c>
      <c r="E2481" t="s">
        <v>9</v>
      </c>
      <c r="F2481">
        <f>tbl_AQI[[#This Row],[Most AQI Reached]]-tbl_AQI[[#This Row],[Current AQI]]</f>
        <v>214</v>
      </c>
      <c r="G24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81">
        <f>RANK(tbl_AQI[[#This Row],[Current AQI]], tbl_AQI[Current AQI], 0)</f>
        <v>3515</v>
      </c>
    </row>
    <row r="2482" spans="1:8" x14ac:dyDescent="0.35">
      <c r="A2482" t="s">
        <v>2235</v>
      </c>
      <c r="B2482" t="s">
        <v>2504</v>
      </c>
      <c r="C2482">
        <v>313</v>
      </c>
      <c r="D2482">
        <v>190</v>
      </c>
      <c r="E2482" t="s">
        <v>17</v>
      </c>
      <c r="F2482">
        <f>tbl_AQI[[#This Row],[Most AQI Reached]]-tbl_AQI[[#This Row],[Current AQI]]</f>
        <v>123</v>
      </c>
      <c r="G24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82">
        <f>RANK(tbl_AQI[[#This Row],[Current AQI]], tbl_AQI[Current AQI], 0)</f>
        <v>1355</v>
      </c>
    </row>
    <row r="2483" spans="1:8" x14ac:dyDescent="0.35">
      <c r="A2483" t="s">
        <v>2235</v>
      </c>
      <c r="B2483" t="s">
        <v>2505</v>
      </c>
      <c r="C2483">
        <v>307</v>
      </c>
      <c r="D2483">
        <v>57</v>
      </c>
      <c r="E2483" t="s">
        <v>21</v>
      </c>
      <c r="F2483">
        <f>tbl_AQI[[#This Row],[Most AQI Reached]]-tbl_AQI[[#This Row],[Current AQI]]</f>
        <v>250</v>
      </c>
      <c r="G24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83">
        <f>RANK(tbl_AQI[[#This Row],[Current AQI]], tbl_AQI[Current AQI], 0)</f>
        <v>4452</v>
      </c>
    </row>
    <row r="2484" spans="1:8" x14ac:dyDescent="0.35">
      <c r="A2484" t="s">
        <v>2235</v>
      </c>
      <c r="B2484" t="s">
        <v>2506</v>
      </c>
      <c r="C2484">
        <v>184</v>
      </c>
      <c r="D2484">
        <v>150</v>
      </c>
      <c r="E2484" t="s">
        <v>17</v>
      </c>
      <c r="F2484">
        <f>tbl_AQI[[#This Row],[Most AQI Reached]]-tbl_AQI[[#This Row],[Current AQI]]</f>
        <v>34</v>
      </c>
      <c r="G24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84">
        <f>RANK(tbl_AQI[[#This Row],[Current AQI]], tbl_AQI[Current AQI], 0)</f>
        <v>2400</v>
      </c>
    </row>
    <row r="2485" spans="1:8" x14ac:dyDescent="0.35">
      <c r="A2485" t="s">
        <v>2235</v>
      </c>
      <c r="B2485" t="s">
        <v>2507</v>
      </c>
      <c r="C2485">
        <v>118</v>
      </c>
      <c r="D2485">
        <v>57</v>
      </c>
      <c r="E2485" t="s">
        <v>7</v>
      </c>
      <c r="F2485">
        <f>tbl_AQI[[#This Row],[Most AQI Reached]]-tbl_AQI[[#This Row],[Current AQI]]</f>
        <v>61</v>
      </c>
      <c r="G24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85">
        <f>RANK(tbl_AQI[[#This Row],[Current AQI]], tbl_AQI[Current AQI], 0)</f>
        <v>4452</v>
      </c>
    </row>
    <row r="2486" spans="1:8" x14ac:dyDescent="0.35">
      <c r="A2486" t="s">
        <v>2235</v>
      </c>
      <c r="B2486" t="s">
        <v>2508</v>
      </c>
      <c r="C2486">
        <v>289</v>
      </c>
      <c r="D2486">
        <v>135</v>
      </c>
      <c r="E2486" t="s">
        <v>15</v>
      </c>
      <c r="F2486">
        <f>tbl_AQI[[#This Row],[Most AQI Reached]]-tbl_AQI[[#This Row],[Current AQI]]</f>
        <v>154</v>
      </c>
      <c r="G24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86">
        <f>RANK(tbl_AQI[[#This Row],[Current AQI]], tbl_AQI[Current AQI], 0)</f>
        <v>2714</v>
      </c>
    </row>
    <row r="2487" spans="1:8" x14ac:dyDescent="0.35">
      <c r="A2487" t="s">
        <v>2235</v>
      </c>
      <c r="B2487" t="s">
        <v>2509</v>
      </c>
      <c r="C2487">
        <v>311</v>
      </c>
      <c r="D2487">
        <v>185</v>
      </c>
      <c r="E2487" t="s">
        <v>21</v>
      </c>
      <c r="F2487">
        <f>tbl_AQI[[#This Row],[Most AQI Reached]]-tbl_AQI[[#This Row],[Current AQI]]</f>
        <v>126</v>
      </c>
      <c r="G24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87">
        <f>RANK(tbl_AQI[[#This Row],[Current AQI]], tbl_AQI[Current AQI], 0)</f>
        <v>1517</v>
      </c>
    </row>
    <row r="2488" spans="1:8" x14ac:dyDescent="0.35">
      <c r="A2488" t="s">
        <v>2235</v>
      </c>
      <c r="B2488" t="s">
        <v>2510</v>
      </c>
      <c r="C2488">
        <v>261</v>
      </c>
      <c r="D2488">
        <v>55</v>
      </c>
      <c r="E2488" t="s">
        <v>7</v>
      </c>
      <c r="F2488">
        <f>tbl_AQI[[#This Row],[Most AQI Reached]]-tbl_AQI[[#This Row],[Current AQI]]</f>
        <v>206</v>
      </c>
      <c r="G24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88">
        <f>RANK(tbl_AQI[[#This Row],[Current AQI]], tbl_AQI[Current AQI], 0)</f>
        <v>4497</v>
      </c>
    </row>
    <row r="2489" spans="1:8" x14ac:dyDescent="0.35">
      <c r="A2489" t="s">
        <v>2235</v>
      </c>
      <c r="B2489" t="s">
        <v>2511</v>
      </c>
      <c r="C2489">
        <v>188</v>
      </c>
      <c r="D2489">
        <v>44</v>
      </c>
      <c r="E2489" t="s">
        <v>7</v>
      </c>
      <c r="F2489">
        <f>tbl_AQI[[#This Row],[Most AQI Reached]]-tbl_AQI[[#This Row],[Current AQI]]</f>
        <v>144</v>
      </c>
      <c r="G24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89">
        <f>RANK(tbl_AQI[[#This Row],[Current AQI]], tbl_AQI[Current AQI], 0)</f>
        <v>4732</v>
      </c>
    </row>
    <row r="2490" spans="1:8" x14ac:dyDescent="0.35">
      <c r="A2490" t="s">
        <v>2235</v>
      </c>
      <c r="B2490" t="s">
        <v>2512</v>
      </c>
      <c r="C2490">
        <v>198</v>
      </c>
      <c r="D2490">
        <v>169</v>
      </c>
      <c r="E2490" t="s">
        <v>7</v>
      </c>
      <c r="F2490">
        <f>tbl_AQI[[#This Row],[Most AQI Reached]]-tbl_AQI[[#This Row],[Current AQI]]</f>
        <v>29</v>
      </c>
      <c r="G24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90">
        <f>RANK(tbl_AQI[[#This Row],[Current AQI]], tbl_AQI[Current AQI], 0)</f>
        <v>1925</v>
      </c>
    </row>
    <row r="2491" spans="1:8" x14ac:dyDescent="0.35">
      <c r="A2491" t="s">
        <v>2235</v>
      </c>
      <c r="B2491" t="s">
        <v>2513</v>
      </c>
      <c r="C2491">
        <v>273</v>
      </c>
      <c r="D2491">
        <v>136</v>
      </c>
      <c r="E2491" t="s">
        <v>15</v>
      </c>
      <c r="F2491">
        <f>tbl_AQI[[#This Row],[Most AQI Reached]]-tbl_AQI[[#This Row],[Current AQI]]</f>
        <v>137</v>
      </c>
      <c r="G24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91">
        <f>RANK(tbl_AQI[[#This Row],[Current AQI]], tbl_AQI[Current AQI], 0)</f>
        <v>2692</v>
      </c>
    </row>
    <row r="2492" spans="1:8" x14ac:dyDescent="0.35">
      <c r="A2492" t="s">
        <v>2235</v>
      </c>
      <c r="B2492" t="s">
        <v>2514</v>
      </c>
      <c r="C2492">
        <v>306</v>
      </c>
      <c r="D2492">
        <v>45</v>
      </c>
      <c r="E2492" t="s">
        <v>11</v>
      </c>
      <c r="F2492">
        <f>tbl_AQI[[#This Row],[Most AQI Reached]]-tbl_AQI[[#This Row],[Current AQI]]</f>
        <v>261</v>
      </c>
      <c r="G24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92">
        <f>RANK(tbl_AQI[[#This Row],[Current AQI]], tbl_AQI[Current AQI], 0)</f>
        <v>4702</v>
      </c>
    </row>
    <row r="2493" spans="1:8" x14ac:dyDescent="0.35">
      <c r="A2493" t="s">
        <v>2235</v>
      </c>
      <c r="B2493" t="s">
        <v>2515</v>
      </c>
      <c r="C2493">
        <v>138</v>
      </c>
      <c r="D2493">
        <v>74</v>
      </c>
      <c r="E2493" t="s">
        <v>21</v>
      </c>
      <c r="F2493">
        <f>tbl_AQI[[#This Row],[Most AQI Reached]]-tbl_AQI[[#This Row],[Current AQI]]</f>
        <v>64</v>
      </c>
      <c r="G24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93">
        <f>RANK(tbl_AQI[[#This Row],[Current AQI]], tbl_AQI[Current AQI], 0)</f>
        <v>4064</v>
      </c>
    </row>
    <row r="2494" spans="1:8" x14ac:dyDescent="0.35">
      <c r="A2494" t="s">
        <v>2235</v>
      </c>
      <c r="B2494" t="s">
        <v>2516</v>
      </c>
      <c r="C2494">
        <v>89</v>
      </c>
      <c r="D2494">
        <v>84</v>
      </c>
      <c r="E2494" t="s">
        <v>15</v>
      </c>
      <c r="F2494">
        <f>tbl_AQI[[#This Row],[Most AQI Reached]]-tbl_AQI[[#This Row],[Current AQI]]</f>
        <v>5</v>
      </c>
      <c r="G24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94">
        <f>RANK(tbl_AQI[[#This Row],[Current AQI]], tbl_AQI[Current AQI], 0)</f>
        <v>3872</v>
      </c>
    </row>
    <row r="2495" spans="1:8" x14ac:dyDescent="0.35">
      <c r="A2495" t="s">
        <v>2235</v>
      </c>
      <c r="B2495" t="s">
        <v>2517</v>
      </c>
      <c r="C2495">
        <v>297</v>
      </c>
      <c r="D2495">
        <v>136</v>
      </c>
      <c r="E2495" t="s">
        <v>33</v>
      </c>
      <c r="F2495">
        <f>tbl_AQI[[#This Row],[Most AQI Reached]]-tbl_AQI[[#This Row],[Current AQI]]</f>
        <v>161</v>
      </c>
      <c r="G24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95">
        <f>RANK(tbl_AQI[[#This Row],[Current AQI]], tbl_AQI[Current AQI], 0)</f>
        <v>2692</v>
      </c>
    </row>
    <row r="2496" spans="1:8" x14ac:dyDescent="0.35">
      <c r="A2496" t="s">
        <v>2235</v>
      </c>
      <c r="B2496" t="s">
        <v>2518</v>
      </c>
      <c r="C2496">
        <v>182</v>
      </c>
      <c r="D2496">
        <v>38</v>
      </c>
      <c r="E2496" t="s">
        <v>9</v>
      </c>
      <c r="F2496">
        <f>tbl_AQI[[#This Row],[Most AQI Reached]]-tbl_AQI[[#This Row],[Current AQI]]</f>
        <v>144</v>
      </c>
      <c r="G24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496">
        <f>RANK(tbl_AQI[[#This Row],[Current AQI]], tbl_AQI[Current AQI], 0)</f>
        <v>4845</v>
      </c>
    </row>
    <row r="2497" spans="1:8" x14ac:dyDescent="0.35">
      <c r="A2497" t="s">
        <v>2235</v>
      </c>
      <c r="B2497" t="s">
        <v>2519</v>
      </c>
      <c r="C2497">
        <v>147</v>
      </c>
      <c r="D2497">
        <v>52</v>
      </c>
      <c r="E2497" t="s">
        <v>11</v>
      </c>
      <c r="F2497">
        <f>tbl_AQI[[#This Row],[Most AQI Reached]]-tbl_AQI[[#This Row],[Current AQI]]</f>
        <v>95</v>
      </c>
      <c r="G24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97">
        <f>RANK(tbl_AQI[[#This Row],[Current AQI]], tbl_AQI[Current AQI], 0)</f>
        <v>4564</v>
      </c>
    </row>
    <row r="2498" spans="1:8" x14ac:dyDescent="0.35">
      <c r="A2498" t="s">
        <v>2235</v>
      </c>
      <c r="B2498" t="s">
        <v>2520</v>
      </c>
      <c r="C2498">
        <v>306</v>
      </c>
      <c r="D2498">
        <v>128</v>
      </c>
      <c r="E2498" t="s">
        <v>21</v>
      </c>
      <c r="F2498">
        <f>tbl_AQI[[#This Row],[Most AQI Reached]]-tbl_AQI[[#This Row],[Current AQI]]</f>
        <v>178</v>
      </c>
      <c r="G24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498">
        <f>RANK(tbl_AQI[[#This Row],[Current AQI]], tbl_AQI[Current AQI], 0)</f>
        <v>2872</v>
      </c>
    </row>
    <row r="2499" spans="1:8" x14ac:dyDescent="0.35">
      <c r="A2499" t="s">
        <v>2235</v>
      </c>
      <c r="B2499" t="s">
        <v>2521</v>
      </c>
      <c r="C2499">
        <v>289</v>
      </c>
      <c r="D2499">
        <v>74</v>
      </c>
      <c r="E2499" t="s">
        <v>17</v>
      </c>
      <c r="F2499">
        <f>tbl_AQI[[#This Row],[Most AQI Reached]]-tbl_AQI[[#This Row],[Current AQI]]</f>
        <v>215</v>
      </c>
      <c r="G24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499">
        <f>RANK(tbl_AQI[[#This Row],[Current AQI]], tbl_AQI[Current AQI], 0)</f>
        <v>4064</v>
      </c>
    </row>
    <row r="2500" spans="1:8" x14ac:dyDescent="0.35">
      <c r="A2500" t="s">
        <v>2235</v>
      </c>
      <c r="B2500" t="s">
        <v>2522</v>
      </c>
      <c r="C2500">
        <v>232</v>
      </c>
      <c r="D2500">
        <v>133</v>
      </c>
      <c r="E2500" t="s">
        <v>33</v>
      </c>
      <c r="F2500">
        <f>tbl_AQI[[#This Row],[Most AQI Reached]]-tbl_AQI[[#This Row],[Current AQI]]</f>
        <v>99</v>
      </c>
      <c r="G25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00">
        <f>RANK(tbl_AQI[[#This Row],[Current AQI]], tbl_AQI[Current AQI], 0)</f>
        <v>2758</v>
      </c>
    </row>
    <row r="2501" spans="1:8" x14ac:dyDescent="0.35">
      <c r="A2501" t="s">
        <v>2235</v>
      </c>
      <c r="B2501" t="s">
        <v>2523</v>
      </c>
      <c r="C2501">
        <v>237</v>
      </c>
      <c r="D2501">
        <v>45</v>
      </c>
      <c r="E2501" t="s">
        <v>33</v>
      </c>
      <c r="F2501">
        <f>tbl_AQI[[#This Row],[Most AQI Reached]]-tbl_AQI[[#This Row],[Current AQI]]</f>
        <v>192</v>
      </c>
      <c r="G25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01">
        <f>RANK(tbl_AQI[[#This Row],[Current AQI]], tbl_AQI[Current AQI], 0)</f>
        <v>4702</v>
      </c>
    </row>
    <row r="2502" spans="1:8" x14ac:dyDescent="0.35">
      <c r="A2502" t="s">
        <v>2235</v>
      </c>
      <c r="B2502" t="s">
        <v>2524</v>
      </c>
      <c r="C2502">
        <v>154</v>
      </c>
      <c r="D2502">
        <v>93</v>
      </c>
      <c r="E2502" t="s">
        <v>21</v>
      </c>
      <c r="F2502">
        <f>tbl_AQI[[#This Row],[Most AQI Reached]]-tbl_AQI[[#This Row],[Current AQI]]</f>
        <v>61</v>
      </c>
      <c r="G25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02">
        <f>RANK(tbl_AQI[[#This Row],[Current AQI]], tbl_AQI[Current AQI], 0)</f>
        <v>3678</v>
      </c>
    </row>
    <row r="2503" spans="1:8" x14ac:dyDescent="0.35">
      <c r="A2503" t="s">
        <v>2235</v>
      </c>
      <c r="B2503" t="s">
        <v>2525</v>
      </c>
      <c r="C2503">
        <v>164</v>
      </c>
      <c r="D2503">
        <v>110</v>
      </c>
      <c r="E2503" t="s">
        <v>15</v>
      </c>
      <c r="F2503">
        <f>tbl_AQI[[#This Row],[Most AQI Reached]]-tbl_AQI[[#This Row],[Current AQI]]</f>
        <v>54</v>
      </c>
      <c r="G25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03">
        <f>RANK(tbl_AQI[[#This Row],[Current AQI]], tbl_AQI[Current AQI], 0)</f>
        <v>3302</v>
      </c>
    </row>
    <row r="2504" spans="1:8" x14ac:dyDescent="0.35">
      <c r="A2504" t="s">
        <v>2235</v>
      </c>
      <c r="B2504" t="s">
        <v>2526</v>
      </c>
      <c r="C2504">
        <v>186</v>
      </c>
      <c r="D2504">
        <v>71</v>
      </c>
      <c r="E2504" t="s">
        <v>21</v>
      </c>
      <c r="F2504">
        <f>tbl_AQI[[#This Row],[Most AQI Reached]]-tbl_AQI[[#This Row],[Current AQI]]</f>
        <v>115</v>
      </c>
      <c r="G25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04">
        <f>RANK(tbl_AQI[[#This Row],[Current AQI]], tbl_AQI[Current AQI], 0)</f>
        <v>4129</v>
      </c>
    </row>
    <row r="2505" spans="1:8" x14ac:dyDescent="0.35">
      <c r="A2505" t="s">
        <v>2235</v>
      </c>
      <c r="B2505" t="s">
        <v>2527</v>
      </c>
      <c r="C2505">
        <v>92</v>
      </c>
      <c r="D2505">
        <v>79</v>
      </c>
      <c r="E2505" t="s">
        <v>11</v>
      </c>
      <c r="F2505">
        <f>tbl_AQI[[#This Row],[Most AQI Reached]]-tbl_AQI[[#This Row],[Current AQI]]</f>
        <v>13</v>
      </c>
      <c r="G25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05">
        <f>RANK(tbl_AQI[[#This Row],[Current AQI]], tbl_AQI[Current AQI], 0)</f>
        <v>3967</v>
      </c>
    </row>
    <row r="2506" spans="1:8" x14ac:dyDescent="0.35">
      <c r="A2506" t="s">
        <v>2235</v>
      </c>
      <c r="B2506" t="s">
        <v>2528</v>
      </c>
      <c r="C2506">
        <v>220</v>
      </c>
      <c r="D2506">
        <v>172</v>
      </c>
      <c r="E2506" t="s">
        <v>33</v>
      </c>
      <c r="F2506">
        <f>tbl_AQI[[#This Row],[Most AQI Reached]]-tbl_AQI[[#This Row],[Current AQI]]</f>
        <v>48</v>
      </c>
      <c r="G25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06">
        <f>RANK(tbl_AQI[[#This Row],[Current AQI]], tbl_AQI[Current AQI], 0)</f>
        <v>1852</v>
      </c>
    </row>
    <row r="2507" spans="1:8" x14ac:dyDescent="0.35">
      <c r="A2507" t="s">
        <v>2235</v>
      </c>
      <c r="B2507" t="s">
        <v>2529</v>
      </c>
      <c r="C2507">
        <v>280</v>
      </c>
      <c r="D2507">
        <v>183</v>
      </c>
      <c r="E2507" t="s">
        <v>17</v>
      </c>
      <c r="F2507">
        <f>tbl_AQI[[#This Row],[Most AQI Reached]]-tbl_AQI[[#This Row],[Current AQI]]</f>
        <v>97</v>
      </c>
      <c r="G25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07">
        <f>RANK(tbl_AQI[[#This Row],[Current AQI]], tbl_AQI[Current AQI], 0)</f>
        <v>1572</v>
      </c>
    </row>
    <row r="2508" spans="1:8" x14ac:dyDescent="0.35">
      <c r="A2508" t="s">
        <v>2235</v>
      </c>
      <c r="B2508" t="s">
        <v>2530</v>
      </c>
      <c r="C2508">
        <v>305</v>
      </c>
      <c r="D2508">
        <v>189</v>
      </c>
      <c r="E2508" t="s">
        <v>21</v>
      </c>
      <c r="F2508">
        <f>tbl_AQI[[#This Row],[Most AQI Reached]]-tbl_AQI[[#This Row],[Current AQI]]</f>
        <v>116</v>
      </c>
      <c r="G25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08">
        <f>RANK(tbl_AQI[[#This Row],[Current AQI]], tbl_AQI[Current AQI], 0)</f>
        <v>1395</v>
      </c>
    </row>
    <row r="2509" spans="1:8" x14ac:dyDescent="0.35">
      <c r="A2509" t="s">
        <v>2235</v>
      </c>
      <c r="B2509" t="s">
        <v>2531</v>
      </c>
      <c r="C2509">
        <v>220</v>
      </c>
      <c r="D2509">
        <v>54</v>
      </c>
      <c r="E2509" t="s">
        <v>7</v>
      </c>
      <c r="F2509">
        <f>tbl_AQI[[#This Row],[Most AQI Reached]]-tbl_AQI[[#This Row],[Current AQI]]</f>
        <v>166</v>
      </c>
      <c r="G25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09">
        <f>RANK(tbl_AQI[[#This Row],[Current AQI]], tbl_AQI[Current AQI], 0)</f>
        <v>4523</v>
      </c>
    </row>
    <row r="2510" spans="1:8" x14ac:dyDescent="0.35">
      <c r="A2510" t="s">
        <v>2235</v>
      </c>
      <c r="B2510" t="s">
        <v>2532</v>
      </c>
      <c r="C2510">
        <v>319</v>
      </c>
      <c r="D2510">
        <v>76</v>
      </c>
      <c r="E2510" t="s">
        <v>11</v>
      </c>
      <c r="F2510">
        <f>tbl_AQI[[#This Row],[Most AQI Reached]]-tbl_AQI[[#This Row],[Current AQI]]</f>
        <v>243</v>
      </c>
      <c r="G25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10">
        <f>RANK(tbl_AQI[[#This Row],[Current AQI]], tbl_AQI[Current AQI], 0)</f>
        <v>4023</v>
      </c>
    </row>
    <row r="2511" spans="1:8" x14ac:dyDescent="0.35">
      <c r="A2511" t="s">
        <v>2235</v>
      </c>
      <c r="B2511" t="s">
        <v>2533</v>
      </c>
      <c r="C2511">
        <v>192</v>
      </c>
      <c r="D2511">
        <v>125</v>
      </c>
      <c r="E2511" t="s">
        <v>9</v>
      </c>
      <c r="F2511">
        <f>tbl_AQI[[#This Row],[Most AQI Reached]]-tbl_AQI[[#This Row],[Current AQI]]</f>
        <v>67</v>
      </c>
      <c r="G25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11">
        <f>RANK(tbl_AQI[[#This Row],[Current AQI]], tbl_AQI[Current AQI], 0)</f>
        <v>2951</v>
      </c>
    </row>
    <row r="2512" spans="1:8" x14ac:dyDescent="0.35">
      <c r="A2512" t="s">
        <v>2235</v>
      </c>
      <c r="B2512" t="s">
        <v>2534</v>
      </c>
      <c r="C2512">
        <v>247</v>
      </c>
      <c r="D2512">
        <v>52</v>
      </c>
      <c r="E2512" t="s">
        <v>9</v>
      </c>
      <c r="F2512">
        <f>tbl_AQI[[#This Row],[Most AQI Reached]]-tbl_AQI[[#This Row],[Current AQI]]</f>
        <v>195</v>
      </c>
      <c r="G25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12">
        <f>RANK(tbl_AQI[[#This Row],[Current AQI]], tbl_AQI[Current AQI], 0)</f>
        <v>4564</v>
      </c>
    </row>
    <row r="2513" spans="1:8" x14ac:dyDescent="0.35">
      <c r="A2513" t="s">
        <v>2235</v>
      </c>
      <c r="B2513" t="s">
        <v>2535</v>
      </c>
      <c r="C2513">
        <v>184</v>
      </c>
      <c r="D2513">
        <v>61</v>
      </c>
      <c r="E2513" t="s">
        <v>21</v>
      </c>
      <c r="F2513">
        <f>tbl_AQI[[#This Row],[Most AQI Reached]]-tbl_AQI[[#This Row],[Current AQI]]</f>
        <v>123</v>
      </c>
      <c r="G25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13">
        <f>RANK(tbl_AQI[[#This Row],[Current AQI]], tbl_AQI[Current AQI], 0)</f>
        <v>4368</v>
      </c>
    </row>
    <row r="2514" spans="1:8" x14ac:dyDescent="0.35">
      <c r="A2514" t="s">
        <v>2235</v>
      </c>
      <c r="B2514" t="s">
        <v>2536</v>
      </c>
      <c r="C2514">
        <v>311</v>
      </c>
      <c r="D2514">
        <v>96</v>
      </c>
      <c r="E2514" t="s">
        <v>11</v>
      </c>
      <c r="F2514">
        <f>tbl_AQI[[#This Row],[Most AQI Reached]]-tbl_AQI[[#This Row],[Current AQI]]</f>
        <v>215</v>
      </c>
      <c r="G25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14">
        <f>RANK(tbl_AQI[[#This Row],[Current AQI]], tbl_AQI[Current AQI], 0)</f>
        <v>3616</v>
      </c>
    </row>
    <row r="2515" spans="1:8" x14ac:dyDescent="0.35">
      <c r="A2515" t="s">
        <v>2235</v>
      </c>
      <c r="B2515" t="s">
        <v>2537</v>
      </c>
      <c r="C2515">
        <v>229</v>
      </c>
      <c r="D2515">
        <v>61</v>
      </c>
      <c r="E2515" t="s">
        <v>15</v>
      </c>
      <c r="F2515">
        <f>tbl_AQI[[#This Row],[Most AQI Reached]]-tbl_AQI[[#This Row],[Current AQI]]</f>
        <v>168</v>
      </c>
      <c r="G25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15">
        <f>RANK(tbl_AQI[[#This Row],[Current AQI]], tbl_AQI[Current AQI], 0)</f>
        <v>4368</v>
      </c>
    </row>
    <row r="2516" spans="1:8" x14ac:dyDescent="0.35">
      <c r="A2516" t="s">
        <v>2235</v>
      </c>
      <c r="B2516" t="s">
        <v>2538</v>
      </c>
      <c r="C2516">
        <v>211</v>
      </c>
      <c r="D2516">
        <v>174</v>
      </c>
      <c r="E2516" t="s">
        <v>9</v>
      </c>
      <c r="F2516">
        <f>tbl_AQI[[#This Row],[Most AQI Reached]]-tbl_AQI[[#This Row],[Current AQI]]</f>
        <v>37</v>
      </c>
      <c r="G25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16">
        <f>RANK(tbl_AQI[[#This Row],[Current AQI]], tbl_AQI[Current AQI], 0)</f>
        <v>1803</v>
      </c>
    </row>
    <row r="2517" spans="1:8" x14ac:dyDescent="0.35">
      <c r="A2517" t="s">
        <v>2235</v>
      </c>
      <c r="B2517" t="s">
        <v>2539</v>
      </c>
      <c r="C2517">
        <v>265</v>
      </c>
      <c r="D2517">
        <v>169</v>
      </c>
      <c r="E2517" t="s">
        <v>21</v>
      </c>
      <c r="F2517">
        <f>tbl_AQI[[#This Row],[Most AQI Reached]]-tbl_AQI[[#This Row],[Current AQI]]</f>
        <v>96</v>
      </c>
      <c r="G25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17">
        <f>RANK(tbl_AQI[[#This Row],[Current AQI]], tbl_AQI[Current AQI], 0)</f>
        <v>1925</v>
      </c>
    </row>
    <row r="2518" spans="1:8" x14ac:dyDescent="0.35">
      <c r="A2518" t="s">
        <v>2235</v>
      </c>
      <c r="B2518" t="s">
        <v>2540</v>
      </c>
      <c r="C2518">
        <v>100</v>
      </c>
      <c r="D2518">
        <v>35</v>
      </c>
      <c r="E2518" t="s">
        <v>21</v>
      </c>
      <c r="F2518">
        <f>tbl_AQI[[#This Row],[Most AQI Reached]]-tbl_AQI[[#This Row],[Current AQI]]</f>
        <v>65</v>
      </c>
      <c r="G25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18">
        <f>RANK(tbl_AQI[[#This Row],[Current AQI]], tbl_AQI[Current AQI], 0)</f>
        <v>4916</v>
      </c>
    </row>
    <row r="2519" spans="1:8" x14ac:dyDescent="0.35">
      <c r="A2519" t="s">
        <v>2235</v>
      </c>
      <c r="B2519" t="s">
        <v>2541</v>
      </c>
      <c r="C2519">
        <v>254</v>
      </c>
      <c r="D2519">
        <v>55</v>
      </c>
      <c r="E2519" t="s">
        <v>15</v>
      </c>
      <c r="F2519">
        <f>tbl_AQI[[#This Row],[Most AQI Reached]]-tbl_AQI[[#This Row],[Current AQI]]</f>
        <v>199</v>
      </c>
      <c r="G25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19">
        <f>RANK(tbl_AQI[[#This Row],[Current AQI]], tbl_AQI[Current AQI], 0)</f>
        <v>4497</v>
      </c>
    </row>
    <row r="2520" spans="1:8" x14ac:dyDescent="0.35">
      <c r="A2520" t="s">
        <v>2235</v>
      </c>
      <c r="B2520" t="s">
        <v>2542</v>
      </c>
      <c r="C2520">
        <v>188</v>
      </c>
      <c r="D2520">
        <v>51</v>
      </c>
      <c r="E2520" t="s">
        <v>21</v>
      </c>
      <c r="F2520">
        <f>tbl_AQI[[#This Row],[Most AQI Reached]]-tbl_AQI[[#This Row],[Current AQI]]</f>
        <v>137</v>
      </c>
      <c r="G25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20">
        <f>RANK(tbl_AQI[[#This Row],[Current AQI]], tbl_AQI[Current AQI], 0)</f>
        <v>4578</v>
      </c>
    </row>
    <row r="2521" spans="1:8" x14ac:dyDescent="0.35">
      <c r="A2521" t="s">
        <v>2235</v>
      </c>
      <c r="B2521" t="s">
        <v>2543</v>
      </c>
      <c r="C2521">
        <v>313</v>
      </c>
      <c r="D2521">
        <v>77</v>
      </c>
      <c r="E2521" t="s">
        <v>15</v>
      </c>
      <c r="F2521">
        <f>tbl_AQI[[#This Row],[Most AQI Reached]]-tbl_AQI[[#This Row],[Current AQI]]</f>
        <v>236</v>
      </c>
      <c r="G25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21">
        <f>RANK(tbl_AQI[[#This Row],[Current AQI]], tbl_AQI[Current AQI], 0)</f>
        <v>4006</v>
      </c>
    </row>
    <row r="2522" spans="1:8" x14ac:dyDescent="0.35">
      <c r="A2522" t="s">
        <v>2235</v>
      </c>
      <c r="B2522" t="s">
        <v>2544</v>
      </c>
      <c r="C2522">
        <v>95</v>
      </c>
      <c r="D2522">
        <v>81</v>
      </c>
      <c r="E2522" t="s">
        <v>7</v>
      </c>
      <c r="F2522">
        <f>tbl_AQI[[#This Row],[Most AQI Reached]]-tbl_AQI[[#This Row],[Current AQI]]</f>
        <v>14</v>
      </c>
      <c r="G25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22">
        <f>RANK(tbl_AQI[[#This Row],[Current AQI]], tbl_AQI[Current AQI], 0)</f>
        <v>3923</v>
      </c>
    </row>
    <row r="2523" spans="1:8" x14ac:dyDescent="0.35">
      <c r="A2523" t="s">
        <v>2235</v>
      </c>
      <c r="B2523" t="s">
        <v>2545</v>
      </c>
      <c r="C2523">
        <v>262</v>
      </c>
      <c r="D2523">
        <v>97</v>
      </c>
      <c r="E2523" t="s">
        <v>9</v>
      </c>
      <c r="F2523">
        <f>tbl_AQI[[#This Row],[Most AQI Reached]]-tbl_AQI[[#This Row],[Current AQI]]</f>
        <v>165</v>
      </c>
      <c r="G25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23">
        <f>RANK(tbl_AQI[[#This Row],[Current AQI]], tbl_AQI[Current AQI], 0)</f>
        <v>3593</v>
      </c>
    </row>
    <row r="2524" spans="1:8" x14ac:dyDescent="0.35">
      <c r="A2524" t="s">
        <v>2235</v>
      </c>
      <c r="B2524" t="s">
        <v>2546</v>
      </c>
      <c r="C2524">
        <v>249</v>
      </c>
      <c r="D2524">
        <v>106</v>
      </c>
      <c r="E2524" t="s">
        <v>7</v>
      </c>
      <c r="F2524">
        <f>tbl_AQI[[#This Row],[Most AQI Reached]]-tbl_AQI[[#This Row],[Current AQI]]</f>
        <v>143</v>
      </c>
      <c r="G25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24">
        <f>RANK(tbl_AQI[[#This Row],[Current AQI]], tbl_AQI[Current AQI], 0)</f>
        <v>3413</v>
      </c>
    </row>
    <row r="2525" spans="1:8" x14ac:dyDescent="0.35">
      <c r="A2525" t="s">
        <v>2235</v>
      </c>
      <c r="B2525" t="s">
        <v>2547</v>
      </c>
      <c r="C2525">
        <v>148</v>
      </c>
      <c r="D2525">
        <v>133</v>
      </c>
      <c r="E2525" t="s">
        <v>33</v>
      </c>
      <c r="F2525">
        <f>tbl_AQI[[#This Row],[Most AQI Reached]]-tbl_AQI[[#This Row],[Current AQI]]</f>
        <v>15</v>
      </c>
      <c r="G25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25">
        <f>RANK(tbl_AQI[[#This Row],[Current AQI]], tbl_AQI[Current AQI], 0)</f>
        <v>2758</v>
      </c>
    </row>
    <row r="2526" spans="1:8" x14ac:dyDescent="0.35">
      <c r="A2526" t="s">
        <v>2235</v>
      </c>
      <c r="B2526" t="s">
        <v>2548</v>
      </c>
      <c r="C2526">
        <v>226</v>
      </c>
      <c r="D2526">
        <v>131</v>
      </c>
      <c r="E2526" t="s">
        <v>9</v>
      </c>
      <c r="F2526">
        <f>tbl_AQI[[#This Row],[Most AQI Reached]]-tbl_AQI[[#This Row],[Current AQI]]</f>
        <v>95</v>
      </c>
      <c r="G25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26">
        <f>RANK(tbl_AQI[[#This Row],[Current AQI]], tbl_AQI[Current AQI], 0)</f>
        <v>2815</v>
      </c>
    </row>
    <row r="2527" spans="1:8" x14ac:dyDescent="0.35">
      <c r="A2527" t="s">
        <v>2235</v>
      </c>
      <c r="B2527" t="s">
        <v>2549</v>
      </c>
      <c r="C2527">
        <v>308</v>
      </c>
      <c r="D2527">
        <v>128</v>
      </c>
      <c r="E2527" t="s">
        <v>11</v>
      </c>
      <c r="F2527">
        <f>tbl_AQI[[#This Row],[Most AQI Reached]]-tbl_AQI[[#This Row],[Current AQI]]</f>
        <v>180</v>
      </c>
      <c r="G25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27">
        <f>RANK(tbl_AQI[[#This Row],[Current AQI]], tbl_AQI[Current AQI], 0)</f>
        <v>2872</v>
      </c>
    </row>
    <row r="2528" spans="1:8" x14ac:dyDescent="0.35">
      <c r="A2528" t="s">
        <v>2235</v>
      </c>
      <c r="B2528" t="s">
        <v>2550</v>
      </c>
      <c r="C2528">
        <v>308</v>
      </c>
      <c r="D2528">
        <v>153</v>
      </c>
      <c r="E2528" t="s">
        <v>21</v>
      </c>
      <c r="F2528">
        <f>tbl_AQI[[#This Row],[Most AQI Reached]]-tbl_AQI[[#This Row],[Current AQI]]</f>
        <v>155</v>
      </c>
      <c r="G25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28">
        <f>RANK(tbl_AQI[[#This Row],[Current AQI]], tbl_AQI[Current AQI], 0)</f>
        <v>2329</v>
      </c>
    </row>
    <row r="2529" spans="1:8" x14ac:dyDescent="0.35">
      <c r="A2529" t="s">
        <v>2235</v>
      </c>
      <c r="B2529" t="s">
        <v>2551</v>
      </c>
      <c r="C2529">
        <v>239</v>
      </c>
      <c r="D2529">
        <v>179</v>
      </c>
      <c r="E2529" t="s">
        <v>15</v>
      </c>
      <c r="F2529">
        <f>tbl_AQI[[#This Row],[Most AQI Reached]]-tbl_AQI[[#This Row],[Current AQI]]</f>
        <v>60</v>
      </c>
      <c r="G25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29">
        <f>RANK(tbl_AQI[[#This Row],[Current AQI]], tbl_AQI[Current AQI], 0)</f>
        <v>1667</v>
      </c>
    </row>
    <row r="2530" spans="1:8" x14ac:dyDescent="0.35">
      <c r="A2530" t="s">
        <v>2235</v>
      </c>
      <c r="B2530" t="s">
        <v>2552</v>
      </c>
      <c r="C2530">
        <v>302</v>
      </c>
      <c r="D2530">
        <v>138</v>
      </c>
      <c r="E2530" t="s">
        <v>17</v>
      </c>
      <c r="F2530">
        <f>tbl_AQI[[#This Row],[Most AQI Reached]]-tbl_AQI[[#This Row],[Current AQI]]</f>
        <v>164</v>
      </c>
      <c r="G25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30">
        <f>RANK(tbl_AQI[[#This Row],[Current AQI]], tbl_AQI[Current AQI], 0)</f>
        <v>2660</v>
      </c>
    </row>
    <row r="2531" spans="1:8" x14ac:dyDescent="0.35">
      <c r="A2531" t="s">
        <v>2235</v>
      </c>
      <c r="B2531" t="s">
        <v>2553</v>
      </c>
      <c r="C2531">
        <v>131</v>
      </c>
      <c r="D2531">
        <v>105</v>
      </c>
      <c r="E2531" t="s">
        <v>21</v>
      </c>
      <c r="F2531">
        <f>tbl_AQI[[#This Row],[Most AQI Reached]]-tbl_AQI[[#This Row],[Current AQI]]</f>
        <v>26</v>
      </c>
      <c r="G25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31">
        <f>RANK(tbl_AQI[[#This Row],[Current AQI]], tbl_AQI[Current AQI], 0)</f>
        <v>3436</v>
      </c>
    </row>
    <row r="2532" spans="1:8" x14ac:dyDescent="0.35">
      <c r="A2532" t="s">
        <v>2235</v>
      </c>
      <c r="B2532" t="s">
        <v>2554</v>
      </c>
      <c r="C2532">
        <v>196</v>
      </c>
      <c r="D2532">
        <v>122</v>
      </c>
      <c r="E2532" t="s">
        <v>17</v>
      </c>
      <c r="F2532">
        <f>tbl_AQI[[#This Row],[Most AQI Reached]]-tbl_AQI[[#This Row],[Current AQI]]</f>
        <v>74</v>
      </c>
      <c r="G25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32">
        <f>RANK(tbl_AQI[[#This Row],[Current AQI]], tbl_AQI[Current AQI], 0)</f>
        <v>3013</v>
      </c>
    </row>
    <row r="2533" spans="1:8" x14ac:dyDescent="0.35">
      <c r="A2533" t="s">
        <v>2235</v>
      </c>
      <c r="B2533" t="s">
        <v>2555</v>
      </c>
      <c r="C2533">
        <v>261</v>
      </c>
      <c r="D2533">
        <v>45</v>
      </c>
      <c r="E2533" t="s">
        <v>7</v>
      </c>
      <c r="F2533">
        <f>tbl_AQI[[#This Row],[Most AQI Reached]]-tbl_AQI[[#This Row],[Current AQI]]</f>
        <v>216</v>
      </c>
      <c r="G25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33">
        <f>RANK(tbl_AQI[[#This Row],[Current AQI]], tbl_AQI[Current AQI], 0)</f>
        <v>4702</v>
      </c>
    </row>
    <row r="2534" spans="1:8" x14ac:dyDescent="0.35">
      <c r="A2534" t="s">
        <v>2235</v>
      </c>
      <c r="B2534" t="s">
        <v>2556</v>
      </c>
      <c r="C2534">
        <v>282</v>
      </c>
      <c r="D2534">
        <v>158</v>
      </c>
      <c r="E2534" t="s">
        <v>21</v>
      </c>
      <c r="F2534">
        <f>tbl_AQI[[#This Row],[Most AQI Reached]]-tbl_AQI[[#This Row],[Current AQI]]</f>
        <v>124</v>
      </c>
      <c r="G25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34">
        <f>RANK(tbl_AQI[[#This Row],[Current AQI]], tbl_AQI[Current AQI], 0)</f>
        <v>2207</v>
      </c>
    </row>
    <row r="2535" spans="1:8" x14ac:dyDescent="0.35">
      <c r="A2535" t="s">
        <v>2235</v>
      </c>
      <c r="B2535" t="s">
        <v>2557</v>
      </c>
      <c r="C2535">
        <v>140</v>
      </c>
      <c r="D2535">
        <v>112</v>
      </c>
      <c r="E2535" t="s">
        <v>11</v>
      </c>
      <c r="F2535">
        <f>tbl_AQI[[#This Row],[Most AQI Reached]]-tbl_AQI[[#This Row],[Current AQI]]</f>
        <v>28</v>
      </c>
      <c r="G25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35">
        <f>RANK(tbl_AQI[[#This Row],[Current AQI]], tbl_AQI[Current AQI], 0)</f>
        <v>3267</v>
      </c>
    </row>
    <row r="2536" spans="1:8" x14ac:dyDescent="0.35">
      <c r="A2536" t="s">
        <v>2235</v>
      </c>
      <c r="B2536" t="s">
        <v>2558</v>
      </c>
      <c r="C2536">
        <v>181</v>
      </c>
      <c r="D2536">
        <v>170</v>
      </c>
      <c r="E2536" t="s">
        <v>7</v>
      </c>
      <c r="F2536">
        <f>tbl_AQI[[#This Row],[Most AQI Reached]]-tbl_AQI[[#This Row],[Current AQI]]</f>
        <v>11</v>
      </c>
      <c r="G25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36">
        <f>RANK(tbl_AQI[[#This Row],[Current AQI]], tbl_AQI[Current AQI], 0)</f>
        <v>1898</v>
      </c>
    </row>
    <row r="2537" spans="1:8" x14ac:dyDescent="0.35">
      <c r="A2537" t="s">
        <v>2235</v>
      </c>
      <c r="B2537" t="s">
        <v>2559</v>
      </c>
      <c r="C2537">
        <v>223</v>
      </c>
      <c r="D2537">
        <v>96</v>
      </c>
      <c r="E2537" t="s">
        <v>17</v>
      </c>
      <c r="F2537">
        <f>tbl_AQI[[#This Row],[Most AQI Reached]]-tbl_AQI[[#This Row],[Current AQI]]</f>
        <v>127</v>
      </c>
      <c r="G25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37">
        <f>RANK(tbl_AQI[[#This Row],[Current AQI]], tbl_AQI[Current AQI], 0)</f>
        <v>3616</v>
      </c>
    </row>
    <row r="2538" spans="1:8" x14ac:dyDescent="0.35">
      <c r="A2538" t="s">
        <v>2235</v>
      </c>
      <c r="B2538" t="s">
        <v>2560</v>
      </c>
      <c r="C2538">
        <v>262</v>
      </c>
      <c r="D2538">
        <v>143</v>
      </c>
      <c r="E2538" t="s">
        <v>17</v>
      </c>
      <c r="F2538">
        <f>tbl_AQI[[#This Row],[Most AQI Reached]]-tbl_AQI[[#This Row],[Current AQI]]</f>
        <v>119</v>
      </c>
      <c r="G25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38">
        <f>RANK(tbl_AQI[[#This Row],[Current AQI]], tbl_AQI[Current AQI], 0)</f>
        <v>2567</v>
      </c>
    </row>
    <row r="2539" spans="1:8" x14ac:dyDescent="0.35">
      <c r="A2539" t="s">
        <v>2235</v>
      </c>
      <c r="B2539" t="s">
        <v>2561</v>
      </c>
      <c r="C2539">
        <v>305</v>
      </c>
      <c r="D2539">
        <v>85</v>
      </c>
      <c r="E2539" t="s">
        <v>15</v>
      </c>
      <c r="F2539">
        <f>tbl_AQI[[#This Row],[Most AQI Reached]]-tbl_AQI[[#This Row],[Current AQI]]</f>
        <v>220</v>
      </c>
      <c r="G25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39">
        <f>RANK(tbl_AQI[[#This Row],[Current AQI]], tbl_AQI[Current AQI], 0)</f>
        <v>3852</v>
      </c>
    </row>
    <row r="2540" spans="1:8" x14ac:dyDescent="0.35">
      <c r="A2540" t="s">
        <v>2235</v>
      </c>
      <c r="B2540" t="s">
        <v>2562</v>
      </c>
      <c r="C2540">
        <v>258</v>
      </c>
      <c r="D2540">
        <v>168</v>
      </c>
      <c r="E2540" t="s">
        <v>21</v>
      </c>
      <c r="F2540">
        <f>tbl_AQI[[#This Row],[Most AQI Reached]]-tbl_AQI[[#This Row],[Current AQI]]</f>
        <v>90</v>
      </c>
      <c r="G25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40">
        <f>RANK(tbl_AQI[[#This Row],[Current AQI]], tbl_AQI[Current AQI], 0)</f>
        <v>1954</v>
      </c>
    </row>
    <row r="2541" spans="1:8" x14ac:dyDescent="0.35">
      <c r="A2541" t="s">
        <v>2235</v>
      </c>
      <c r="B2541" t="s">
        <v>2563</v>
      </c>
      <c r="C2541">
        <v>181</v>
      </c>
      <c r="D2541">
        <v>36</v>
      </c>
      <c r="E2541" t="s">
        <v>9</v>
      </c>
      <c r="F2541">
        <f>tbl_AQI[[#This Row],[Most AQI Reached]]-tbl_AQI[[#This Row],[Current AQI]]</f>
        <v>145</v>
      </c>
      <c r="G25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41">
        <f>RANK(tbl_AQI[[#This Row],[Current AQI]], tbl_AQI[Current AQI], 0)</f>
        <v>4893</v>
      </c>
    </row>
    <row r="2542" spans="1:8" x14ac:dyDescent="0.35">
      <c r="A2542" t="s">
        <v>2235</v>
      </c>
      <c r="B2542" t="s">
        <v>2564</v>
      </c>
      <c r="C2542">
        <v>177</v>
      </c>
      <c r="D2542">
        <v>63</v>
      </c>
      <c r="E2542" t="s">
        <v>15</v>
      </c>
      <c r="F2542">
        <f>tbl_AQI[[#This Row],[Most AQI Reached]]-tbl_AQI[[#This Row],[Current AQI]]</f>
        <v>114</v>
      </c>
      <c r="G25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42">
        <f>RANK(tbl_AQI[[#This Row],[Current AQI]], tbl_AQI[Current AQI], 0)</f>
        <v>4322</v>
      </c>
    </row>
    <row r="2543" spans="1:8" x14ac:dyDescent="0.35">
      <c r="A2543" t="s">
        <v>2235</v>
      </c>
      <c r="B2543" t="s">
        <v>2565</v>
      </c>
      <c r="C2543">
        <v>172</v>
      </c>
      <c r="D2543">
        <v>136</v>
      </c>
      <c r="E2543" t="s">
        <v>15</v>
      </c>
      <c r="F2543">
        <f>tbl_AQI[[#This Row],[Most AQI Reached]]-tbl_AQI[[#This Row],[Current AQI]]</f>
        <v>36</v>
      </c>
      <c r="G25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43">
        <f>RANK(tbl_AQI[[#This Row],[Current AQI]], tbl_AQI[Current AQI], 0)</f>
        <v>2692</v>
      </c>
    </row>
    <row r="2544" spans="1:8" x14ac:dyDescent="0.35">
      <c r="A2544" t="s">
        <v>2235</v>
      </c>
      <c r="B2544" t="s">
        <v>2566</v>
      </c>
      <c r="C2544">
        <v>114</v>
      </c>
      <c r="D2544">
        <v>87</v>
      </c>
      <c r="E2544" t="s">
        <v>17</v>
      </c>
      <c r="F2544">
        <f>tbl_AQI[[#This Row],[Most AQI Reached]]-tbl_AQI[[#This Row],[Current AQI]]</f>
        <v>27</v>
      </c>
      <c r="G25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44">
        <f>RANK(tbl_AQI[[#This Row],[Current AQI]], tbl_AQI[Current AQI], 0)</f>
        <v>3813</v>
      </c>
    </row>
    <row r="2545" spans="1:8" x14ac:dyDescent="0.35">
      <c r="A2545" t="s">
        <v>2235</v>
      </c>
      <c r="B2545" t="s">
        <v>2567</v>
      </c>
      <c r="C2545">
        <v>177</v>
      </c>
      <c r="D2545">
        <v>170</v>
      </c>
      <c r="E2545" t="s">
        <v>9</v>
      </c>
      <c r="F2545">
        <f>tbl_AQI[[#This Row],[Most AQI Reached]]-tbl_AQI[[#This Row],[Current AQI]]</f>
        <v>7</v>
      </c>
      <c r="G25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45">
        <f>RANK(tbl_AQI[[#This Row],[Current AQI]], tbl_AQI[Current AQI], 0)</f>
        <v>1898</v>
      </c>
    </row>
    <row r="2546" spans="1:8" x14ac:dyDescent="0.35">
      <c r="A2546" t="s">
        <v>2235</v>
      </c>
      <c r="B2546" t="s">
        <v>2568</v>
      </c>
      <c r="C2546">
        <v>119</v>
      </c>
      <c r="D2546">
        <v>43</v>
      </c>
      <c r="E2546" t="s">
        <v>17</v>
      </c>
      <c r="F2546">
        <f>tbl_AQI[[#This Row],[Most AQI Reached]]-tbl_AQI[[#This Row],[Current AQI]]</f>
        <v>76</v>
      </c>
      <c r="G25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46">
        <f>RANK(tbl_AQI[[#This Row],[Current AQI]], tbl_AQI[Current AQI], 0)</f>
        <v>4752</v>
      </c>
    </row>
    <row r="2547" spans="1:8" x14ac:dyDescent="0.35">
      <c r="A2547" t="s">
        <v>2235</v>
      </c>
      <c r="B2547" t="s">
        <v>2569</v>
      </c>
      <c r="C2547">
        <v>191</v>
      </c>
      <c r="D2547">
        <v>164</v>
      </c>
      <c r="E2547" t="s">
        <v>17</v>
      </c>
      <c r="F2547">
        <f>tbl_AQI[[#This Row],[Most AQI Reached]]-tbl_AQI[[#This Row],[Current AQI]]</f>
        <v>27</v>
      </c>
      <c r="G25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47">
        <f>RANK(tbl_AQI[[#This Row],[Current AQI]], tbl_AQI[Current AQI], 0)</f>
        <v>2049</v>
      </c>
    </row>
    <row r="2548" spans="1:8" x14ac:dyDescent="0.35">
      <c r="A2548" t="s">
        <v>2235</v>
      </c>
      <c r="B2548" t="s">
        <v>2570</v>
      </c>
      <c r="C2548">
        <v>251</v>
      </c>
      <c r="D2548">
        <v>72</v>
      </c>
      <c r="E2548" t="s">
        <v>33</v>
      </c>
      <c r="F2548">
        <f>tbl_AQI[[#This Row],[Most AQI Reached]]-tbl_AQI[[#This Row],[Current AQI]]</f>
        <v>179</v>
      </c>
      <c r="G25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48">
        <f>RANK(tbl_AQI[[#This Row],[Current AQI]], tbl_AQI[Current AQI], 0)</f>
        <v>4100</v>
      </c>
    </row>
    <row r="2549" spans="1:8" x14ac:dyDescent="0.35">
      <c r="A2549" t="s">
        <v>2235</v>
      </c>
      <c r="B2549" t="s">
        <v>2571</v>
      </c>
      <c r="C2549">
        <v>290</v>
      </c>
      <c r="D2549">
        <v>65</v>
      </c>
      <c r="E2549" t="s">
        <v>33</v>
      </c>
      <c r="F2549">
        <f>tbl_AQI[[#This Row],[Most AQI Reached]]-tbl_AQI[[#This Row],[Current AQI]]</f>
        <v>225</v>
      </c>
      <c r="G25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49">
        <f>RANK(tbl_AQI[[#This Row],[Current AQI]], tbl_AQI[Current AQI], 0)</f>
        <v>4267</v>
      </c>
    </row>
    <row r="2550" spans="1:8" x14ac:dyDescent="0.35">
      <c r="A2550" t="s">
        <v>2235</v>
      </c>
      <c r="B2550" t="s">
        <v>2572</v>
      </c>
      <c r="C2550">
        <v>195</v>
      </c>
      <c r="D2550">
        <v>181</v>
      </c>
      <c r="E2550" t="s">
        <v>11</v>
      </c>
      <c r="F2550">
        <f>tbl_AQI[[#This Row],[Most AQI Reached]]-tbl_AQI[[#This Row],[Current AQI]]</f>
        <v>14</v>
      </c>
      <c r="G25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50">
        <f>RANK(tbl_AQI[[#This Row],[Current AQI]], tbl_AQI[Current AQI], 0)</f>
        <v>1609</v>
      </c>
    </row>
    <row r="2551" spans="1:8" x14ac:dyDescent="0.35">
      <c r="A2551" t="s">
        <v>2235</v>
      </c>
      <c r="B2551" t="s">
        <v>2573</v>
      </c>
      <c r="C2551">
        <v>312</v>
      </c>
      <c r="D2551">
        <v>148</v>
      </c>
      <c r="E2551" t="s">
        <v>17</v>
      </c>
      <c r="F2551">
        <f>tbl_AQI[[#This Row],[Most AQI Reached]]-tbl_AQI[[#This Row],[Current AQI]]</f>
        <v>164</v>
      </c>
      <c r="G25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51">
        <f>RANK(tbl_AQI[[#This Row],[Current AQI]], tbl_AQI[Current AQI], 0)</f>
        <v>2446</v>
      </c>
    </row>
    <row r="2552" spans="1:8" x14ac:dyDescent="0.35">
      <c r="A2552" t="s">
        <v>2235</v>
      </c>
      <c r="B2552" t="s">
        <v>2574</v>
      </c>
      <c r="C2552">
        <v>274</v>
      </c>
      <c r="D2552">
        <v>182</v>
      </c>
      <c r="E2552" t="s">
        <v>7</v>
      </c>
      <c r="F2552">
        <f>tbl_AQI[[#This Row],[Most AQI Reached]]-tbl_AQI[[#This Row],[Current AQI]]</f>
        <v>92</v>
      </c>
      <c r="G25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52">
        <f>RANK(tbl_AQI[[#This Row],[Current AQI]], tbl_AQI[Current AQI], 0)</f>
        <v>1593</v>
      </c>
    </row>
    <row r="2553" spans="1:8" x14ac:dyDescent="0.35">
      <c r="A2553" t="s">
        <v>2235</v>
      </c>
      <c r="B2553" t="s">
        <v>2575</v>
      </c>
      <c r="C2553">
        <v>93</v>
      </c>
      <c r="D2553">
        <v>33</v>
      </c>
      <c r="E2553" t="s">
        <v>7</v>
      </c>
      <c r="F2553">
        <f>tbl_AQI[[#This Row],[Most AQI Reached]]-tbl_AQI[[#This Row],[Current AQI]]</f>
        <v>60</v>
      </c>
      <c r="G25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53">
        <f>RANK(tbl_AQI[[#This Row],[Current AQI]], tbl_AQI[Current AQI], 0)</f>
        <v>4964</v>
      </c>
    </row>
    <row r="2554" spans="1:8" x14ac:dyDescent="0.35">
      <c r="A2554" t="s">
        <v>2235</v>
      </c>
      <c r="B2554" t="s">
        <v>2576</v>
      </c>
      <c r="C2554">
        <v>319</v>
      </c>
      <c r="D2554">
        <v>178</v>
      </c>
      <c r="E2554" t="s">
        <v>11</v>
      </c>
      <c r="F2554">
        <f>tbl_AQI[[#This Row],[Most AQI Reached]]-tbl_AQI[[#This Row],[Current AQI]]</f>
        <v>141</v>
      </c>
      <c r="G25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54">
        <f>RANK(tbl_AQI[[#This Row],[Current AQI]], tbl_AQI[Current AQI], 0)</f>
        <v>1702</v>
      </c>
    </row>
    <row r="2555" spans="1:8" x14ac:dyDescent="0.35">
      <c r="A2555" t="s">
        <v>2235</v>
      </c>
      <c r="B2555" t="s">
        <v>2577</v>
      </c>
      <c r="C2555">
        <v>111</v>
      </c>
      <c r="D2555">
        <v>88</v>
      </c>
      <c r="E2555" t="s">
        <v>21</v>
      </c>
      <c r="F2555">
        <f>tbl_AQI[[#This Row],[Most AQI Reached]]-tbl_AQI[[#This Row],[Current AQI]]</f>
        <v>23</v>
      </c>
      <c r="G25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55">
        <f>RANK(tbl_AQI[[#This Row],[Current AQI]], tbl_AQI[Current AQI], 0)</f>
        <v>3792</v>
      </c>
    </row>
    <row r="2556" spans="1:8" x14ac:dyDescent="0.35">
      <c r="A2556" t="s">
        <v>2235</v>
      </c>
      <c r="B2556" t="s">
        <v>2578</v>
      </c>
      <c r="C2556">
        <v>168</v>
      </c>
      <c r="D2556">
        <v>123</v>
      </c>
      <c r="E2556" t="s">
        <v>9</v>
      </c>
      <c r="F2556">
        <f>tbl_AQI[[#This Row],[Most AQI Reached]]-tbl_AQI[[#This Row],[Current AQI]]</f>
        <v>45</v>
      </c>
      <c r="G25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56">
        <f>RANK(tbl_AQI[[#This Row],[Current AQI]], tbl_AQI[Current AQI], 0)</f>
        <v>2983</v>
      </c>
    </row>
    <row r="2557" spans="1:8" x14ac:dyDescent="0.35">
      <c r="A2557" t="s">
        <v>2235</v>
      </c>
      <c r="B2557" t="s">
        <v>2579</v>
      </c>
      <c r="C2557">
        <v>291</v>
      </c>
      <c r="D2557">
        <v>179</v>
      </c>
      <c r="E2557" t="s">
        <v>9</v>
      </c>
      <c r="F2557">
        <f>tbl_AQI[[#This Row],[Most AQI Reached]]-tbl_AQI[[#This Row],[Current AQI]]</f>
        <v>112</v>
      </c>
      <c r="G25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57">
        <f>RANK(tbl_AQI[[#This Row],[Current AQI]], tbl_AQI[Current AQI], 0)</f>
        <v>1667</v>
      </c>
    </row>
    <row r="2558" spans="1:8" x14ac:dyDescent="0.35">
      <c r="A2558" t="s">
        <v>2235</v>
      </c>
      <c r="B2558" t="s">
        <v>2580</v>
      </c>
      <c r="C2558">
        <v>268</v>
      </c>
      <c r="D2558">
        <v>45</v>
      </c>
      <c r="E2558" t="s">
        <v>17</v>
      </c>
      <c r="F2558">
        <f>tbl_AQI[[#This Row],[Most AQI Reached]]-tbl_AQI[[#This Row],[Current AQI]]</f>
        <v>223</v>
      </c>
      <c r="G25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58">
        <f>RANK(tbl_AQI[[#This Row],[Current AQI]], tbl_AQI[Current AQI], 0)</f>
        <v>4702</v>
      </c>
    </row>
    <row r="2559" spans="1:8" x14ac:dyDescent="0.35">
      <c r="A2559" t="s">
        <v>2235</v>
      </c>
      <c r="B2559" t="s">
        <v>2581</v>
      </c>
      <c r="C2559">
        <v>179</v>
      </c>
      <c r="D2559">
        <v>96</v>
      </c>
      <c r="E2559" t="s">
        <v>15</v>
      </c>
      <c r="F2559">
        <f>tbl_AQI[[#This Row],[Most AQI Reached]]-tbl_AQI[[#This Row],[Current AQI]]</f>
        <v>83</v>
      </c>
      <c r="G25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59">
        <f>RANK(tbl_AQI[[#This Row],[Current AQI]], tbl_AQI[Current AQI], 0)</f>
        <v>3616</v>
      </c>
    </row>
    <row r="2560" spans="1:8" x14ac:dyDescent="0.35">
      <c r="A2560" t="s">
        <v>2235</v>
      </c>
      <c r="B2560" t="s">
        <v>2582</v>
      </c>
      <c r="C2560">
        <v>225</v>
      </c>
      <c r="D2560">
        <v>154</v>
      </c>
      <c r="E2560" t="s">
        <v>7</v>
      </c>
      <c r="F2560">
        <f>tbl_AQI[[#This Row],[Most AQI Reached]]-tbl_AQI[[#This Row],[Current AQI]]</f>
        <v>71</v>
      </c>
      <c r="G25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60">
        <f>RANK(tbl_AQI[[#This Row],[Current AQI]], tbl_AQI[Current AQI], 0)</f>
        <v>2307</v>
      </c>
    </row>
    <row r="2561" spans="1:8" x14ac:dyDescent="0.35">
      <c r="A2561" t="s">
        <v>2235</v>
      </c>
      <c r="B2561" t="s">
        <v>2583</v>
      </c>
      <c r="C2561">
        <v>277</v>
      </c>
      <c r="D2561">
        <v>115</v>
      </c>
      <c r="E2561" t="s">
        <v>9</v>
      </c>
      <c r="F2561">
        <f>tbl_AQI[[#This Row],[Most AQI Reached]]-tbl_AQI[[#This Row],[Current AQI]]</f>
        <v>162</v>
      </c>
      <c r="G25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61">
        <f>RANK(tbl_AQI[[#This Row],[Current AQI]], tbl_AQI[Current AQI], 0)</f>
        <v>3206</v>
      </c>
    </row>
    <row r="2562" spans="1:8" x14ac:dyDescent="0.35">
      <c r="A2562" t="s">
        <v>2235</v>
      </c>
      <c r="B2562" t="s">
        <v>2584</v>
      </c>
      <c r="C2562">
        <v>193</v>
      </c>
      <c r="D2562">
        <v>99</v>
      </c>
      <c r="E2562" t="s">
        <v>9</v>
      </c>
      <c r="F2562">
        <f>tbl_AQI[[#This Row],[Most AQI Reached]]-tbl_AQI[[#This Row],[Current AQI]]</f>
        <v>94</v>
      </c>
      <c r="G25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62">
        <f>RANK(tbl_AQI[[#This Row],[Current AQI]], tbl_AQI[Current AQI], 0)</f>
        <v>3553</v>
      </c>
    </row>
    <row r="2563" spans="1:8" x14ac:dyDescent="0.35">
      <c r="A2563" t="s">
        <v>2235</v>
      </c>
      <c r="B2563" t="s">
        <v>2585</v>
      </c>
      <c r="C2563">
        <v>320</v>
      </c>
      <c r="D2563">
        <v>174</v>
      </c>
      <c r="E2563" t="s">
        <v>11</v>
      </c>
      <c r="F2563">
        <f>tbl_AQI[[#This Row],[Most AQI Reached]]-tbl_AQI[[#This Row],[Current AQI]]</f>
        <v>146</v>
      </c>
      <c r="G25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63">
        <f>RANK(tbl_AQI[[#This Row],[Current AQI]], tbl_AQI[Current AQI], 0)</f>
        <v>1803</v>
      </c>
    </row>
    <row r="2564" spans="1:8" x14ac:dyDescent="0.35">
      <c r="A2564" t="s">
        <v>2235</v>
      </c>
      <c r="B2564" t="s">
        <v>2586</v>
      </c>
      <c r="C2564">
        <v>283</v>
      </c>
      <c r="D2564">
        <v>132</v>
      </c>
      <c r="E2564" t="s">
        <v>33</v>
      </c>
      <c r="F2564">
        <f>tbl_AQI[[#This Row],[Most AQI Reached]]-tbl_AQI[[#This Row],[Current AQI]]</f>
        <v>151</v>
      </c>
      <c r="G25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64">
        <f>RANK(tbl_AQI[[#This Row],[Current AQI]], tbl_AQI[Current AQI], 0)</f>
        <v>2792</v>
      </c>
    </row>
    <row r="2565" spans="1:8" x14ac:dyDescent="0.35">
      <c r="A2565" t="s">
        <v>2235</v>
      </c>
      <c r="B2565" t="s">
        <v>2587</v>
      </c>
      <c r="C2565">
        <v>108</v>
      </c>
      <c r="D2565">
        <v>50</v>
      </c>
      <c r="E2565" t="s">
        <v>21</v>
      </c>
      <c r="F2565">
        <f>tbl_AQI[[#This Row],[Most AQI Reached]]-tbl_AQI[[#This Row],[Current AQI]]</f>
        <v>58</v>
      </c>
      <c r="G25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65">
        <f>RANK(tbl_AQI[[#This Row],[Current AQI]], tbl_AQI[Current AQI], 0)</f>
        <v>4596</v>
      </c>
    </row>
    <row r="2566" spans="1:8" x14ac:dyDescent="0.35">
      <c r="A2566" t="s">
        <v>2235</v>
      </c>
      <c r="B2566" t="s">
        <v>2588</v>
      </c>
      <c r="C2566">
        <v>209</v>
      </c>
      <c r="D2566">
        <v>122</v>
      </c>
      <c r="E2566" t="s">
        <v>33</v>
      </c>
      <c r="F2566">
        <f>tbl_AQI[[#This Row],[Most AQI Reached]]-tbl_AQI[[#This Row],[Current AQI]]</f>
        <v>87</v>
      </c>
      <c r="G25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66">
        <f>RANK(tbl_AQI[[#This Row],[Current AQI]], tbl_AQI[Current AQI], 0)</f>
        <v>3013</v>
      </c>
    </row>
    <row r="2567" spans="1:8" x14ac:dyDescent="0.35">
      <c r="A2567" t="s">
        <v>2235</v>
      </c>
      <c r="B2567" t="s">
        <v>2589</v>
      </c>
      <c r="C2567">
        <v>160</v>
      </c>
      <c r="D2567">
        <v>67</v>
      </c>
      <c r="E2567" t="s">
        <v>21</v>
      </c>
      <c r="F2567">
        <f>tbl_AQI[[#This Row],[Most AQI Reached]]-tbl_AQI[[#This Row],[Current AQI]]</f>
        <v>93</v>
      </c>
      <c r="G25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67">
        <f>RANK(tbl_AQI[[#This Row],[Current AQI]], tbl_AQI[Current AQI], 0)</f>
        <v>4225</v>
      </c>
    </row>
    <row r="2568" spans="1:8" x14ac:dyDescent="0.35">
      <c r="A2568" t="s">
        <v>2235</v>
      </c>
      <c r="B2568" t="s">
        <v>2590</v>
      </c>
      <c r="C2568">
        <v>265</v>
      </c>
      <c r="D2568">
        <v>72</v>
      </c>
      <c r="E2568" t="s">
        <v>11</v>
      </c>
      <c r="F2568">
        <f>tbl_AQI[[#This Row],[Most AQI Reached]]-tbl_AQI[[#This Row],[Current AQI]]</f>
        <v>193</v>
      </c>
      <c r="G25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68">
        <f>RANK(tbl_AQI[[#This Row],[Current AQI]], tbl_AQI[Current AQI], 0)</f>
        <v>4100</v>
      </c>
    </row>
    <row r="2569" spans="1:8" x14ac:dyDescent="0.35">
      <c r="A2569" t="s">
        <v>2235</v>
      </c>
      <c r="B2569" t="s">
        <v>2591</v>
      </c>
      <c r="C2569">
        <v>223</v>
      </c>
      <c r="D2569">
        <v>119</v>
      </c>
      <c r="E2569" t="s">
        <v>11</v>
      </c>
      <c r="F2569">
        <f>tbl_AQI[[#This Row],[Most AQI Reached]]-tbl_AQI[[#This Row],[Current AQI]]</f>
        <v>104</v>
      </c>
      <c r="G25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69">
        <f>RANK(tbl_AQI[[#This Row],[Current AQI]], tbl_AQI[Current AQI], 0)</f>
        <v>3093</v>
      </c>
    </row>
    <row r="2570" spans="1:8" x14ac:dyDescent="0.35">
      <c r="A2570" t="s">
        <v>2235</v>
      </c>
      <c r="B2570" t="s">
        <v>2592</v>
      </c>
      <c r="C2570">
        <v>228</v>
      </c>
      <c r="D2570">
        <v>121</v>
      </c>
      <c r="E2570" t="s">
        <v>33</v>
      </c>
      <c r="F2570">
        <f>tbl_AQI[[#This Row],[Most AQI Reached]]-tbl_AQI[[#This Row],[Current AQI]]</f>
        <v>107</v>
      </c>
      <c r="G25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70">
        <f>RANK(tbl_AQI[[#This Row],[Current AQI]], tbl_AQI[Current AQI], 0)</f>
        <v>3037</v>
      </c>
    </row>
    <row r="2571" spans="1:8" x14ac:dyDescent="0.35">
      <c r="A2571" t="s">
        <v>2593</v>
      </c>
      <c r="B2571" t="s">
        <v>2594</v>
      </c>
      <c r="C2571">
        <v>103</v>
      </c>
      <c r="D2571">
        <v>58</v>
      </c>
      <c r="E2571" t="s">
        <v>7</v>
      </c>
      <c r="F2571">
        <f>tbl_AQI[[#This Row],[Most AQI Reached]]-tbl_AQI[[#This Row],[Current AQI]]</f>
        <v>45</v>
      </c>
      <c r="G25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71">
        <f>RANK(tbl_AQI[[#This Row],[Current AQI]], tbl_AQI[Current AQI], 0)</f>
        <v>4431</v>
      </c>
    </row>
    <row r="2572" spans="1:8" x14ac:dyDescent="0.35">
      <c r="A2572" t="s">
        <v>2593</v>
      </c>
      <c r="B2572" t="s">
        <v>2595</v>
      </c>
      <c r="C2572">
        <v>215</v>
      </c>
      <c r="D2572">
        <v>183</v>
      </c>
      <c r="E2572" t="s">
        <v>9</v>
      </c>
      <c r="F2572">
        <f>tbl_AQI[[#This Row],[Most AQI Reached]]-tbl_AQI[[#This Row],[Current AQI]]</f>
        <v>32</v>
      </c>
      <c r="G25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72">
        <f>RANK(tbl_AQI[[#This Row],[Current AQI]], tbl_AQI[Current AQI], 0)</f>
        <v>1572</v>
      </c>
    </row>
    <row r="2573" spans="1:8" x14ac:dyDescent="0.35">
      <c r="A2573" t="s">
        <v>2593</v>
      </c>
      <c r="B2573" t="s">
        <v>2596</v>
      </c>
      <c r="C2573">
        <v>38</v>
      </c>
      <c r="D2573">
        <v>31</v>
      </c>
      <c r="E2573" t="s">
        <v>33</v>
      </c>
      <c r="F2573">
        <f>tbl_AQI[[#This Row],[Most AQI Reached]]-tbl_AQI[[#This Row],[Current AQI]]</f>
        <v>7</v>
      </c>
      <c r="G25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73">
        <f>RANK(tbl_AQI[[#This Row],[Current AQI]], tbl_AQI[Current AQI], 0)</f>
        <v>5016</v>
      </c>
    </row>
    <row r="2574" spans="1:8" x14ac:dyDescent="0.35">
      <c r="A2574" t="s">
        <v>2593</v>
      </c>
      <c r="B2574" t="s">
        <v>2597</v>
      </c>
      <c r="C2574">
        <v>115</v>
      </c>
      <c r="D2574">
        <v>61</v>
      </c>
      <c r="E2574" t="s">
        <v>11</v>
      </c>
      <c r="F2574">
        <f>tbl_AQI[[#This Row],[Most AQI Reached]]-tbl_AQI[[#This Row],[Current AQI]]</f>
        <v>54</v>
      </c>
      <c r="G25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74">
        <f>RANK(tbl_AQI[[#This Row],[Current AQI]], tbl_AQI[Current AQI], 0)</f>
        <v>4368</v>
      </c>
    </row>
    <row r="2575" spans="1:8" x14ac:dyDescent="0.35">
      <c r="A2575" t="s">
        <v>2593</v>
      </c>
      <c r="B2575" t="s">
        <v>2598</v>
      </c>
      <c r="C2575">
        <v>278</v>
      </c>
      <c r="D2575">
        <v>54</v>
      </c>
      <c r="E2575" t="s">
        <v>15</v>
      </c>
      <c r="F2575">
        <f>tbl_AQI[[#This Row],[Most AQI Reached]]-tbl_AQI[[#This Row],[Current AQI]]</f>
        <v>224</v>
      </c>
      <c r="G25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75">
        <f>RANK(tbl_AQI[[#This Row],[Current AQI]], tbl_AQI[Current AQI], 0)</f>
        <v>4523</v>
      </c>
    </row>
    <row r="2576" spans="1:8" x14ac:dyDescent="0.35">
      <c r="A2576" t="s">
        <v>2593</v>
      </c>
      <c r="B2576" t="s">
        <v>2599</v>
      </c>
      <c r="C2576">
        <v>129</v>
      </c>
      <c r="D2576">
        <v>77</v>
      </c>
      <c r="E2576" t="s">
        <v>33</v>
      </c>
      <c r="F2576">
        <f>tbl_AQI[[#This Row],[Most AQI Reached]]-tbl_AQI[[#This Row],[Current AQI]]</f>
        <v>52</v>
      </c>
      <c r="G25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76">
        <f>RANK(tbl_AQI[[#This Row],[Current AQI]], tbl_AQI[Current AQI], 0)</f>
        <v>4006</v>
      </c>
    </row>
    <row r="2577" spans="1:8" x14ac:dyDescent="0.35">
      <c r="A2577" t="s">
        <v>2593</v>
      </c>
      <c r="B2577" t="s">
        <v>2600</v>
      </c>
      <c r="C2577">
        <v>109</v>
      </c>
      <c r="D2577">
        <v>52</v>
      </c>
      <c r="E2577" t="s">
        <v>9</v>
      </c>
      <c r="F2577">
        <f>tbl_AQI[[#This Row],[Most AQI Reached]]-tbl_AQI[[#This Row],[Current AQI]]</f>
        <v>57</v>
      </c>
      <c r="G25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77">
        <f>RANK(tbl_AQI[[#This Row],[Current AQI]], tbl_AQI[Current AQI], 0)</f>
        <v>4564</v>
      </c>
    </row>
    <row r="2578" spans="1:8" x14ac:dyDescent="0.35">
      <c r="A2578" t="s">
        <v>2593</v>
      </c>
      <c r="B2578" t="s">
        <v>2601</v>
      </c>
      <c r="C2578">
        <v>262</v>
      </c>
      <c r="D2578">
        <v>177</v>
      </c>
      <c r="E2578" t="s">
        <v>21</v>
      </c>
      <c r="F2578">
        <f>tbl_AQI[[#This Row],[Most AQI Reached]]-tbl_AQI[[#This Row],[Current AQI]]</f>
        <v>85</v>
      </c>
      <c r="G25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78">
        <f>RANK(tbl_AQI[[#This Row],[Current AQI]], tbl_AQI[Current AQI], 0)</f>
        <v>1733</v>
      </c>
    </row>
    <row r="2579" spans="1:8" x14ac:dyDescent="0.35">
      <c r="A2579" t="s">
        <v>2593</v>
      </c>
      <c r="B2579" t="s">
        <v>2602</v>
      </c>
      <c r="C2579">
        <v>201</v>
      </c>
      <c r="D2579">
        <v>159</v>
      </c>
      <c r="E2579" t="s">
        <v>17</v>
      </c>
      <c r="F2579">
        <f>tbl_AQI[[#This Row],[Most AQI Reached]]-tbl_AQI[[#This Row],[Current AQI]]</f>
        <v>42</v>
      </c>
      <c r="G25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79">
        <f>RANK(tbl_AQI[[#This Row],[Current AQI]], tbl_AQI[Current AQI], 0)</f>
        <v>2183</v>
      </c>
    </row>
    <row r="2580" spans="1:8" x14ac:dyDescent="0.35">
      <c r="A2580" t="s">
        <v>2593</v>
      </c>
      <c r="B2580" t="s">
        <v>2603</v>
      </c>
      <c r="C2580">
        <v>119</v>
      </c>
      <c r="D2580">
        <v>69</v>
      </c>
      <c r="E2580" t="s">
        <v>9</v>
      </c>
      <c r="F2580">
        <f>tbl_AQI[[#This Row],[Most AQI Reached]]-tbl_AQI[[#This Row],[Current AQI]]</f>
        <v>50</v>
      </c>
      <c r="G25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80">
        <f>RANK(tbl_AQI[[#This Row],[Current AQI]], tbl_AQI[Current AQI], 0)</f>
        <v>4186</v>
      </c>
    </row>
    <row r="2581" spans="1:8" x14ac:dyDescent="0.35">
      <c r="A2581" t="s">
        <v>2593</v>
      </c>
      <c r="B2581" t="s">
        <v>2604</v>
      </c>
      <c r="C2581">
        <v>128</v>
      </c>
      <c r="D2581">
        <v>115</v>
      </c>
      <c r="E2581" t="s">
        <v>15</v>
      </c>
      <c r="F2581">
        <f>tbl_AQI[[#This Row],[Most AQI Reached]]-tbl_AQI[[#This Row],[Current AQI]]</f>
        <v>13</v>
      </c>
      <c r="G25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81">
        <f>RANK(tbl_AQI[[#This Row],[Current AQI]], tbl_AQI[Current AQI], 0)</f>
        <v>3206</v>
      </c>
    </row>
    <row r="2582" spans="1:8" x14ac:dyDescent="0.35">
      <c r="A2582" t="s">
        <v>2593</v>
      </c>
      <c r="B2582" t="s">
        <v>2605</v>
      </c>
      <c r="C2582">
        <v>272</v>
      </c>
      <c r="D2582">
        <v>68</v>
      </c>
      <c r="E2582" t="s">
        <v>9</v>
      </c>
      <c r="F2582">
        <f>tbl_AQI[[#This Row],[Most AQI Reached]]-tbl_AQI[[#This Row],[Current AQI]]</f>
        <v>204</v>
      </c>
      <c r="G25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82">
        <f>RANK(tbl_AQI[[#This Row],[Current AQI]], tbl_AQI[Current AQI], 0)</f>
        <v>4204</v>
      </c>
    </row>
    <row r="2583" spans="1:8" x14ac:dyDescent="0.35">
      <c r="A2583" t="s">
        <v>2593</v>
      </c>
      <c r="B2583" t="s">
        <v>2606</v>
      </c>
      <c r="C2583">
        <v>247</v>
      </c>
      <c r="D2583">
        <v>177</v>
      </c>
      <c r="E2583" t="s">
        <v>7</v>
      </c>
      <c r="F2583">
        <f>tbl_AQI[[#This Row],[Most AQI Reached]]-tbl_AQI[[#This Row],[Current AQI]]</f>
        <v>70</v>
      </c>
      <c r="G25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83">
        <f>RANK(tbl_AQI[[#This Row],[Current AQI]], tbl_AQI[Current AQI], 0)</f>
        <v>1733</v>
      </c>
    </row>
    <row r="2584" spans="1:8" x14ac:dyDescent="0.35">
      <c r="A2584" t="s">
        <v>2593</v>
      </c>
      <c r="B2584" t="s">
        <v>2607</v>
      </c>
      <c r="C2584">
        <v>75</v>
      </c>
      <c r="D2584">
        <v>32</v>
      </c>
      <c r="E2584" t="s">
        <v>17</v>
      </c>
      <c r="F2584">
        <f>tbl_AQI[[#This Row],[Most AQI Reached]]-tbl_AQI[[#This Row],[Current AQI]]</f>
        <v>43</v>
      </c>
      <c r="G25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84">
        <f>RANK(tbl_AQI[[#This Row],[Current AQI]], tbl_AQI[Current AQI], 0)</f>
        <v>4983</v>
      </c>
    </row>
    <row r="2585" spans="1:8" x14ac:dyDescent="0.35">
      <c r="A2585" t="s">
        <v>2593</v>
      </c>
      <c r="B2585" t="s">
        <v>2608</v>
      </c>
      <c r="C2585">
        <v>228</v>
      </c>
      <c r="D2585">
        <v>82</v>
      </c>
      <c r="E2585" t="s">
        <v>17</v>
      </c>
      <c r="F2585">
        <f>tbl_AQI[[#This Row],[Most AQI Reached]]-tbl_AQI[[#This Row],[Current AQI]]</f>
        <v>146</v>
      </c>
      <c r="G25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85">
        <f>RANK(tbl_AQI[[#This Row],[Current AQI]], tbl_AQI[Current AQI], 0)</f>
        <v>3904</v>
      </c>
    </row>
    <row r="2586" spans="1:8" x14ac:dyDescent="0.35">
      <c r="A2586" t="s">
        <v>2593</v>
      </c>
      <c r="B2586" t="s">
        <v>2609</v>
      </c>
      <c r="C2586">
        <v>43</v>
      </c>
      <c r="D2586">
        <v>41</v>
      </c>
      <c r="E2586" t="s">
        <v>17</v>
      </c>
      <c r="F2586">
        <f>tbl_AQI[[#This Row],[Most AQI Reached]]-tbl_AQI[[#This Row],[Current AQI]]</f>
        <v>2</v>
      </c>
      <c r="G25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86">
        <f>RANK(tbl_AQI[[#This Row],[Current AQI]], tbl_AQI[Current AQI], 0)</f>
        <v>4789</v>
      </c>
    </row>
    <row r="2587" spans="1:8" x14ac:dyDescent="0.35">
      <c r="A2587" t="s">
        <v>2593</v>
      </c>
      <c r="B2587" t="s">
        <v>2610</v>
      </c>
      <c r="C2587">
        <v>87</v>
      </c>
      <c r="D2587">
        <v>36</v>
      </c>
      <c r="E2587" t="s">
        <v>33</v>
      </c>
      <c r="F2587">
        <f>tbl_AQI[[#This Row],[Most AQI Reached]]-tbl_AQI[[#This Row],[Current AQI]]</f>
        <v>51</v>
      </c>
      <c r="G25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87">
        <f>RANK(tbl_AQI[[#This Row],[Current AQI]], tbl_AQI[Current AQI], 0)</f>
        <v>4893</v>
      </c>
    </row>
    <row r="2588" spans="1:8" x14ac:dyDescent="0.35">
      <c r="A2588" t="s">
        <v>2593</v>
      </c>
      <c r="B2588" t="s">
        <v>2611</v>
      </c>
      <c r="C2588">
        <v>180</v>
      </c>
      <c r="D2588">
        <v>84</v>
      </c>
      <c r="E2588" t="s">
        <v>11</v>
      </c>
      <c r="F2588">
        <f>tbl_AQI[[#This Row],[Most AQI Reached]]-tbl_AQI[[#This Row],[Current AQI]]</f>
        <v>96</v>
      </c>
      <c r="G25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88">
        <f>RANK(tbl_AQI[[#This Row],[Current AQI]], tbl_AQI[Current AQI], 0)</f>
        <v>3872</v>
      </c>
    </row>
    <row r="2589" spans="1:8" x14ac:dyDescent="0.35">
      <c r="A2589" t="s">
        <v>2593</v>
      </c>
      <c r="B2589" t="s">
        <v>2612</v>
      </c>
      <c r="C2589">
        <v>260</v>
      </c>
      <c r="D2589">
        <v>174</v>
      </c>
      <c r="E2589" t="s">
        <v>9</v>
      </c>
      <c r="F2589">
        <f>tbl_AQI[[#This Row],[Most AQI Reached]]-tbl_AQI[[#This Row],[Current AQI]]</f>
        <v>86</v>
      </c>
      <c r="G25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89">
        <f>RANK(tbl_AQI[[#This Row],[Current AQI]], tbl_AQI[Current AQI], 0)</f>
        <v>1803</v>
      </c>
    </row>
    <row r="2590" spans="1:8" x14ac:dyDescent="0.35">
      <c r="A2590" t="s">
        <v>2593</v>
      </c>
      <c r="B2590" t="s">
        <v>2613</v>
      </c>
      <c r="C2590">
        <v>282</v>
      </c>
      <c r="D2590">
        <v>111</v>
      </c>
      <c r="E2590" t="s">
        <v>33</v>
      </c>
      <c r="F2590">
        <f>tbl_AQI[[#This Row],[Most AQI Reached]]-tbl_AQI[[#This Row],[Current AQI]]</f>
        <v>171</v>
      </c>
      <c r="G25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0">
        <f>RANK(tbl_AQI[[#This Row],[Current AQI]], tbl_AQI[Current AQI], 0)</f>
        <v>3285</v>
      </c>
    </row>
    <row r="2591" spans="1:8" x14ac:dyDescent="0.35">
      <c r="A2591" t="s">
        <v>2593</v>
      </c>
      <c r="B2591" t="s">
        <v>2614</v>
      </c>
      <c r="C2591">
        <v>258</v>
      </c>
      <c r="D2591">
        <v>126</v>
      </c>
      <c r="E2591" t="s">
        <v>33</v>
      </c>
      <c r="F2591">
        <f>tbl_AQI[[#This Row],[Most AQI Reached]]-tbl_AQI[[#This Row],[Current AQI]]</f>
        <v>132</v>
      </c>
      <c r="G25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1">
        <f>RANK(tbl_AQI[[#This Row],[Current AQI]], tbl_AQI[Current AQI], 0)</f>
        <v>2934</v>
      </c>
    </row>
    <row r="2592" spans="1:8" x14ac:dyDescent="0.35">
      <c r="A2592" t="s">
        <v>2593</v>
      </c>
      <c r="B2592" t="s">
        <v>499</v>
      </c>
      <c r="C2592">
        <v>233</v>
      </c>
      <c r="D2592">
        <v>118</v>
      </c>
      <c r="E2592" t="s">
        <v>17</v>
      </c>
      <c r="F2592">
        <f>tbl_AQI[[#This Row],[Most AQI Reached]]-tbl_AQI[[#This Row],[Current AQI]]</f>
        <v>115</v>
      </c>
      <c r="G25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2">
        <f>RANK(tbl_AQI[[#This Row],[Current AQI]], tbl_AQI[Current AQI], 0)</f>
        <v>3122</v>
      </c>
    </row>
    <row r="2593" spans="1:8" x14ac:dyDescent="0.35">
      <c r="A2593" t="s">
        <v>2593</v>
      </c>
      <c r="B2593" t="s">
        <v>500</v>
      </c>
      <c r="C2593">
        <v>315</v>
      </c>
      <c r="D2593">
        <v>102</v>
      </c>
      <c r="E2593" t="s">
        <v>17</v>
      </c>
      <c r="F2593">
        <f>tbl_AQI[[#This Row],[Most AQI Reached]]-tbl_AQI[[#This Row],[Current AQI]]</f>
        <v>213</v>
      </c>
      <c r="G25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3">
        <f>RANK(tbl_AQI[[#This Row],[Current AQI]], tbl_AQI[Current AQI], 0)</f>
        <v>3493</v>
      </c>
    </row>
    <row r="2594" spans="1:8" x14ac:dyDescent="0.35">
      <c r="A2594" t="s">
        <v>2593</v>
      </c>
      <c r="B2594" t="s">
        <v>501</v>
      </c>
      <c r="C2594">
        <v>183</v>
      </c>
      <c r="D2594">
        <v>151</v>
      </c>
      <c r="E2594" t="s">
        <v>9</v>
      </c>
      <c r="F2594">
        <f>tbl_AQI[[#This Row],[Most AQI Reached]]-tbl_AQI[[#This Row],[Current AQI]]</f>
        <v>32</v>
      </c>
      <c r="G25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4">
        <f>RANK(tbl_AQI[[#This Row],[Current AQI]], tbl_AQI[Current AQI], 0)</f>
        <v>2376</v>
      </c>
    </row>
    <row r="2595" spans="1:8" x14ac:dyDescent="0.35">
      <c r="A2595" t="s">
        <v>2593</v>
      </c>
      <c r="B2595" t="s">
        <v>502</v>
      </c>
      <c r="C2595">
        <v>185</v>
      </c>
      <c r="D2595">
        <v>158</v>
      </c>
      <c r="E2595" t="s">
        <v>21</v>
      </c>
      <c r="F2595">
        <f>tbl_AQI[[#This Row],[Most AQI Reached]]-tbl_AQI[[#This Row],[Current AQI]]</f>
        <v>27</v>
      </c>
      <c r="G25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5">
        <f>RANK(tbl_AQI[[#This Row],[Current AQI]], tbl_AQI[Current AQI], 0)</f>
        <v>2207</v>
      </c>
    </row>
    <row r="2596" spans="1:8" x14ac:dyDescent="0.35">
      <c r="A2596" t="s">
        <v>2593</v>
      </c>
      <c r="B2596" t="s">
        <v>503</v>
      </c>
      <c r="C2596">
        <v>305</v>
      </c>
      <c r="D2596">
        <v>180</v>
      </c>
      <c r="E2596" t="s">
        <v>7</v>
      </c>
      <c r="F2596">
        <f>tbl_AQI[[#This Row],[Most AQI Reached]]-tbl_AQI[[#This Row],[Current AQI]]</f>
        <v>125</v>
      </c>
      <c r="G25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6">
        <f>RANK(tbl_AQI[[#This Row],[Current AQI]], tbl_AQI[Current AQI], 0)</f>
        <v>1635</v>
      </c>
    </row>
    <row r="2597" spans="1:8" x14ac:dyDescent="0.35">
      <c r="A2597" t="s">
        <v>2593</v>
      </c>
      <c r="B2597" t="s">
        <v>504</v>
      </c>
      <c r="C2597">
        <v>85</v>
      </c>
      <c r="D2597">
        <v>72</v>
      </c>
      <c r="E2597" t="s">
        <v>21</v>
      </c>
      <c r="F2597">
        <f>tbl_AQI[[#This Row],[Most AQI Reached]]-tbl_AQI[[#This Row],[Current AQI]]</f>
        <v>13</v>
      </c>
      <c r="G25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597">
        <f>RANK(tbl_AQI[[#This Row],[Current AQI]], tbl_AQI[Current AQI], 0)</f>
        <v>4100</v>
      </c>
    </row>
    <row r="2598" spans="1:8" x14ac:dyDescent="0.35">
      <c r="A2598" t="s">
        <v>2593</v>
      </c>
      <c r="B2598" t="s">
        <v>505</v>
      </c>
      <c r="C2598">
        <v>195</v>
      </c>
      <c r="D2598">
        <v>47</v>
      </c>
      <c r="E2598" t="s">
        <v>11</v>
      </c>
      <c r="F2598">
        <f>tbl_AQI[[#This Row],[Most AQI Reached]]-tbl_AQI[[#This Row],[Current AQI]]</f>
        <v>148</v>
      </c>
      <c r="G25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598">
        <f>RANK(tbl_AQI[[#This Row],[Current AQI]], tbl_AQI[Current AQI], 0)</f>
        <v>4656</v>
      </c>
    </row>
    <row r="2599" spans="1:8" x14ac:dyDescent="0.35">
      <c r="A2599" t="s">
        <v>2593</v>
      </c>
      <c r="B2599" t="s">
        <v>2615</v>
      </c>
      <c r="C2599">
        <v>191</v>
      </c>
      <c r="D2599">
        <v>134</v>
      </c>
      <c r="E2599" t="s">
        <v>17</v>
      </c>
      <c r="F2599">
        <f>tbl_AQI[[#This Row],[Most AQI Reached]]-tbl_AQI[[#This Row],[Current AQI]]</f>
        <v>57</v>
      </c>
      <c r="G25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599">
        <f>RANK(tbl_AQI[[#This Row],[Current AQI]], tbl_AQI[Current AQI], 0)</f>
        <v>2740</v>
      </c>
    </row>
    <row r="2600" spans="1:8" x14ac:dyDescent="0.35">
      <c r="A2600" t="s">
        <v>2593</v>
      </c>
      <c r="B2600" t="s">
        <v>2616</v>
      </c>
      <c r="C2600">
        <v>237</v>
      </c>
      <c r="D2600">
        <v>111</v>
      </c>
      <c r="E2600" t="s">
        <v>17</v>
      </c>
      <c r="F2600">
        <f>tbl_AQI[[#This Row],[Most AQI Reached]]-tbl_AQI[[#This Row],[Current AQI]]</f>
        <v>126</v>
      </c>
      <c r="G26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00">
        <f>RANK(tbl_AQI[[#This Row],[Current AQI]], tbl_AQI[Current AQI], 0)</f>
        <v>3285</v>
      </c>
    </row>
    <row r="2601" spans="1:8" x14ac:dyDescent="0.35">
      <c r="A2601" t="s">
        <v>2593</v>
      </c>
      <c r="B2601" t="s">
        <v>2617</v>
      </c>
      <c r="C2601">
        <v>202</v>
      </c>
      <c r="D2601">
        <v>96</v>
      </c>
      <c r="E2601" t="s">
        <v>17</v>
      </c>
      <c r="F2601">
        <f>tbl_AQI[[#This Row],[Most AQI Reached]]-tbl_AQI[[#This Row],[Current AQI]]</f>
        <v>106</v>
      </c>
      <c r="G26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01">
        <f>RANK(tbl_AQI[[#This Row],[Current AQI]], tbl_AQI[Current AQI], 0)</f>
        <v>3616</v>
      </c>
    </row>
    <row r="2602" spans="1:8" x14ac:dyDescent="0.35">
      <c r="A2602" t="s">
        <v>2593</v>
      </c>
      <c r="B2602" t="s">
        <v>2618</v>
      </c>
      <c r="C2602">
        <v>297</v>
      </c>
      <c r="D2602">
        <v>152</v>
      </c>
      <c r="E2602" t="s">
        <v>9</v>
      </c>
      <c r="F2602">
        <f>tbl_AQI[[#This Row],[Most AQI Reached]]-tbl_AQI[[#This Row],[Current AQI]]</f>
        <v>145</v>
      </c>
      <c r="G26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02">
        <f>RANK(tbl_AQI[[#This Row],[Current AQI]], tbl_AQI[Current AQI], 0)</f>
        <v>2349</v>
      </c>
    </row>
    <row r="2603" spans="1:8" x14ac:dyDescent="0.35">
      <c r="A2603" t="s">
        <v>2593</v>
      </c>
      <c r="B2603" t="s">
        <v>2619</v>
      </c>
      <c r="C2603">
        <v>159</v>
      </c>
      <c r="D2603">
        <v>89</v>
      </c>
      <c r="E2603" t="s">
        <v>11</v>
      </c>
      <c r="F2603">
        <f>tbl_AQI[[#This Row],[Most AQI Reached]]-tbl_AQI[[#This Row],[Current AQI]]</f>
        <v>70</v>
      </c>
      <c r="G26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03">
        <f>RANK(tbl_AQI[[#This Row],[Current AQI]], tbl_AQI[Current AQI], 0)</f>
        <v>3772</v>
      </c>
    </row>
    <row r="2604" spans="1:8" x14ac:dyDescent="0.35">
      <c r="A2604" t="s">
        <v>2593</v>
      </c>
      <c r="B2604" t="s">
        <v>2620</v>
      </c>
      <c r="C2604">
        <v>203</v>
      </c>
      <c r="D2604">
        <v>63</v>
      </c>
      <c r="E2604" t="s">
        <v>7</v>
      </c>
      <c r="F2604">
        <f>tbl_AQI[[#This Row],[Most AQI Reached]]-tbl_AQI[[#This Row],[Current AQI]]</f>
        <v>140</v>
      </c>
      <c r="G26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04">
        <f>RANK(tbl_AQI[[#This Row],[Current AQI]], tbl_AQI[Current AQI], 0)</f>
        <v>4322</v>
      </c>
    </row>
    <row r="2605" spans="1:8" x14ac:dyDescent="0.35">
      <c r="A2605" t="s">
        <v>2593</v>
      </c>
      <c r="B2605" t="s">
        <v>2621</v>
      </c>
      <c r="C2605">
        <v>237</v>
      </c>
      <c r="D2605">
        <v>32</v>
      </c>
      <c r="E2605" t="s">
        <v>15</v>
      </c>
      <c r="F2605">
        <f>tbl_AQI[[#This Row],[Most AQI Reached]]-tbl_AQI[[#This Row],[Current AQI]]</f>
        <v>205</v>
      </c>
      <c r="G26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05">
        <f>RANK(tbl_AQI[[#This Row],[Current AQI]], tbl_AQI[Current AQI], 0)</f>
        <v>4983</v>
      </c>
    </row>
    <row r="2606" spans="1:8" x14ac:dyDescent="0.35">
      <c r="A2606" t="s">
        <v>2593</v>
      </c>
      <c r="B2606" t="s">
        <v>2622</v>
      </c>
      <c r="C2606">
        <v>217</v>
      </c>
      <c r="D2606">
        <v>64</v>
      </c>
      <c r="E2606" t="s">
        <v>9</v>
      </c>
      <c r="F2606">
        <f>tbl_AQI[[#This Row],[Most AQI Reached]]-tbl_AQI[[#This Row],[Current AQI]]</f>
        <v>153</v>
      </c>
      <c r="G26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06">
        <f>RANK(tbl_AQI[[#This Row],[Current AQI]], tbl_AQI[Current AQI], 0)</f>
        <v>4293</v>
      </c>
    </row>
    <row r="2607" spans="1:8" x14ac:dyDescent="0.35">
      <c r="A2607" t="s">
        <v>2593</v>
      </c>
      <c r="B2607" t="s">
        <v>2623</v>
      </c>
      <c r="C2607">
        <v>61</v>
      </c>
      <c r="D2607">
        <v>57</v>
      </c>
      <c r="E2607" t="s">
        <v>21</v>
      </c>
      <c r="F2607">
        <f>tbl_AQI[[#This Row],[Most AQI Reached]]-tbl_AQI[[#This Row],[Current AQI]]</f>
        <v>4</v>
      </c>
      <c r="G26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07">
        <f>RANK(tbl_AQI[[#This Row],[Current AQI]], tbl_AQI[Current AQI], 0)</f>
        <v>4452</v>
      </c>
    </row>
    <row r="2608" spans="1:8" x14ac:dyDescent="0.35">
      <c r="A2608" t="s">
        <v>2593</v>
      </c>
      <c r="B2608" t="s">
        <v>2624</v>
      </c>
      <c r="C2608">
        <v>181</v>
      </c>
      <c r="D2608">
        <v>52</v>
      </c>
      <c r="E2608" t="s">
        <v>9</v>
      </c>
      <c r="F2608">
        <f>tbl_AQI[[#This Row],[Most AQI Reached]]-tbl_AQI[[#This Row],[Current AQI]]</f>
        <v>129</v>
      </c>
      <c r="G26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08">
        <f>RANK(tbl_AQI[[#This Row],[Current AQI]], tbl_AQI[Current AQI], 0)</f>
        <v>4564</v>
      </c>
    </row>
    <row r="2609" spans="1:8" x14ac:dyDescent="0.35">
      <c r="A2609" t="s">
        <v>2593</v>
      </c>
      <c r="B2609" t="s">
        <v>2625</v>
      </c>
      <c r="C2609">
        <v>93</v>
      </c>
      <c r="D2609">
        <v>54</v>
      </c>
      <c r="E2609" t="s">
        <v>9</v>
      </c>
      <c r="F2609">
        <f>tbl_AQI[[#This Row],[Most AQI Reached]]-tbl_AQI[[#This Row],[Current AQI]]</f>
        <v>39</v>
      </c>
      <c r="G26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09">
        <f>RANK(tbl_AQI[[#This Row],[Current AQI]], tbl_AQI[Current AQI], 0)</f>
        <v>4523</v>
      </c>
    </row>
    <row r="2610" spans="1:8" x14ac:dyDescent="0.35">
      <c r="A2610" t="s">
        <v>2593</v>
      </c>
      <c r="B2610" t="s">
        <v>2626</v>
      </c>
      <c r="C2610">
        <v>305</v>
      </c>
      <c r="D2610">
        <v>103</v>
      </c>
      <c r="E2610" t="s">
        <v>15</v>
      </c>
      <c r="F2610">
        <f>tbl_AQI[[#This Row],[Most AQI Reached]]-tbl_AQI[[#This Row],[Current AQI]]</f>
        <v>202</v>
      </c>
      <c r="G26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10">
        <f>RANK(tbl_AQI[[#This Row],[Current AQI]], tbl_AQI[Current AQI], 0)</f>
        <v>3474</v>
      </c>
    </row>
    <row r="2611" spans="1:8" x14ac:dyDescent="0.35">
      <c r="A2611" t="s">
        <v>2593</v>
      </c>
      <c r="B2611" t="s">
        <v>2627</v>
      </c>
      <c r="C2611">
        <v>270</v>
      </c>
      <c r="D2611">
        <v>44</v>
      </c>
      <c r="E2611" t="s">
        <v>33</v>
      </c>
      <c r="F2611">
        <f>tbl_AQI[[#This Row],[Most AQI Reached]]-tbl_AQI[[#This Row],[Current AQI]]</f>
        <v>226</v>
      </c>
      <c r="G26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11">
        <f>RANK(tbl_AQI[[#This Row],[Current AQI]], tbl_AQI[Current AQI], 0)</f>
        <v>4732</v>
      </c>
    </row>
    <row r="2612" spans="1:8" x14ac:dyDescent="0.35">
      <c r="A2612" t="s">
        <v>2593</v>
      </c>
      <c r="B2612" t="s">
        <v>2628</v>
      </c>
      <c r="C2612">
        <v>319</v>
      </c>
      <c r="D2612">
        <v>174</v>
      </c>
      <c r="E2612" t="s">
        <v>7</v>
      </c>
      <c r="F2612">
        <f>tbl_AQI[[#This Row],[Most AQI Reached]]-tbl_AQI[[#This Row],[Current AQI]]</f>
        <v>145</v>
      </c>
      <c r="G26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12">
        <f>RANK(tbl_AQI[[#This Row],[Current AQI]], tbl_AQI[Current AQI], 0)</f>
        <v>1803</v>
      </c>
    </row>
    <row r="2613" spans="1:8" x14ac:dyDescent="0.35">
      <c r="A2613" t="s">
        <v>2593</v>
      </c>
      <c r="B2613" t="s">
        <v>2629</v>
      </c>
      <c r="C2613">
        <v>284</v>
      </c>
      <c r="D2613">
        <v>67</v>
      </c>
      <c r="E2613" t="s">
        <v>15</v>
      </c>
      <c r="F2613">
        <f>tbl_AQI[[#This Row],[Most AQI Reached]]-tbl_AQI[[#This Row],[Current AQI]]</f>
        <v>217</v>
      </c>
      <c r="G26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13">
        <f>RANK(tbl_AQI[[#This Row],[Current AQI]], tbl_AQI[Current AQI], 0)</f>
        <v>4225</v>
      </c>
    </row>
    <row r="2614" spans="1:8" x14ac:dyDescent="0.35">
      <c r="A2614" t="s">
        <v>2593</v>
      </c>
      <c r="B2614" t="s">
        <v>2630</v>
      </c>
      <c r="C2614">
        <v>184</v>
      </c>
      <c r="D2614">
        <v>184</v>
      </c>
      <c r="E2614" t="s">
        <v>9</v>
      </c>
      <c r="F2614">
        <f>tbl_AQI[[#This Row],[Most AQI Reached]]-tbl_AQI[[#This Row],[Current AQI]]</f>
        <v>0</v>
      </c>
      <c r="G26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14">
        <f>RANK(tbl_AQI[[#This Row],[Current AQI]], tbl_AQI[Current AQI], 0)</f>
        <v>1544</v>
      </c>
    </row>
    <row r="2615" spans="1:8" x14ac:dyDescent="0.35">
      <c r="A2615" t="s">
        <v>2593</v>
      </c>
      <c r="B2615" t="s">
        <v>2631</v>
      </c>
      <c r="C2615">
        <v>289</v>
      </c>
      <c r="D2615">
        <v>65</v>
      </c>
      <c r="E2615" t="s">
        <v>21</v>
      </c>
      <c r="F2615">
        <f>tbl_AQI[[#This Row],[Most AQI Reached]]-tbl_AQI[[#This Row],[Current AQI]]</f>
        <v>224</v>
      </c>
      <c r="G26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15">
        <f>RANK(tbl_AQI[[#This Row],[Current AQI]], tbl_AQI[Current AQI], 0)</f>
        <v>4267</v>
      </c>
    </row>
    <row r="2616" spans="1:8" x14ac:dyDescent="0.35">
      <c r="A2616" t="s">
        <v>2593</v>
      </c>
      <c r="B2616" t="s">
        <v>2632</v>
      </c>
      <c r="C2616">
        <v>187</v>
      </c>
      <c r="D2616">
        <v>137</v>
      </c>
      <c r="E2616" t="s">
        <v>17</v>
      </c>
      <c r="F2616">
        <f>tbl_AQI[[#This Row],[Most AQI Reached]]-tbl_AQI[[#This Row],[Current AQI]]</f>
        <v>50</v>
      </c>
      <c r="G26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16">
        <f>RANK(tbl_AQI[[#This Row],[Current AQI]], tbl_AQI[Current AQI], 0)</f>
        <v>2677</v>
      </c>
    </row>
    <row r="2617" spans="1:8" x14ac:dyDescent="0.35">
      <c r="A2617" t="s">
        <v>2593</v>
      </c>
      <c r="B2617" t="s">
        <v>2633</v>
      </c>
      <c r="C2617">
        <v>272</v>
      </c>
      <c r="D2617">
        <v>121</v>
      </c>
      <c r="E2617" t="s">
        <v>15</v>
      </c>
      <c r="F2617">
        <f>tbl_AQI[[#This Row],[Most AQI Reached]]-tbl_AQI[[#This Row],[Current AQI]]</f>
        <v>151</v>
      </c>
      <c r="G26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17">
        <f>RANK(tbl_AQI[[#This Row],[Current AQI]], tbl_AQI[Current AQI], 0)</f>
        <v>3037</v>
      </c>
    </row>
    <row r="2618" spans="1:8" x14ac:dyDescent="0.35">
      <c r="A2618" t="s">
        <v>2593</v>
      </c>
      <c r="B2618" t="s">
        <v>2634</v>
      </c>
      <c r="C2618">
        <v>312</v>
      </c>
      <c r="D2618">
        <v>134</v>
      </c>
      <c r="E2618" t="s">
        <v>15</v>
      </c>
      <c r="F2618">
        <f>tbl_AQI[[#This Row],[Most AQI Reached]]-tbl_AQI[[#This Row],[Current AQI]]</f>
        <v>178</v>
      </c>
      <c r="G26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18">
        <f>RANK(tbl_AQI[[#This Row],[Current AQI]], tbl_AQI[Current AQI], 0)</f>
        <v>2740</v>
      </c>
    </row>
    <row r="2619" spans="1:8" x14ac:dyDescent="0.35">
      <c r="A2619" t="s">
        <v>2593</v>
      </c>
      <c r="B2619" t="s">
        <v>2635</v>
      </c>
      <c r="C2619">
        <v>290</v>
      </c>
      <c r="D2619">
        <v>34</v>
      </c>
      <c r="E2619" t="s">
        <v>33</v>
      </c>
      <c r="F2619">
        <f>tbl_AQI[[#This Row],[Most AQI Reached]]-tbl_AQI[[#This Row],[Current AQI]]</f>
        <v>256</v>
      </c>
      <c r="G26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19">
        <f>RANK(tbl_AQI[[#This Row],[Current AQI]], tbl_AQI[Current AQI], 0)</f>
        <v>4944</v>
      </c>
    </row>
    <row r="2620" spans="1:8" x14ac:dyDescent="0.35">
      <c r="A2620" t="s">
        <v>2593</v>
      </c>
      <c r="B2620" t="s">
        <v>2636</v>
      </c>
      <c r="C2620">
        <v>223</v>
      </c>
      <c r="D2620">
        <v>114</v>
      </c>
      <c r="E2620" t="s">
        <v>33</v>
      </c>
      <c r="F2620">
        <f>tbl_AQI[[#This Row],[Most AQI Reached]]-tbl_AQI[[#This Row],[Current AQI]]</f>
        <v>109</v>
      </c>
      <c r="G26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20">
        <f>RANK(tbl_AQI[[#This Row],[Current AQI]], tbl_AQI[Current AQI], 0)</f>
        <v>3226</v>
      </c>
    </row>
    <row r="2621" spans="1:8" x14ac:dyDescent="0.35">
      <c r="A2621" t="s">
        <v>2593</v>
      </c>
      <c r="B2621" t="s">
        <v>2637</v>
      </c>
      <c r="C2621">
        <v>99</v>
      </c>
      <c r="D2621">
        <v>56</v>
      </c>
      <c r="E2621" t="s">
        <v>11</v>
      </c>
      <c r="F2621">
        <f>tbl_AQI[[#This Row],[Most AQI Reached]]-tbl_AQI[[#This Row],[Current AQI]]</f>
        <v>43</v>
      </c>
      <c r="G26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21">
        <f>RANK(tbl_AQI[[#This Row],[Current AQI]], tbl_AQI[Current AQI], 0)</f>
        <v>4474</v>
      </c>
    </row>
    <row r="2622" spans="1:8" x14ac:dyDescent="0.35">
      <c r="A2622" t="s">
        <v>2593</v>
      </c>
      <c r="B2622" t="s">
        <v>2638</v>
      </c>
      <c r="C2622">
        <v>268</v>
      </c>
      <c r="D2622">
        <v>98</v>
      </c>
      <c r="E2622" t="s">
        <v>9</v>
      </c>
      <c r="F2622">
        <f>tbl_AQI[[#This Row],[Most AQI Reached]]-tbl_AQI[[#This Row],[Current AQI]]</f>
        <v>170</v>
      </c>
      <c r="G26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22">
        <f>RANK(tbl_AQI[[#This Row],[Current AQI]], tbl_AQI[Current AQI], 0)</f>
        <v>3574</v>
      </c>
    </row>
    <row r="2623" spans="1:8" x14ac:dyDescent="0.35">
      <c r="A2623" t="s">
        <v>2593</v>
      </c>
      <c r="B2623" t="s">
        <v>2639</v>
      </c>
      <c r="C2623">
        <v>69</v>
      </c>
      <c r="D2623">
        <v>64</v>
      </c>
      <c r="E2623" t="s">
        <v>11</v>
      </c>
      <c r="F2623">
        <f>tbl_AQI[[#This Row],[Most AQI Reached]]-tbl_AQI[[#This Row],[Current AQI]]</f>
        <v>5</v>
      </c>
      <c r="G26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23">
        <f>RANK(tbl_AQI[[#This Row],[Current AQI]], tbl_AQI[Current AQI], 0)</f>
        <v>4293</v>
      </c>
    </row>
    <row r="2624" spans="1:8" x14ac:dyDescent="0.35">
      <c r="A2624" t="s">
        <v>2593</v>
      </c>
      <c r="B2624" t="s">
        <v>2640</v>
      </c>
      <c r="C2624">
        <v>305</v>
      </c>
      <c r="D2624">
        <v>85</v>
      </c>
      <c r="E2624" t="s">
        <v>15</v>
      </c>
      <c r="F2624">
        <f>tbl_AQI[[#This Row],[Most AQI Reached]]-tbl_AQI[[#This Row],[Current AQI]]</f>
        <v>220</v>
      </c>
      <c r="G26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24">
        <f>RANK(tbl_AQI[[#This Row],[Current AQI]], tbl_AQI[Current AQI], 0)</f>
        <v>3852</v>
      </c>
    </row>
    <row r="2625" spans="1:8" x14ac:dyDescent="0.35">
      <c r="A2625" t="s">
        <v>2593</v>
      </c>
      <c r="B2625" t="s">
        <v>2641</v>
      </c>
      <c r="C2625">
        <v>294</v>
      </c>
      <c r="D2625">
        <v>131</v>
      </c>
      <c r="E2625" t="s">
        <v>9</v>
      </c>
      <c r="F2625">
        <f>tbl_AQI[[#This Row],[Most AQI Reached]]-tbl_AQI[[#This Row],[Current AQI]]</f>
        <v>163</v>
      </c>
      <c r="G26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25">
        <f>RANK(tbl_AQI[[#This Row],[Current AQI]], tbl_AQI[Current AQI], 0)</f>
        <v>2815</v>
      </c>
    </row>
    <row r="2626" spans="1:8" x14ac:dyDescent="0.35">
      <c r="A2626" t="s">
        <v>2593</v>
      </c>
      <c r="B2626" t="s">
        <v>2642</v>
      </c>
      <c r="C2626">
        <v>282</v>
      </c>
      <c r="D2626">
        <v>181</v>
      </c>
      <c r="E2626" t="s">
        <v>7</v>
      </c>
      <c r="F2626">
        <f>tbl_AQI[[#This Row],[Most AQI Reached]]-tbl_AQI[[#This Row],[Current AQI]]</f>
        <v>101</v>
      </c>
      <c r="G26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26">
        <f>RANK(tbl_AQI[[#This Row],[Current AQI]], tbl_AQI[Current AQI], 0)</f>
        <v>1609</v>
      </c>
    </row>
    <row r="2627" spans="1:8" x14ac:dyDescent="0.35">
      <c r="A2627" t="s">
        <v>2593</v>
      </c>
      <c r="B2627" t="s">
        <v>2643</v>
      </c>
      <c r="C2627">
        <v>311</v>
      </c>
      <c r="D2627">
        <v>176</v>
      </c>
      <c r="E2627" t="s">
        <v>15</v>
      </c>
      <c r="F2627">
        <f>tbl_AQI[[#This Row],[Most AQI Reached]]-tbl_AQI[[#This Row],[Current AQI]]</f>
        <v>135</v>
      </c>
      <c r="G26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27">
        <f>RANK(tbl_AQI[[#This Row],[Current AQI]], tbl_AQI[Current AQI], 0)</f>
        <v>1754</v>
      </c>
    </row>
    <row r="2628" spans="1:8" x14ac:dyDescent="0.35">
      <c r="A2628" t="s">
        <v>2593</v>
      </c>
      <c r="B2628" t="s">
        <v>2644</v>
      </c>
      <c r="C2628">
        <v>302</v>
      </c>
      <c r="D2628">
        <v>110</v>
      </c>
      <c r="E2628" t="s">
        <v>21</v>
      </c>
      <c r="F2628">
        <f>tbl_AQI[[#This Row],[Most AQI Reached]]-tbl_AQI[[#This Row],[Current AQI]]</f>
        <v>192</v>
      </c>
      <c r="G26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28">
        <f>RANK(tbl_AQI[[#This Row],[Current AQI]], tbl_AQI[Current AQI], 0)</f>
        <v>3302</v>
      </c>
    </row>
    <row r="2629" spans="1:8" x14ac:dyDescent="0.35">
      <c r="A2629" t="s">
        <v>2593</v>
      </c>
      <c r="B2629" t="s">
        <v>2645</v>
      </c>
      <c r="C2629">
        <v>177</v>
      </c>
      <c r="D2629">
        <v>176</v>
      </c>
      <c r="E2629" t="s">
        <v>9</v>
      </c>
      <c r="F2629">
        <f>tbl_AQI[[#This Row],[Most AQI Reached]]-tbl_AQI[[#This Row],[Current AQI]]</f>
        <v>1</v>
      </c>
      <c r="G26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29">
        <f>RANK(tbl_AQI[[#This Row],[Current AQI]], tbl_AQI[Current AQI], 0)</f>
        <v>1754</v>
      </c>
    </row>
    <row r="2630" spans="1:8" x14ac:dyDescent="0.35">
      <c r="A2630" t="s">
        <v>2593</v>
      </c>
      <c r="B2630" t="s">
        <v>2646</v>
      </c>
      <c r="C2630">
        <v>207</v>
      </c>
      <c r="D2630">
        <v>36</v>
      </c>
      <c r="E2630" t="s">
        <v>7</v>
      </c>
      <c r="F2630">
        <f>tbl_AQI[[#This Row],[Most AQI Reached]]-tbl_AQI[[#This Row],[Current AQI]]</f>
        <v>171</v>
      </c>
      <c r="G26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30">
        <f>RANK(tbl_AQI[[#This Row],[Current AQI]], tbl_AQI[Current AQI], 0)</f>
        <v>4893</v>
      </c>
    </row>
    <row r="2631" spans="1:8" x14ac:dyDescent="0.35">
      <c r="A2631" t="s">
        <v>2593</v>
      </c>
      <c r="B2631" t="s">
        <v>2647</v>
      </c>
      <c r="C2631">
        <v>303</v>
      </c>
      <c r="D2631">
        <v>74</v>
      </c>
      <c r="E2631" t="s">
        <v>7</v>
      </c>
      <c r="F2631">
        <f>tbl_AQI[[#This Row],[Most AQI Reached]]-tbl_AQI[[#This Row],[Current AQI]]</f>
        <v>229</v>
      </c>
      <c r="G26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31">
        <f>RANK(tbl_AQI[[#This Row],[Current AQI]], tbl_AQI[Current AQI], 0)</f>
        <v>4064</v>
      </c>
    </row>
    <row r="2632" spans="1:8" x14ac:dyDescent="0.35">
      <c r="A2632" t="s">
        <v>2593</v>
      </c>
      <c r="B2632" t="s">
        <v>2648</v>
      </c>
      <c r="C2632">
        <v>271</v>
      </c>
      <c r="D2632">
        <v>134</v>
      </c>
      <c r="E2632" t="s">
        <v>15</v>
      </c>
      <c r="F2632">
        <f>tbl_AQI[[#This Row],[Most AQI Reached]]-tbl_AQI[[#This Row],[Current AQI]]</f>
        <v>137</v>
      </c>
      <c r="G26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32">
        <f>RANK(tbl_AQI[[#This Row],[Current AQI]], tbl_AQI[Current AQI], 0)</f>
        <v>2740</v>
      </c>
    </row>
    <row r="2633" spans="1:8" x14ac:dyDescent="0.35">
      <c r="A2633" t="s">
        <v>2593</v>
      </c>
      <c r="B2633" t="s">
        <v>2649</v>
      </c>
      <c r="C2633">
        <v>224</v>
      </c>
      <c r="D2633">
        <v>155</v>
      </c>
      <c r="E2633" t="s">
        <v>7</v>
      </c>
      <c r="F2633">
        <f>tbl_AQI[[#This Row],[Most AQI Reached]]-tbl_AQI[[#This Row],[Current AQI]]</f>
        <v>69</v>
      </c>
      <c r="G26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33">
        <f>RANK(tbl_AQI[[#This Row],[Current AQI]], tbl_AQI[Current AQI], 0)</f>
        <v>2275</v>
      </c>
    </row>
    <row r="2634" spans="1:8" x14ac:dyDescent="0.35">
      <c r="A2634" t="s">
        <v>2593</v>
      </c>
      <c r="B2634" t="s">
        <v>2650</v>
      </c>
      <c r="C2634">
        <v>305</v>
      </c>
      <c r="D2634">
        <v>188</v>
      </c>
      <c r="E2634" t="s">
        <v>11</v>
      </c>
      <c r="F2634">
        <f>tbl_AQI[[#This Row],[Most AQI Reached]]-tbl_AQI[[#This Row],[Current AQI]]</f>
        <v>117</v>
      </c>
      <c r="G26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34">
        <f>RANK(tbl_AQI[[#This Row],[Current AQI]], tbl_AQI[Current AQI], 0)</f>
        <v>1423</v>
      </c>
    </row>
    <row r="2635" spans="1:8" x14ac:dyDescent="0.35">
      <c r="A2635" t="s">
        <v>2593</v>
      </c>
      <c r="B2635" t="s">
        <v>2651</v>
      </c>
      <c r="C2635">
        <v>161</v>
      </c>
      <c r="D2635">
        <v>121</v>
      </c>
      <c r="E2635" t="s">
        <v>21</v>
      </c>
      <c r="F2635">
        <f>tbl_AQI[[#This Row],[Most AQI Reached]]-tbl_AQI[[#This Row],[Current AQI]]</f>
        <v>40</v>
      </c>
      <c r="G26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35">
        <f>RANK(tbl_AQI[[#This Row],[Current AQI]], tbl_AQI[Current AQI], 0)</f>
        <v>3037</v>
      </c>
    </row>
    <row r="2636" spans="1:8" x14ac:dyDescent="0.35">
      <c r="A2636" t="s">
        <v>2593</v>
      </c>
      <c r="B2636" t="s">
        <v>2652</v>
      </c>
      <c r="C2636">
        <v>139</v>
      </c>
      <c r="D2636">
        <v>75</v>
      </c>
      <c r="E2636" t="s">
        <v>15</v>
      </c>
      <c r="F2636">
        <f>tbl_AQI[[#This Row],[Most AQI Reached]]-tbl_AQI[[#This Row],[Current AQI]]</f>
        <v>64</v>
      </c>
      <c r="G26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36">
        <f>RANK(tbl_AQI[[#This Row],[Current AQI]], tbl_AQI[Current AQI], 0)</f>
        <v>4041</v>
      </c>
    </row>
    <row r="2637" spans="1:8" x14ac:dyDescent="0.35">
      <c r="A2637" t="s">
        <v>2593</v>
      </c>
      <c r="B2637" t="s">
        <v>2653</v>
      </c>
      <c r="C2637">
        <v>240</v>
      </c>
      <c r="D2637">
        <v>180</v>
      </c>
      <c r="E2637" t="s">
        <v>17</v>
      </c>
      <c r="F2637">
        <f>tbl_AQI[[#This Row],[Most AQI Reached]]-tbl_AQI[[#This Row],[Current AQI]]</f>
        <v>60</v>
      </c>
      <c r="G26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37">
        <f>RANK(tbl_AQI[[#This Row],[Current AQI]], tbl_AQI[Current AQI], 0)</f>
        <v>1635</v>
      </c>
    </row>
    <row r="2638" spans="1:8" x14ac:dyDescent="0.35">
      <c r="A2638" t="s">
        <v>2593</v>
      </c>
      <c r="B2638" t="s">
        <v>2654</v>
      </c>
      <c r="C2638">
        <v>266</v>
      </c>
      <c r="D2638">
        <v>190</v>
      </c>
      <c r="E2638" t="s">
        <v>7</v>
      </c>
      <c r="F2638">
        <f>tbl_AQI[[#This Row],[Most AQI Reached]]-tbl_AQI[[#This Row],[Current AQI]]</f>
        <v>76</v>
      </c>
      <c r="G26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38">
        <f>RANK(tbl_AQI[[#This Row],[Current AQI]], tbl_AQI[Current AQI], 0)</f>
        <v>1355</v>
      </c>
    </row>
    <row r="2639" spans="1:8" x14ac:dyDescent="0.35">
      <c r="A2639" t="s">
        <v>2593</v>
      </c>
      <c r="B2639" t="s">
        <v>2655</v>
      </c>
      <c r="C2639">
        <v>269</v>
      </c>
      <c r="D2639">
        <v>133</v>
      </c>
      <c r="E2639" t="s">
        <v>33</v>
      </c>
      <c r="F2639">
        <f>tbl_AQI[[#This Row],[Most AQI Reached]]-tbl_AQI[[#This Row],[Current AQI]]</f>
        <v>136</v>
      </c>
      <c r="G26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39">
        <f>RANK(tbl_AQI[[#This Row],[Current AQI]], tbl_AQI[Current AQI], 0)</f>
        <v>2758</v>
      </c>
    </row>
    <row r="2640" spans="1:8" x14ac:dyDescent="0.35">
      <c r="A2640" t="s">
        <v>2593</v>
      </c>
      <c r="B2640" t="s">
        <v>2656</v>
      </c>
      <c r="C2640">
        <v>275</v>
      </c>
      <c r="D2640">
        <v>109</v>
      </c>
      <c r="E2640" t="s">
        <v>7</v>
      </c>
      <c r="F2640">
        <f>tbl_AQI[[#This Row],[Most AQI Reached]]-tbl_AQI[[#This Row],[Current AQI]]</f>
        <v>166</v>
      </c>
      <c r="G26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40">
        <f>RANK(tbl_AQI[[#This Row],[Current AQI]], tbl_AQI[Current AQI], 0)</f>
        <v>3338</v>
      </c>
    </row>
    <row r="2641" spans="1:8" x14ac:dyDescent="0.35">
      <c r="A2641" t="s">
        <v>2593</v>
      </c>
      <c r="B2641" t="s">
        <v>2657</v>
      </c>
      <c r="C2641">
        <v>215</v>
      </c>
      <c r="D2641">
        <v>59</v>
      </c>
      <c r="E2641" t="s">
        <v>7</v>
      </c>
      <c r="F2641">
        <f>tbl_AQI[[#This Row],[Most AQI Reached]]-tbl_AQI[[#This Row],[Current AQI]]</f>
        <v>156</v>
      </c>
      <c r="G26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41">
        <f>RANK(tbl_AQI[[#This Row],[Current AQI]], tbl_AQI[Current AQI], 0)</f>
        <v>4416</v>
      </c>
    </row>
    <row r="2642" spans="1:8" x14ac:dyDescent="0.35">
      <c r="A2642" t="s">
        <v>2593</v>
      </c>
      <c r="B2642" t="s">
        <v>2658</v>
      </c>
      <c r="C2642">
        <v>80</v>
      </c>
      <c r="D2642">
        <v>58</v>
      </c>
      <c r="E2642" t="s">
        <v>17</v>
      </c>
      <c r="F2642">
        <f>tbl_AQI[[#This Row],[Most AQI Reached]]-tbl_AQI[[#This Row],[Current AQI]]</f>
        <v>22</v>
      </c>
      <c r="G26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42">
        <f>RANK(tbl_AQI[[#This Row],[Current AQI]], tbl_AQI[Current AQI], 0)</f>
        <v>4431</v>
      </c>
    </row>
    <row r="2643" spans="1:8" x14ac:dyDescent="0.35">
      <c r="A2643" t="s">
        <v>2593</v>
      </c>
      <c r="B2643" t="s">
        <v>2659</v>
      </c>
      <c r="C2643">
        <v>255</v>
      </c>
      <c r="D2643">
        <v>152</v>
      </c>
      <c r="E2643" t="s">
        <v>7</v>
      </c>
      <c r="F2643">
        <f>tbl_AQI[[#This Row],[Most AQI Reached]]-tbl_AQI[[#This Row],[Current AQI]]</f>
        <v>103</v>
      </c>
      <c r="G26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43">
        <f>RANK(tbl_AQI[[#This Row],[Current AQI]], tbl_AQI[Current AQI], 0)</f>
        <v>2349</v>
      </c>
    </row>
    <row r="2644" spans="1:8" x14ac:dyDescent="0.35">
      <c r="A2644" t="s">
        <v>2593</v>
      </c>
      <c r="B2644" t="s">
        <v>2660</v>
      </c>
      <c r="C2644">
        <v>142</v>
      </c>
      <c r="D2644">
        <v>132</v>
      </c>
      <c r="E2644" t="s">
        <v>9</v>
      </c>
      <c r="F2644">
        <f>tbl_AQI[[#This Row],[Most AQI Reached]]-tbl_AQI[[#This Row],[Current AQI]]</f>
        <v>10</v>
      </c>
      <c r="G26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44">
        <f>RANK(tbl_AQI[[#This Row],[Current AQI]], tbl_AQI[Current AQI], 0)</f>
        <v>2792</v>
      </c>
    </row>
    <row r="2645" spans="1:8" x14ac:dyDescent="0.35">
      <c r="A2645" t="s">
        <v>2593</v>
      </c>
      <c r="B2645" t="s">
        <v>2661</v>
      </c>
      <c r="C2645">
        <v>214</v>
      </c>
      <c r="D2645">
        <v>171</v>
      </c>
      <c r="E2645" t="s">
        <v>9</v>
      </c>
      <c r="F2645">
        <f>tbl_AQI[[#This Row],[Most AQI Reached]]-tbl_AQI[[#This Row],[Current AQI]]</f>
        <v>43</v>
      </c>
      <c r="G26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45">
        <f>RANK(tbl_AQI[[#This Row],[Current AQI]], tbl_AQI[Current AQI], 0)</f>
        <v>1866</v>
      </c>
    </row>
    <row r="2646" spans="1:8" x14ac:dyDescent="0.35">
      <c r="A2646" t="s">
        <v>2593</v>
      </c>
      <c r="B2646" t="s">
        <v>2662</v>
      </c>
      <c r="C2646">
        <v>198</v>
      </c>
      <c r="D2646">
        <v>159</v>
      </c>
      <c r="E2646" t="s">
        <v>21</v>
      </c>
      <c r="F2646">
        <f>tbl_AQI[[#This Row],[Most AQI Reached]]-tbl_AQI[[#This Row],[Current AQI]]</f>
        <v>39</v>
      </c>
      <c r="G26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46">
        <f>RANK(tbl_AQI[[#This Row],[Current AQI]], tbl_AQI[Current AQI], 0)</f>
        <v>2183</v>
      </c>
    </row>
    <row r="2647" spans="1:8" x14ac:dyDescent="0.35">
      <c r="A2647" t="s">
        <v>2593</v>
      </c>
      <c r="B2647" t="s">
        <v>2663</v>
      </c>
      <c r="C2647">
        <v>295</v>
      </c>
      <c r="D2647">
        <v>78</v>
      </c>
      <c r="E2647" t="s">
        <v>9</v>
      </c>
      <c r="F2647">
        <f>tbl_AQI[[#This Row],[Most AQI Reached]]-tbl_AQI[[#This Row],[Current AQI]]</f>
        <v>217</v>
      </c>
      <c r="G26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47">
        <f>RANK(tbl_AQI[[#This Row],[Current AQI]], tbl_AQI[Current AQI], 0)</f>
        <v>3989</v>
      </c>
    </row>
    <row r="2648" spans="1:8" x14ac:dyDescent="0.35">
      <c r="A2648" t="s">
        <v>2593</v>
      </c>
      <c r="B2648" t="s">
        <v>2664</v>
      </c>
      <c r="C2648">
        <v>243</v>
      </c>
      <c r="D2648">
        <v>33</v>
      </c>
      <c r="E2648" t="s">
        <v>33</v>
      </c>
      <c r="F2648">
        <f>tbl_AQI[[#This Row],[Most AQI Reached]]-tbl_AQI[[#This Row],[Current AQI]]</f>
        <v>210</v>
      </c>
      <c r="G26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48">
        <f>RANK(tbl_AQI[[#This Row],[Current AQI]], tbl_AQI[Current AQI], 0)</f>
        <v>4964</v>
      </c>
    </row>
    <row r="2649" spans="1:8" x14ac:dyDescent="0.35">
      <c r="A2649" t="s">
        <v>2593</v>
      </c>
      <c r="B2649" t="s">
        <v>2665</v>
      </c>
      <c r="C2649">
        <v>247</v>
      </c>
      <c r="D2649">
        <v>91</v>
      </c>
      <c r="E2649" t="s">
        <v>7</v>
      </c>
      <c r="F2649">
        <f>tbl_AQI[[#This Row],[Most AQI Reached]]-tbl_AQI[[#This Row],[Current AQI]]</f>
        <v>156</v>
      </c>
      <c r="G26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49">
        <f>RANK(tbl_AQI[[#This Row],[Current AQI]], tbl_AQI[Current AQI], 0)</f>
        <v>3726</v>
      </c>
    </row>
    <row r="2650" spans="1:8" x14ac:dyDescent="0.35">
      <c r="A2650" t="s">
        <v>2593</v>
      </c>
      <c r="B2650" t="s">
        <v>2666</v>
      </c>
      <c r="C2650">
        <v>238</v>
      </c>
      <c r="D2650">
        <v>53</v>
      </c>
      <c r="E2650" t="s">
        <v>9</v>
      </c>
      <c r="F2650">
        <f>tbl_AQI[[#This Row],[Most AQI Reached]]-tbl_AQI[[#This Row],[Current AQI]]</f>
        <v>185</v>
      </c>
      <c r="G26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50">
        <f>RANK(tbl_AQI[[#This Row],[Current AQI]], tbl_AQI[Current AQI], 0)</f>
        <v>4544</v>
      </c>
    </row>
    <row r="2651" spans="1:8" x14ac:dyDescent="0.35">
      <c r="A2651" t="s">
        <v>2593</v>
      </c>
      <c r="B2651" t="s">
        <v>2667</v>
      </c>
      <c r="C2651">
        <v>187</v>
      </c>
      <c r="D2651">
        <v>141</v>
      </c>
      <c r="E2651" t="s">
        <v>11</v>
      </c>
      <c r="F2651">
        <f>tbl_AQI[[#This Row],[Most AQI Reached]]-tbl_AQI[[#This Row],[Current AQI]]</f>
        <v>46</v>
      </c>
      <c r="G26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1">
        <f>RANK(tbl_AQI[[#This Row],[Current AQI]], tbl_AQI[Current AQI], 0)</f>
        <v>2609</v>
      </c>
    </row>
    <row r="2652" spans="1:8" x14ac:dyDescent="0.35">
      <c r="A2652" t="s">
        <v>2593</v>
      </c>
      <c r="B2652" t="s">
        <v>2668</v>
      </c>
      <c r="C2652">
        <v>234</v>
      </c>
      <c r="D2652">
        <v>134</v>
      </c>
      <c r="E2652" t="s">
        <v>9</v>
      </c>
      <c r="F2652">
        <f>tbl_AQI[[#This Row],[Most AQI Reached]]-tbl_AQI[[#This Row],[Current AQI]]</f>
        <v>100</v>
      </c>
      <c r="G26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2">
        <f>RANK(tbl_AQI[[#This Row],[Current AQI]], tbl_AQI[Current AQI], 0)</f>
        <v>2740</v>
      </c>
    </row>
    <row r="2653" spans="1:8" x14ac:dyDescent="0.35">
      <c r="A2653" t="s">
        <v>2593</v>
      </c>
      <c r="B2653" t="s">
        <v>2669</v>
      </c>
      <c r="C2653">
        <v>219</v>
      </c>
      <c r="D2653">
        <v>113</v>
      </c>
      <c r="E2653" t="s">
        <v>11</v>
      </c>
      <c r="F2653">
        <f>tbl_AQI[[#This Row],[Most AQI Reached]]-tbl_AQI[[#This Row],[Current AQI]]</f>
        <v>106</v>
      </c>
      <c r="G26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3">
        <f>RANK(tbl_AQI[[#This Row],[Current AQI]], tbl_AQI[Current AQI], 0)</f>
        <v>3243</v>
      </c>
    </row>
    <row r="2654" spans="1:8" x14ac:dyDescent="0.35">
      <c r="A2654" t="s">
        <v>2593</v>
      </c>
      <c r="B2654" t="s">
        <v>2670</v>
      </c>
      <c r="C2654">
        <v>253</v>
      </c>
      <c r="D2654">
        <v>127</v>
      </c>
      <c r="E2654" t="s">
        <v>7</v>
      </c>
      <c r="F2654">
        <f>tbl_AQI[[#This Row],[Most AQI Reached]]-tbl_AQI[[#This Row],[Current AQI]]</f>
        <v>126</v>
      </c>
      <c r="G26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4">
        <f>RANK(tbl_AQI[[#This Row],[Current AQI]], tbl_AQI[Current AQI], 0)</f>
        <v>2909</v>
      </c>
    </row>
    <row r="2655" spans="1:8" x14ac:dyDescent="0.35">
      <c r="A2655" t="s">
        <v>2593</v>
      </c>
      <c r="B2655" t="s">
        <v>2671</v>
      </c>
      <c r="C2655">
        <v>268</v>
      </c>
      <c r="D2655">
        <v>125</v>
      </c>
      <c r="E2655" t="s">
        <v>21</v>
      </c>
      <c r="F2655">
        <f>tbl_AQI[[#This Row],[Most AQI Reached]]-tbl_AQI[[#This Row],[Current AQI]]</f>
        <v>143</v>
      </c>
      <c r="G26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5">
        <f>RANK(tbl_AQI[[#This Row],[Current AQI]], tbl_AQI[Current AQI], 0)</f>
        <v>2951</v>
      </c>
    </row>
    <row r="2656" spans="1:8" x14ac:dyDescent="0.35">
      <c r="A2656" t="s">
        <v>2593</v>
      </c>
      <c r="B2656" t="s">
        <v>2672</v>
      </c>
      <c r="C2656">
        <v>264</v>
      </c>
      <c r="D2656">
        <v>107</v>
      </c>
      <c r="E2656" t="s">
        <v>15</v>
      </c>
      <c r="F2656">
        <f>tbl_AQI[[#This Row],[Most AQI Reached]]-tbl_AQI[[#This Row],[Current AQI]]</f>
        <v>157</v>
      </c>
      <c r="G26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6">
        <f>RANK(tbl_AQI[[#This Row],[Current AQI]], tbl_AQI[Current AQI], 0)</f>
        <v>3387</v>
      </c>
    </row>
    <row r="2657" spans="1:8" x14ac:dyDescent="0.35">
      <c r="A2657" t="s">
        <v>2593</v>
      </c>
      <c r="B2657" t="s">
        <v>2673</v>
      </c>
      <c r="C2657">
        <v>269</v>
      </c>
      <c r="D2657">
        <v>188</v>
      </c>
      <c r="E2657" t="s">
        <v>7</v>
      </c>
      <c r="F2657">
        <f>tbl_AQI[[#This Row],[Most AQI Reached]]-tbl_AQI[[#This Row],[Current AQI]]</f>
        <v>81</v>
      </c>
      <c r="G26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7">
        <f>RANK(tbl_AQI[[#This Row],[Current AQI]], tbl_AQI[Current AQI], 0)</f>
        <v>1423</v>
      </c>
    </row>
    <row r="2658" spans="1:8" x14ac:dyDescent="0.35">
      <c r="A2658" t="s">
        <v>2593</v>
      </c>
      <c r="B2658" t="s">
        <v>2674</v>
      </c>
      <c r="C2658">
        <v>186</v>
      </c>
      <c r="D2658">
        <v>67</v>
      </c>
      <c r="E2658" t="s">
        <v>9</v>
      </c>
      <c r="F2658">
        <f>tbl_AQI[[#This Row],[Most AQI Reached]]-tbl_AQI[[#This Row],[Current AQI]]</f>
        <v>119</v>
      </c>
      <c r="G26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58">
        <f>RANK(tbl_AQI[[#This Row],[Current AQI]], tbl_AQI[Current AQI], 0)</f>
        <v>4225</v>
      </c>
    </row>
    <row r="2659" spans="1:8" x14ac:dyDescent="0.35">
      <c r="A2659" t="s">
        <v>2593</v>
      </c>
      <c r="B2659" t="s">
        <v>2675</v>
      </c>
      <c r="C2659">
        <v>277</v>
      </c>
      <c r="D2659">
        <v>119</v>
      </c>
      <c r="E2659" t="s">
        <v>7</v>
      </c>
      <c r="F2659">
        <f>tbl_AQI[[#This Row],[Most AQI Reached]]-tbl_AQI[[#This Row],[Current AQI]]</f>
        <v>158</v>
      </c>
      <c r="G26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59">
        <f>RANK(tbl_AQI[[#This Row],[Current AQI]], tbl_AQI[Current AQI], 0)</f>
        <v>3093</v>
      </c>
    </row>
    <row r="2660" spans="1:8" x14ac:dyDescent="0.35">
      <c r="A2660" t="s">
        <v>2593</v>
      </c>
      <c r="B2660" t="s">
        <v>2676</v>
      </c>
      <c r="C2660">
        <v>190</v>
      </c>
      <c r="D2660">
        <v>125</v>
      </c>
      <c r="E2660" t="s">
        <v>21</v>
      </c>
      <c r="F2660">
        <f>tbl_AQI[[#This Row],[Most AQI Reached]]-tbl_AQI[[#This Row],[Current AQI]]</f>
        <v>65</v>
      </c>
      <c r="G26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60">
        <f>RANK(tbl_AQI[[#This Row],[Current AQI]], tbl_AQI[Current AQI], 0)</f>
        <v>2951</v>
      </c>
    </row>
    <row r="2661" spans="1:8" x14ac:dyDescent="0.35">
      <c r="A2661" t="s">
        <v>2593</v>
      </c>
      <c r="B2661" t="s">
        <v>2677</v>
      </c>
      <c r="C2661">
        <v>172</v>
      </c>
      <c r="D2661">
        <v>72</v>
      </c>
      <c r="E2661" t="s">
        <v>11</v>
      </c>
      <c r="F2661">
        <f>tbl_AQI[[#This Row],[Most AQI Reached]]-tbl_AQI[[#This Row],[Current AQI]]</f>
        <v>100</v>
      </c>
      <c r="G26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61">
        <f>RANK(tbl_AQI[[#This Row],[Current AQI]], tbl_AQI[Current AQI], 0)</f>
        <v>4100</v>
      </c>
    </row>
    <row r="2662" spans="1:8" x14ac:dyDescent="0.35">
      <c r="A2662" t="s">
        <v>2593</v>
      </c>
      <c r="B2662" t="s">
        <v>2678</v>
      </c>
      <c r="C2662">
        <v>260</v>
      </c>
      <c r="D2662">
        <v>115</v>
      </c>
      <c r="E2662" t="s">
        <v>21</v>
      </c>
      <c r="F2662">
        <f>tbl_AQI[[#This Row],[Most AQI Reached]]-tbl_AQI[[#This Row],[Current AQI]]</f>
        <v>145</v>
      </c>
      <c r="G26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62">
        <f>RANK(tbl_AQI[[#This Row],[Current AQI]], tbl_AQI[Current AQI], 0)</f>
        <v>3206</v>
      </c>
    </row>
    <row r="2663" spans="1:8" x14ac:dyDescent="0.35">
      <c r="A2663" t="s">
        <v>2593</v>
      </c>
      <c r="B2663" t="s">
        <v>2679</v>
      </c>
      <c r="C2663">
        <v>312</v>
      </c>
      <c r="D2663">
        <v>61</v>
      </c>
      <c r="E2663" t="s">
        <v>21</v>
      </c>
      <c r="F2663">
        <f>tbl_AQI[[#This Row],[Most AQI Reached]]-tbl_AQI[[#This Row],[Current AQI]]</f>
        <v>251</v>
      </c>
      <c r="G26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63">
        <f>RANK(tbl_AQI[[#This Row],[Current AQI]], tbl_AQI[Current AQI], 0)</f>
        <v>4368</v>
      </c>
    </row>
    <row r="2664" spans="1:8" x14ac:dyDescent="0.35">
      <c r="A2664" t="s">
        <v>2593</v>
      </c>
      <c r="B2664" t="s">
        <v>2680</v>
      </c>
      <c r="C2664">
        <v>291</v>
      </c>
      <c r="D2664">
        <v>37</v>
      </c>
      <c r="E2664" t="s">
        <v>9</v>
      </c>
      <c r="F2664">
        <f>tbl_AQI[[#This Row],[Most AQI Reached]]-tbl_AQI[[#This Row],[Current AQI]]</f>
        <v>254</v>
      </c>
      <c r="G26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64">
        <f>RANK(tbl_AQI[[#This Row],[Current AQI]], tbl_AQI[Current AQI], 0)</f>
        <v>4863</v>
      </c>
    </row>
    <row r="2665" spans="1:8" x14ac:dyDescent="0.35">
      <c r="A2665" t="s">
        <v>2593</v>
      </c>
      <c r="B2665" t="s">
        <v>2681</v>
      </c>
      <c r="C2665">
        <v>89</v>
      </c>
      <c r="D2665">
        <v>46</v>
      </c>
      <c r="E2665" t="s">
        <v>33</v>
      </c>
      <c r="F2665">
        <f>tbl_AQI[[#This Row],[Most AQI Reached]]-tbl_AQI[[#This Row],[Current AQI]]</f>
        <v>43</v>
      </c>
      <c r="G26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65">
        <f>RANK(tbl_AQI[[#This Row],[Current AQI]], tbl_AQI[Current AQI], 0)</f>
        <v>4680</v>
      </c>
    </row>
    <row r="2666" spans="1:8" x14ac:dyDescent="0.35">
      <c r="A2666" t="s">
        <v>2593</v>
      </c>
      <c r="B2666" t="s">
        <v>2682</v>
      </c>
      <c r="C2666">
        <v>167</v>
      </c>
      <c r="D2666">
        <v>51</v>
      </c>
      <c r="E2666" t="s">
        <v>9</v>
      </c>
      <c r="F2666">
        <f>tbl_AQI[[#This Row],[Most AQI Reached]]-tbl_AQI[[#This Row],[Current AQI]]</f>
        <v>116</v>
      </c>
      <c r="G26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66">
        <f>RANK(tbl_AQI[[#This Row],[Current AQI]], tbl_AQI[Current AQI], 0)</f>
        <v>4578</v>
      </c>
    </row>
    <row r="2667" spans="1:8" x14ac:dyDescent="0.35">
      <c r="A2667" t="s">
        <v>2593</v>
      </c>
      <c r="B2667" t="s">
        <v>2683</v>
      </c>
      <c r="C2667">
        <v>282</v>
      </c>
      <c r="D2667">
        <v>94</v>
      </c>
      <c r="E2667" t="s">
        <v>11</v>
      </c>
      <c r="F2667">
        <f>tbl_AQI[[#This Row],[Most AQI Reached]]-tbl_AQI[[#This Row],[Current AQI]]</f>
        <v>188</v>
      </c>
      <c r="G26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67">
        <f>RANK(tbl_AQI[[#This Row],[Current AQI]], tbl_AQI[Current AQI], 0)</f>
        <v>3654</v>
      </c>
    </row>
    <row r="2668" spans="1:8" x14ac:dyDescent="0.35">
      <c r="A2668" t="s">
        <v>2593</v>
      </c>
      <c r="B2668" t="s">
        <v>2684</v>
      </c>
      <c r="C2668">
        <v>298</v>
      </c>
      <c r="D2668">
        <v>90</v>
      </c>
      <c r="E2668" t="s">
        <v>7</v>
      </c>
      <c r="F2668">
        <f>tbl_AQI[[#This Row],[Most AQI Reached]]-tbl_AQI[[#This Row],[Current AQI]]</f>
        <v>208</v>
      </c>
      <c r="G26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68">
        <f>RANK(tbl_AQI[[#This Row],[Current AQI]], tbl_AQI[Current AQI], 0)</f>
        <v>3750</v>
      </c>
    </row>
    <row r="2669" spans="1:8" x14ac:dyDescent="0.35">
      <c r="A2669" t="s">
        <v>2593</v>
      </c>
      <c r="B2669" t="s">
        <v>2685</v>
      </c>
      <c r="C2669">
        <v>235</v>
      </c>
      <c r="D2669">
        <v>157</v>
      </c>
      <c r="E2669" t="s">
        <v>17</v>
      </c>
      <c r="F2669">
        <f>tbl_AQI[[#This Row],[Most AQI Reached]]-tbl_AQI[[#This Row],[Current AQI]]</f>
        <v>78</v>
      </c>
      <c r="G26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69">
        <f>RANK(tbl_AQI[[#This Row],[Current AQI]], tbl_AQI[Current AQI], 0)</f>
        <v>2239</v>
      </c>
    </row>
    <row r="2670" spans="1:8" x14ac:dyDescent="0.35">
      <c r="A2670" t="s">
        <v>2593</v>
      </c>
      <c r="B2670" t="s">
        <v>2686</v>
      </c>
      <c r="C2670">
        <v>277</v>
      </c>
      <c r="D2670">
        <v>97</v>
      </c>
      <c r="E2670" t="s">
        <v>11</v>
      </c>
      <c r="F2670">
        <f>tbl_AQI[[#This Row],[Most AQI Reached]]-tbl_AQI[[#This Row],[Current AQI]]</f>
        <v>180</v>
      </c>
      <c r="G26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70">
        <f>RANK(tbl_AQI[[#This Row],[Current AQI]], tbl_AQI[Current AQI], 0)</f>
        <v>3593</v>
      </c>
    </row>
    <row r="2671" spans="1:8" x14ac:dyDescent="0.35">
      <c r="A2671" t="s">
        <v>2593</v>
      </c>
      <c r="B2671" t="s">
        <v>2687</v>
      </c>
      <c r="C2671">
        <v>168</v>
      </c>
      <c r="D2671">
        <v>145</v>
      </c>
      <c r="E2671" t="s">
        <v>9</v>
      </c>
      <c r="F2671">
        <f>tbl_AQI[[#This Row],[Most AQI Reached]]-tbl_AQI[[#This Row],[Current AQI]]</f>
        <v>23</v>
      </c>
      <c r="G26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71">
        <f>RANK(tbl_AQI[[#This Row],[Current AQI]], tbl_AQI[Current AQI], 0)</f>
        <v>2526</v>
      </c>
    </row>
    <row r="2672" spans="1:8" x14ac:dyDescent="0.35">
      <c r="A2672" t="s">
        <v>2593</v>
      </c>
      <c r="B2672" t="s">
        <v>2688</v>
      </c>
      <c r="C2672">
        <v>174</v>
      </c>
      <c r="D2672">
        <v>159</v>
      </c>
      <c r="E2672" t="s">
        <v>15</v>
      </c>
      <c r="F2672">
        <f>tbl_AQI[[#This Row],[Most AQI Reached]]-tbl_AQI[[#This Row],[Current AQI]]</f>
        <v>15</v>
      </c>
      <c r="G26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72">
        <f>RANK(tbl_AQI[[#This Row],[Current AQI]], tbl_AQI[Current AQI], 0)</f>
        <v>2183</v>
      </c>
    </row>
    <row r="2673" spans="1:8" x14ac:dyDescent="0.35">
      <c r="A2673" t="s">
        <v>2593</v>
      </c>
      <c r="B2673" t="s">
        <v>2689</v>
      </c>
      <c r="C2673">
        <v>157</v>
      </c>
      <c r="D2673">
        <v>121</v>
      </c>
      <c r="E2673" t="s">
        <v>33</v>
      </c>
      <c r="F2673">
        <f>tbl_AQI[[#This Row],[Most AQI Reached]]-tbl_AQI[[#This Row],[Current AQI]]</f>
        <v>36</v>
      </c>
      <c r="G26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73">
        <f>RANK(tbl_AQI[[#This Row],[Current AQI]], tbl_AQI[Current AQI], 0)</f>
        <v>3037</v>
      </c>
    </row>
    <row r="2674" spans="1:8" x14ac:dyDescent="0.35">
      <c r="A2674" t="s">
        <v>2593</v>
      </c>
      <c r="B2674" t="s">
        <v>2690</v>
      </c>
      <c r="C2674">
        <v>84</v>
      </c>
      <c r="D2674">
        <v>71</v>
      </c>
      <c r="E2674" t="s">
        <v>11</v>
      </c>
      <c r="F2674">
        <f>tbl_AQI[[#This Row],[Most AQI Reached]]-tbl_AQI[[#This Row],[Current AQI]]</f>
        <v>13</v>
      </c>
      <c r="G26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74">
        <f>RANK(tbl_AQI[[#This Row],[Current AQI]], tbl_AQI[Current AQI], 0)</f>
        <v>4129</v>
      </c>
    </row>
    <row r="2675" spans="1:8" x14ac:dyDescent="0.35">
      <c r="A2675" t="s">
        <v>2593</v>
      </c>
      <c r="B2675" t="s">
        <v>2691</v>
      </c>
      <c r="C2675">
        <v>303</v>
      </c>
      <c r="D2675">
        <v>145</v>
      </c>
      <c r="E2675" t="s">
        <v>15</v>
      </c>
      <c r="F2675">
        <f>tbl_AQI[[#This Row],[Most AQI Reached]]-tbl_AQI[[#This Row],[Current AQI]]</f>
        <v>158</v>
      </c>
      <c r="G26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75">
        <f>RANK(tbl_AQI[[#This Row],[Current AQI]], tbl_AQI[Current AQI], 0)</f>
        <v>2526</v>
      </c>
    </row>
    <row r="2676" spans="1:8" x14ac:dyDescent="0.35">
      <c r="A2676" t="s">
        <v>2593</v>
      </c>
      <c r="B2676" t="s">
        <v>2692</v>
      </c>
      <c r="C2676">
        <v>271</v>
      </c>
      <c r="D2676">
        <v>176</v>
      </c>
      <c r="E2676" t="s">
        <v>17</v>
      </c>
      <c r="F2676">
        <f>tbl_AQI[[#This Row],[Most AQI Reached]]-tbl_AQI[[#This Row],[Current AQI]]</f>
        <v>95</v>
      </c>
      <c r="G26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76">
        <f>RANK(tbl_AQI[[#This Row],[Current AQI]], tbl_AQI[Current AQI], 0)</f>
        <v>1754</v>
      </c>
    </row>
    <row r="2677" spans="1:8" x14ac:dyDescent="0.35">
      <c r="A2677" t="s">
        <v>2593</v>
      </c>
      <c r="B2677" t="s">
        <v>2693</v>
      </c>
      <c r="C2677">
        <v>128</v>
      </c>
      <c r="D2677">
        <v>32</v>
      </c>
      <c r="E2677" t="s">
        <v>15</v>
      </c>
      <c r="F2677">
        <f>tbl_AQI[[#This Row],[Most AQI Reached]]-tbl_AQI[[#This Row],[Current AQI]]</f>
        <v>96</v>
      </c>
      <c r="G26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77">
        <f>RANK(tbl_AQI[[#This Row],[Current AQI]], tbl_AQI[Current AQI], 0)</f>
        <v>4983</v>
      </c>
    </row>
    <row r="2678" spans="1:8" x14ac:dyDescent="0.35">
      <c r="A2678" t="s">
        <v>2593</v>
      </c>
      <c r="B2678" t="s">
        <v>2694</v>
      </c>
      <c r="C2678">
        <v>310</v>
      </c>
      <c r="D2678">
        <v>116</v>
      </c>
      <c r="E2678" t="s">
        <v>17</v>
      </c>
      <c r="F2678">
        <f>tbl_AQI[[#This Row],[Most AQI Reached]]-tbl_AQI[[#This Row],[Current AQI]]</f>
        <v>194</v>
      </c>
      <c r="G26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78">
        <f>RANK(tbl_AQI[[#This Row],[Current AQI]], tbl_AQI[Current AQI], 0)</f>
        <v>3173</v>
      </c>
    </row>
    <row r="2679" spans="1:8" x14ac:dyDescent="0.35">
      <c r="A2679" t="s">
        <v>2593</v>
      </c>
      <c r="B2679" t="s">
        <v>2695</v>
      </c>
      <c r="C2679">
        <v>181</v>
      </c>
      <c r="D2679">
        <v>82</v>
      </c>
      <c r="E2679" t="s">
        <v>15</v>
      </c>
      <c r="F2679">
        <f>tbl_AQI[[#This Row],[Most AQI Reached]]-tbl_AQI[[#This Row],[Current AQI]]</f>
        <v>99</v>
      </c>
      <c r="G26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79">
        <f>RANK(tbl_AQI[[#This Row],[Current AQI]], tbl_AQI[Current AQI], 0)</f>
        <v>3904</v>
      </c>
    </row>
    <row r="2680" spans="1:8" x14ac:dyDescent="0.35">
      <c r="A2680" t="s">
        <v>2593</v>
      </c>
      <c r="B2680" t="s">
        <v>2696</v>
      </c>
      <c r="C2680">
        <v>201</v>
      </c>
      <c r="D2680">
        <v>45</v>
      </c>
      <c r="E2680" t="s">
        <v>7</v>
      </c>
      <c r="F2680">
        <f>tbl_AQI[[#This Row],[Most AQI Reached]]-tbl_AQI[[#This Row],[Current AQI]]</f>
        <v>156</v>
      </c>
      <c r="G26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80">
        <f>RANK(tbl_AQI[[#This Row],[Current AQI]], tbl_AQI[Current AQI], 0)</f>
        <v>4702</v>
      </c>
    </row>
    <row r="2681" spans="1:8" x14ac:dyDescent="0.35">
      <c r="A2681" t="s">
        <v>2593</v>
      </c>
      <c r="B2681" t="s">
        <v>2697</v>
      </c>
      <c r="C2681">
        <v>189</v>
      </c>
      <c r="D2681">
        <v>84</v>
      </c>
      <c r="E2681" t="s">
        <v>15</v>
      </c>
      <c r="F2681">
        <f>tbl_AQI[[#This Row],[Most AQI Reached]]-tbl_AQI[[#This Row],[Current AQI]]</f>
        <v>105</v>
      </c>
      <c r="G26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81">
        <f>RANK(tbl_AQI[[#This Row],[Current AQI]], tbl_AQI[Current AQI], 0)</f>
        <v>3872</v>
      </c>
    </row>
    <row r="2682" spans="1:8" x14ac:dyDescent="0.35">
      <c r="A2682" t="s">
        <v>2593</v>
      </c>
      <c r="B2682" t="s">
        <v>2698</v>
      </c>
      <c r="C2682">
        <v>67</v>
      </c>
      <c r="D2682">
        <v>47</v>
      </c>
      <c r="E2682" t="s">
        <v>21</v>
      </c>
      <c r="F2682">
        <f>tbl_AQI[[#This Row],[Most AQI Reached]]-tbl_AQI[[#This Row],[Current AQI]]</f>
        <v>20</v>
      </c>
      <c r="G26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82">
        <f>RANK(tbl_AQI[[#This Row],[Current AQI]], tbl_AQI[Current AQI], 0)</f>
        <v>4656</v>
      </c>
    </row>
    <row r="2683" spans="1:8" x14ac:dyDescent="0.35">
      <c r="A2683" t="s">
        <v>2593</v>
      </c>
      <c r="B2683" t="s">
        <v>2699</v>
      </c>
      <c r="C2683">
        <v>244</v>
      </c>
      <c r="D2683">
        <v>113</v>
      </c>
      <c r="E2683" t="s">
        <v>21</v>
      </c>
      <c r="F2683">
        <f>tbl_AQI[[#This Row],[Most AQI Reached]]-tbl_AQI[[#This Row],[Current AQI]]</f>
        <v>131</v>
      </c>
      <c r="G26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83">
        <f>RANK(tbl_AQI[[#This Row],[Current AQI]], tbl_AQI[Current AQI], 0)</f>
        <v>3243</v>
      </c>
    </row>
    <row r="2684" spans="1:8" x14ac:dyDescent="0.35">
      <c r="A2684" t="s">
        <v>2593</v>
      </c>
      <c r="B2684" t="s">
        <v>2700</v>
      </c>
      <c r="C2684">
        <v>123</v>
      </c>
      <c r="D2684">
        <v>48</v>
      </c>
      <c r="E2684" t="s">
        <v>7</v>
      </c>
      <c r="F2684">
        <f>tbl_AQI[[#This Row],[Most AQI Reached]]-tbl_AQI[[#This Row],[Current AQI]]</f>
        <v>75</v>
      </c>
      <c r="G26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684">
        <f>RANK(tbl_AQI[[#This Row],[Current AQI]], tbl_AQI[Current AQI], 0)</f>
        <v>4638</v>
      </c>
    </row>
    <row r="2685" spans="1:8" x14ac:dyDescent="0.35">
      <c r="A2685" t="s">
        <v>2593</v>
      </c>
      <c r="B2685" t="s">
        <v>2701</v>
      </c>
      <c r="C2685">
        <v>243</v>
      </c>
      <c r="D2685">
        <v>118</v>
      </c>
      <c r="E2685" t="s">
        <v>11</v>
      </c>
      <c r="F2685">
        <f>tbl_AQI[[#This Row],[Most AQI Reached]]-tbl_AQI[[#This Row],[Current AQI]]</f>
        <v>125</v>
      </c>
      <c r="G26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85">
        <f>RANK(tbl_AQI[[#This Row],[Current AQI]], tbl_AQI[Current AQI], 0)</f>
        <v>3122</v>
      </c>
    </row>
    <row r="2686" spans="1:8" x14ac:dyDescent="0.35">
      <c r="A2686" t="s">
        <v>2593</v>
      </c>
      <c r="B2686" t="s">
        <v>2702</v>
      </c>
      <c r="C2686">
        <v>118</v>
      </c>
      <c r="D2686">
        <v>67</v>
      </c>
      <c r="E2686" t="s">
        <v>33</v>
      </c>
      <c r="F2686">
        <f>tbl_AQI[[#This Row],[Most AQI Reached]]-tbl_AQI[[#This Row],[Current AQI]]</f>
        <v>51</v>
      </c>
      <c r="G26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86">
        <f>RANK(tbl_AQI[[#This Row],[Current AQI]], tbl_AQI[Current AQI], 0)</f>
        <v>4225</v>
      </c>
    </row>
    <row r="2687" spans="1:8" x14ac:dyDescent="0.35">
      <c r="A2687" t="s">
        <v>2593</v>
      </c>
      <c r="B2687" t="s">
        <v>2703</v>
      </c>
      <c r="C2687">
        <v>257</v>
      </c>
      <c r="D2687">
        <v>67</v>
      </c>
      <c r="E2687" t="s">
        <v>7</v>
      </c>
      <c r="F2687">
        <f>tbl_AQI[[#This Row],[Most AQI Reached]]-tbl_AQI[[#This Row],[Current AQI]]</f>
        <v>190</v>
      </c>
      <c r="G26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87">
        <f>RANK(tbl_AQI[[#This Row],[Current AQI]], tbl_AQI[Current AQI], 0)</f>
        <v>4225</v>
      </c>
    </row>
    <row r="2688" spans="1:8" x14ac:dyDescent="0.35">
      <c r="A2688" t="s">
        <v>2593</v>
      </c>
      <c r="B2688" t="s">
        <v>2704</v>
      </c>
      <c r="C2688">
        <v>107</v>
      </c>
      <c r="D2688">
        <v>95</v>
      </c>
      <c r="E2688" t="s">
        <v>9</v>
      </c>
      <c r="F2688">
        <f>tbl_AQI[[#This Row],[Most AQI Reached]]-tbl_AQI[[#This Row],[Current AQI]]</f>
        <v>12</v>
      </c>
      <c r="G26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88">
        <f>RANK(tbl_AQI[[#This Row],[Current AQI]], tbl_AQI[Current AQI], 0)</f>
        <v>3634</v>
      </c>
    </row>
    <row r="2689" spans="1:8" x14ac:dyDescent="0.35">
      <c r="A2689" t="s">
        <v>2593</v>
      </c>
      <c r="B2689" t="s">
        <v>2705</v>
      </c>
      <c r="C2689">
        <v>197</v>
      </c>
      <c r="D2689">
        <v>142</v>
      </c>
      <c r="E2689" t="s">
        <v>7</v>
      </c>
      <c r="F2689">
        <f>tbl_AQI[[#This Row],[Most AQI Reached]]-tbl_AQI[[#This Row],[Current AQI]]</f>
        <v>55</v>
      </c>
      <c r="G26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89">
        <f>RANK(tbl_AQI[[#This Row],[Current AQI]], tbl_AQI[Current AQI], 0)</f>
        <v>2585</v>
      </c>
    </row>
    <row r="2690" spans="1:8" x14ac:dyDescent="0.35">
      <c r="A2690" t="s">
        <v>2593</v>
      </c>
      <c r="B2690" t="s">
        <v>2706</v>
      </c>
      <c r="C2690">
        <v>121</v>
      </c>
      <c r="D2690">
        <v>71</v>
      </c>
      <c r="E2690" t="s">
        <v>17</v>
      </c>
      <c r="F2690">
        <f>tbl_AQI[[#This Row],[Most AQI Reached]]-tbl_AQI[[#This Row],[Current AQI]]</f>
        <v>50</v>
      </c>
      <c r="G26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90">
        <f>RANK(tbl_AQI[[#This Row],[Current AQI]], tbl_AQI[Current AQI], 0)</f>
        <v>4129</v>
      </c>
    </row>
    <row r="2691" spans="1:8" x14ac:dyDescent="0.35">
      <c r="A2691" t="s">
        <v>2593</v>
      </c>
      <c r="B2691" t="s">
        <v>2707</v>
      </c>
      <c r="C2691">
        <v>245</v>
      </c>
      <c r="D2691">
        <v>110</v>
      </c>
      <c r="E2691" t="s">
        <v>9</v>
      </c>
      <c r="F2691">
        <f>tbl_AQI[[#This Row],[Most AQI Reached]]-tbl_AQI[[#This Row],[Current AQI]]</f>
        <v>135</v>
      </c>
      <c r="G26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91">
        <f>RANK(tbl_AQI[[#This Row],[Current AQI]], tbl_AQI[Current AQI], 0)</f>
        <v>3302</v>
      </c>
    </row>
    <row r="2692" spans="1:8" x14ac:dyDescent="0.35">
      <c r="A2692" t="s">
        <v>2593</v>
      </c>
      <c r="B2692" t="s">
        <v>2708</v>
      </c>
      <c r="C2692">
        <v>215</v>
      </c>
      <c r="D2692">
        <v>80</v>
      </c>
      <c r="E2692" t="s">
        <v>9</v>
      </c>
      <c r="F2692">
        <f>tbl_AQI[[#This Row],[Most AQI Reached]]-tbl_AQI[[#This Row],[Current AQI]]</f>
        <v>135</v>
      </c>
      <c r="G26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92">
        <f>RANK(tbl_AQI[[#This Row],[Current AQI]], tbl_AQI[Current AQI], 0)</f>
        <v>3948</v>
      </c>
    </row>
    <row r="2693" spans="1:8" x14ac:dyDescent="0.35">
      <c r="A2693" t="s">
        <v>2593</v>
      </c>
      <c r="B2693" t="s">
        <v>2709</v>
      </c>
      <c r="C2693">
        <v>211</v>
      </c>
      <c r="D2693">
        <v>154</v>
      </c>
      <c r="E2693" t="s">
        <v>15</v>
      </c>
      <c r="F2693">
        <f>tbl_AQI[[#This Row],[Most AQI Reached]]-tbl_AQI[[#This Row],[Current AQI]]</f>
        <v>57</v>
      </c>
      <c r="G26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93">
        <f>RANK(tbl_AQI[[#This Row],[Current AQI]], tbl_AQI[Current AQI], 0)</f>
        <v>2307</v>
      </c>
    </row>
    <row r="2694" spans="1:8" x14ac:dyDescent="0.35">
      <c r="A2694" t="s">
        <v>2593</v>
      </c>
      <c r="B2694" t="s">
        <v>2710</v>
      </c>
      <c r="C2694">
        <v>225</v>
      </c>
      <c r="D2694">
        <v>54</v>
      </c>
      <c r="E2694" t="s">
        <v>15</v>
      </c>
      <c r="F2694">
        <f>tbl_AQI[[#This Row],[Most AQI Reached]]-tbl_AQI[[#This Row],[Current AQI]]</f>
        <v>171</v>
      </c>
      <c r="G26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94">
        <f>RANK(tbl_AQI[[#This Row],[Current AQI]], tbl_AQI[Current AQI], 0)</f>
        <v>4523</v>
      </c>
    </row>
    <row r="2695" spans="1:8" x14ac:dyDescent="0.35">
      <c r="A2695" t="s">
        <v>2593</v>
      </c>
      <c r="B2695" t="s">
        <v>2711</v>
      </c>
      <c r="C2695">
        <v>311</v>
      </c>
      <c r="D2695">
        <v>142</v>
      </c>
      <c r="E2695" t="s">
        <v>15</v>
      </c>
      <c r="F2695">
        <f>tbl_AQI[[#This Row],[Most AQI Reached]]-tbl_AQI[[#This Row],[Current AQI]]</f>
        <v>169</v>
      </c>
      <c r="G26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95">
        <f>RANK(tbl_AQI[[#This Row],[Current AQI]], tbl_AQI[Current AQI], 0)</f>
        <v>2585</v>
      </c>
    </row>
    <row r="2696" spans="1:8" x14ac:dyDescent="0.35">
      <c r="A2696" t="s">
        <v>2593</v>
      </c>
      <c r="B2696" t="s">
        <v>2712</v>
      </c>
      <c r="C2696">
        <v>238</v>
      </c>
      <c r="D2696">
        <v>176</v>
      </c>
      <c r="E2696" t="s">
        <v>7</v>
      </c>
      <c r="F2696">
        <f>tbl_AQI[[#This Row],[Most AQI Reached]]-tbl_AQI[[#This Row],[Current AQI]]</f>
        <v>62</v>
      </c>
      <c r="G26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96">
        <f>RANK(tbl_AQI[[#This Row],[Current AQI]], tbl_AQI[Current AQI], 0)</f>
        <v>1754</v>
      </c>
    </row>
    <row r="2697" spans="1:8" x14ac:dyDescent="0.35">
      <c r="A2697" t="s">
        <v>2593</v>
      </c>
      <c r="B2697" t="s">
        <v>2713</v>
      </c>
      <c r="C2697">
        <v>315</v>
      </c>
      <c r="D2697">
        <v>107</v>
      </c>
      <c r="E2697" t="s">
        <v>11</v>
      </c>
      <c r="F2697">
        <f>tbl_AQI[[#This Row],[Most AQI Reached]]-tbl_AQI[[#This Row],[Current AQI]]</f>
        <v>208</v>
      </c>
      <c r="G26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97">
        <f>RANK(tbl_AQI[[#This Row],[Current AQI]], tbl_AQI[Current AQI], 0)</f>
        <v>3387</v>
      </c>
    </row>
    <row r="2698" spans="1:8" x14ac:dyDescent="0.35">
      <c r="A2698" t="s">
        <v>2593</v>
      </c>
      <c r="B2698" t="s">
        <v>2714</v>
      </c>
      <c r="C2698">
        <v>229</v>
      </c>
      <c r="D2698">
        <v>119</v>
      </c>
      <c r="E2698" t="s">
        <v>17</v>
      </c>
      <c r="F2698">
        <f>tbl_AQI[[#This Row],[Most AQI Reached]]-tbl_AQI[[#This Row],[Current AQI]]</f>
        <v>110</v>
      </c>
      <c r="G26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698">
        <f>RANK(tbl_AQI[[#This Row],[Current AQI]], tbl_AQI[Current AQI], 0)</f>
        <v>3093</v>
      </c>
    </row>
    <row r="2699" spans="1:8" x14ac:dyDescent="0.35">
      <c r="A2699" t="s">
        <v>2593</v>
      </c>
      <c r="B2699" t="s">
        <v>2715</v>
      </c>
      <c r="C2699">
        <v>286</v>
      </c>
      <c r="D2699">
        <v>68</v>
      </c>
      <c r="E2699" t="s">
        <v>33</v>
      </c>
      <c r="F2699">
        <f>tbl_AQI[[#This Row],[Most AQI Reached]]-tbl_AQI[[#This Row],[Current AQI]]</f>
        <v>218</v>
      </c>
      <c r="G26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699">
        <f>RANK(tbl_AQI[[#This Row],[Current AQI]], tbl_AQI[Current AQI], 0)</f>
        <v>4204</v>
      </c>
    </row>
    <row r="2700" spans="1:8" x14ac:dyDescent="0.35">
      <c r="A2700" t="s">
        <v>2593</v>
      </c>
      <c r="B2700" t="s">
        <v>2716</v>
      </c>
      <c r="C2700">
        <v>302</v>
      </c>
      <c r="D2700">
        <v>135</v>
      </c>
      <c r="E2700" t="s">
        <v>33</v>
      </c>
      <c r="F2700">
        <f>tbl_AQI[[#This Row],[Most AQI Reached]]-tbl_AQI[[#This Row],[Current AQI]]</f>
        <v>167</v>
      </c>
      <c r="G27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0">
        <f>RANK(tbl_AQI[[#This Row],[Current AQI]], tbl_AQI[Current AQI], 0)</f>
        <v>2714</v>
      </c>
    </row>
    <row r="2701" spans="1:8" x14ac:dyDescent="0.35">
      <c r="A2701" t="s">
        <v>2593</v>
      </c>
      <c r="B2701" t="s">
        <v>2717</v>
      </c>
      <c r="C2701">
        <v>133</v>
      </c>
      <c r="D2701">
        <v>128</v>
      </c>
      <c r="E2701" t="s">
        <v>33</v>
      </c>
      <c r="F2701">
        <f>tbl_AQI[[#This Row],[Most AQI Reached]]-tbl_AQI[[#This Row],[Current AQI]]</f>
        <v>5</v>
      </c>
      <c r="G27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1">
        <f>RANK(tbl_AQI[[#This Row],[Current AQI]], tbl_AQI[Current AQI], 0)</f>
        <v>2872</v>
      </c>
    </row>
    <row r="2702" spans="1:8" x14ac:dyDescent="0.35">
      <c r="A2702" t="s">
        <v>2593</v>
      </c>
      <c r="B2702" t="s">
        <v>2718</v>
      </c>
      <c r="C2702">
        <v>137</v>
      </c>
      <c r="D2702">
        <v>116</v>
      </c>
      <c r="E2702" t="s">
        <v>33</v>
      </c>
      <c r="F2702">
        <f>tbl_AQI[[#This Row],[Most AQI Reached]]-tbl_AQI[[#This Row],[Current AQI]]</f>
        <v>21</v>
      </c>
      <c r="G27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2">
        <f>RANK(tbl_AQI[[#This Row],[Current AQI]], tbl_AQI[Current AQI], 0)</f>
        <v>3173</v>
      </c>
    </row>
    <row r="2703" spans="1:8" x14ac:dyDescent="0.35">
      <c r="A2703" t="s">
        <v>2593</v>
      </c>
      <c r="B2703" t="s">
        <v>2719</v>
      </c>
      <c r="C2703">
        <v>276</v>
      </c>
      <c r="D2703">
        <v>142</v>
      </c>
      <c r="E2703" t="s">
        <v>21</v>
      </c>
      <c r="F2703">
        <f>tbl_AQI[[#This Row],[Most AQI Reached]]-tbl_AQI[[#This Row],[Current AQI]]</f>
        <v>134</v>
      </c>
      <c r="G27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3">
        <f>RANK(tbl_AQI[[#This Row],[Current AQI]], tbl_AQI[Current AQI], 0)</f>
        <v>2585</v>
      </c>
    </row>
    <row r="2704" spans="1:8" x14ac:dyDescent="0.35">
      <c r="A2704" t="s">
        <v>2593</v>
      </c>
      <c r="B2704" t="s">
        <v>2720</v>
      </c>
      <c r="C2704">
        <v>273</v>
      </c>
      <c r="D2704">
        <v>129</v>
      </c>
      <c r="E2704" t="s">
        <v>11</v>
      </c>
      <c r="F2704">
        <f>tbl_AQI[[#This Row],[Most AQI Reached]]-tbl_AQI[[#This Row],[Current AQI]]</f>
        <v>144</v>
      </c>
      <c r="G27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4">
        <f>RANK(tbl_AQI[[#This Row],[Current AQI]], tbl_AQI[Current AQI], 0)</f>
        <v>2852</v>
      </c>
    </row>
    <row r="2705" spans="1:8" x14ac:dyDescent="0.35">
      <c r="A2705" t="s">
        <v>2593</v>
      </c>
      <c r="B2705" t="s">
        <v>2721</v>
      </c>
      <c r="C2705">
        <v>320</v>
      </c>
      <c r="D2705">
        <v>108</v>
      </c>
      <c r="E2705" t="s">
        <v>7</v>
      </c>
      <c r="F2705">
        <f>tbl_AQI[[#This Row],[Most AQI Reached]]-tbl_AQI[[#This Row],[Current AQI]]</f>
        <v>212</v>
      </c>
      <c r="G27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5">
        <f>RANK(tbl_AQI[[#This Row],[Current AQI]], tbl_AQI[Current AQI], 0)</f>
        <v>3362</v>
      </c>
    </row>
    <row r="2706" spans="1:8" x14ac:dyDescent="0.35">
      <c r="A2706" t="s">
        <v>2593</v>
      </c>
      <c r="B2706" t="s">
        <v>2722</v>
      </c>
      <c r="C2706">
        <v>112</v>
      </c>
      <c r="D2706">
        <v>54</v>
      </c>
      <c r="E2706" t="s">
        <v>7</v>
      </c>
      <c r="F2706">
        <f>tbl_AQI[[#This Row],[Most AQI Reached]]-tbl_AQI[[#This Row],[Current AQI]]</f>
        <v>58</v>
      </c>
      <c r="G27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06">
        <f>RANK(tbl_AQI[[#This Row],[Current AQI]], tbl_AQI[Current AQI], 0)</f>
        <v>4523</v>
      </c>
    </row>
    <row r="2707" spans="1:8" x14ac:dyDescent="0.35">
      <c r="A2707" t="s">
        <v>2593</v>
      </c>
      <c r="B2707" t="s">
        <v>2723</v>
      </c>
      <c r="C2707">
        <v>182</v>
      </c>
      <c r="D2707">
        <v>117</v>
      </c>
      <c r="E2707" t="s">
        <v>21</v>
      </c>
      <c r="F2707">
        <f>tbl_AQI[[#This Row],[Most AQI Reached]]-tbl_AQI[[#This Row],[Current AQI]]</f>
        <v>65</v>
      </c>
      <c r="G27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7">
        <f>RANK(tbl_AQI[[#This Row],[Current AQI]], tbl_AQI[Current AQI], 0)</f>
        <v>3144</v>
      </c>
    </row>
    <row r="2708" spans="1:8" x14ac:dyDescent="0.35">
      <c r="A2708" t="s">
        <v>2593</v>
      </c>
      <c r="B2708" t="s">
        <v>2724</v>
      </c>
      <c r="C2708">
        <v>167</v>
      </c>
      <c r="D2708">
        <v>128</v>
      </c>
      <c r="E2708" t="s">
        <v>21</v>
      </c>
      <c r="F2708">
        <f>tbl_AQI[[#This Row],[Most AQI Reached]]-tbl_AQI[[#This Row],[Current AQI]]</f>
        <v>39</v>
      </c>
      <c r="G27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08">
        <f>RANK(tbl_AQI[[#This Row],[Current AQI]], tbl_AQI[Current AQI], 0)</f>
        <v>2872</v>
      </c>
    </row>
    <row r="2709" spans="1:8" x14ac:dyDescent="0.35">
      <c r="A2709" t="s">
        <v>2593</v>
      </c>
      <c r="B2709" t="s">
        <v>2725</v>
      </c>
      <c r="C2709">
        <v>143</v>
      </c>
      <c r="D2709">
        <v>49</v>
      </c>
      <c r="E2709" t="s">
        <v>11</v>
      </c>
      <c r="F2709">
        <f>tbl_AQI[[#This Row],[Most AQI Reached]]-tbl_AQI[[#This Row],[Current AQI]]</f>
        <v>94</v>
      </c>
      <c r="G27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09">
        <f>RANK(tbl_AQI[[#This Row],[Current AQI]], tbl_AQI[Current AQI], 0)</f>
        <v>4614</v>
      </c>
    </row>
    <row r="2710" spans="1:8" x14ac:dyDescent="0.35">
      <c r="A2710" t="s">
        <v>2593</v>
      </c>
      <c r="B2710" t="s">
        <v>2726</v>
      </c>
      <c r="C2710">
        <v>246</v>
      </c>
      <c r="D2710">
        <v>141</v>
      </c>
      <c r="E2710" t="s">
        <v>11</v>
      </c>
      <c r="F2710">
        <f>tbl_AQI[[#This Row],[Most AQI Reached]]-tbl_AQI[[#This Row],[Current AQI]]</f>
        <v>105</v>
      </c>
      <c r="G27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10">
        <f>RANK(tbl_AQI[[#This Row],[Current AQI]], tbl_AQI[Current AQI], 0)</f>
        <v>2609</v>
      </c>
    </row>
    <row r="2711" spans="1:8" x14ac:dyDescent="0.35">
      <c r="A2711" t="s">
        <v>2593</v>
      </c>
      <c r="B2711" t="s">
        <v>2727</v>
      </c>
      <c r="C2711">
        <v>258</v>
      </c>
      <c r="D2711">
        <v>178</v>
      </c>
      <c r="E2711" t="s">
        <v>7</v>
      </c>
      <c r="F2711">
        <f>tbl_AQI[[#This Row],[Most AQI Reached]]-tbl_AQI[[#This Row],[Current AQI]]</f>
        <v>80</v>
      </c>
      <c r="G27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11">
        <f>RANK(tbl_AQI[[#This Row],[Current AQI]], tbl_AQI[Current AQI], 0)</f>
        <v>1702</v>
      </c>
    </row>
    <row r="2712" spans="1:8" x14ac:dyDescent="0.35">
      <c r="A2712" t="s">
        <v>2593</v>
      </c>
      <c r="B2712" t="s">
        <v>2728</v>
      </c>
      <c r="C2712">
        <v>307</v>
      </c>
      <c r="D2712">
        <v>185</v>
      </c>
      <c r="E2712" t="s">
        <v>21</v>
      </c>
      <c r="F2712">
        <f>tbl_AQI[[#This Row],[Most AQI Reached]]-tbl_AQI[[#This Row],[Current AQI]]</f>
        <v>122</v>
      </c>
      <c r="G27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12">
        <f>RANK(tbl_AQI[[#This Row],[Current AQI]], tbl_AQI[Current AQI], 0)</f>
        <v>1517</v>
      </c>
    </row>
    <row r="2713" spans="1:8" x14ac:dyDescent="0.35">
      <c r="A2713" t="s">
        <v>2593</v>
      </c>
      <c r="B2713" t="s">
        <v>2729</v>
      </c>
      <c r="C2713">
        <v>253</v>
      </c>
      <c r="D2713">
        <v>171</v>
      </c>
      <c r="E2713" t="s">
        <v>17</v>
      </c>
      <c r="F2713">
        <f>tbl_AQI[[#This Row],[Most AQI Reached]]-tbl_AQI[[#This Row],[Current AQI]]</f>
        <v>82</v>
      </c>
      <c r="G27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13">
        <f>RANK(tbl_AQI[[#This Row],[Current AQI]], tbl_AQI[Current AQI], 0)</f>
        <v>1866</v>
      </c>
    </row>
    <row r="2714" spans="1:8" x14ac:dyDescent="0.35">
      <c r="A2714" t="s">
        <v>2593</v>
      </c>
      <c r="B2714" t="s">
        <v>2730</v>
      </c>
      <c r="C2714">
        <v>264</v>
      </c>
      <c r="D2714">
        <v>61</v>
      </c>
      <c r="E2714" t="s">
        <v>11</v>
      </c>
      <c r="F2714">
        <f>tbl_AQI[[#This Row],[Most AQI Reached]]-tbl_AQI[[#This Row],[Current AQI]]</f>
        <v>203</v>
      </c>
      <c r="G27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14">
        <f>RANK(tbl_AQI[[#This Row],[Current AQI]], tbl_AQI[Current AQI], 0)</f>
        <v>4368</v>
      </c>
    </row>
    <row r="2715" spans="1:8" x14ac:dyDescent="0.35">
      <c r="A2715" t="s">
        <v>2593</v>
      </c>
      <c r="B2715" t="s">
        <v>2731</v>
      </c>
      <c r="C2715">
        <v>115</v>
      </c>
      <c r="D2715">
        <v>99</v>
      </c>
      <c r="E2715" t="s">
        <v>21</v>
      </c>
      <c r="F2715">
        <f>tbl_AQI[[#This Row],[Most AQI Reached]]-tbl_AQI[[#This Row],[Current AQI]]</f>
        <v>16</v>
      </c>
      <c r="G27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15">
        <f>RANK(tbl_AQI[[#This Row],[Current AQI]], tbl_AQI[Current AQI], 0)</f>
        <v>3553</v>
      </c>
    </row>
    <row r="2716" spans="1:8" x14ac:dyDescent="0.35">
      <c r="A2716" t="s">
        <v>2593</v>
      </c>
      <c r="B2716" t="s">
        <v>2732</v>
      </c>
      <c r="C2716">
        <v>188</v>
      </c>
      <c r="D2716">
        <v>160</v>
      </c>
      <c r="E2716" t="s">
        <v>15</v>
      </c>
      <c r="F2716">
        <f>tbl_AQI[[#This Row],[Most AQI Reached]]-tbl_AQI[[#This Row],[Current AQI]]</f>
        <v>28</v>
      </c>
      <c r="G27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16">
        <f>RANK(tbl_AQI[[#This Row],[Current AQI]], tbl_AQI[Current AQI], 0)</f>
        <v>2154</v>
      </c>
    </row>
    <row r="2717" spans="1:8" x14ac:dyDescent="0.35">
      <c r="A2717" t="s">
        <v>2593</v>
      </c>
      <c r="B2717" t="s">
        <v>2733</v>
      </c>
      <c r="C2717">
        <v>199</v>
      </c>
      <c r="D2717">
        <v>118</v>
      </c>
      <c r="E2717" t="s">
        <v>17</v>
      </c>
      <c r="F2717">
        <f>tbl_AQI[[#This Row],[Most AQI Reached]]-tbl_AQI[[#This Row],[Current AQI]]</f>
        <v>81</v>
      </c>
      <c r="G27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17">
        <f>RANK(tbl_AQI[[#This Row],[Current AQI]], tbl_AQI[Current AQI], 0)</f>
        <v>3122</v>
      </c>
    </row>
    <row r="2718" spans="1:8" x14ac:dyDescent="0.35">
      <c r="A2718" t="s">
        <v>2593</v>
      </c>
      <c r="B2718" t="s">
        <v>2734</v>
      </c>
      <c r="C2718">
        <v>228</v>
      </c>
      <c r="D2718">
        <v>43</v>
      </c>
      <c r="E2718" t="s">
        <v>21</v>
      </c>
      <c r="F2718">
        <f>tbl_AQI[[#This Row],[Most AQI Reached]]-tbl_AQI[[#This Row],[Current AQI]]</f>
        <v>185</v>
      </c>
      <c r="G27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18">
        <f>RANK(tbl_AQI[[#This Row],[Current AQI]], tbl_AQI[Current AQI], 0)</f>
        <v>4752</v>
      </c>
    </row>
    <row r="2719" spans="1:8" x14ac:dyDescent="0.35">
      <c r="A2719" t="s">
        <v>2593</v>
      </c>
      <c r="B2719" t="s">
        <v>2735</v>
      </c>
      <c r="C2719">
        <v>265</v>
      </c>
      <c r="D2719">
        <v>99</v>
      </c>
      <c r="E2719" t="s">
        <v>15</v>
      </c>
      <c r="F2719">
        <f>tbl_AQI[[#This Row],[Most AQI Reached]]-tbl_AQI[[#This Row],[Current AQI]]</f>
        <v>166</v>
      </c>
      <c r="G27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19">
        <f>RANK(tbl_AQI[[#This Row],[Current AQI]], tbl_AQI[Current AQI], 0)</f>
        <v>3553</v>
      </c>
    </row>
    <row r="2720" spans="1:8" x14ac:dyDescent="0.35">
      <c r="A2720" t="s">
        <v>2593</v>
      </c>
      <c r="B2720" t="s">
        <v>2736</v>
      </c>
      <c r="C2720">
        <v>235</v>
      </c>
      <c r="D2720">
        <v>58</v>
      </c>
      <c r="E2720" t="s">
        <v>7</v>
      </c>
      <c r="F2720">
        <f>tbl_AQI[[#This Row],[Most AQI Reached]]-tbl_AQI[[#This Row],[Current AQI]]</f>
        <v>177</v>
      </c>
      <c r="G27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20">
        <f>RANK(tbl_AQI[[#This Row],[Current AQI]], tbl_AQI[Current AQI], 0)</f>
        <v>4431</v>
      </c>
    </row>
    <row r="2721" spans="1:8" x14ac:dyDescent="0.35">
      <c r="A2721" t="s">
        <v>2593</v>
      </c>
      <c r="B2721" t="s">
        <v>2737</v>
      </c>
      <c r="C2721">
        <v>155</v>
      </c>
      <c r="D2721">
        <v>69</v>
      </c>
      <c r="E2721" t="s">
        <v>9</v>
      </c>
      <c r="F2721">
        <f>tbl_AQI[[#This Row],[Most AQI Reached]]-tbl_AQI[[#This Row],[Current AQI]]</f>
        <v>86</v>
      </c>
      <c r="G27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21">
        <f>RANK(tbl_AQI[[#This Row],[Current AQI]], tbl_AQI[Current AQI], 0)</f>
        <v>4186</v>
      </c>
    </row>
    <row r="2722" spans="1:8" x14ac:dyDescent="0.35">
      <c r="A2722" t="s">
        <v>2593</v>
      </c>
      <c r="B2722" t="s">
        <v>2738</v>
      </c>
      <c r="C2722">
        <v>283</v>
      </c>
      <c r="D2722">
        <v>160</v>
      </c>
      <c r="E2722" t="s">
        <v>17</v>
      </c>
      <c r="F2722">
        <f>tbl_AQI[[#This Row],[Most AQI Reached]]-tbl_AQI[[#This Row],[Current AQI]]</f>
        <v>123</v>
      </c>
      <c r="G27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22">
        <f>RANK(tbl_AQI[[#This Row],[Current AQI]], tbl_AQI[Current AQI], 0)</f>
        <v>2154</v>
      </c>
    </row>
    <row r="2723" spans="1:8" x14ac:dyDescent="0.35">
      <c r="A2723" t="s">
        <v>2593</v>
      </c>
      <c r="B2723" t="s">
        <v>2739</v>
      </c>
      <c r="C2723">
        <v>164</v>
      </c>
      <c r="D2723">
        <v>159</v>
      </c>
      <c r="E2723" t="s">
        <v>9</v>
      </c>
      <c r="F2723">
        <f>tbl_AQI[[#This Row],[Most AQI Reached]]-tbl_AQI[[#This Row],[Current AQI]]</f>
        <v>5</v>
      </c>
      <c r="G27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23">
        <f>RANK(tbl_AQI[[#This Row],[Current AQI]], tbl_AQI[Current AQI], 0)</f>
        <v>2183</v>
      </c>
    </row>
    <row r="2724" spans="1:8" x14ac:dyDescent="0.35">
      <c r="A2724" t="s">
        <v>2593</v>
      </c>
      <c r="B2724" t="s">
        <v>2740</v>
      </c>
      <c r="C2724">
        <v>204</v>
      </c>
      <c r="D2724">
        <v>113</v>
      </c>
      <c r="E2724" t="s">
        <v>17</v>
      </c>
      <c r="F2724">
        <f>tbl_AQI[[#This Row],[Most AQI Reached]]-tbl_AQI[[#This Row],[Current AQI]]</f>
        <v>91</v>
      </c>
      <c r="G27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24">
        <f>RANK(tbl_AQI[[#This Row],[Current AQI]], tbl_AQI[Current AQI], 0)</f>
        <v>3243</v>
      </c>
    </row>
    <row r="2725" spans="1:8" x14ac:dyDescent="0.35">
      <c r="A2725" t="s">
        <v>2593</v>
      </c>
      <c r="B2725" t="s">
        <v>2741</v>
      </c>
      <c r="C2725">
        <v>309</v>
      </c>
      <c r="D2725">
        <v>167</v>
      </c>
      <c r="E2725" t="s">
        <v>11</v>
      </c>
      <c r="F2725">
        <f>tbl_AQI[[#This Row],[Most AQI Reached]]-tbl_AQI[[#This Row],[Current AQI]]</f>
        <v>142</v>
      </c>
      <c r="G27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25">
        <f>RANK(tbl_AQI[[#This Row],[Current AQI]], tbl_AQI[Current AQI], 0)</f>
        <v>1979</v>
      </c>
    </row>
    <row r="2726" spans="1:8" x14ac:dyDescent="0.35">
      <c r="A2726" t="s">
        <v>2593</v>
      </c>
      <c r="B2726" t="s">
        <v>2742</v>
      </c>
      <c r="C2726">
        <v>149</v>
      </c>
      <c r="D2726">
        <v>128</v>
      </c>
      <c r="E2726" t="s">
        <v>21</v>
      </c>
      <c r="F2726">
        <f>tbl_AQI[[#This Row],[Most AQI Reached]]-tbl_AQI[[#This Row],[Current AQI]]</f>
        <v>21</v>
      </c>
      <c r="G27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26">
        <f>RANK(tbl_AQI[[#This Row],[Current AQI]], tbl_AQI[Current AQI], 0)</f>
        <v>2872</v>
      </c>
    </row>
    <row r="2727" spans="1:8" x14ac:dyDescent="0.35">
      <c r="A2727" t="s">
        <v>2593</v>
      </c>
      <c r="B2727" t="s">
        <v>2743</v>
      </c>
      <c r="C2727">
        <v>236</v>
      </c>
      <c r="D2727">
        <v>109</v>
      </c>
      <c r="E2727" t="s">
        <v>9</v>
      </c>
      <c r="F2727">
        <f>tbl_AQI[[#This Row],[Most AQI Reached]]-tbl_AQI[[#This Row],[Current AQI]]</f>
        <v>127</v>
      </c>
      <c r="G27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27">
        <f>RANK(tbl_AQI[[#This Row],[Current AQI]], tbl_AQI[Current AQI], 0)</f>
        <v>3338</v>
      </c>
    </row>
    <row r="2728" spans="1:8" x14ac:dyDescent="0.35">
      <c r="A2728" t="s">
        <v>2593</v>
      </c>
      <c r="B2728" t="s">
        <v>2744</v>
      </c>
      <c r="C2728">
        <v>154</v>
      </c>
      <c r="D2728">
        <v>98</v>
      </c>
      <c r="E2728" t="s">
        <v>17</v>
      </c>
      <c r="F2728">
        <f>tbl_AQI[[#This Row],[Most AQI Reached]]-tbl_AQI[[#This Row],[Current AQI]]</f>
        <v>56</v>
      </c>
      <c r="G27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28">
        <f>RANK(tbl_AQI[[#This Row],[Current AQI]], tbl_AQI[Current AQI], 0)</f>
        <v>3574</v>
      </c>
    </row>
    <row r="2729" spans="1:8" x14ac:dyDescent="0.35">
      <c r="A2729" t="s">
        <v>2593</v>
      </c>
      <c r="B2729" t="s">
        <v>2745</v>
      </c>
      <c r="C2729">
        <v>295</v>
      </c>
      <c r="D2729">
        <v>92</v>
      </c>
      <c r="E2729" t="s">
        <v>33</v>
      </c>
      <c r="F2729">
        <f>tbl_AQI[[#This Row],[Most AQI Reached]]-tbl_AQI[[#This Row],[Current AQI]]</f>
        <v>203</v>
      </c>
      <c r="G27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29">
        <f>RANK(tbl_AQI[[#This Row],[Current AQI]], tbl_AQI[Current AQI], 0)</f>
        <v>3706</v>
      </c>
    </row>
    <row r="2730" spans="1:8" x14ac:dyDescent="0.35">
      <c r="A2730" t="s">
        <v>2593</v>
      </c>
      <c r="B2730" t="s">
        <v>2746</v>
      </c>
      <c r="C2730">
        <v>156</v>
      </c>
      <c r="D2730">
        <v>156</v>
      </c>
      <c r="E2730" t="s">
        <v>11</v>
      </c>
      <c r="F2730">
        <f>tbl_AQI[[#This Row],[Most AQI Reached]]-tbl_AQI[[#This Row],[Current AQI]]</f>
        <v>0</v>
      </c>
      <c r="G27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30">
        <f>RANK(tbl_AQI[[#This Row],[Current AQI]], tbl_AQI[Current AQI], 0)</f>
        <v>2251</v>
      </c>
    </row>
    <row r="2731" spans="1:8" x14ac:dyDescent="0.35">
      <c r="A2731" t="s">
        <v>2593</v>
      </c>
      <c r="B2731" t="s">
        <v>2747</v>
      </c>
      <c r="C2731">
        <v>282</v>
      </c>
      <c r="D2731">
        <v>66</v>
      </c>
      <c r="E2731" t="s">
        <v>7</v>
      </c>
      <c r="F2731">
        <f>tbl_AQI[[#This Row],[Most AQI Reached]]-tbl_AQI[[#This Row],[Current AQI]]</f>
        <v>216</v>
      </c>
      <c r="G27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31">
        <f>RANK(tbl_AQI[[#This Row],[Current AQI]], tbl_AQI[Current AQI], 0)</f>
        <v>4247</v>
      </c>
    </row>
    <row r="2732" spans="1:8" x14ac:dyDescent="0.35">
      <c r="A2732" t="s">
        <v>2593</v>
      </c>
      <c r="B2732" t="s">
        <v>2748</v>
      </c>
      <c r="C2732">
        <v>305</v>
      </c>
      <c r="D2732">
        <v>60</v>
      </c>
      <c r="E2732" t="s">
        <v>9</v>
      </c>
      <c r="F2732">
        <f>tbl_AQI[[#This Row],[Most AQI Reached]]-tbl_AQI[[#This Row],[Current AQI]]</f>
        <v>245</v>
      </c>
      <c r="G27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32">
        <f>RANK(tbl_AQI[[#This Row],[Current AQI]], tbl_AQI[Current AQI], 0)</f>
        <v>4390</v>
      </c>
    </row>
    <row r="2733" spans="1:8" x14ac:dyDescent="0.35">
      <c r="A2733" t="s">
        <v>2593</v>
      </c>
      <c r="B2733" t="s">
        <v>2749</v>
      </c>
      <c r="C2733">
        <v>191</v>
      </c>
      <c r="D2733">
        <v>164</v>
      </c>
      <c r="E2733" t="s">
        <v>17</v>
      </c>
      <c r="F2733">
        <f>tbl_AQI[[#This Row],[Most AQI Reached]]-tbl_AQI[[#This Row],[Current AQI]]</f>
        <v>27</v>
      </c>
      <c r="G27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33">
        <f>RANK(tbl_AQI[[#This Row],[Current AQI]], tbl_AQI[Current AQI], 0)</f>
        <v>2049</v>
      </c>
    </row>
    <row r="2734" spans="1:8" x14ac:dyDescent="0.35">
      <c r="A2734" t="s">
        <v>2593</v>
      </c>
      <c r="B2734" t="s">
        <v>2750</v>
      </c>
      <c r="C2734">
        <v>171</v>
      </c>
      <c r="D2734">
        <v>157</v>
      </c>
      <c r="E2734" t="s">
        <v>15</v>
      </c>
      <c r="F2734">
        <f>tbl_AQI[[#This Row],[Most AQI Reached]]-tbl_AQI[[#This Row],[Current AQI]]</f>
        <v>14</v>
      </c>
      <c r="G27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34">
        <f>RANK(tbl_AQI[[#This Row],[Current AQI]], tbl_AQI[Current AQI], 0)</f>
        <v>2239</v>
      </c>
    </row>
    <row r="2735" spans="1:8" x14ac:dyDescent="0.35">
      <c r="A2735" t="s">
        <v>2593</v>
      </c>
      <c r="B2735" t="s">
        <v>2751</v>
      </c>
      <c r="C2735">
        <v>119</v>
      </c>
      <c r="D2735">
        <v>62</v>
      </c>
      <c r="E2735" t="s">
        <v>15</v>
      </c>
      <c r="F2735">
        <f>tbl_AQI[[#This Row],[Most AQI Reached]]-tbl_AQI[[#This Row],[Current AQI]]</f>
        <v>57</v>
      </c>
      <c r="G27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35">
        <f>RANK(tbl_AQI[[#This Row],[Current AQI]], tbl_AQI[Current AQI], 0)</f>
        <v>4343</v>
      </c>
    </row>
    <row r="2736" spans="1:8" x14ac:dyDescent="0.35">
      <c r="A2736" t="s">
        <v>2593</v>
      </c>
      <c r="B2736" t="s">
        <v>2752</v>
      </c>
      <c r="C2736">
        <v>195</v>
      </c>
      <c r="D2736">
        <v>108</v>
      </c>
      <c r="E2736" t="s">
        <v>15</v>
      </c>
      <c r="F2736">
        <f>tbl_AQI[[#This Row],[Most AQI Reached]]-tbl_AQI[[#This Row],[Current AQI]]</f>
        <v>87</v>
      </c>
      <c r="G27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36">
        <f>RANK(tbl_AQI[[#This Row],[Current AQI]], tbl_AQI[Current AQI], 0)</f>
        <v>3362</v>
      </c>
    </row>
    <row r="2737" spans="1:8" x14ac:dyDescent="0.35">
      <c r="A2737" t="s">
        <v>2593</v>
      </c>
      <c r="B2737" t="s">
        <v>2753</v>
      </c>
      <c r="C2737">
        <v>221</v>
      </c>
      <c r="D2737">
        <v>83</v>
      </c>
      <c r="E2737" t="s">
        <v>33</v>
      </c>
      <c r="F2737">
        <f>tbl_AQI[[#This Row],[Most AQI Reached]]-tbl_AQI[[#This Row],[Current AQI]]</f>
        <v>138</v>
      </c>
      <c r="G27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37">
        <f>RANK(tbl_AQI[[#This Row],[Current AQI]], tbl_AQI[Current AQI], 0)</f>
        <v>3892</v>
      </c>
    </row>
    <row r="2738" spans="1:8" x14ac:dyDescent="0.35">
      <c r="A2738" t="s">
        <v>2593</v>
      </c>
      <c r="B2738" t="s">
        <v>2754</v>
      </c>
      <c r="C2738">
        <v>116</v>
      </c>
      <c r="D2738">
        <v>63</v>
      </c>
      <c r="E2738" t="s">
        <v>33</v>
      </c>
      <c r="F2738">
        <f>tbl_AQI[[#This Row],[Most AQI Reached]]-tbl_AQI[[#This Row],[Current AQI]]</f>
        <v>53</v>
      </c>
      <c r="G27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38">
        <f>RANK(tbl_AQI[[#This Row],[Current AQI]], tbl_AQI[Current AQI], 0)</f>
        <v>4322</v>
      </c>
    </row>
    <row r="2739" spans="1:8" x14ac:dyDescent="0.35">
      <c r="A2739" t="s">
        <v>2593</v>
      </c>
      <c r="B2739" t="s">
        <v>2755</v>
      </c>
      <c r="C2739">
        <v>135</v>
      </c>
      <c r="D2739">
        <v>112</v>
      </c>
      <c r="E2739" t="s">
        <v>11</v>
      </c>
      <c r="F2739">
        <f>tbl_AQI[[#This Row],[Most AQI Reached]]-tbl_AQI[[#This Row],[Current AQI]]</f>
        <v>23</v>
      </c>
      <c r="G27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39">
        <f>RANK(tbl_AQI[[#This Row],[Current AQI]], tbl_AQI[Current AQI], 0)</f>
        <v>3267</v>
      </c>
    </row>
    <row r="2740" spans="1:8" x14ac:dyDescent="0.35">
      <c r="A2740" t="s">
        <v>2593</v>
      </c>
      <c r="B2740" t="s">
        <v>2756</v>
      </c>
      <c r="C2740">
        <v>203</v>
      </c>
      <c r="D2740">
        <v>167</v>
      </c>
      <c r="E2740" t="s">
        <v>9</v>
      </c>
      <c r="F2740">
        <f>tbl_AQI[[#This Row],[Most AQI Reached]]-tbl_AQI[[#This Row],[Current AQI]]</f>
        <v>36</v>
      </c>
      <c r="G27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40">
        <f>RANK(tbl_AQI[[#This Row],[Current AQI]], tbl_AQI[Current AQI], 0)</f>
        <v>1979</v>
      </c>
    </row>
    <row r="2741" spans="1:8" x14ac:dyDescent="0.35">
      <c r="A2741" t="s">
        <v>2593</v>
      </c>
      <c r="B2741" t="s">
        <v>2757</v>
      </c>
      <c r="C2741">
        <v>148</v>
      </c>
      <c r="D2741">
        <v>95</v>
      </c>
      <c r="E2741" t="s">
        <v>15</v>
      </c>
      <c r="F2741">
        <f>tbl_AQI[[#This Row],[Most AQI Reached]]-tbl_AQI[[#This Row],[Current AQI]]</f>
        <v>53</v>
      </c>
      <c r="G27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41">
        <f>RANK(tbl_AQI[[#This Row],[Current AQI]], tbl_AQI[Current AQI], 0)</f>
        <v>3634</v>
      </c>
    </row>
    <row r="2742" spans="1:8" x14ac:dyDescent="0.35">
      <c r="A2742" t="s">
        <v>2593</v>
      </c>
      <c r="B2742" t="s">
        <v>2758</v>
      </c>
      <c r="C2742">
        <v>257</v>
      </c>
      <c r="D2742">
        <v>158</v>
      </c>
      <c r="E2742" t="s">
        <v>33</v>
      </c>
      <c r="F2742">
        <f>tbl_AQI[[#This Row],[Most AQI Reached]]-tbl_AQI[[#This Row],[Current AQI]]</f>
        <v>99</v>
      </c>
      <c r="G27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42">
        <f>RANK(tbl_AQI[[#This Row],[Current AQI]], tbl_AQI[Current AQI], 0)</f>
        <v>2207</v>
      </c>
    </row>
    <row r="2743" spans="1:8" x14ac:dyDescent="0.35">
      <c r="A2743" t="s">
        <v>2593</v>
      </c>
      <c r="B2743" t="s">
        <v>2759</v>
      </c>
      <c r="C2743">
        <v>137</v>
      </c>
      <c r="D2743">
        <v>93</v>
      </c>
      <c r="E2743" t="s">
        <v>15</v>
      </c>
      <c r="F2743">
        <f>tbl_AQI[[#This Row],[Most AQI Reached]]-tbl_AQI[[#This Row],[Current AQI]]</f>
        <v>44</v>
      </c>
      <c r="G27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43">
        <f>RANK(tbl_AQI[[#This Row],[Current AQI]], tbl_AQI[Current AQI], 0)</f>
        <v>3678</v>
      </c>
    </row>
    <row r="2744" spans="1:8" x14ac:dyDescent="0.35">
      <c r="A2744" t="s">
        <v>2593</v>
      </c>
      <c r="B2744" t="s">
        <v>2760</v>
      </c>
      <c r="C2744">
        <v>166</v>
      </c>
      <c r="D2744">
        <v>149</v>
      </c>
      <c r="E2744" t="s">
        <v>33</v>
      </c>
      <c r="F2744">
        <f>tbl_AQI[[#This Row],[Most AQI Reached]]-tbl_AQI[[#This Row],[Current AQI]]</f>
        <v>17</v>
      </c>
      <c r="G27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44">
        <f>RANK(tbl_AQI[[#This Row],[Current AQI]], tbl_AQI[Current AQI], 0)</f>
        <v>2426</v>
      </c>
    </row>
    <row r="2745" spans="1:8" x14ac:dyDescent="0.35">
      <c r="A2745" t="s">
        <v>2593</v>
      </c>
      <c r="B2745" t="s">
        <v>2761</v>
      </c>
      <c r="C2745">
        <v>156</v>
      </c>
      <c r="D2745">
        <v>138</v>
      </c>
      <c r="E2745" t="s">
        <v>33</v>
      </c>
      <c r="F2745">
        <f>tbl_AQI[[#This Row],[Most AQI Reached]]-tbl_AQI[[#This Row],[Current AQI]]</f>
        <v>18</v>
      </c>
      <c r="G27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45">
        <f>RANK(tbl_AQI[[#This Row],[Current AQI]], tbl_AQI[Current AQI], 0)</f>
        <v>2660</v>
      </c>
    </row>
    <row r="2746" spans="1:8" x14ac:dyDescent="0.35">
      <c r="A2746" t="s">
        <v>2593</v>
      </c>
      <c r="B2746" t="s">
        <v>2762</v>
      </c>
      <c r="C2746">
        <v>105</v>
      </c>
      <c r="D2746">
        <v>92</v>
      </c>
      <c r="E2746" t="s">
        <v>21</v>
      </c>
      <c r="F2746">
        <f>tbl_AQI[[#This Row],[Most AQI Reached]]-tbl_AQI[[#This Row],[Current AQI]]</f>
        <v>13</v>
      </c>
      <c r="G27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46">
        <f>RANK(tbl_AQI[[#This Row],[Current AQI]], tbl_AQI[Current AQI], 0)</f>
        <v>3706</v>
      </c>
    </row>
    <row r="2747" spans="1:8" x14ac:dyDescent="0.35">
      <c r="A2747" t="s">
        <v>2593</v>
      </c>
      <c r="B2747" t="s">
        <v>2763</v>
      </c>
      <c r="C2747">
        <v>239</v>
      </c>
      <c r="D2747">
        <v>77</v>
      </c>
      <c r="E2747" t="s">
        <v>15</v>
      </c>
      <c r="F2747">
        <f>tbl_AQI[[#This Row],[Most AQI Reached]]-tbl_AQI[[#This Row],[Current AQI]]</f>
        <v>162</v>
      </c>
      <c r="G27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47">
        <f>RANK(tbl_AQI[[#This Row],[Current AQI]], tbl_AQI[Current AQI], 0)</f>
        <v>4006</v>
      </c>
    </row>
    <row r="2748" spans="1:8" x14ac:dyDescent="0.35">
      <c r="A2748" t="s">
        <v>2593</v>
      </c>
      <c r="B2748" t="s">
        <v>2764</v>
      </c>
      <c r="C2748">
        <v>242</v>
      </c>
      <c r="D2748">
        <v>75</v>
      </c>
      <c r="E2748" t="s">
        <v>21</v>
      </c>
      <c r="F2748">
        <f>tbl_AQI[[#This Row],[Most AQI Reached]]-tbl_AQI[[#This Row],[Current AQI]]</f>
        <v>167</v>
      </c>
      <c r="G27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48">
        <f>RANK(tbl_AQI[[#This Row],[Current AQI]], tbl_AQI[Current AQI], 0)</f>
        <v>4041</v>
      </c>
    </row>
    <row r="2749" spans="1:8" x14ac:dyDescent="0.35">
      <c r="A2749" t="s">
        <v>2593</v>
      </c>
      <c r="B2749" t="s">
        <v>2765</v>
      </c>
      <c r="C2749">
        <v>158</v>
      </c>
      <c r="D2749">
        <v>75</v>
      </c>
      <c r="E2749" t="s">
        <v>21</v>
      </c>
      <c r="F2749">
        <f>tbl_AQI[[#This Row],[Most AQI Reached]]-tbl_AQI[[#This Row],[Current AQI]]</f>
        <v>83</v>
      </c>
      <c r="G27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49">
        <f>RANK(tbl_AQI[[#This Row],[Current AQI]], tbl_AQI[Current AQI], 0)</f>
        <v>4041</v>
      </c>
    </row>
    <row r="2750" spans="1:8" x14ac:dyDescent="0.35">
      <c r="A2750" t="s">
        <v>2593</v>
      </c>
      <c r="B2750" t="s">
        <v>2766</v>
      </c>
      <c r="C2750">
        <v>90</v>
      </c>
      <c r="D2750">
        <v>77</v>
      </c>
      <c r="E2750" t="s">
        <v>9</v>
      </c>
      <c r="F2750">
        <f>tbl_AQI[[#This Row],[Most AQI Reached]]-tbl_AQI[[#This Row],[Current AQI]]</f>
        <v>13</v>
      </c>
      <c r="G27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50">
        <f>RANK(tbl_AQI[[#This Row],[Current AQI]], tbl_AQI[Current AQI], 0)</f>
        <v>4006</v>
      </c>
    </row>
    <row r="2751" spans="1:8" x14ac:dyDescent="0.35">
      <c r="A2751" t="s">
        <v>2593</v>
      </c>
      <c r="B2751" t="s">
        <v>2767</v>
      </c>
      <c r="C2751">
        <v>186</v>
      </c>
      <c r="D2751">
        <v>97</v>
      </c>
      <c r="E2751" t="s">
        <v>17</v>
      </c>
      <c r="F2751">
        <f>tbl_AQI[[#This Row],[Most AQI Reached]]-tbl_AQI[[#This Row],[Current AQI]]</f>
        <v>89</v>
      </c>
      <c r="G27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51">
        <f>RANK(tbl_AQI[[#This Row],[Current AQI]], tbl_AQI[Current AQI], 0)</f>
        <v>3593</v>
      </c>
    </row>
    <row r="2752" spans="1:8" x14ac:dyDescent="0.35">
      <c r="A2752" t="s">
        <v>2593</v>
      </c>
      <c r="B2752" t="s">
        <v>2768</v>
      </c>
      <c r="C2752">
        <v>275</v>
      </c>
      <c r="D2752">
        <v>136</v>
      </c>
      <c r="E2752" t="s">
        <v>11</v>
      </c>
      <c r="F2752">
        <f>tbl_AQI[[#This Row],[Most AQI Reached]]-tbl_AQI[[#This Row],[Current AQI]]</f>
        <v>139</v>
      </c>
      <c r="G27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52">
        <f>RANK(tbl_AQI[[#This Row],[Current AQI]], tbl_AQI[Current AQI], 0)</f>
        <v>2692</v>
      </c>
    </row>
    <row r="2753" spans="1:8" x14ac:dyDescent="0.35">
      <c r="A2753" t="s">
        <v>2593</v>
      </c>
      <c r="B2753" t="s">
        <v>2769</v>
      </c>
      <c r="C2753">
        <v>244</v>
      </c>
      <c r="D2753">
        <v>156</v>
      </c>
      <c r="E2753" t="s">
        <v>7</v>
      </c>
      <c r="F2753">
        <f>tbl_AQI[[#This Row],[Most AQI Reached]]-tbl_AQI[[#This Row],[Current AQI]]</f>
        <v>88</v>
      </c>
      <c r="G27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53">
        <f>RANK(tbl_AQI[[#This Row],[Current AQI]], tbl_AQI[Current AQI], 0)</f>
        <v>2251</v>
      </c>
    </row>
    <row r="2754" spans="1:8" x14ac:dyDescent="0.35">
      <c r="A2754" t="s">
        <v>2593</v>
      </c>
      <c r="B2754" t="s">
        <v>2770</v>
      </c>
      <c r="C2754">
        <v>168</v>
      </c>
      <c r="D2754">
        <v>60</v>
      </c>
      <c r="E2754" t="s">
        <v>7</v>
      </c>
      <c r="F2754">
        <f>tbl_AQI[[#This Row],[Most AQI Reached]]-tbl_AQI[[#This Row],[Current AQI]]</f>
        <v>108</v>
      </c>
      <c r="G27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54">
        <f>RANK(tbl_AQI[[#This Row],[Current AQI]], tbl_AQI[Current AQI], 0)</f>
        <v>4390</v>
      </c>
    </row>
    <row r="2755" spans="1:8" x14ac:dyDescent="0.35">
      <c r="A2755" t="s">
        <v>2593</v>
      </c>
      <c r="B2755" t="s">
        <v>2771</v>
      </c>
      <c r="C2755">
        <v>205</v>
      </c>
      <c r="D2755">
        <v>178</v>
      </c>
      <c r="E2755" t="s">
        <v>9</v>
      </c>
      <c r="F2755">
        <f>tbl_AQI[[#This Row],[Most AQI Reached]]-tbl_AQI[[#This Row],[Current AQI]]</f>
        <v>27</v>
      </c>
      <c r="G27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55">
        <f>RANK(tbl_AQI[[#This Row],[Current AQI]], tbl_AQI[Current AQI], 0)</f>
        <v>1702</v>
      </c>
    </row>
    <row r="2756" spans="1:8" x14ac:dyDescent="0.35">
      <c r="A2756" t="s">
        <v>2593</v>
      </c>
      <c r="B2756" t="s">
        <v>2772</v>
      </c>
      <c r="C2756">
        <v>258</v>
      </c>
      <c r="D2756">
        <v>140</v>
      </c>
      <c r="E2756" t="s">
        <v>21</v>
      </c>
      <c r="F2756">
        <f>tbl_AQI[[#This Row],[Most AQI Reached]]-tbl_AQI[[#This Row],[Current AQI]]</f>
        <v>118</v>
      </c>
      <c r="G27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56">
        <f>RANK(tbl_AQI[[#This Row],[Current AQI]], tbl_AQI[Current AQI], 0)</f>
        <v>2627</v>
      </c>
    </row>
    <row r="2757" spans="1:8" x14ac:dyDescent="0.35">
      <c r="A2757" t="s">
        <v>2593</v>
      </c>
      <c r="B2757" t="s">
        <v>2773</v>
      </c>
      <c r="C2757">
        <v>108</v>
      </c>
      <c r="D2757">
        <v>38</v>
      </c>
      <c r="E2757" t="s">
        <v>33</v>
      </c>
      <c r="F2757">
        <f>tbl_AQI[[#This Row],[Most AQI Reached]]-tbl_AQI[[#This Row],[Current AQI]]</f>
        <v>70</v>
      </c>
      <c r="G27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57">
        <f>RANK(tbl_AQI[[#This Row],[Current AQI]], tbl_AQI[Current AQI], 0)</f>
        <v>4845</v>
      </c>
    </row>
    <row r="2758" spans="1:8" x14ac:dyDescent="0.35">
      <c r="A2758" t="s">
        <v>2593</v>
      </c>
      <c r="B2758" t="s">
        <v>2774</v>
      </c>
      <c r="C2758">
        <v>138</v>
      </c>
      <c r="D2758">
        <v>76</v>
      </c>
      <c r="E2758" t="s">
        <v>11</v>
      </c>
      <c r="F2758">
        <f>tbl_AQI[[#This Row],[Most AQI Reached]]-tbl_AQI[[#This Row],[Current AQI]]</f>
        <v>62</v>
      </c>
      <c r="G27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58">
        <f>RANK(tbl_AQI[[#This Row],[Current AQI]], tbl_AQI[Current AQI], 0)</f>
        <v>4023</v>
      </c>
    </row>
    <row r="2759" spans="1:8" x14ac:dyDescent="0.35">
      <c r="A2759" t="s">
        <v>2593</v>
      </c>
      <c r="B2759" t="s">
        <v>2775</v>
      </c>
      <c r="C2759">
        <v>231</v>
      </c>
      <c r="D2759">
        <v>129</v>
      </c>
      <c r="E2759" t="s">
        <v>7</v>
      </c>
      <c r="F2759">
        <f>tbl_AQI[[#This Row],[Most AQI Reached]]-tbl_AQI[[#This Row],[Current AQI]]</f>
        <v>102</v>
      </c>
      <c r="G27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59">
        <f>RANK(tbl_AQI[[#This Row],[Current AQI]], tbl_AQI[Current AQI], 0)</f>
        <v>2852</v>
      </c>
    </row>
    <row r="2760" spans="1:8" x14ac:dyDescent="0.35">
      <c r="A2760" t="s">
        <v>2593</v>
      </c>
      <c r="B2760" t="s">
        <v>2776</v>
      </c>
      <c r="C2760">
        <v>295</v>
      </c>
      <c r="D2760">
        <v>144</v>
      </c>
      <c r="E2760" t="s">
        <v>17</v>
      </c>
      <c r="F2760">
        <f>tbl_AQI[[#This Row],[Most AQI Reached]]-tbl_AQI[[#This Row],[Current AQI]]</f>
        <v>151</v>
      </c>
      <c r="G27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60">
        <f>RANK(tbl_AQI[[#This Row],[Current AQI]], tbl_AQI[Current AQI], 0)</f>
        <v>2550</v>
      </c>
    </row>
    <row r="2761" spans="1:8" x14ac:dyDescent="0.35">
      <c r="A2761" t="s">
        <v>2593</v>
      </c>
      <c r="B2761" t="s">
        <v>2777</v>
      </c>
      <c r="C2761">
        <v>278</v>
      </c>
      <c r="D2761">
        <v>95</v>
      </c>
      <c r="E2761" t="s">
        <v>15</v>
      </c>
      <c r="F2761">
        <f>tbl_AQI[[#This Row],[Most AQI Reached]]-tbl_AQI[[#This Row],[Current AQI]]</f>
        <v>183</v>
      </c>
      <c r="G27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61">
        <f>RANK(tbl_AQI[[#This Row],[Current AQI]], tbl_AQI[Current AQI], 0)</f>
        <v>3634</v>
      </c>
    </row>
    <row r="2762" spans="1:8" x14ac:dyDescent="0.35">
      <c r="A2762" t="s">
        <v>2593</v>
      </c>
      <c r="B2762" t="s">
        <v>2778</v>
      </c>
      <c r="C2762">
        <v>200</v>
      </c>
      <c r="D2762">
        <v>178</v>
      </c>
      <c r="E2762" t="s">
        <v>15</v>
      </c>
      <c r="F2762">
        <f>tbl_AQI[[#This Row],[Most AQI Reached]]-tbl_AQI[[#This Row],[Current AQI]]</f>
        <v>22</v>
      </c>
      <c r="G27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62">
        <f>RANK(tbl_AQI[[#This Row],[Current AQI]], tbl_AQI[Current AQI], 0)</f>
        <v>1702</v>
      </c>
    </row>
    <row r="2763" spans="1:8" x14ac:dyDescent="0.35">
      <c r="A2763" t="s">
        <v>2593</v>
      </c>
      <c r="B2763" t="s">
        <v>2779</v>
      </c>
      <c r="C2763">
        <v>140</v>
      </c>
      <c r="D2763">
        <v>52</v>
      </c>
      <c r="E2763" t="s">
        <v>33</v>
      </c>
      <c r="F2763">
        <f>tbl_AQI[[#This Row],[Most AQI Reached]]-tbl_AQI[[#This Row],[Current AQI]]</f>
        <v>88</v>
      </c>
      <c r="G27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63">
        <f>RANK(tbl_AQI[[#This Row],[Current AQI]], tbl_AQI[Current AQI], 0)</f>
        <v>4564</v>
      </c>
    </row>
    <row r="2764" spans="1:8" x14ac:dyDescent="0.35">
      <c r="A2764" t="s">
        <v>2593</v>
      </c>
      <c r="B2764" t="s">
        <v>2780</v>
      </c>
      <c r="C2764">
        <v>93</v>
      </c>
      <c r="D2764">
        <v>44</v>
      </c>
      <c r="E2764" t="s">
        <v>17</v>
      </c>
      <c r="F2764">
        <f>tbl_AQI[[#This Row],[Most AQI Reached]]-tbl_AQI[[#This Row],[Current AQI]]</f>
        <v>49</v>
      </c>
      <c r="G27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64">
        <f>RANK(tbl_AQI[[#This Row],[Current AQI]], tbl_AQI[Current AQI], 0)</f>
        <v>4732</v>
      </c>
    </row>
    <row r="2765" spans="1:8" x14ac:dyDescent="0.35">
      <c r="A2765" t="s">
        <v>2593</v>
      </c>
      <c r="B2765" t="s">
        <v>2781</v>
      </c>
      <c r="C2765">
        <v>231</v>
      </c>
      <c r="D2765">
        <v>149</v>
      </c>
      <c r="E2765" t="s">
        <v>9</v>
      </c>
      <c r="F2765">
        <f>tbl_AQI[[#This Row],[Most AQI Reached]]-tbl_AQI[[#This Row],[Current AQI]]</f>
        <v>82</v>
      </c>
      <c r="G27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65">
        <f>RANK(tbl_AQI[[#This Row],[Current AQI]], tbl_AQI[Current AQI], 0)</f>
        <v>2426</v>
      </c>
    </row>
    <row r="2766" spans="1:8" x14ac:dyDescent="0.35">
      <c r="A2766" t="s">
        <v>2593</v>
      </c>
      <c r="B2766" t="s">
        <v>2782</v>
      </c>
      <c r="C2766">
        <v>234</v>
      </c>
      <c r="D2766">
        <v>108</v>
      </c>
      <c r="E2766" t="s">
        <v>11</v>
      </c>
      <c r="F2766">
        <f>tbl_AQI[[#This Row],[Most AQI Reached]]-tbl_AQI[[#This Row],[Current AQI]]</f>
        <v>126</v>
      </c>
      <c r="G27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66">
        <f>RANK(tbl_AQI[[#This Row],[Current AQI]], tbl_AQI[Current AQI], 0)</f>
        <v>3362</v>
      </c>
    </row>
    <row r="2767" spans="1:8" x14ac:dyDescent="0.35">
      <c r="A2767" t="s">
        <v>2593</v>
      </c>
      <c r="B2767" t="s">
        <v>2783</v>
      </c>
      <c r="C2767">
        <v>244</v>
      </c>
      <c r="D2767">
        <v>60</v>
      </c>
      <c r="E2767" t="s">
        <v>11</v>
      </c>
      <c r="F2767">
        <f>tbl_AQI[[#This Row],[Most AQI Reached]]-tbl_AQI[[#This Row],[Current AQI]]</f>
        <v>184</v>
      </c>
      <c r="G27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67">
        <f>RANK(tbl_AQI[[#This Row],[Current AQI]], tbl_AQI[Current AQI], 0)</f>
        <v>4390</v>
      </c>
    </row>
    <row r="2768" spans="1:8" x14ac:dyDescent="0.35">
      <c r="A2768" t="s">
        <v>2593</v>
      </c>
      <c r="B2768" t="s">
        <v>2784</v>
      </c>
      <c r="C2768">
        <v>320</v>
      </c>
      <c r="D2768">
        <v>175</v>
      </c>
      <c r="E2768" t="s">
        <v>15</v>
      </c>
      <c r="F2768">
        <f>tbl_AQI[[#This Row],[Most AQI Reached]]-tbl_AQI[[#This Row],[Current AQI]]</f>
        <v>145</v>
      </c>
      <c r="G27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68">
        <f>RANK(tbl_AQI[[#This Row],[Current AQI]], tbl_AQI[Current AQI], 0)</f>
        <v>1780</v>
      </c>
    </row>
    <row r="2769" spans="1:8" x14ac:dyDescent="0.35">
      <c r="A2769" t="s">
        <v>2593</v>
      </c>
      <c r="B2769" t="s">
        <v>2785</v>
      </c>
      <c r="C2769">
        <v>80</v>
      </c>
      <c r="D2769">
        <v>47</v>
      </c>
      <c r="E2769" t="s">
        <v>15</v>
      </c>
      <c r="F2769">
        <f>tbl_AQI[[#This Row],[Most AQI Reached]]-tbl_AQI[[#This Row],[Current AQI]]</f>
        <v>33</v>
      </c>
      <c r="G27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69">
        <f>RANK(tbl_AQI[[#This Row],[Current AQI]], tbl_AQI[Current AQI], 0)</f>
        <v>4656</v>
      </c>
    </row>
    <row r="2770" spans="1:8" x14ac:dyDescent="0.35">
      <c r="A2770" t="s">
        <v>2593</v>
      </c>
      <c r="B2770" t="s">
        <v>2786</v>
      </c>
      <c r="C2770">
        <v>268</v>
      </c>
      <c r="D2770">
        <v>68</v>
      </c>
      <c r="E2770" t="s">
        <v>17</v>
      </c>
      <c r="F2770">
        <f>tbl_AQI[[#This Row],[Most AQI Reached]]-tbl_AQI[[#This Row],[Current AQI]]</f>
        <v>200</v>
      </c>
      <c r="G27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70">
        <f>RANK(tbl_AQI[[#This Row],[Current AQI]], tbl_AQI[Current AQI], 0)</f>
        <v>4204</v>
      </c>
    </row>
    <row r="2771" spans="1:8" x14ac:dyDescent="0.35">
      <c r="A2771" t="s">
        <v>2593</v>
      </c>
      <c r="B2771" t="s">
        <v>2787</v>
      </c>
      <c r="C2771">
        <v>299</v>
      </c>
      <c r="D2771">
        <v>116</v>
      </c>
      <c r="E2771" t="s">
        <v>9</v>
      </c>
      <c r="F2771">
        <f>tbl_AQI[[#This Row],[Most AQI Reached]]-tbl_AQI[[#This Row],[Current AQI]]</f>
        <v>183</v>
      </c>
      <c r="G27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1">
        <f>RANK(tbl_AQI[[#This Row],[Current AQI]], tbl_AQI[Current AQI], 0)</f>
        <v>3173</v>
      </c>
    </row>
    <row r="2772" spans="1:8" x14ac:dyDescent="0.35">
      <c r="A2772" t="s">
        <v>2593</v>
      </c>
      <c r="B2772" t="s">
        <v>2788</v>
      </c>
      <c r="C2772">
        <v>135</v>
      </c>
      <c r="D2772">
        <v>68</v>
      </c>
      <c r="E2772" t="s">
        <v>21</v>
      </c>
      <c r="F2772">
        <f>tbl_AQI[[#This Row],[Most AQI Reached]]-tbl_AQI[[#This Row],[Current AQI]]</f>
        <v>67</v>
      </c>
      <c r="G27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72">
        <f>RANK(tbl_AQI[[#This Row],[Current AQI]], tbl_AQI[Current AQI], 0)</f>
        <v>4204</v>
      </c>
    </row>
    <row r="2773" spans="1:8" x14ac:dyDescent="0.35">
      <c r="A2773" t="s">
        <v>2593</v>
      </c>
      <c r="B2773" t="s">
        <v>2789</v>
      </c>
      <c r="C2773">
        <v>280</v>
      </c>
      <c r="D2773">
        <v>129</v>
      </c>
      <c r="E2773" t="s">
        <v>17</v>
      </c>
      <c r="F2773">
        <f>tbl_AQI[[#This Row],[Most AQI Reached]]-tbl_AQI[[#This Row],[Current AQI]]</f>
        <v>151</v>
      </c>
      <c r="G27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3">
        <f>RANK(tbl_AQI[[#This Row],[Current AQI]], tbl_AQI[Current AQI], 0)</f>
        <v>2852</v>
      </c>
    </row>
    <row r="2774" spans="1:8" x14ac:dyDescent="0.35">
      <c r="A2774" t="s">
        <v>2593</v>
      </c>
      <c r="B2774" t="s">
        <v>2790</v>
      </c>
      <c r="C2774">
        <v>147</v>
      </c>
      <c r="D2774">
        <v>123</v>
      </c>
      <c r="E2774" t="s">
        <v>11</v>
      </c>
      <c r="F2774">
        <f>tbl_AQI[[#This Row],[Most AQI Reached]]-tbl_AQI[[#This Row],[Current AQI]]</f>
        <v>24</v>
      </c>
      <c r="G27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4">
        <f>RANK(tbl_AQI[[#This Row],[Current AQI]], tbl_AQI[Current AQI], 0)</f>
        <v>2983</v>
      </c>
    </row>
    <row r="2775" spans="1:8" x14ac:dyDescent="0.35">
      <c r="A2775" t="s">
        <v>2593</v>
      </c>
      <c r="B2775" t="s">
        <v>2791</v>
      </c>
      <c r="C2775">
        <v>285</v>
      </c>
      <c r="D2775">
        <v>155</v>
      </c>
      <c r="E2775" t="s">
        <v>33</v>
      </c>
      <c r="F2775">
        <f>tbl_AQI[[#This Row],[Most AQI Reached]]-tbl_AQI[[#This Row],[Current AQI]]</f>
        <v>130</v>
      </c>
      <c r="G27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5">
        <f>RANK(tbl_AQI[[#This Row],[Current AQI]], tbl_AQI[Current AQI], 0)</f>
        <v>2275</v>
      </c>
    </row>
    <row r="2776" spans="1:8" x14ac:dyDescent="0.35">
      <c r="A2776" t="s">
        <v>2593</v>
      </c>
      <c r="B2776" t="s">
        <v>2792</v>
      </c>
      <c r="C2776">
        <v>180</v>
      </c>
      <c r="D2776">
        <v>88</v>
      </c>
      <c r="E2776" t="s">
        <v>7</v>
      </c>
      <c r="F2776">
        <f>tbl_AQI[[#This Row],[Most AQI Reached]]-tbl_AQI[[#This Row],[Current AQI]]</f>
        <v>92</v>
      </c>
      <c r="G27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76">
        <f>RANK(tbl_AQI[[#This Row],[Current AQI]], tbl_AQI[Current AQI], 0)</f>
        <v>3792</v>
      </c>
    </row>
    <row r="2777" spans="1:8" x14ac:dyDescent="0.35">
      <c r="A2777" t="s">
        <v>2593</v>
      </c>
      <c r="B2777" t="s">
        <v>2793</v>
      </c>
      <c r="C2777">
        <v>161</v>
      </c>
      <c r="D2777">
        <v>126</v>
      </c>
      <c r="E2777" t="s">
        <v>33</v>
      </c>
      <c r="F2777">
        <f>tbl_AQI[[#This Row],[Most AQI Reached]]-tbl_AQI[[#This Row],[Current AQI]]</f>
        <v>35</v>
      </c>
      <c r="G27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7">
        <f>RANK(tbl_AQI[[#This Row],[Current AQI]], tbl_AQI[Current AQI], 0)</f>
        <v>2934</v>
      </c>
    </row>
    <row r="2778" spans="1:8" x14ac:dyDescent="0.35">
      <c r="A2778" t="s">
        <v>2593</v>
      </c>
      <c r="B2778" t="s">
        <v>2794</v>
      </c>
      <c r="C2778">
        <v>172</v>
      </c>
      <c r="D2778">
        <v>137</v>
      </c>
      <c r="E2778" t="s">
        <v>33</v>
      </c>
      <c r="F2778">
        <f>tbl_AQI[[#This Row],[Most AQI Reached]]-tbl_AQI[[#This Row],[Current AQI]]</f>
        <v>35</v>
      </c>
      <c r="G27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8">
        <f>RANK(tbl_AQI[[#This Row],[Current AQI]], tbl_AQI[Current AQI], 0)</f>
        <v>2677</v>
      </c>
    </row>
    <row r="2779" spans="1:8" x14ac:dyDescent="0.35">
      <c r="A2779" t="s">
        <v>2593</v>
      </c>
      <c r="B2779" t="s">
        <v>2795</v>
      </c>
      <c r="C2779">
        <v>238</v>
      </c>
      <c r="D2779">
        <v>148</v>
      </c>
      <c r="E2779" t="s">
        <v>7</v>
      </c>
      <c r="F2779">
        <f>tbl_AQI[[#This Row],[Most AQI Reached]]-tbl_AQI[[#This Row],[Current AQI]]</f>
        <v>90</v>
      </c>
      <c r="G27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79">
        <f>RANK(tbl_AQI[[#This Row],[Current AQI]], tbl_AQI[Current AQI], 0)</f>
        <v>2446</v>
      </c>
    </row>
    <row r="2780" spans="1:8" x14ac:dyDescent="0.35">
      <c r="A2780" t="s">
        <v>2593</v>
      </c>
      <c r="B2780" t="s">
        <v>2796</v>
      </c>
      <c r="C2780">
        <v>182</v>
      </c>
      <c r="D2780">
        <v>100</v>
      </c>
      <c r="E2780" t="s">
        <v>15</v>
      </c>
      <c r="F2780">
        <f>tbl_AQI[[#This Row],[Most AQI Reached]]-tbl_AQI[[#This Row],[Current AQI]]</f>
        <v>82</v>
      </c>
      <c r="G27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80">
        <f>RANK(tbl_AQI[[#This Row],[Current AQI]], tbl_AQI[Current AQI], 0)</f>
        <v>3535</v>
      </c>
    </row>
    <row r="2781" spans="1:8" x14ac:dyDescent="0.35">
      <c r="A2781" t="s">
        <v>2593</v>
      </c>
      <c r="B2781" t="s">
        <v>2797</v>
      </c>
      <c r="C2781">
        <v>305</v>
      </c>
      <c r="D2781">
        <v>88</v>
      </c>
      <c r="E2781" t="s">
        <v>11</v>
      </c>
      <c r="F2781">
        <f>tbl_AQI[[#This Row],[Most AQI Reached]]-tbl_AQI[[#This Row],[Current AQI]]</f>
        <v>217</v>
      </c>
      <c r="G27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81">
        <f>RANK(tbl_AQI[[#This Row],[Current AQI]], tbl_AQI[Current AQI], 0)</f>
        <v>3792</v>
      </c>
    </row>
    <row r="2782" spans="1:8" x14ac:dyDescent="0.35">
      <c r="A2782" t="s">
        <v>2593</v>
      </c>
      <c r="B2782" t="s">
        <v>2798</v>
      </c>
      <c r="C2782">
        <v>236</v>
      </c>
      <c r="D2782">
        <v>149</v>
      </c>
      <c r="E2782" t="s">
        <v>21</v>
      </c>
      <c r="F2782">
        <f>tbl_AQI[[#This Row],[Most AQI Reached]]-tbl_AQI[[#This Row],[Current AQI]]</f>
        <v>87</v>
      </c>
      <c r="G27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82">
        <f>RANK(tbl_AQI[[#This Row],[Current AQI]], tbl_AQI[Current AQI], 0)</f>
        <v>2426</v>
      </c>
    </row>
    <row r="2783" spans="1:8" x14ac:dyDescent="0.35">
      <c r="A2783" t="s">
        <v>2593</v>
      </c>
      <c r="B2783" t="s">
        <v>2799</v>
      </c>
      <c r="C2783">
        <v>198</v>
      </c>
      <c r="D2783">
        <v>70</v>
      </c>
      <c r="E2783" t="s">
        <v>21</v>
      </c>
      <c r="F2783">
        <f>tbl_AQI[[#This Row],[Most AQI Reached]]-tbl_AQI[[#This Row],[Current AQI]]</f>
        <v>128</v>
      </c>
      <c r="G27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83">
        <f>RANK(tbl_AQI[[#This Row],[Current AQI]], tbl_AQI[Current AQI], 0)</f>
        <v>4153</v>
      </c>
    </row>
    <row r="2784" spans="1:8" x14ac:dyDescent="0.35">
      <c r="A2784" t="s">
        <v>2593</v>
      </c>
      <c r="B2784" t="s">
        <v>2800</v>
      </c>
      <c r="C2784">
        <v>149</v>
      </c>
      <c r="D2784">
        <v>119</v>
      </c>
      <c r="E2784" t="s">
        <v>17</v>
      </c>
      <c r="F2784">
        <f>tbl_AQI[[#This Row],[Most AQI Reached]]-tbl_AQI[[#This Row],[Current AQI]]</f>
        <v>30</v>
      </c>
      <c r="G27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84">
        <f>RANK(tbl_AQI[[#This Row],[Current AQI]], tbl_AQI[Current AQI], 0)</f>
        <v>3093</v>
      </c>
    </row>
    <row r="2785" spans="1:8" x14ac:dyDescent="0.35">
      <c r="A2785" t="s">
        <v>2593</v>
      </c>
      <c r="B2785" t="s">
        <v>2801</v>
      </c>
      <c r="C2785">
        <v>178</v>
      </c>
      <c r="D2785">
        <v>104</v>
      </c>
      <c r="E2785" t="s">
        <v>7</v>
      </c>
      <c r="F2785">
        <f>tbl_AQI[[#This Row],[Most AQI Reached]]-tbl_AQI[[#This Row],[Current AQI]]</f>
        <v>74</v>
      </c>
      <c r="G27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85">
        <f>RANK(tbl_AQI[[#This Row],[Current AQI]], tbl_AQI[Current AQI], 0)</f>
        <v>3454</v>
      </c>
    </row>
    <row r="2786" spans="1:8" x14ac:dyDescent="0.35">
      <c r="A2786" t="s">
        <v>2593</v>
      </c>
      <c r="B2786" t="s">
        <v>2802</v>
      </c>
      <c r="C2786">
        <v>131</v>
      </c>
      <c r="D2786">
        <v>32</v>
      </c>
      <c r="E2786" t="s">
        <v>17</v>
      </c>
      <c r="F2786">
        <f>tbl_AQI[[#This Row],[Most AQI Reached]]-tbl_AQI[[#This Row],[Current AQI]]</f>
        <v>99</v>
      </c>
      <c r="G27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86">
        <f>RANK(tbl_AQI[[#This Row],[Current AQI]], tbl_AQI[Current AQI], 0)</f>
        <v>4983</v>
      </c>
    </row>
    <row r="2787" spans="1:8" x14ac:dyDescent="0.35">
      <c r="A2787" t="s">
        <v>2593</v>
      </c>
      <c r="B2787" t="s">
        <v>2803</v>
      </c>
      <c r="C2787">
        <v>99</v>
      </c>
      <c r="D2787">
        <v>87</v>
      </c>
      <c r="E2787" t="s">
        <v>21</v>
      </c>
      <c r="F2787">
        <f>tbl_AQI[[#This Row],[Most AQI Reached]]-tbl_AQI[[#This Row],[Current AQI]]</f>
        <v>12</v>
      </c>
      <c r="G27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87">
        <f>RANK(tbl_AQI[[#This Row],[Current AQI]], tbl_AQI[Current AQI], 0)</f>
        <v>3813</v>
      </c>
    </row>
    <row r="2788" spans="1:8" x14ac:dyDescent="0.35">
      <c r="A2788" t="s">
        <v>2593</v>
      </c>
      <c r="B2788" t="s">
        <v>2804</v>
      </c>
      <c r="C2788">
        <v>279</v>
      </c>
      <c r="D2788">
        <v>179</v>
      </c>
      <c r="E2788" t="s">
        <v>33</v>
      </c>
      <c r="F2788">
        <f>tbl_AQI[[#This Row],[Most AQI Reached]]-tbl_AQI[[#This Row],[Current AQI]]</f>
        <v>100</v>
      </c>
      <c r="G27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88">
        <f>RANK(tbl_AQI[[#This Row],[Current AQI]], tbl_AQI[Current AQI], 0)</f>
        <v>1667</v>
      </c>
    </row>
    <row r="2789" spans="1:8" x14ac:dyDescent="0.35">
      <c r="A2789" t="s">
        <v>2593</v>
      </c>
      <c r="B2789" t="s">
        <v>2805</v>
      </c>
      <c r="C2789">
        <v>220</v>
      </c>
      <c r="D2789">
        <v>79</v>
      </c>
      <c r="E2789" t="s">
        <v>7</v>
      </c>
      <c r="F2789">
        <f>tbl_AQI[[#This Row],[Most AQI Reached]]-tbl_AQI[[#This Row],[Current AQI]]</f>
        <v>141</v>
      </c>
      <c r="G27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89">
        <f>RANK(tbl_AQI[[#This Row],[Current AQI]], tbl_AQI[Current AQI], 0)</f>
        <v>3967</v>
      </c>
    </row>
    <row r="2790" spans="1:8" x14ac:dyDescent="0.35">
      <c r="A2790" t="s">
        <v>2593</v>
      </c>
      <c r="B2790" t="s">
        <v>2806</v>
      </c>
      <c r="C2790">
        <v>298</v>
      </c>
      <c r="D2790">
        <v>78</v>
      </c>
      <c r="E2790" t="s">
        <v>33</v>
      </c>
      <c r="F2790">
        <f>tbl_AQI[[#This Row],[Most AQI Reached]]-tbl_AQI[[#This Row],[Current AQI]]</f>
        <v>220</v>
      </c>
      <c r="G27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90">
        <f>RANK(tbl_AQI[[#This Row],[Current AQI]], tbl_AQI[Current AQI], 0)</f>
        <v>3989</v>
      </c>
    </row>
    <row r="2791" spans="1:8" x14ac:dyDescent="0.35">
      <c r="A2791" t="s">
        <v>2593</v>
      </c>
      <c r="B2791" t="s">
        <v>2807</v>
      </c>
      <c r="C2791">
        <v>141</v>
      </c>
      <c r="D2791">
        <v>70</v>
      </c>
      <c r="E2791" t="s">
        <v>33</v>
      </c>
      <c r="F2791">
        <f>tbl_AQI[[#This Row],[Most AQI Reached]]-tbl_AQI[[#This Row],[Current AQI]]</f>
        <v>71</v>
      </c>
      <c r="G27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91">
        <f>RANK(tbl_AQI[[#This Row],[Current AQI]], tbl_AQI[Current AQI], 0)</f>
        <v>4153</v>
      </c>
    </row>
    <row r="2792" spans="1:8" x14ac:dyDescent="0.35">
      <c r="A2792" t="s">
        <v>2593</v>
      </c>
      <c r="B2792" t="s">
        <v>2808</v>
      </c>
      <c r="C2792">
        <v>183</v>
      </c>
      <c r="D2792">
        <v>53</v>
      </c>
      <c r="E2792" t="s">
        <v>15</v>
      </c>
      <c r="F2792">
        <f>tbl_AQI[[#This Row],[Most AQI Reached]]-tbl_AQI[[#This Row],[Current AQI]]</f>
        <v>130</v>
      </c>
      <c r="G27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92">
        <f>RANK(tbl_AQI[[#This Row],[Current AQI]], tbl_AQI[Current AQI], 0)</f>
        <v>4544</v>
      </c>
    </row>
    <row r="2793" spans="1:8" x14ac:dyDescent="0.35">
      <c r="A2793" t="s">
        <v>2593</v>
      </c>
      <c r="B2793" t="s">
        <v>2809</v>
      </c>
      <c r="C2793">
        <v>310</v>
      </c>
      <c r="D2793">
        <v>126</v>
      </c>
      <c r="E2793" t="s">
        <v>9</v>
      </c>
      <c r="F2793">
        <f>tbl_AQI[[#This Row],[Most AQI Reached]]-tbl_AQI[[#This Row],[Current AQI]]</f>
        <v>184</v>
      </c>
      <c r="G27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93">
        <f>RANK(tbl_AQI[[#This Row],[Current AQI]], tbl_AQI[Current AQI], 0)</f>
        <v>2934</v>
      </c>
    </row>
    <row r="2794" spans="1:8" x14ac:dyDescent="0.35">
      <c r="A2794" t="s">
        <v>2593</v>
      </c>
      <c r="B2794" t="s">
        <v>2810</v>
      </c>
      <c r="C2794">
        <v>189</v>
      </c>
      <c r="D2794">
        <v>146</v>
      </c>
      <c r="E2794" t="s">
        <v>9</v>
      </c>
      <c r="F2794">
        <f>tbl_AQI[[#This Row],[Most AQI Reached]]-tbl_AQI[[#This Row],[Current AQI]]</f>
        <v>43</v>
      </c>
      <c r="G27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94">
        <f>RANK(tbl_AQI[[#This Row],[Current AQI]], tbl_AQI[Current AQI], 0)</f>
        <v>2499</v>
      </c>
    </row>
    <row r="2795" spans="1:8" x14ac:dyDescent="0.35">
      <c r="A2795" t="s">
        <v>2593</v>
      </c>
      <c r="B2795" t="s">
        <v>2811</v>
      </c>
      <c r="C2795">
        <v>193</v>
      </c>
      <c r="D2795">
        <v>130</v>
      </c>
      <c r="E2795" t="s">
        <v>7</v>
      </c>
      <c r="F2795">
        <f>tbl_AQI[[#This Row],[Most AQI Reached]]-tbl_AQI[[#This Row],[Current AQI]]</f>
        <v>63</v>
      </c>
      <c r="G27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95">
        <f>RANK(tbl_AQI[[#This Row],[Current AQI]], tbl_AQI[Current AQI], 0)</f>
        <v>2832</v>
      </c>
    </row>
    <row r="2796" spans="1:8" x14ac:dyDescent="0.35">
      <c r="A2796" t="s">
        <v>2593</v>
      </c>
      <c r="B2796" t="s">
        <v>2812</v>
      </c>
      <c r="C2796">
        <v>313</v>
      </c>
      <c r="D2796">
        <v>158</v>
      </c>
      <c r="E2796" t="s">
        <v>33</v>
      </c>
      <c r="F2796">
        <f>tbl_AQI[[#This Row],[Most AQI Reached]]-tbl_AQI[[#This Row],[Current AQI]]</f>
        <v>155</v>
      </c>
      <c r="G27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96">
        <f>RANK(tbl_AQI[[#This Row],[Current AQI]], tbl_AQI[Current AQI], 0)</f>
        <v>2207</v>
      </c>
    </row>
    <row r="2797" spans="1:8" x14ac:dyDescent="0.35">
      <c r="A2797" t="s">
        <v>2593</v>
      </c>
      <c r="B2797" t="s">
        <v>2813</v>
      </c>
      <c r="C2797">
        <v>195</v>
      </c>
      <c r="D2797">
        <v>181</v>
      </c>
      <c r="E2797" t="s">
        <v>9</v>
      </c>
      <c r="F2797">
        <f>tbl_AQI[[#This Row],[Most AQI Reached]]-tbl_AQI[[#This Row],[Current AQI]]</f>
        <v>14</v>
      </c>
      <c r="G27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797">
        <f>RANK(tbl_AQI[[#This Row],[Current AQI]], tbl_AQI[Current AQI], 0)</f>
        <v>1609</v>
      </c>
    </row>
    <row r="2798" spans="1:8" x14ac:dyDescent="0.35">
      <c r="A2798" t="s">
        <v>2593</v>
      </c>
      <c r="B2798" t="s">
        <v>2814</v>
      </c>
      <c r="C2798">
        <v>257</v>
      </c>
      <c r="D2798">
        <v>81</v>
      </c>
      <c r="E2798" t="s">
        <v>15</v>
      </c>
      <c r="F2798">
        <f>tbl_AQI[[#This Row],[Most AQI Reached]]-tbl_AQI[[#This Row],[Current AQI]]</f>
        <v>176</v>
      </c>
      <c r="G27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798">
        <f>RANK(tbl_AQI[[#This Row],[Current AQI]], tbl_AQI[Current AQI], 0)</f>
        <v>3923</v>
      </c>
    </row>
    <row r="2799" spans="1:8" x14ac:dyDescent="0.35">
      <c r="A2799" t="s">
        <v>2593</v>
      </c>
      <c r="B2799" t="s">
        <v>2815</v>
      </c>
      <c r="C2799">
        <v>210</v>
      </c>
      <c r="D2799">
        <v>30</v>
      </c>
      <c r="E2799" t="s">
        <v>7</v>
      </c>
      <c r="F2799">
        <f>tbl_AQI[[#This Row],[Most AQI Reached]]-tbl_AQI[[#This Row],[Current AQI]]</f>
        <v>180</v>
      </c>
      <c r="G27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799">
        <f>RANK(tbl_AQI[[#This Row],[Current AQI]], tbl_AQI[Current AQI], 0)</f>
        <v>5042</v>
      </c>
    </row>
    <row r="2800" spans="1:8" x14ac:dyDescent="0.35">
      <c r="A2800" t="s">
        <v>2593</v>
      </c>
      <c r="B2800" t="s">
        <v>2816</v>
      </c>
      <c r="C2800">
        <v>212</v>
      </c>
      <c r="D2800">
        <v>162</v>
      </c>
      <c r="E2800" t="s">
        <v>15</v>
      </c>
      <c r="F2800">
        <f>tbl_AQI[[#This Row],[Most AQI Reached]]-tbl_AQI[[#This Row],[Current AQI]]</f>
        <v>50</v>
      </c>
      <c r="G28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0">
        <f>RANK(tbl_AQI[[#This Row],[Current AQI]], tbl_AQI[Current AQI], 0)</f>
        <v>2106</v>
      </c>
    </row>
    <row r="2801" spans="1:8" x14ac:dyDescent="0.35">
      <c r="A2801" t="s">
        <v>2593</v>
      </c>
      <c r="B2801" t="s">
        <v>2817</v>
      </c>
      <c r="C2801">
        <v>195</v>
      </c>
      <c r="D2801">
        <v>126</v>
      </c>
      <c r="E2801" t="s">
        <v>9</v>
      </c>
      <c r="F2801">
        <f>tbl_AQI[[#This Row],[Most AQI Reached]]-tbl_AQI[[#This Row],[Current AQI]]</f>
        <v>69</v>
      </c>
      <c r="G28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1">
        <f>RANK(tbl_AQI[[#This Row],[Current AQI]], tbl_AQI[Current AQI], 0)</f>
        <v>2934</v>
      </c>
    </row>
    <row r="2802" spans="1:8" x14ac:dyDescent="0.35">
      <c r="A2802" t="s">
        <v>2593</v>
      </c>
      <c r="B2802" t="s">
        <v>2818</v>
      </c>
      <c r="C2802">
        <v>201</v>
      </c>
      <c r="D2802">
        <v>175</v>
      </c>
      <c r="E2802" t="s">
        <v>17</v>
      </c>
      <c r="F2802">
        <f>tbl_AQI[[#This Row],[Most AQI Reached]]-tbl_AQI[[#This Row],[Current AQI]]</f>
        <v>26</v>
      </c>
      <c r="G28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2">
        <f>RANK(tbl_AQI[[#This Row],[Current AQI]], tbl_AQI[Current AQI], 0)</f>
        <v>1780</v>
      </c>
    </row>
    <row r="2803" spans="1:8" x14ac:dyDescent="0.35">
      <c r="A2803" t="s">
        <v>2593</v>
      </c>
      <c r="B2803" t="s">
        <v>2819</v>
      </c>
      <c r="C2803">
        <v>259</v>
      </c>
      <c r="D2803">
        <v>86</v>
      </c>
      <c r="E2803" t="s">
        <v>17</v>
      </c>
      <c r="F2803">
        <f>tbl_AQI[[#This Row],[Most AQI Reached]]-tbl_AQI[[#This Row],[Current AQI]]</f>
        <v>173</v>
      </c>
      <c r="G28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03">
        <f>RANK(tbl_AQI[[#This Row],[Current AQI]], tbl_AQI[Current AQI], 0)</f>
        <v>3830</v>
      </c>
    </row>
    <row r="2804" spans="1:8" x14ac:dyDescent="0.35">
      <c r="A2804" t="s">
        <v>2593</v>
      </c>
      <c r="B2804" t="s">
        <v>2820</v>
      </c>
      <c r="C2804">
        <v>119</v>
      </c>
      <c r="D2804">
        <v>32</v>
      </c>
      <c r="E2804" t="s">
        <v>7</v>
      </c>
      <c r="F2804">
        <f>tbl_AQI[[#This Row],[Most AQI Reached]]-tbl_AQI[[#This Row],[Current AQI]]</f>
        <v>87</v>
      </c>
      <c r="G28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04">
        <f>RANK(tbl_AQI[[#This Row],[Current AQI]], tbl_AQI[Current AQI], 0)</f>
        <v>4983</v>
      </c>
    </row>
    <row r="2805" spans="1:8" x14ac:dyDescent="0.35">
      <c r="A2805" t="s">
        <v>2593</v>
      </c>
      <c r="B2805" t="s">
        <v>2821</v>
      </c>
      <c r="C2805">
        <v>243</v>
      </c>
      <c r="D2805">
        <v>121</v>
      </c>
      <c r="E2805" t="s">
        <v>15</v>
      </c>
      <c r="F2805">
        <f>tbl_AQI[[#This Row],[Most AQI Reached]]-tbl_AQI[[#This Row],[Current AQI]]</f>
        <v>122</v>
      </c>
      <c r="G28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5">
        <f>RANK(tbl_AQI[[#This Row],[Current AQI]], tbl_AQI[Current AQI], 0)</f>
        <v>3037</v>
      </c>
    </row>
    <row r="2806" spans="1:8" x14ac:dyDescent="0.35">
      <c r="A2806" t="s">
        <v>2593</v>
      </c>
      <c r="B2806" t="s">
        <v>2822</v>
      </c>
      <c r="C2806">
        <v>247</v>
      </c>
      <c r="D2806">
        <v>127</v>
      </c>
      <c r="E2806" t="s">
        <v>33</v>
      </c>
      <c r="F2806">
        <f>tbl_AQI[[#This Row],[Most AQI Reached]]-tbl_AQI[[#This Row],[Current AQI]]</f>
        <v>120</v>
      </c>
      <c r="G28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6">
        <f>RANK(tbl_AQI[[#This Row],[Current AQI]], tbl_AQI[Current AQI], 0)</f>
        <v>2909</v>
      </c>
    </row>
    <row r="2807" spans="1:8" x14ac:dyDescent="0.35">
      <c r="A2807" t="s">
        <v>2593</v>
      </c>
      <c r="B2807" t="s">
        <v>2823</v>
      </c>
      <c r="C2807">
        <v>188</v>
      </c>
      <c r="D2807">
        <v>37</v>
      </c>
      <c r="E2807" t="s">
        <v>15</v>
      </c>
      <c r="F2807">
        <f>tbl_AQI[[#This Row],[Most AQI Reached]]-tbl_AQI[[#This Row],[Current AQI]]</f>
        <v>151</v>
      </c>
      <c r="G28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07">
        <f>RANK(tbl_AQI[[#This Row],[Current AQI]], tbl_AQI[Current AQI], 0)</f>
        <v>4863</v>
      </c>
    </row>
    <row r="2808" spans="1:8" x14ac:dyDescent="0.35">
      <c r="A2808" t="s">
        <v>2593</v>
      </c>
      <c r="B2808" t="s">
        <v>2824</v>
      </c>
      <c r="C2808">
        <v>171</v>
      </c>
      <c r="D2808">
        <v>170</v>
      </c>
      <c r="E2808" t="s">
        <v>15</v>
      </c>
      <c r="F2808">
        <f>tbl_AQI[[#This Row],[Most AQI Reached]]-tbl_AQI[[#This Row],[Current AQI]]</f>
        <v>1</v>
      </c>
      <c r="G28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8">
        <f>RANK(tbl_AQI[[#This Row],[Current AQI]], tbl_AQI[Current AQI], 0)</f>
        <v>1898</v>
      </c>
    </row>
    <row r="2809" spans="1:8" x14ac:dyDescent="0.35">
      <c r="A2809" t="s">
        <v>2593</v>
      </c>
      <c r="B2809" t="s">
        <v>2825</v>
      </c>
      <c r="C2809">
        <v>180</v>
      </c>
      <c r="D2809">
        <v>129</v>
      </c>
      <c r="E2809" t="s">
        <v>15</v>
      </c>
      <c r="F2809">
        <f>tbl_AQI[[#This Row],[Most AQI Reached]]-tbl_AQI[[#This Row],[Current AQI]]</f>
        <v>51</v>
      </c>
      <c r="G28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09">
        <f>RANK(tbl_AQI[[#This Row],[Current AQI]], tbl_AQI[Current AQI], 0)</f>
        <v>2852</v>
      </c>
    </row>
    <row r="2810" spans="1:8" x14ac:dyDescent="0.35">
      <c r="A2810" t="s">
        <v>2593</v>
      </c>
      <c r="B2810" t="s">
        <v>2826</v>
      </c>
      <c r="C2810">
        <v>216</v>
      </c>
      <c r="D2810">
        <v>125</v>
      </c>
      <c r="E2810" t="s">
        <v>17</v>
      </c>
      <c r="F2810">
        <f>tbl_AQI[[#This Row],[Most AQI Reached]]-tbl_AQI[[#This Row],[Current AQI]]</f>
        <v>91</v>
      </c>
      <c r="G28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10">
        <f>RANK(tbl_AQI[[#This Row],[Current AQI]], tbl_AQI[Current AQI], 0)</f>
        <v>2951</v>
      </c>
    </row>
    <row r="2811" spans="1:8" x14ac:dyDescent="0.35">
      <c r="A2811" t="s">
        <v>2593</v>
      </c>
      <c r="B2811" t="s">
        <v>2827</v>
      </c>
      <c r="C2811">
        <v>304</v>
      </c>
      <c r="D2811">
        <v>186</v>
      </c>
      <c r="E2811" t="s">
        <v>9</v>
      </c>
      <c r="F2811">
        <f>tbl_AQI[[#This Row],[Most AQI Reached]]-tbl_AQI[[#This Row],[Current AQI]]</f>
        <v>118</v>
      </c>
      <c r="G28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11">
        <f>RANK(tbl_AQI[[#This Row],[Current AQI]], tbl_AQI[Current AQI], 0)</f>
        <v>1478</v>
      </c>
    </row>
    <row r="2812" spans="1:8" x14ac:dyDescent="0.35">
      <c r="A2812" t="s">
        <v>2593</v>
      </c>
      <c r="B2812" t="s">
        <v>2828</v>
      </c>
      <c r="C2812">
        <v>209</v>
      </c>
      <c r="D2812">
        <v>91</v>
      </c>
      <c r="E2812" t="s">
        <v>33</v>
      </c>
      <c r="F2812">
        <f>tbl_AQI[[#This Row],[Most AQI Reached]]-tbl_AQI[[#This Row],[Current AQI]]</f>
        <v>118</v>
      </c>
      <c r="G28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12">
        <f>RANK(tbl_AQI[[#This Row],[Current AQI]], tbl_AQI[Current AQI], 0)</f>
        <v>3726</v>
      </c>
    </row>
    <row r="2813" spans="1:8" x14ac:dyDescent="0.35">
      <c r="A2813" t="s">
        <v>2593</v>
      </c>
      <c r="B2813" t="s">
        <v>2829</v>
      </c>
      <c r="C2813">
        <v>298</v>
      </c>
      <c r="D2813">
        <v>178</v>
      </c>
      <c r="E2813" t="s">
        <v>17</v>
      </c>
      <c r="F2813">
        <f>tbl_AQI[[#This Row],[Most AQI Reached]]-tbl_AQI[[#This Row],[Current AQI]]</f>
        <v>120</v>
      </c>
      <c r="G28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13">
        <f>RANK(tbl_AQI[[#This Row],[Current AQI]], tbl_AQI[Current AQI], 0)</f>
        <v>1702</v>
      </c>
    </row>
    <row r="2814" spans="1:8" x14ac:dyDescent="0.35">
      <c r="A2814" t="s">
        <v>2593</v>
      </c>
      <c r="B2814" t="s">
        <v>2830</v>
      </c>
      <c r="C2814">
        <v>217</v>
      </c>
      <c r="D2814">
        <v>184</v>
      </c>
      <c r="E2814" t="s">
        <v>15</v>
      </c>
      <c r="F2814">
        <f>tbl_AQI[[#This Row],[Most AQI Reached]]-tbl_AQI[[#This Row],[Current AQI]]</f>
        <v>33</v>
      </c>
      <c r="G28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14">
        <f>RANK(tbl_AQI[[#This Row],[Current AQI]], tbl_AQI[Current AQI], 0)</f>
        <v>1544</v>
      </c>
    </row>
    <row r="2815" spans="1:8" x14ac:dyDescent="0.35">
      <c r="A2815" t="s">
        <v>2593</v>
      </c>
      <c r="B2815" t="s">
        <v>2831</v>
      </c>
      <c r="C2815">
        <v>159</v>
      </c>
      <c r="D2815">
        <v>84</v>
      </c>
      <c r="E2815" t="s">
        <v>21</v>
      </c>
      <c r="F2815">
        <f>tbl_AQI[[#This Row],[Most AQI Reached]]-tbl_AQI[[#This Row],[Current AQI]]</f>
        <v>75</v>
      </c>
      <c r="G28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15">
        <f>RANK(tbl_AQI[[#This Row],[Current AQI]], tbl_AQI[Current AQI], 0)</f>
        <v>3872</v>
      </c>
    </row>
    <row r="2816" spans="1:8" x14ac:dyDescent="0.35">
      <c r="A2816" t="s">
        <v>2593</v>
      </c>
      <c r="B2816" t="s">
        <v>2832</v>
      </c>
      <c r="C2816">
        <v>132</v>
      </c>
      <c r="D2816">
        <v>53</v>
      </c>
      <c r="E2816" t="s">
        <v>7</v>
      </c>
      <c r="F2816">
        <f>tbl_AQI[[#This Row],[Most AQI Reached]]-tbl_AQI[[#This Row],[Current AQI]]</f>
        <v>79</v>
      </c>
      <c r="G28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16">
        <f>RANK(tbl_AQI[[#This Row],[Current AQI]], tbl_AQI[Current AQI], 0)</f>
        <v>4544</v>
      </c>
    </row>
    <row r="2817" spans="1:8" x14ac:dyDescent="0.35">
      <c r="A2817" t="s">
        <v>2593</v>
      </c>
      <c r="B2817" t="s">
        <v>2833</v>
      </c>
      <c r="C2817">
        <v>261</v>
      </c>
      <c r="D2817">
        <v>186</v>
      </c>
      <c r="E2817" t="s">
        <v>15</v>
      </c>
      <c r="F2817">
        <f>tbl_AQI[[#This Row],[Most AQI Reached]]-tbl_AQI[[#This Row],[Current AQI]]</f>
        <v>75</v>
      </c>
      <c r="G28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17">
        <f>RANK(tbl_AQI[[#This Row],[Current AQI]], tbl_AQI[Current AQI], 0)</f>
        <v>1478</v>
      </c>
    </row>
    <row r="2818" spans="1:8" x14ac:dyDescent="0.35">
      <c r="A2818" t="s">
        <v>2593</v>
      </c>
      <c r="B2818" t="s">
        <v>2834</v>
      </c>
      <c r="C2818">
        <v>241</v>
      </c>
      <c r="D2818">
        <v>167</v>
      </c>
      <c r="E2818" t="s">
        <v>9</v>
      </c>
      <c r="F2818">
        <f>tbl_AQI[[#This Row],[Most AQI Reached]]-tbl_AQI[[#This Row],[Current AQI]]</f>
        <v>74</v>
      </c>
      <c r="G28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18">
        <f>RANK(tbl_AQI[[#This Row],[Current AQI]], tbl_AQI[Current AQI], 0)</f>
        <v>1979</v>
      </c>
    </row>
    <row r="2819" spans="1:8" x14ac:dyDescent="0.35">
      <c r="A2819" t="s">
        <v>2593</v>
      </c>
      <c r="B2819" t="s">
        <v>2835</v>
      </c>
      <c r="C2819">
        <v>169</v>
      </c>
      <c r="D2819">
        <v>167</v>
      </c>
      <c r="E2819" t="s">
        <v>11</v>
      </c>
      <c r="F2819">
        <f>tbl_AQI[[#This Row],[Most AQI Reached]]-tbl_AQI[[#This Row],[Current AQI]]</f>
        <v>2</v>
      </c>
      <c r="G28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19">
        <f>RANK(tbl_AQI[[#This Row],[Current AQI]], tbl_AQI[Current AQI], 0)</f>
        <v>1979</v>
      </c>
    </row>
    <row r="2820" spans="1:8" x14ac:dyDescent="0.35">
      <c r="A2820" t="s">
        <v>2593</v>
      </c>
      <c r="B2820" t="s">
        <v>2836</v>
      </c>
      <c r="C2820">
        <v>62</v>
      </c>
      <c r="D2820">
        <v>54</v>
      </c>
      <c r="E2820" t="s">
        <v>15</v>
      </c>
      <c r="F2820">
        <f>tbl_AQI[[#This Row],[Most AQI Reached]]-tbl_AQI[[#This Row],[Current AQI]]</f>
        <v>8</v>
      </c>
      <c r="G28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20">
        <f>RANK(tbl_AQI[[#This Row],[Current AQI]], tbl_AQI[Current AQI], 0)</f>
        <v>4523</v>
      </c>
    </row>
    <row r="2821" spans="1:8" x14ac:dyDescent="0.35">
      <c r="A2821" t="s">
        <v>2593</v>
      </c>
      <c r="B2821" t="s">
        <v>2837</v>
      </c>
      <c r="C2821">
        <v>77</v>
      </c>
      <c r="D2821">
        <v>31</v>
      </c>
      <c r="E2821" t="s">
        <v>7</v>
      </c>
      <c r="F2821">
        <f>tbl_AQI[[#This Row],[Most AQI Reached]]-tbl_AQI[[#This Row],[Current AQI]]</f>
        <v>46</v>
      </c>
      <c r="G28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21">
        <f>RANK(tbl_AQI[[#This Row],[Current AQI]], tbl_AQI[Current AQI], 0)</f>
        <v>5016</v>
      </c>
    </row>
    <row r="2822" spans="1:8" x14ac:dyDescent="0.35">
      <c r="A2822" t="s">
        <v>2593</v>
      </c>
      <c r="B2822" t="s">
        <v>2838</v>
      </c>
      <c r="C2822">
        <v>291</v>
      </c>
      <c r="D2822">
        <v>171</v>
      </c>
      <c r="E2822" t="s">
        <v>11</v>
      </c>
      <c r="F2822">
        <f>tbl_AQI[[#This Row],[Most AQI Reached]]-tbl_AQI[[#This Row],[Current AQI]]</f>
        <v>120</v>
      </c>
      <c r="G28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22">
        <f>RANK(tbl_AQI[[#This Row],[Current AQI]], tbl_AQI[Current AQI], 0)</f>
        <v>1866</v>
      </c>
    </row>
    <row r="2823" spans="1:8" x14ac:dyDescent="0.35">
      <c r="A2823" t="s">
        <v>2839</v>
      </c>
      <c r="B2823" t="s">
        <v>2840</v>
      </c>
      <c r="C2823">
        <v>124</v>
      </c>
      <c r="D2823">
        <v>57</v>
      </c>
      <c r="E2823" t="s">
        <v>15</v>
      </c>
      <c r="F2823">
        <f>tbl_AQI[[#This Row],[Most AQI Reached]]-tbl_AQI[[#This Row],[Current AQI]]</f>
        <v>67</v>
      </c>
      <c r="G28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23">
        <f>RANK(tbl_AQI[[#This Row],[Current AQI]], tbl_AQI[Current AQI], 0)</f>
        <v>4452</v>
      </c>
    </row>
    <row r="2824" spans="1:8" x14ac:dyDescent="0.35">
      <c r="A2824" t="s">
        <v>2839</v>
      </c>
      <c r="B2824" t="s">
        <v>2841</v>
      </c>
      <c r="C2824">
        <v>298</v>
      </c>
      <c r="D2824">
        <v>57</v>
      </c>
      <c r="E2824" t="s">
        <v>7</v>
      </c>
      <c r="F2824">
        <f>tbl_AQI[[#This Row],[Most AQI Reached]]-tbl_AQI[[#This Row],[Current AQI]]</f>
        <v>241</v>
      </c>
      <c r="G28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24">
        <f>RANK(tbl_AQI[[#This Row],[Current AQI]], tbl_AQI[Current AQI], 0)</f>
        <v>4452</v>
      </c>
    </row>
    <row r="2825" spans="1:8" x14ac:dyDescent="0.35">
      <c r="A2825" t="s">
        <v>2839</v>
      </c>
      <c r="B2825" t="s">
        <v>2842</v>
      </c>
      <c r="C2825">
        <v>202</v>
      </c>
      <c r="D2825">
        <v>122</v>
      </c>
      <c r="E2825" t="s">
        <v>7</v>
      </c>
      <c r="F2825">
        <f>tbl_AQI[[#This Row],[Most AQI Reached]]-tbl_AQI[[#This Row],[Current AQI]]</f>
        <v>80</v>
      </c>
      <c r="G28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25">
        <f>RANK(tbl_AQI[[#This Row],[Current AQI]], tbl_AQI[Current AQI], 0)</f>
        <v>3013</v>
      </c>
    </row>
    <row r="2826" spans="1:8" x14ac:dyDescent="0.35">
      <c r="A2826" t="s">
        <v>2839</v>
      </c>
      <c r="B2826" t="s">
        <v>2843</v>
      </c>
      <c r="C2826">
        <v>210</v>
      </c>
      <c r="D2826">
        <v>91</v>
      </c>
      <c r="E2826" t="s">
        <v>9</v>
      </c>
      <c r="F2826">
        <f>tbl_AQI[[#This Row],[Most AQI Reached]]-tbl_AQI[[#This Row],[Current AQI]]</f>
        <v>119</v>
      </c>
      <c r="G28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26">
        <f>RANK(tbl_AQI[[#This Row],[Current AQI]], tbl_AQI[Current AQI], 0)</f>
        <v>3726</v>
      </c>
    </row>
    <row r="2827" spans="1:8" x14ac:dyDescent="0.35">
      <c r="A2827" t="s">
        <v>2839</v>
      </c>
      <c r="B2827" t="s">
        <v>2844</v>
      </c>
      <c r="C2827">
        <v>176</v>
      </c>
      <c r="D2827">
        <v>124</v>
      </c>
      <c r="E2827" t="s">
        <v>17</v>
      </c>
      <c r="F2827">
        <f>tbl_AQI[[#This Row],[Most AQI Reached]]-tbl_AQI[[#This Row],[Current AQI]]</f>
        <v>52</v>
      </c>
      <c r="G28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27">
        <f>RANK(tbl_AQI[[#This Row],[Current AQI]], tbl_AQI[Current AQI], 0)</f>
        <v>2971</v>
      </c>
    </row>
    <row r="2828" spans="1:8" x14ac:dyDescent="0.35">
      <c r="A2828" t="s">
        <v>2839</v>
      </c>
      <c r="B2828" t="s">
        <v>2845</v>
      </c>
      <c r="C2828">
        <v>188</v>
      </c>
      <c r="D2828">
        <v>91</v>
      </c>
      <c r="E2828" t="s">
        <v>21</v>
      </c>
      <c r="F2828">
        <f>tbl_AQI[[#This Row],[Most AQI Reached]]-tbl_AQI[[#This Row],[Current AQI]]</f>
        <v>97</v>
      </c>
      <c r="G28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28">
        <f>RANK(tbl_AQI[[#This Row],[Current AQI]], tbl_AQI[Current AQI], 0)</f>
        <v>3726</v>
      </c>
    </row>
    <row r="2829" spans="1:8" x14ac:dyDescent="0.35">
      <c r="A2829" t="s">
        <v>2839</v>
      </c>
      <c r="B2829" t="s">
        <v>2846</v>
      </c>
      <c r="C2829">
        <v>214</v>
      </c>
      <c r="D2829">
        <v>184</v>
      </c>
      <c r="E2829" t="s">
        <v>33</v>
      </c>
      <c r="F2829">
        <f>tbl_AQI[[#This Row],[Most AQI Reached]]-tbl_AQI[[#This Row],[Current AQI]]</f>
        <v>30</v>
      </c>
      <c r="G28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29">
        <f>RANK(tbl_AQI[[#This Row],[Current AQI]], tbl_AQI[Current AQI], 0)</f>
        <v>1544</v>
      </c>
    </row>
    <row r="2830" spans="1:8" x14ac:dyDescent="0.35">
      <c r="A2830" t="s">
        <v>2839</v>
      </c>
      <c r="B2830" t="s">
        <v>2847</v>
      </c>
      <c r="C2830">
        <v>179</v>
      </c>
      <c r="D2830">
        <v>113</v>
      </c>
      <c r="E2830" t="s">
        <v>15</v>
      </c>
      <c r="F2830">
        <f>tbl_AQI[[#This Row],[Most AQI Reached]]-tbl_AQI[[#This Row],[Current AQI]]</f>
        <v>66</v>
      </c>
      <c r="G28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0">
        <f>RANK(tbl_AQI[[#This Row],[Current AQI]], tbl_AQI[Current AQI], 0)</f>
        <v>3243</v>
      </c>
    </row>
    <row r="2831" spans="1:8" x14ac:dyDescent="0.35">
      <c r="A2831" t="s">
        <v>2839</v>
      </c>
      <c r="B2831" t="s">
        <v>2848</v>
      </c>
      <c r="C2831">
        <v>214</v>
      </c>
      <c r="D2831">
        <v>185</v>
      </c>
      <c r="E2831" t="s">
        <v>21</v>
      </c>
      <c r="F2831">
        <f>tbl_AQI[[#This Row],[Most AQI Reached]]-tbl_AQI[[#This Row],[Current AQI]]</f>
        <v>29</v>
      </c>
      <c r="G28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1">
        <f>RANK(tbl_AQI[[#This Row],[Current AQI]], tbl_AQI[Current AQI], 0)</f>
        <v>1517</v>
      </c>
    </row>
    <row r="2832" spans="1:8" x14ac:dyDescent="0.35">
      <c r="A2832" t="s">
        <v>2839</v>
      </c>
      <c r="B2832" t="s">
        <v>2849</v>
      </c>
      <c r="C2832">
        <v>258</v>
      </c>
      <c r="D2832">
        <v>108</v>
      </c>
      <c r="E2832" t="s">
        <v>21</v>
      </c>
      <c r="F2832">
        <f>tbl_AQI[[#This Row],[Most AQI Reached]]-tbl_AQI[[#This Row],[Current AQI]]</f>
        <v>150</v>
      </c>
      <c r="G28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2">
        <f>RANK(tbl_AQI[[#This Row],[Current AQI]], tbl_AQI[Current AQI], 0)</f>
        <v>3362</v>
      </c>
    </row>
    <row r="2833" spans="1:8" x14ac:dyDescent="0.35">
      <c r="A2833" t="s">
        <v>2839</v>
      </c>
      <c r="B2833" t="s">
        <v>2850</v>
      </c>
      <c r="C2833">
        <v>207</v>
      </c>
      <c r="D2833">
        <v>133</v>
      </c>
      <c r="E2833" t="s">
        <v>15</v>
      </c>
      <c r="F2833">
        <f>tbl_AQI[[#This Row],[Most AQI Reached]]-tbl_AQI[[#This Row],[Current AQI]]</f>
        <v>74</v>
      </c>
      <c r="G28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3">
        <f>RANK(tbl_AQI[[#This Row],[Current AQI]], tbl_AQI[Current AQI], 0)</f>
        <v>2758</v>
      </c>
    </row>
    <row r="2834" spans="1:8" x14ac:dyDescent="0.35">
      <c r="A2834" t="s">
        <v>2839</v>
      </c>
      <c r="B2834" t="s">
        <v>2851</v>
      </c>
      <c r="C2834">
        <v>170</v>
      </c>
      <c r="D2834">
        <v>68</v>
      </c>
      <c r="E2834" t="s">
        <v>7</v>
      </c>
      <c r="F2834">
        <f>tbl_AQI[[#This Row],[Most AQI Reached]]-tbl_AQI[[#This Row],[Current AQI]]</f>
        <v>102</v>
      </c>
      <c r="G28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34">
        <f>RANK(tbl_AQI[[#This Row],[Current AQI]], tbl_AQI[Current AQI], 0)</f>
        <v>4204</v>
      </c>
    </row>
    <row r="2835" spans="1:8" x14ac:dyDescent="0.35">
      <c r="A2835" t="s">
        <v>2839</v>
      </c>
      <c r="B2835" t="s">
        <v>2852</v>
      </c>
      <c r="C2835">
        <v>285</v>
      </c>
      <c r="D2835">
        <v>69</v>
      </c>
      <c r="E2835" t="s">
        <v>9</v>
      </c>
      <c r="F2835">
        <f>tbl_AQI[[#This Row],[Most AQI Reached]]-tbl_AQI[[#This Row],[Current AQI]]</f>
        <v>216</v>
      </c>
      <c r="G28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35">
        <f>RANK(tbl_AQI[[#This Row],[Current AQI]], tbl_AQI[Current AQI], 0)</f>
        <v>4186</v>
      </c>
    </row>
    <row r="2836" spans="1:8" x14ac:dyDescent="0.35">
      <c r="A2836" t="s">
        <v>2839</v>
      </c>
      <c r="B2836" t="s">
        <v>2853</v>
      </c>
      <c r="C2836">
        <v>240</v>
      </c>
      <c r="D2836">
        <v>43</v>
      </c>
      <c r="E2836" t="s">
        <v>33</v>
      </c>
      <c r="F2836">
        <f>tbl_AQI[[#This Row],[Most AQI Reached]]-tbl_AQI[[#This Row],[Current AQI]]</f>
        <v>197</v>
      </c>
      <c r="G28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36">
        <f>RANK(tbl_AQI[[#This Row],[Current AQI]], tbl_AQI[Current AQI], 0)</f>
        <v>4752</v>
      </c>
    </row>
    <row r="2837" spans="1:8" x14ac:dyDescent="0.35">
      <c r="A2837" t="s">
        <v>2839</v>
      </c>
      <c r="B2837" t="s">
        <v>2854</v>
      </c>
      <c r="C2837">
        <v>296</v>
      </c>
      <c r="D2837">
        <v>175</v>
      </c>
      <c r="E2837" t="s">
        <v>7</v>
      </c>
      <c r="F2837">
        <f>tbl_AQI[[#This Row],[Most AQI Reached]]-tbl_AQI[[#This Row],[Current AQI]]</f>
        <v>121</v>
      </c>
      <c r="G28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7">
        <f>RANK(tbl_AQI[[#This Row],[Current AQI]], tbl_AQI[Current AQI], 0)</f>
        <v>1780</v>
      </c>
    </row>
    <row r="2838" spans="1:8" x14ac:dyDescent="0.35">
      <c r="A2838" t="s">
        <v>2839</v>
      </c>
      <c r="B2838" t="s">
        <v>2855</v>
      </c>
      <c r="C2838">
        <v>286</v>
      </c>
      <c r="D2838">
        <v>150</v>
      </c>
      <c r="E2838" t="s">
        <v>33</v>
      </c>
      <c r="F2838">
        <f>tbl_AQI[[#This Row],[Most AQI Reached]]-tbl_AQI[[#This Row],[Current AQI]]</f>
        <v>136</v>
      </c>
      <c r="G28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8">
        <f>RANK(tbl_AQI[[#This Row],[Current AQI]], tbl_AQI[Current AQI], 0)</f>
        <v>2400</v>
      </c>
    </row>
    <row r="2839" spans="1:8" x14ac:dyDescent="0.35">
      <c r="A2839" t="s">
        <v>2839</v>
      </c>
      <c r="B2839" t="s">
        <v>2856</v>
      </c>
      <c r="C2839">
        <v>298</v>
      </c>
      <c r="D2839">
        <v>138</v>
      </c>
      <c r="E2839" t="s">
        <v>11</v>
      </c>
      <c r="F2839">
        <f>tbl_AQI[[#This Row],[Most AQI Reached]]-tbl_AQI[[#This Row],[Current AQI]]</f>
        <v>160</v>
      </c>
      <c r="G28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39">
        <f>RANK(tbl_AQI[[#This Row],[Current AQI]], tbl_AQI[Current AQI], 0)</f>
        <v>2660</v>
      </c>
    </row>
    <row r="2840" spans="1:8" x14ac:dyDescent="0.35">
      <c r="A2840" t="s">
        <v>2839</v>
      </c>
      <c r="B2840" t="s">
        <v>2857</v>
      </c>
      <c r="C2840">
        <v>295</v>
      </c>
      <c r="D2840">
        <v>70</v>
      </c>
      <c r="E2840" t="s">
        <v>9</v>
      </c>
      <c r="F2840">
        <f>tbl_AQI[[#This Row],[Most AQI Reached]]-tbl_AQI[[#This Row],[Current AQI]]</f>
        <v>225</v>
      </c>
      <c r="G28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40">
        <f>RANK(tbl_AQI[[#This Row],[Current AQI]], tbl_AQI[Current AQI], 0)</f>
        <v>4153</v>
      </c>
    </row>
    <row r="2841" spans="1:8" x14ac:dyDescent="0.35">
      <c r="A2841" t="s">
        <v>2839</v>
      </c>
      <c r="B2841" t="s">
        <v>2858</v>
      </c>
      <c r="C2841">
        <v>276</v>
      </c>
      <c r="D2841">
        <v>46</v>
      </c>
      <c r="E2841" t="s">
        <v>21</v>
      </c>
      <c r="F2841">
        <f>tbl_AQI[[#This Row],[Most AQI Reached]]-tbl_AQI[[#This Row],[Current AQI]]</f>
        <v>230</v>
      </c>
      <c r="G28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41">
        <f>RANK(tbl_AQI[[#This Row],[Current AQI]], tbl_AQI[Current AQI], 0)</f>
        <v>4680</v>
      </c>
    </row>
    <row r="2842" spans="1:8" x14ac:dyDescent="0.35">
      <c r="A2842" t="s">
        <v>2839</v>
      </c>
      <c r="B2842" t="s">
        <v>2859</v>
      </c>
      <c r="C2842">
        <v>214</v>
      </c>
      <c r="D2842">
        <v>46</v>
      </c>
      <c r="E2842" t="s">
        <v>11</v>
      </c>
      <c r="F2842">
        <f>tbl_AQI[[#This Row],[Most AQI Reached]]-tbl_AQI[[#This Row],[Current AQI]]</f>
        <v>168</v>
      </c>
      <c r="G28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42">
        <f>RANK(tbl_AQI[[#This Row],[Current AQI]], tbl_AQI[Current AQI], 0)</f>
        <v>4680</v>
      </c>
    </row>
    <row r="2843" spans="1:8" x14ac:dyDescent="0.35">
      <c r="A2843" t="s">
        <v>2839</v>
      </c>
      <c r="B2843" t="s">
        <v>2860</v>
      </c>
      <c r="C2843">
        <v>246</v>
      </c>
      <c r="D2843">
        <v>81</v>
      </c>
      <c r="E2843" t="s">
        <v>7</v>
      </c>
      <c r="F2843">
        <f>tbl_AQI[[#This Row],[Most AQI Reached]]-tbl_AQI[[#This Row],[Current AQI]]</f>
        <v>165</v>
      </c>
      <c r="G28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43">
        <f>RANK(tbl_AQI[[#This Row],[Current AQI]], tbl_AQI[Current AQI], 0)</f>
        <v>3923</v>
      </c>
    </row>
    <row r="2844" spans="1:8" x14ac:dyDescent="0.35">
      <c r="A2844" t="s">
        <v>2839</v>
      </c>
      <c r="B2844" t="s">
        <v>2861</v>
      </c>
      <c r="C2844">
        <v>257</v>
      </c>
      <c r="D2844">
        <v>31</v>
      </c>
      <c r="E2844" t="s">
        <v>11</v>
      </c>
      <c r="F2844">
        <f>tbl_AQI[[#This Row],[Most AQI Reached]]-tbl_AQI[[#This Row],[Current AQI]]</f>
        <v>226</v>
      </c>
      <c r="G28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44">
        <f>RANK(tbl_AQI[[#This Row],[Current AQI]], tbl_AQI[Current AQI], 0)</f>
        <v>5016</v>
      </c>
    </row>
    <row r="2845" spans="1:8" x14ac:dyDescent="0.35">
      <c r="A2845" t="s">
        <v>2839</v>
      </c>
      <c r="B2845" t="s">
        <v>2862</v>
      </c>
      <c r="C2845">
        <v>105</v>
      </c>
      <c r="D2845">
        <v>90</v>
      </c>
      <c r="E2845" t="s">
        <v>33</v>
      </c>
      <c r="F2845">
        <f>tbl_AQI[[#This Row],[Most AQI Reached]]-tbl_AQI[[#This Row],[Current AQI]]</f>
        <v>15</v>
      </c>
      <c r="G28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45">
        <f>RANK(tbl_AQI[[#This Row],[Current AQI]], tbl_AQI[Current AQI], 0)</f>
        <v>3750</v>
      </c>
    </row>
    <row r="2846" spans="1:8" x14ac:dyDescent="0.35">
      <c r="A2846" t="s">
        <v>2839</v>
      </c>
      <c r="B2846" t="s">
        <v>2863</v>
      </c>
      <c r="C2846">
        <v>183</v>
      </c>
      <c r="D2846">
        <v>126</v>
      </c>
      <c r="E2846" t="s">
        <v>9</v>
      </c>
      <c r="F2846">
        <f>tbl_AQI[[#This Row],[Most AQI Reached]]-tbl_AQI[[#This Row],[Current AQI]]</f>
        <v>57</v>
      </c>
      <c r="G28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46">
        <f>RANK(tbl_AQI[[#This Row],[Current AQI]], tbl_AQI[Current AQI], 0)</f>
        <v>2934</v>
      </c>
    </row>
    <row r="2847" spans="1:8" x14ac:dyDescent="0.35">
      <c r="A2847" t="s">
        <v>2839</v>
      </c>
      <c r="B2847" t="s">
        <v>2864</v>
      </c>
      <c r="C2847">
        <v>221</v>
      </c>
      <c r="D2847">
        <v>64</v>
      </c>
      <c r="E2847" t="s">
        <v>33</v>
      </c>
      <c r="F2847">
        <f>tbl_AQI[[#This Row],[Most AQI Reached]]-tbl_AQI[[#This Row],[Current AQI]]</f>
        <v>157</v>
      </c>
      <c r="G28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47">
        <f>RANK(tbl_AQI[[#This Row],[Current AQI]], tbl_AQI[Current AQI], 0)</f>
        <v>4293</v>
      </c>
    </row>
    <row r="2848" spans="1:8" x14ac:dyDescent="0.35">
      <c r="A2848" t="s">
        <v>2839</v>
      </c>
      <c r="B2848" t="s">
        <v>2865</v>
      </c>
      <c r="C2848">
        <v>169</v>
      </c>
      <c r="D2848">
        <v>69</v>
      </c>
      <c r="E2848" t="s">
        <v>11</v>
      </c>
      <c r="F2848">
        <f>tbl_AQI[[#This Row],[Most AQI Reached]]-tbl_AQI[[#This Row],[Current AQI]]</f>
        <v>100</v>
      </c>
      <c r="G28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48">
        <f>RANK(tbl_AQI[[#This Row],[Current AQI]], tbl_AQI[Current AQI], 0)</f>
        <v>4186</v>
      </c>
    </row>
    <row r="2849" spans="1:8" x14ac:dyDescent="0.35">
      <c r="A2849" t="s">
        <v>2839</v>
      </c>
      <c r="B2849" t="s">
        <v>2866</v>
      </c>
      <c r="C2849">
        <v>256</v>
      </c>
      <c r="D2849">
        <v>44</v>
      </c>
      <c r="E2849" t="s">
        <v>15</v>
      </c>
      <c r="F2849">
        <f>tbl_AQI[[#This Row],[Most AQI Reached]]-tbl_AQI[[#This Row],[Current AQI]]</f>
        <v>212</v>
      </c>
      <c r="G28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49">
        <f>RANK(tbl_AQI[[#This Row],[Current AQI]], tbl_AQI[Current AQI], 0)</f>
        <v>4732</v>
      </c>
    </row>
    <row r="2850" spans="1:8" x14ac:dyDescent="0.35">
      <c r="A2850" t="s">
        <v>2839</v>
      </c>
      <c r="B2850" t="s">
        <v>2867</v>
      </c>
      <c r="C2850">
        <v>314</v>
      </c>
      <c r="D2850">
        <v>145</v>
      </c>
      <c r="E2850" t="s">
        <v>17</v>
      </c>
      <c r="F2850">
        <f>tbl_AQI[[#This Row],[Most AQI Reached]]-tbl_AQI[[#This Row],[Current AQI]]</f>
        <v>169</v>
      </c>
      <c r="G28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0">
        <f>RANK(tbl_AQI[[#This Row],[Current AQI]], tbl_AQI[Current AQI], 0)</f>
        <v>2526</v>
      </c>
    </row>
    <row r="2851" spans="1:8" x14ac:dyDescent="0.35">
      <c r="A2851" t="s">
        <v>2839</v>
      </c>
      <c r="B2851" t="s">
        <v>2868</v>
      </c>
      <c r="C2851">
        <v>173</v>
      </c>
      <c r="D2851">
        <v>142</v>
      </c>
      <c r="E2851" t="s">
        <v>15</v>
      </c>
      <c r="F2851">
        <f>tbl_AQI[[#This Row],[Most AQI Reached]]-tbl_AQI[[#This Row],[Current AQI]]</f>
        <v>31</v>
      </c>
      <c r="G28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1">
        <f>RANK(tbl_AQI[[#This Row],[Current AQI]], tbl_AQI[Current AQI], 0)</f>
        <v>2585</v>
      </c>
    </row>
    <row r="2852" spans="1:8" x14ac:dyDescent="0.35">
      <c r="A2852" t="s">
        <v>2839</v>
      </c>
      <c r="B2852" t="s">
        <v>2869</v>
      </c>
      <c r="C2852">
        <v>290</v>
      </c>
      <c r="D2852">
        <v>166</v>
      </c>
      <c r="E2852" t="s">
        <v>7</v>
      </c>
      <c r="F2852">
        <f>tbl_AQI[[#This Row],[Most AQI Reached]]-tbl_AQI[[#This Row],[Current AQI]]</f>
        <v>124</v>
      </c>
      <c r="G28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2">
        <f>RANK(tbl_AQI[[#This Row],[Current AQI]], tbl_AQI[Current AQI], 0)</f>
        <v>2007</v>
      </c>
    </row>
    <row r="2853" spans="1:8" x14ac:dyDescent="0.35">
      <c r="A2853" t="s">
        <v>2839</v>
      </c>
      <c r="B2853" t="s">
        <v>2870</v>
      </c>
      <c r="C2853">
        <v>150</v>
      </c>
      <c r="D2853">
        <v>68</v>
      </c>
      <c r="E2853" t="s">
        <v>9</v>
      </c>
      <c r="F2853">
        <f>tbl_AQI[[#This Row],[Most AQI Reached]]-tbl_AQI[[#This Row],[Current AQI]]</f>
        <v>82</v>
      </c>
      <c r="G28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53">
        <f>RANK(tbl_AQI[[#This Row],[Current AQI]], tbl_AQI[Current AQI], 0)</f>
        <v>4204</v>
      </c>
    </row>
    <row r="2854" spans="1:8" x14ac:dyDescent="0.35">
      <c r="A2854" t="s">
        <v>2839</v>
      </c>
      <c r="B2854" t="s">
        <v>2871</v>
      </c>
      <c r="C2854">
        <v>220</v>
      </c>
      <c r="D2854">
        <v>102</v>
      </c>
      <c r="E2854" t="s">
        <v>11</v>
      </c>
      <c r="F2854">
        <f>tbl_AQI[[#This Row],[Most AQI Reached]]-tbl_AQI[[#This Row],[Current AQI]]</f>
        <v>118</v>
      </c>
      <c r="G28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4">
        <f>RANK(tbl_AQI[[#This Row],[Current AQI]], tbl_AQI[Current AQI], 0)</f>
        <v>3493</v>
      </c>
    </row>
    <row r="2855" spans="1:8" x14ac:dyDescent="0.35">
      <c r="A2855" t="s">
        <v>2839</v>
      </c>
      <c r="B2855" t="s">
        <v>2872</v>
      </c>
      <c r="C2855">
        <v>230</v>
      </c>
      <c r="D2855">
        <v>173</v>
      </c>
      <c r="E2855" t="s">
        <v>17</v>
      </c>
      <c r="F2855">
        <f>tbl_AQI[[#This Row],[Most AQI Reached]]-tbl_AQI[[#This Row],[Current AQI]]</f>
        <v>57</v>
      </c>
      <c r="G28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5">
        <f>RANK(tbl_AQI[[#This Row],[Current AQI]], tbl_AQI[Current AQI], 0)</f>
        <v>1826</v>
      </c>
    </row>
    <row r="2856" spans="1:8" x14ac:dyDescent="0.35">
      <c r="A2856" t="s">
        <v>2839</v>
      </c>
      <c r="B2856" t="s">
        <v>2873</v>
      </c>
      <c r="C2856">
        <v>306</v>
      </c>
      <c r="D2856">
        <v>87</v>
      </c>
      <c r="E2856" t="s">
        <v>15</v>
      </c>
      <c r="F2856">
        <f>tbl_AQI[[#This Row],[Most AQI Reached]]-tbl_AQI[[#This Row],[Current AQI]]</f>
        <v>219</v>
      </c>
      <c r="G28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56">
        <f>RANK(tbl_AQI[[#This Row],[Current AQI]], tbl_AQI[Current AQI], 0)</f>
        <v>3813</v>
      </c>
    </row>
    <row r="2857" spans="1:8" x14ac:dyDescent="0.35">
      <c r="A2857" t="s">
        <v>2839</v>
      </c>
      <c r="B2857" t="s">
        <v>2874</v>
      </c>
      <c r="C2857">
        <v>157</v>
      </c>
      <c r="D2857">
        <v>129</v>
      </c>
      <c r="E2857" t="s">
        <v>7</v>
      </c>
      <c r="F2857">
        <f>tbl_AQI[[#This Row],[Most AQI Reached]]-tbl_AQI[[#This Row],[Current AQI]]</f>
        <v>28</v>
      </c>
      <c r="G28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7">
        <f>RANK(tbl_AQI[[#This Row],[Current AQI]], tbl_AQI[Current AQI], 0)</f>
        <v>2852</v>
      </c>
    </row>
    <row r="2858" spans="1:8" x14ac:dyDescent="0.35">
      <c r="A2858" t="s">
        <v>2839</v>
      </c>
      <c r="B2858" t="s">
        <v>2875</v>
      </c>
      <c r="C2858">
        <v>232</v>
      </c>
      <c r="D2858">
        <v>140</v>
      </c>
      <c r="E2858" t="s">
        <v>15</v>
      </c>
      <c r="F2858">
        <f>tbl_AQI[[#This Row],[Most AQI Reached]]-tbl_AQI[[#This Row],[Current AQI]]</f>
        <v>92</v>
      </c>
      <c r="G28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8">
        <f>RANK(tbl_AQI[[#This Row],[Current AQI]], tbl_AQI[Current AQI], 0)</f>
        <v>2627</v>
      </c>
    </row>
    <row r="2859" spans="1:8" x14ac:dyDescent="0.35">
      <c r="A2859" t="s">
        <v>2839</v>
      </c>
      <c r="B2859" t="s">
        <v>2876</v>
      </c>
      <c r="C2859">
        <v>229</v>
      </c>
      <c r="D2859">
        <v>187</v>
      </c>
      <c r="E2859" t="s">
        <v>17</v>
      </c>
      <c r="F2859">
        <f>tbl_AQI[[#This Row],[Most AQI Reached]]-tbl_AQI[[#This Row],[Current AQI]]</f>
        <v>42</v>
      </c>
      <c r="G28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59">
        <f>RANK(tbl_AQI[[#This Row],[Current AQI]], tbl_AQI[Current AQI], 0)</f>
        <v>1455</v>
      </c>
    </row>
    <row r="2860" spans="1:8" x14ac:dyDescent="0.35">
      <c r="A2860" t="s">
        <v>2839</v>
      </c>
      <c r="B2860" t="s">
        <v>2877</v>
      </c>
      <c r="C2860">
        <v>311</v>
      </c>
      <c r="D2860">
        <v>140</v>
      </c>
      <c r="E2860" t="s">
        <v>17</v>
      </c>
      <c r="F2860">
        <f>tbl_AQI[[#This Row],[Most AQI Reached]]-tbl_AQI[[#This Row],[Current AQI]]</f>
        <v>171</v>
      </c>
      <c r="G28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60">
        <f>RANK(tbl_AQI[[#This Row],[Current AQI]], tbl_AQI[Current AQI], 0)</f>
        <v>2627</v>
      </c>
    </row>
    <row r="2861" spans="1:8" x14ac:dyDescent="0.35">
      <c r="A2861" t="s">
        <v>2839</v>
      </c>
      <c r="B2861" t="s">
        <v>2878</v>
      </c>
      <c r="C2861">
        <v>213</v>
      </c>
      <c r="D2861">
        <v>51</v>
      </c>
      <c r="E2861" t="s">
        <v>15</v>
      </c>
      <c r="F2861">
        <f>tbl_AQI[[#This Row],[Most AQI Reached]]-tbl_AQI[[#This Row],[Current AQI]]</f>
        <v>162</v>
      </c>
      <c r="G28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61">
        <f>RANK(tbl_AQI[[#This Row],[Current AQI]], tbl_AQI[Current AQI], 0)</f>
        <v>4578</v>
      </c>
    </row>
    <row r="2862" spans="1:8" x14ac:dyDescent="0.35">
      <c r="A2862" t="s">
        <v>2839</v>
      </c>
      <c r="B2862" t="s">
        <v>2879</v>
      </c>
      <c r="C2862">
        <v>156</v>
      </c>
      <c r="D2862">
        <v>135</v>
      </c>
      <c r="E2862" t="s">
        <v>21</v>
      </c>
      <c r="F2862">
        <f>tbl_AQI[[#This Row],[Most AQI Reached]]-tbl_AQI[[#This Row],[Current AQI]]</f>
        <v>21</v>
      </c>
      <c r="G28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62">
        <f>RANK(tbl_AQI[[#This Row],[Current AQI]], tbl_AQI[Current AQI], 0)</f>
        <v>2714</v>
      </c>
    </row>
    <row r="2863" spans="1:8" x14ac:dyDescent="0.35">
      <c r="A2863" t="s">
        <v>2839</v>
      </c>
      <c r="B2863" t="s">
        <v>2880</v>
      </c>
      <c r="C2863">
        <v>260</v>
      </c>
      <c r="D2863">
        <v>189</v>
      </c>
      <c r="E2863" t="s">
        <v>9</v>
      </c>
      <c r="F2863">
        <f>tbl_AQI[[#This Row],[Most AQI Reached]]-tbl_AQI[[#This Row],[Current AQI]]</f>
        <v>71</v>
      </c>
      <c r="G28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63">
        <f>RANK(tbl_AQI[[#This Row],[Current AQI]], tbl_AQI[Current AQI], 0)</f>
        <v>1395</v>
      </c>
    </row>
    <row r="2864" spans="1:8" x14ac:dyDescent="0.35">
      <c r="A2864" t="s">
        <v>2839</v>
      </c>
      <c r="B2864" t="s">
        <v>2881</v>
      </c>
      <c r="C2864">
        <v>235</v>
      </c>
      <c r="D2864">
        <v>134</v>
      </c>
      <c r="E2864" t="s">
        <v>33</v>
      </c>
      <c r="F2864">
        <f>tbl_AQI[[#This Row],[Most AQI Reached]]-tbl_AQI[[#This Row],[Current AQI]]</f>
        <v>101</v>
      </c>
      <c r="G28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64">
        <f>RANK(tbl_AQI[[#This Row],[Current AQI]], tbl_AQI[Current AQI], 0)</f>
        <v>2740</v>
      </c>
    </row>
    <row r="2865" spans="1:8" x14ac:dyDescent="0.35">
      <c r="A2865" t="s">
        <v>2839</v>
      </c>
      <c r="B2865" t="s">
        <v>2882</v>
      </c>
      <c r="C2865">
        <v>122</v>
      </c>
      <c r="D2865">
        <v>117</v>
      </c>
      <c r="E2865" t="s">
        <v>21</v>
      </c>
      <c r="F2865">
        <f>tbl_AQI[[#This Row],[Most AQI Reached]]-tbl_AQI[[#This Row],[Current AQI]]</f>
        <v>5</v>
      </c>
      <c r="G28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65">
        <f>RANK(tbl_AQI[[#This Row],[Current AQI]], tbl_AQI[Current AQI], 0)</f>
        <v>3144</v>
      </c>
    </row>
    <row r="2866" spans="1:8" x14ac:dyDescent="0.35">
      <c r="A2866" t="s">
        <v>2839</v>
      </c>
      <c r="B2866" t="s">
        <v>2883</v>
      </c>
      <c r="C2866">
        <v>308</v>
      </c>
      <c r="D2866">
        <v>35</v>
      </c>
      <c r="E2866" t="s">
        <v>15</v>
      </c>
      <c r="F2866">
        <f>tbl_AQI[[#This Row],[Most AQI Reached]]-tbl_AQI[[#This Row],[Current AQI]]</f>
        <v>273</v>
      </c>
      <c r="G28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66">
        <f>RANK(tbl_AQI[[#This Row],[Current AQI]], tbl_AQI[Current AQI], 0)</f>
        <v>4916</v>
      </c>
    </row>
    <row r="2867" spans="1:8" x14ac:dyDescent="0.35">
      <c r="A2867" t="s">
        <v>2839</v>
      </c>
      <c r="B2867" t="s">
        <v>2884</v>
      </c>
      <c r="C2867">
        <v>234</v>
      </c>
      <c r="D2867">
        <v>115</v>
      </c>
      <c r="E2867" t="s">
        <v>15</v>
      </c>
      <c r="F2867">
        <f>tbl_AQI[[#This Row],[Most AQI Reached]]-tbl_AQI[[#This Row],[Current AQI]]</f>
        <v>119</v>
      </c>
      <c r="G28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67">
        <f>RANK(tbl_AQI[[#This Row],[Current AQI]], tbl_AQI[Current AQI], 0)</f>
        <v>3206</v>
      </c>
    </row>
    <row r="2868" spans="1:8" x14ac:dyDescent="0.35">
      <c r="A2868" t="s">
        <v>2839</v>
      </c>
      <c r="B2868" t="s">
        <v>2885</v>
      </c>
      <c r="C2868">
        <v>215</v>
      </c>
      <c r="D2868">
        <v>37</v>
      </c>
      <c r="E2868" t="s">
        <v>11</v>
      </c>
      <c r="F2868">
        <f>tbl_AQI[[#This Row],[Most AQI Reached]]-tbl_AQI[[#This Row],[Current AQI]]</f>
        <v>178</v>
      </c>
      <c r="G28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68">
        <f>RANK(tbl_AQI[[#This Row],[Current AQI]], tbl_AQI[Current AQI], 0)</f>
        <v>4863</v>
      </c>
    </row>
    <row r="2869" spans="1:8" x14ac:dyDescent="0.35">
      <c r="A2869" t="s">
        <v>2839</v>
      </c>
      <c r="B2869" t="s">
        <v>2886</v>
      </c>
      <c r="C2869">
        <v>232</v>
      </c>
      <c r="D2869">
        <v>108</v>
      </c>
      <c r="E2869" t="s">
        <v>11</v>
      </c>
      <c r="F2869">
        <f>tbl_AQI[[#This Row],[Most AQI Reached]]-tbl_AQI[[#This Row],[Current AQI]]</f>
        <v>124</v>
      </c>
      <c r="G28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69">
        <f>RANK(tbl_AQI[[#This Row],[Current AQI]], tbl_AQI[Current AQI], 0)</f>
        <v>3362</v>
      </c>
    </row>
    <row r="2870" spans="1:8" x14ac:dyDescent="0.35">
      <c r="A2870" t="s">
        <v>2839</v>
      </c>
      <c r="B2870" t="s">
        <v>2887</v>
      </c>
      <c r="C2870">
        <v>263</v>
      </c>
      <c r="D2870">
        <v>135</v>
      </c>
      <c r="E2870" t="s">
        <v>17</v>
      </c>
      <c r="F2870">
        <f>tbl_AQI[[#This Row],[Most AQI Reached]]-tbl_AQI[[#This Row],[Current AQI]]</f>
        <v>128</v>
      </c>
      <c r="G28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70">
        <f>RANK(tbl_AQI[[#This Row],[Current AQI]], tbl_AQI[Current AQI], 0)</f>
        <v>2714</v>
      </c>
    </row>
    <row r="2871" spans="1:8" x14ac:dyDescent="0.35">
      <c r="A2871" t="s">
        <v>2839</v>
      </c>
      <c r="B2871" t="s">
        <v>2888</v>
      </c>
      <c r="C2871">
        <v>192</v>
      </c>
      <c r="D2871">
        <v>57</v>
      </c>
      <c r="E2871" t="s">
        <v>7</v>
      </c>
      <c r="F2871">
        <f>tbl_AQI[[#This Row],[Most AQI Reached]]-tbl_AQI[[#This Row],[Current AQI]]</f>
        <v>135</v>
      </c>
      <c r="G28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71">
        <f>RANK(tbl_AQI[[#This Row],[Current AQI]], tbl_AQI[Current AQI], 0)</f>
        <v>4452</v>
      </c>
    </row>
    <row r="2872" spans="1:8" x14ac:dyDescent="0.35">
      <c r="A2872" t="s">
        <v>2839</v>
      </c>
      <c r="B2872" t="s">
        <v>2889</v>
      </c>
      <c r="C2872">
        <v>262</v>
      </c>
      <c r="D2872">
        <v>189</v>
      </c>
      <c r="E2872" t="s">
        <v>15</v>
      </c>
      <c r="F2872">
        <f>tbl_AQI[[#This Row],[Most AQI Reached]]-tbl_AQI[[#This Row],[Current AQI]]</f>
        <v>73</v>
      </c>
      <c r="G28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72">
        <f>RANK(tbl_AQI[[#This Row],[Current AQI]], tbl_AQI[Current AQI], 0)</f>
        <v>1395</v>
      </c>
    </row>
    <row r="2873" spans="1:8" x14ac:dyDescent="0.35">
      <c r="A2873" t="s">
        <v>2839</v>
      </c>
      <c r="B2873" t="s">
        <v>2890</v>
      </c>
      <c r="C2873">
        <v>316</v>
      </c>
      <c r="D2873">
        <v>131</v>
      </c>
      <c r="E2873" t="s">
        <v>15</v>
      </c>
      <c r="F2873">
        <f>tbl_AQI[[#This Row],[Most AQI Reached]]-tbl_AQI[[#This Row],[Current AQI]]</f>
        <v>185</v>
      </c>
      <c r="G28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73">
        <f>RANK(tbl_AQI[[#This Row],[Current AQI]], tbl_AQI[Current AQI], 0)</f>
        <v>2815</v>
      </c>
    </row>
    <row r="2874" spans="1:8" x14ac:dyDescent="0.35">
      <c r="A2874" t="s">
        <v>2839</v>
      </c>
      <c r="B2874" t="s">
        <v>2891</v>
      </c>
      <c r="C2874">
        <v>131</v>
      </c>
      <c r="D2874">
        <v>96</v>
      </c>
      <c r="E2874" t="s">
        <v>33</v>
      </c>
      <c r="F2874">
        <f>tbl_AQI[[#This Row],[Most AQI Reached]]-tbl_AQI[[#This Row],[Current AQI]]</f>
        <v>35</v>
      </c>
      <c r="G28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74">
        <f>RANK(tbl_AQI[[#This Row],[Current AQI]], tbl_AQI[Current AQI], 0)</f>
        <v>3616</v>
      </c>
    </row>
    <row r="2875" spans="1:8" x14ac:dyDescent="0.35">
      <c r="A2875" t="s">
        <v>2839</v>
      </c>
      <c r="B2875" t="s">
        <v>2892</v>
      </c>
      <c r="C2875">
        <v>237</v>
      </c>
      <c r="D2875">
        <v>156</v>
      </c>
      <c r="E2875" t="s">
        <v>17</v>
      </c>
      <c r="F2875">
        <f>tbl_AQI[[#This Row],[Most AQI Reached]]-tbl_AQI[[#This Row],[Current AQI]]</f>
        <v>81</v>
      </c>
      <c r="G28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75">
        <f>RANK(tbl_AQI[[#This Row],[Current AQI]], tbl_AQI[Current AQI], 0)</f>
        <v>2251</v>
      </c>
    </row>
    <row r="2876" spans="1:8" x14ac:dyDescent="0.35">
      <c r="A2876" t="s">
        <v>2839</v>
      </c>
      <c r="B2876" t="s">
        <v>2893</v>
      </c>
      <c r="C2876">
        <v>168</v>
      </c>
      <c r="D2876">
        <v>96</v>
      </c>
      <c r="E2876" t="s">
        <v>9</v>
      </c>
      <c r="F2876">
        <f>tbl_AQI[[#This Row],[Most AQI Reached]]-tbl_AQI[[#This Row],[Current AQI]]</f>
        <v>72</v>
      </c>
      <c r="G28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76">
        <f>RANK(tbl_AQI[[#This Row],[Current AQI]], tbl_AQI[Current AQI], 0)</f>
        <v>3616</v>
      </c>
    </row>
    <row r="2877" spans="1:8" x14ac:dyDescent="0.35">
      <c r="A2877" t="s">
        <v>2839</v>
      </c>
      <c r="B2877" t="s">
        <v>2894</v>
      </c>
      <c r="C2877">
        <v>199</v>
      </c>
      <c r="D2877">
        <v>114</v>
      </c>
      <c r="E2877" t="s">
        <v>9</v>
      </c>
      <c r="F2877">
        <f>tbl_AQI[[#This Row],[Most AQI Reached]]-tbl_AQI[[#This Row],[Current AQI]]</f>
        <v>85</v>
      </c>
      <c r="G28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77">
        <f>RANK(tbl_AQI[[#This Row],[Current AQI]], tbl_AQI[Current AQI], 0)</f>
        <v>3226</v>
      </c>
    </row>
    <row r="2878" spans="1:8" x14ac:dyDescent="0.35">
      <c r="A2878" t="s">
        <v>2839</v>
      </c>
      <c r="B2878" t="s">
        <v>2895</v>
      </c>
      <c r="C2878">
        <v>307</v>
      </c>
      <c r="D2878">
        <v>92</v>
      </c>
      <c r="E2878" t="s">
        <v>21</v>
      </c>
      <c r="F2878">
        <f>tbl_AQI[[#This Row],[Most AQI Reached]]-tbl_AQI[[#This Row],[Current AQI]]</f>
        <v>215</v>
      </c>
      <c r="G28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78">
        <f>RANK(tbl_AQI[[#This Row],[Current AQI]], tbl_AQI[Current AQI], 0)</f>
        <v>3706</v>
      </c>
    </row>
    <row r="2879" spans="1:8" x14ac:dyDescent="0.35">
      <c r="A2879" t="s">
        <v>2839</v>
      </c>
      <c r="B2879" t="s">
        <v>2896</v>
      </c>
      <c r="C2879">
        <v>242</v>
      </c>
      <c r="D2879">
        <v>132</v>
      </c>
      <c r="E2879" t="s">
        <v>15</v>
      </c>
      <c r="F2879">
        <f>tbl_AQI[[#This Row],[Most AQI Reached]]-tbl_AQI[[#This Row],[Current AQI]]</f>
        <v>110</v>
      </c>
      <c r="G28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79">
        <f>RANK(tbl_AQI[[#This Row],[Current AQI]], tbl_AQI[Current AQI], 0)</f>
        <v>2792</v>
      </c>
    </row>
    <row r="2880" spans="1:8" x14ac:dyDescent="0.35">
      <c r="A2880" t="s">
        <v>2839</v>
      </c>
      <c r="B2880" t="s">
        <v>2897</v>
      </c>
      <c r="C2880">
        <v>257</v>
      </c>
      <c r="D2880">
        <v>122</v>
      </c>
      <c r="E2880" t="s">
        <v>7</v>
      </c>
      <c r="F2880">
        <f>tbl_AQI[[#This Row],[Most AQI Reached]]-tbl_AQI[[#This Row],[Current AQI]]</f>
        <v>135</v>
      </c>
      <c r="G28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0">
        <f>RANK(tbl_AQI[[#This Row],[Current AQI]], tbl_AQI[Current AQI], 0)</f>
        <v>3013</v>
      </c>
    </row>
    <row r="2881" spans="1:8" x14ac:dyDescent="0.35">
      <c r="A2881" t="s">
        <v>2839</v>
      </c>
      <c r="B2881" t="s">
        <v>2898</v>
      </c>
      <c r="C2881">
        <v>192</v>
      </c>
      <c r="D2881">
        <v>131</v>
      </c>
      <c r="E2881" t="s">
        <v>17</v>
      </c>
      <c r="F2881">
        <f>tbl_AQI[[#This Row],[Most AQI Reached]]-tbl_AQI[[#This Row],[Current AQI]]</f>
        <v>61</v>
      </c>
      <c r="G28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1">
        <f>RANK(tbl_AQI[[#This Row],[Current AQI]], tbl_AQI[Current AQI], 0)</f>
        <v>2815</v>
      </c>
    </row>
    <row r="2882" spans="1:8" x14ac:dyDescent="0.35">
      <c r="A2882" t="s">
        <v>2839</v>
      </c>
      <c r="B2882" t="s">
        <v>2899</v>
      </c>
      <c r="C2882">
        <v>294</v>
      </c>
      <c r="D2882">
        <v>188</v>
      </c>
      <c r="E2882" t="s">
        <v>21</v>
      </c>
      <c r="F2882">
        <f>tbl_AQI[[#This Row],[Most AQI Reached]]-tbl_AQI[[#This Row],[Current AQI]]</f>
        <v>106</v>
      </c>
      <c r="G28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2">
        <f>RANK(tbl_AQI[[#This Row],[Current AQI]], tbl_AQI[Current AQI], 0)</f>
        <v>1423</v>
      </c>
    </row>
    <row r="2883" spans="1:8" x14ac:dyDescent="0.35">
      <c r="A2883" t="s">
        <v>2839</v>
      </c>
      <c r="B2883" t="s">
        <v>2900</v>
      </c>
      <c r="C2883">
        <v>273</v>
      </c>
      <c r="D2883">
        <v>70</v>
      </c>
      <c r="E2883" t="s">
        <v>9</v>
      </c>
      <c r="F2883">
        <f>tbl_AQI[[#This Row],[Most AQI Reached]]-tbl_AQI[[#This Row],[Current AQI]]</f>
        <v>203</v>
      </c>
      <c r="G28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83">
        <f>RANK(tbl_AQI[[#This Row],[Current AQI]], tbl_AQI[Current AQI], 0)</f>
        <v>4153</v>
      </c>
    </row>
    <row r="2884" spans="1:8" x14ac:dyDescent="0.35">
      <c r="A2884" t="s">
        <v>2839</v>
      </c>
      <c r="B2884" t="s">
        <v>2901</v>
      </c>
      <c r="C2884">
        <v>242</v>
      </c>
      <c r="D2884">
        <v>117</v>
      </c>
      <c r="E2884" t="s">
        <v>7</v>
      </c>
      <c r="F2884">
        <f>tbl_AQI[[#This Row],[Most AQI Reached]]-tbl_AQI[[#This Row],[Current AQI]]</f>
        <v>125</v>
      </c>
      <c r="G28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4">
        <f>RANK(tbl_AQI[[#This Row],[Current AQI]], tbl_AQI[Current AQI], 0)</f>
        <v>3144</v>
      </c>
    </row>
    <row r="2885" spans="1:8" x14ac:dyDescent="0.35">
      <c r="A2885" t="s">
        <v>2839</v>
      </c>
      <c r="B2885" t="s">
        <v>2902</v>
      </c>
      <c r="C2885">
        <v>246</v>
      </c>
      <c r="D2885">
        <v>176</v>
      </c>
      <c r="E2885" t="s">
        <v>33</v>
      </c>
      <c r="F2885">
        <f>tbl_AQI[[#This Row],[Most AQI Reached]]-tbl_AQI[[#This Row],[Current AQI]]</f>
        <v>70</v>
      </c>
      <c r="G28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5">
        <f>RANK(tbl_AQI[[#This Row],[Current AQI]], tbl_AQI[Current AQI], 0)</f>
        <v>1754</v>
      </c>
    </row>
    <row r="2886" spans="1:8" x14ac:dyDescent="0.35">
      <c r="A2886" t="s">
        <v>2839</v>
      </c>
      <c r="B2886" t="s">
        <v>2903</v>
      </c>
      <c r="C2886">
        <v>211</v>
      </c>
      <c r="D2886">
        <v>150</v>
      </c>
      <c r="E2886" t="s">
        <v>33</v>
      </c>
      <c r="F2886">
        <f>tbl_AQI[[#This Row],[Most AQI Reached]]-tbl_AQI[[#This Row],[Current AQI]]</f>
        <v>61</v>
      </c>
      <c r="G28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6">
        <f>RANK(tbl_AQI[[#This Row],[Current AQI]], tbl_AQI[Current AQI], 0)</f>
        <v>2400</v>
      </c>
    </row>
    <row r="2887" spans="1:8" x14ac:dyDescent="0.35">
      <c r="A2887" t="s">
        <v>2839</v>
      </c>
      <c r="B2887" t="s">
        <v>2904</v>
      </c>
      <c r="C2887">
        <v>178</v>
      </c>
      <c r="D2887">
        <v>151</v>
      </c>
      <c r="E2887" t="s">
        <v>7</v>
      </c>
      <c r="F2887">
        <f>tbl_AQI[[#This Row],[Most AQI Reached]]-tbl_AQI[[#This Row],[Current AQI]]</f>
        <v>27</v>
      </c>
      <c r="G28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7">
        <f>RANK(tbl_AQI[[#This Row],[Current AQI]], tbl_AQI[Current AQI], 0)</f>
        <v>2376</v>
      </c>
    </row>
    <row r="2888" spans="1:8" x14ac:dyDescent="0.35">
      <c r="A2888" t="s">
        <v>2839</v>
      </c>
      <c r="B2888" t="s">
        <v>2905</v>
      </c>
      <c r="C2888">
        <v>182</v>
      </c>
      <c r="D2888">
        <v>174</v>
      </c>
      <c r="E2888" t="s">
        <v>9</v>
      </c>
      <c r="F2888">
        <f>tbl_AQI[[#This Row],[Most AQI Reached]]-tbl_AQI[[#This Row],[Current AQI]]</f>
        <v>8</v>
      </c>
      <c r="G28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8">
        <f>RANK(tbl_AQI[[#This Row],[Current AQI]], tbl_AQI[Current AQI], 0)</f>
        <v>1803</v>
      </c>
    </row>
    <row r="2889" spans="1:8" x14ac:dyDescent="0.35">
      <c r="A2889" t="s">
        <v>2839</v>
      </c>
      <c r="B2889" t="s">
        <v>2906</v>
      </c>
      <c r="C2889">
        <v>315</v>
      </c>
      <c r="D2889">
        <v>144</v>
      </c>
      <c r="E2889" t="s">
        <v>7</v>
      </c>
      <c r="F2889">
        <f>tbl_AQI[[#This Row],[Most AQI Reached]]-tbl_AQI[[#This Row],[Current AQI]]</f>
        <v>171</v>
      </c>
      <c r="G28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89">
        <f>RANK(tbl_AQI[[#This Row],[Current AQI]], tbl_AQI[Current AQI], 0)</f>
        <v>2550</v>
      </c>
    </row>
    <row r="2890" spans="1:8" x14ac:dyDescent="0.35">
      <c r="A2890" t="s">
        <v>2839</v>
      </c>
      <c r="B2890" t="s">
        <v>2907</v>
      </c>
      <c r="C2890">
        <v>219</v>
      </c>
      <c r="D2890">
        <v>123</v>
      </c>
      <c r="E2890" t="s">
        <v>11</v>
      </c>
      <c r="F2890">
        <f>tbl_AQI[[#This Row],[Most AQI Reached]]-tbl_AQI[[#This Row],[Current AQI]]</f>
        <v>96</v>
      </c>
      <c r="G28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90">
        <f>RANK(tbl_AQI[[#This Row],[Current AQI]], tbl_AQI[Current AQI], 0)</f>
        <v>2983</v>
      </c>
    </row>
    <row r="2891" spans="1:8" x14ac:dyDescent="0.35">
      <c r="A2891" t="s">
        <v>2839</v>
      </c>
      <c r="B2891" t="s">
        <v>2908</v>
      </c>
      <c r="C2891">
        <v>234</v>
      </c>
      <c r="D2891">
        <v>130</v>
      </c>
      <c r="E2891" t="s">
        <v>17</v>
      </c>
      <c r="F2891">
        <f>tbl_AQI[[#This Row],[Most AQI Reached]]-tbl_AQI[[#This Row],[Current AQI]]</f>
        <v>104</v>
      </c>
      <c r="G28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91">
        <f>RANK(tbl_AQI[[#This Row],[Current AQI]], tbl_AQI[Current AQI], 0)</f>
        <v>2832</v>
      </c>
    </row>
    <row r="2892" spans="1:8" x14ac:dyDescent="0.35">
      <c r="A2892" t="s">
        <v>2839</v>
      </c>
      <c r="B2892" t="s">
        <v>2909</v>
      </c>
      <c r="C2892">
        <v>253</v>
      </c>
      <c r="D2892">
        <v>180</v>
      </c>
      <c r="E2892" t="s">
        <v>9</v>
      </c>
      <c r="F2892">
        <f>tbl_AQI[[#This Row],[Most AQI Reached]]-tbl_AQI[[#This Row],[Current AQI]]</f>
        <v>73</v>
      </c>
      <c r="G28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92">
        <f>RANK(tbl_AQI[[#This Row],[Current AQI]], tbl_AQI[Current AQI], 0)</f>
        <v>1635</v>
      </c>
    </row>
    <row r="2893" spans="1:8" x14ac:dyDescent="0.35">
      <c r="A2893" t="s">
        <v>2839</v>
      </c>
      <c r="B2893" t="s">
        <v>2910</v>
      </c>
      <c r="C2893">
        <v>299</v>
      </c>
      <c r="D2893">
        <v>91</v>
      </c>
      <c r="E2893" t="s">
        <v>21</v>
      </c>
      <c r="F2893">
        <f>tbl_AQI[[#This Row],[Most AQI Reached]]-tbl_AQI[[#This Row],[Current AQI]]</f>
        <v>208</v>
      </c>
      <c r="G28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93">
        <f>RANK(tbl_AQI[[#This Row],[Current AQI]], tbl_AQI[Current AQI], 0)</f>
        <v>3726</v>
      </c>
    </row>
    <row r="2894" spans="1:8" x14ac:dyDescent="0.35">
      <c r="A2894" t="s">
        <v>2839</v>
      </c>
      <c r="B2894" t="s">
        <v>2911</v>
      </c>
      <c r="C2894">
        <v>155</v>
      </c>
      <c r="D2894">
        <v>94</v>
      </c>
      <c r="E2894" t="s">
        <v>21</v>
      </c>
      <c r="F2894">
        <f>tbl_AQI[[#This Row],[Most AQI Reached]]-tbl_AQI[[#This Row],[Current AQI]]</f>
        <v>61</v>
      </c>
      <c r="G28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94">
        <f>RANK(tbl_AQI[[#This Row],[Current AQI]], tbl_AQI[Current AQI], 0)</f>
        <v>3654</v>
      </c>
    </row>
    <row r="2895" spans="1:8" x14ac:dyDescent="0.35">
      <c r="A2895" t="s">
        <v>2839</v>
      </c>
      <c r="B2895" t="s">
        <v>2912</v>
      </c>
      <c r="C2895">
        <v>40</v>
      </c>
      <c r="D2895">
        <v>40</v>
      </c>
      <c r="E2895" t="s">
        <v>15</v>
      </c>
      <c r="F2895">
        <f>tbl_AQI[[#This Row],[Most AQI Reached]]-tbl_AQI[[#This Row],[Current AQI]]</f>
        <v>0</v>
      </c>
      <c r="G28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95">
        <f>RANK(tbl_AQI[[#This Row],[Current AQI]], tbl_AQI[Current AQI], 0)</f>
        <v>4808</v>
      </c>
    </row>
    <row r="2896" spans="1:8" x14ac:dyDescent="0.35">
      <c r="A2896" t="s">
        <v>2839</v>
      </c>
      <c r="B2896" t="s">
        <v>2913</v>
      </c>
      <c r="C2896">
        <v>317</v>
      </c>
      <c r="D2896">
        <v>37</v>
      </c>
      <c r="E2896" t="s">
        <v>11</v>
      </c>
      <c r="F2896">
        <f>tbl_AQI[[#This Row],[Most AQI Reached]]-tbl_AQI[[#This Row],[Current AQI]]</f>
        <v>280</v>
      </c>
      <c r="G28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896">
        <f>RANK(tbl_AQI[[#This Row],[Current AQI]], tbl_AQI[Current AQI], 0)</f>
        <v>4863</v>
      </c>
    </row>
    <row r="2897" spans="1:8" x14ac:dyDescent="0.35">
      <c r="A2897" t="s">
        <v>2839</v>
      </c>
      <c r="B2897" t="s">
        <v>2914</v>
      </c>
      <c r="C2897">
        <v>244</v>
      </c>
      <c r="D2897">
        <v>63</v>
      </c>
      <c r="E2897" t="s">
        <v>15</v>
      </c>
      <c r="F2897">
        <f>tbl_AQI[[#This Row],[Most AQI Reached]]-tbl_AQI[[#This Row],[Current AQI]]</f>
        <v>181</v>
      </c>
      <c r="G28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897">
        <f>RANK(tbl_AQI[[#This Row],[Current AQI]], tbl_AQI[Current AQI], 0)</f>
        <v>4322</v>
      </c>
    </row>
    <row r="2898" spans="1:8" x14ac:dyDescent="0.35">
      <c r="A2898" t="s">
        <v>2839</v>
      </c>
      <c r="B2898" t="s">
        <v>2915</v>
      </c>
      <c r="C2898">
        <v>319</v>
      </c>
      <c r="D2898">
        <v>151</v>
      </c>
      <c r="E2898" t="s">
        <v>9</v>
      </c>
      <c r="F2898">
        <f>tbl_AQI[[#This Row],[Most AQI Reached]]-tbl_AQI[[#This Row],[Current AQI]]</f>
        <v>168</v>
      </c>
      <c r="G28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98">
        <f>RANK(tbl_AQI[[#This Row],[Current AQI]], tbl_AQI[Current AQI], 0)</f>
        <v>2376</v>
      </c>
    </row>
    <row r="2899" spans="1:8" x14ac:dyDescent="0.35">
      <c r="A2899" t="s">
        <v>2839</v>
      </c>
      <c r="B2899" t="s">
        <v>2916</v>
      </c>
      <c r="C2899">
        <v>236</v>
      </c>
      <c r="D2899">
        <v>142</v>
      </c>
      <c r="E2899" t="s">
        <v>9</v>
      </c>
      <c r="F2899">
        <f>tbl_AQI[[#This Row],[Most AQI Reached]]-tbl_AQI[[#This Row],[Current AQI]]</f>
        <v>94</v>
      </c>
      <c r="G28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899">
        <f>RANK(tbl_AQI[[#This Row],[Current AQI]], tbl_AQI[Current AQI], 0)</f>
        <v>2585</v>
      </c>
    </row>
    <row r="2900" spans="1:8" x14ac:dyDescent="0.35">
      <c r="A2900" t="s">
        <v>2839</v>
      </c>
      <c r="B2900" t="s">
        <v>2917</v>
      </c>
      <c r="C2900">
        <v>118</v>
      </c>
      <c r="D2900">
        <v>116</v>
      </c>
      <c r="E2900" t="s">
        <v>33</v>
      </c>
      <c r="F2900">
        <f>tbl_AQI[[#This Row],[Most AQI Reached]]-tbl_AQI[[#This Row],[Current AQI]]</f>
        <v>2</v>
      </c>
      <c r="G29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00">
        <f>RANK(tbl_AQI[[#This Row],[Current AQI]], tbl_AQI[Current AQI], 0)</f>
        <v>3173</v>
      </c>
    </row>
    <row r="2901" spans="1:8" x14ac:dyDescent="0.35">
      <c r="A2901" t="s">
        <v>2839</v>
      </c>
      <c r="B2901" t="s">
        <v>2918</v>
      </c>
      <c r="C2901">
        <v>54</v>
      </c>
      <c r="D2901">
        <v>43</v>
      </c>
      <c r="E2901" t="s">
        <v>9</v>
      </c>
      <c r="F2901">
        <f>tbl_AQI[[#This Row],[Most AQI Reached]]-tbl_AQI[[#This Row],[Current AQI]]</f>
        <v>11</v>
      </c>
      <c r="G29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01">
        <f>RANK(tbl_AQI[[#This Row],[Current AQI]], tbl_AQI[Current AQI], 0)</f>
        <v>4752</v>
      </c>
    </row>
    <row r="2902" spans="1:8" x14ac:dyDescent="0.35">
      <c r="A2902" t="s">
        <v>2839</v>
      </c>
      <c r="B2902" t="s">
        <v>2919</v>
      </c>
      <c r="C2902">
        <v>195</v>
      </c>
      <c r="D2902">
        <v>177</v>
      </c>
      <c r="E2902" t="s">
        <v>11</v>
      </c>
      <c r="F2902">
        <f>tbl_AQI[[#This Row],[Most AQI Reached]]-tbl_AQI[[#This Row],[Current AQI]]</f>
        <v>18</v>
      </c>
      <c r="G29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02">
        <f>RANK(tbl_AQI[[#This Row],[Current AQI]], tbl_AQI[Current AQI], 0)</f>
        <v>1733</v>
      </c>
    </row>
    <row r="2903" spans="1:8" x14ac:dyDescent="0.35">
      <c r="A2903" t="s">
        <v>2839</v>
      </c>
      <c r="B2903" t="s">
        <v>2920</v>
      </c>
      <c r="C2903">
        <v>199</v>
      </c>
      <c r="D2903">
        <v>70</v>
      </c>
      <c r="E2903" t="s">
        <v>9</v>
      </c>
      <c r="F2903">
        <f>tbl_AQI[[#This Row],[Most AQI Reached]]-tbl_AQI[[#This Row],[Current AQI]]</f>
        <v>129</v>
      </c>
      <c r="G29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03">
        <f>RANK(tbl_AQI[[#This Row],[Current AQI]], tbl_AQI[Current AQI], 0)</f>
        <v>4153</v>
      </c>
    </row>
    <row r="2904" spans="1:8" x14ac:dyDescent="0.35">
      <c r="A2904" t="s">
        <v>2839</v>
      </c>
      <c r="B2904" t="s">
        <v>2921</v>
      </c>
      <c r="C2904">
        <v>194</v>
      </c>
      <c r="D2904">
        <v>102</v>
      </c>
      <c r="E2904" t="s">
        <v>7</v>
      </c>
      <c r="F2904">
        <f>tbl_AQI[[#This Row],[Most AQI Reached]]-tbl_AQI[[#This Row],[Current AQI]]</f>
        <v>92</v>
      </c>
      <c r="G29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04">
        <f>RANK(tbl_AQI[[#This Row],[Current AQI]], tbl_AQI[Current AQI], 0)</f>
        <v>3493</v>
      </c>
    </row>
    <row r="2905" spans="1:8" x14ac:dyDescent="0.35">
      <c r="A2905" t="s">
        <v>2839</v>
      </c>
      <c r="B2905" t="s">
        <v>2922</v>
      </c>
      <c r="C2905">
        <v>313</v>
      </c>
      <c r="D2905">
        <v>168</v>
      </c>
      <c r="E2905" t="s">
        <v>17</v>
      </c>
      <c r="F2905">
        <f>tbl_AQI[[#This Row],[Most AQI Reached]]-tbl_AQI[[#This Row],[Current AQI]]</f>
        <v>145</v>
      </c>
      <c r="G29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05">
        <f>RANK(tbl_AQI[[#This Row],[Current AQI]], tbl_AQI[Current AQI], 0)</f>
        <v>1954</v>
      </c>
    </row>
    <row r="2906" spans="1:8" x14ac:dyDescent="0.35">
      <c r="A2906" t="s">
        <v>2839</v>
      </c>
      <c r="B2906" t="s">
        <v>2923</v>
      </c>
      <c r="C2906">
        <v>239</v>
      </c>
      <c r="D2906">
        <v>148</v>
      </c>
      <c r="E2906" t="s">
        <v>21</v>
      </c>
      <c r="F2906">
        <f>tbl_AQI[[#This Row],[Most AQI Reached]]-tbl_AQI[[#This Row],[Current AQI]]</f>
        <v>91</v>
      </c>
      <c r="G29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06">
        <f>RANK(tbl_AQI[[#This Row],[Current AQI]], tbl_AQI[Current AQI], 0)</f>
        <v>2446</v>
      </c>
    </row>
    <row r="2907" spans="1:8" x14ac:dyDescent="0.35">
      <c r="A2907" t="s">
        <v>2839</v>
      </c>
      <c r="B2907" t="s">
        <v>2924</v>
      </c>
      <c r="C2907">
        <v>190</v>
      </c>
      <c r="D2907">
        <v>146</v>
      </c>
      <c r="E2907" t="s">
        <v>9</v>
      </c>
      <c r="F2907">
        <f>tbl_AQI[[#This Row],[Most AQI Reached]]-tbl_AQI[[#This Row],[Current AQI]]</f>
        <v>44</v>
      </c>
      <c r="G29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07">
        <f>RANK(tbl_AQI[[#This Row],[Current AQI]], tbl_AQI[Current AQI], 0)</f>
        <v>2499</v>
      </c>
    </row>
    <row r="2908" spans="1:8" x14ac:dyDescent="0.35">
      <c r="A2908" t="s">
        <v>2839</v>
      </c>
      <c r="B2908" t="s">
        <v>2925</v>
      </c>
      <c r="C2908">
        <v>290</v>
      </c>
      <c r="D2908">
        <v>148</v>
      </c>
      <c r="E2908" t="s">
        <v>9</v>
      </c>
      <c r="F2908">
        <f>tbl_AQI[[#This Row],[Most AQI Reached]]-tbl_AQI[[#This Row],[Current AQI]]</f>
        <v>142</v>
      </c>
      <c r="G29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08">
        <f>RANK(tbl_AQI[[#This Row],[Current AQI]], tbl_AQI[Current AQI], 0)</f>
        <v>2446</v>
      </c>
    </row>
    <row r="2909" spans="1:8" x14ac:dyDescent="0.35">
      <c r="A2909" t="s">
        <v>2839</v>
      </c>
      <c r="B2909" t="s">
        <v>2926</v>
      </c>
      <c r="C2909">
        <v>217</v>
      </c>
      <c r="D2909">
        <v>32</v>
      </c>
      <c r="E2909" t="s">
        <v>17</v>
      </c>
      <c r="F2909">
        <f>tbl_AQI[[#This Row],[Most AQI Reached]]-tbl_AQI[[#This Row],[Current AQI]]</f>
        <v>185</v>
      </c>
      <c r="G29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09">
        <f>RANK(tbl_AQI[[#This Row],[Current AQI]], tbl_AQI[Current AQI], 0)</f>
        <v>4983</v>
      </c>
    </row>
    <row r="2910" spans="1:8" x14ac:dyDescent="0.35">
      <c r="A2910" t="s">
        <v>2839</v>
      </c>
      <c r="B2910" t="s">
        <v>2927</v>
      </c>
      <c r="C2910">
        <v>292</v>
      </c>
      <c r="D2910">
        <v>158</v>
      </c>
      <c r="E2910" t="s">
        <v>17</v>
      </c>
      <c r="F2910">
        <f>tbl_AQI[[#This Row],[Most AQI Reached]]-tbl_AQI[[#This Row],[Current AQI]]</f>
        <v>134</v>
      </c>
      <c r="G29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10">
        <f>RANK(tbl_AQI[[#This Row],[Current AQI]], tbl_AQI[Current AQI], 0)</f>
        <v>2207</v>
      </c>
    </row>
    <row r="2911" spans="1:8" x14ac:dyDescent="0.35">
      <c r="A2911" t="s">
        <v>2839</v>
      </c>
      <c r="B2911" t="s">
        <v>2928</v>
      </c>
      <c r="C2911">
        <v>170</v>
      </c>
      <c r="D2911">
        <v>82</v>
      </c>
      <c r="E2911" t="s">
        <v>7</v>
      </c>
      <c r="F2911">
        <f>tbl_AQI[[#This Row],[Most AQI Reached]]-tbl_AQI[[#This Row],[Current AQI]]</f>
        <v>88</v>
      </c>
      <c r="G29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11">
        <f>RANK(tbl_AQI[[#This Row],[Current AQI]], tbl_AQI[Current AQI], 0)</f>
        <v>3904</v>
      </c>
    </row>
    <row r="2912" spans="1:8" x14ac:dyDescent="0.35">
      <c r="A2912" t="s">
        <v>2839</v>
      </c>
      <c r="B2912" t="s">
        <v>2929</v>
      </c>
      <c r="C2912">
        <v>290</v>
      </c>
      <c r="D2912">
        <v>171</v>
      </c>
      <c r="E2912" t="s">
        <v>21</v>
      </c>
      <c r="F2912">
        <f>tbl_AQI[[#This Row],[Most AQI Reached]]-tbl_AQI[[#This Row],[Current AQI]]</f>
        <v>119</v>
      </c>
      <c r="G29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12">
        <f>RANK(tbl_AQI[[#This Row],[Current AQI]], tbl_AQI[Current AQI], 0)</f>
        <v>1866</v>
      </c>
    </row>
    <row r="2913" spans="1:8" x14ac:dyDescent="0.35">
      <c r="A2913" t="s">
        <v>2839</v>
      </c>
      <c r="B2913" t="s">
        <v>2930</v>
      </c>
      <c r="C2913">
        <v>94</v>
      </c>
      <c r="D2913">
        <v>90</v>
      </c>
      <c r="E2913" t="s">
        <v>21</v>
      </c>
      <c r="F2913">
        <f>tbl_AQI[[#This Row],[Most AQI Reached]]-tbl_AQI[[#This Row],[Current AQI]]</f>
        <v>4</v>
      </c>
      <c r="G29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13">
        <f>RANK(tbl_AQI[[#This Row],[Current AQI]], tbl_AQI[Current AQI], 0)</f>
        <v>3750</v>
      </c>
    </row>
    <row r="2914" spans="1:8" x14ac:dyDescent="0.35">
      <c r="A2914" t="s">
        <v>2839</v>
      </c>
      <c r="B2914" t="s">
        <v>2931</v>
      </c>
      <c r="C2914">
        <v>203</v>
      </c>
      <c r="D2914">
        <v>186</v>
      </c>
      <c r="E2914" t="s">
        <v>11</v>
      </c>
      <c r="F2914">
        <f>tbl_AQI[[#This Row],[Most AQI Reached]]-tbl_AQI[[#This Row],[Current AQI]]</f>
        <v>17</v>
      </c>
      <c r="G29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14">
        <f>RANK(tbl_AQI[[#This Row],[Current AQI]], tbl_AQI[Current AQI], 0)</f>
        <v>1478</v>
      </c>
    </row>
    <row r="2915" spans="1:8" x14ac:dyDescent="0.35">
      <c r="A2915" t="s">
        <v>2839</v>
      </c>
      <c r="B2915" t="s">
        <v>2932</v>
      </c>
      <c r="C2915">
        <v>183</v>
      </c>
      <c r="D2915">
        <v>87</v>
      </c>
      <c r="E2915" t="s">
        <v>17</v>
      </c>
      <c r="F2915">
        <f>tbl_AQI[[#This Row],[Most AQI Reached]]-tbl_AQI[[#This Row],[Current AQI]]</f>
        <v>96</v>
      </c>
      <c r="G29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15">
        <f>RANK(tbl_AQI[[#This Row],[Current AQI]], tbl_AQI[Current AQI], 0)</f>
        <v>3813</v>
      </c>
    </row>
    <row r="2916" spans="1:8" x14ac:dyDescent="0.35">
      <c r="A2916" t="s">
        <v>2839</v>
      </c>
      <c r="B2916" t="s">
        <v>2933</v>
      </c>
      <c r="C2916">
        <v>200</v>
      </c>
      <c r="D2916">
        <v>91</v>
      </c>
      <c r="E2916" t="s">
        <v>9</v>
      </c>
      <c r="F2916">
        <f>tbl_AQI[[#This Row],[Most AQI Reached]]-tbl_AQI[[#This Row],[Current AQI]]</f>
        <v>109</v>
      </c>
      <c r="G29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16">
        <f>RANK(tbl_AQI[[#This Row],[Current AQI]], tbl_AQI[Current AQI], 0)</f>
        <v>3726</v>
      </c>
    </row>
    <row r="2917" spans="1:8" x14ac:dyDescent="0.35">
      <c r="A2917" t="s">
        <v>2839</v>
      </c>
      <c r="B2917" t="s">
        <v>2934</v>
      </c>
      <c r="C2917">
        <v>241</v>
      </c>
      <c r="D2917">
        <v>137</v>
      </c>
      <c r="E2917" t="s">
        <v>17</v>
      </c>
      <c r="F2917">
        <f>tbl_AQI[[#This Row],[Most AQI Reached]]-tbl_AQI[[#This Row],[Current AQI]]</f>
        <v>104</v>
      </c>
      <c r="G29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17">
        <f>RANK(tbl_AQI[[#This Row],[Current AQI]], tbl_AQI[Current AQI], 0)</f>
        <v>2677</v>
      </c>
    </row>
    <row r="2918" spans="1:8" x14ac:dyDescent="0.35">
      <c r="A2918" t="s">
        <v>2839</v>
      </c>
      <c r="B2918" t="s">
        <v>2935</v>
      </c>
      <c r="C2918">
        <v>168</v>
      </c>
      <c r="D2918">
        <v>92</v>
      </c>
      <c r="E2918" t="s">
        <v>33</v>
      </c>
      <c r="F2918">
        <f>tbl_AQI[[#This Row],[Most AQI Reached]]-tbl_AQI[[#This Row],[Current AQI]]</f>
        <v>76</v>
      </c>
      <c r="G29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18">
        <f>RANK(tbl_AQI[[#This Row],[Current AQI]], tbl_AQI[Current AQI], 0)</f>
        <v>3706</v>
      </c>
    </row>
    <row r="2919" spans="1:8" x14ac:dyDescent="0.35">
      <c r="A2919" t="s">
        <v>2839</v>
      </c>
      <c r="B2919" t="s">
        <v>2936</v>
      </c>
      <c r="C2919">
        <v>308</v>
      </c>
      <c r="D2919">
        <v>173</v>
      </c>
      <c r="E2919" t="s">
        <v>9</v>
      </c>
      <c r="F2919">
        <f>tbl_AQI[[#This Row],[Most AQI Reached]]-tbl_AQI[[#This Row],[Current AQI]]</f>
        <v>135</v>
      </c>
      <c r="G29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19">
        <f>RANK(tbl_AQI[[#This Row],[Current AQI]], tbl_AQI[Current AQI], 0)</f>
        <v>1826</v>
      </c>
    </row>
    <row r="2920" spans="1:8" x14ac:dyDescent="0.35">
      <c r="A2920" t="s">
        <v>2839</v>
      </c>
      <c r="B2920" t="s">
        <v>2937</v>
      </c>
      <c r="C2920">
        <v>74</v>
      </c>
      <c r="D2920">
        <v>48</v>
      </c>
      <c r="E2920" t="s">
        <v>33</v>
      </c>
      <c r="F2920">
        <f>tbl_AQI[[#This Row],[Most AQI Reached]]-tbl_AQI[[#This Row],[Current AQI]]</f>
        <v>26</v>
      </c>
      <c r="G29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20">
        <f>RANK(tbl_AQI[[#This Row],[Current AQI]], tbl_AQI[Current AQI], 0)</f>
        <v>4638</v>
      </c>
    </row>
    <row r="2921" spans="1:8" x14ac:dyDescent="0.35">
      <c r="A2921" t="s">
        <v>2839</v>
      </c>
      <c r="B2921" t="s">
        <v>2938</v>
      </c>
      <c r="C2921">
        <v>188</v>
      </c>
      <c r="D2921">
        <v>109</v>
      </c>
      <c r="E2921" t="s">
        <v>15</v>
      </c>
      <c r="F2921">
        <f>tbl_AQI[[#This Row],[Most AQI Reached]]-tbl_AQI[[#This Row],[Current AQI]]</f>
        <v>79</v>
      </c>
      <c r="G29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21">
        <f>RANK(tbl_AQI[[#This Row],[Current AQI]], tbl_AQI[Current AQI], 0)</f>
        <v>3338</v>
      </c>
    </row>
    <row r="2922" spans="1:8" x14ac:dyDescent="0.35">
      <c r="A2922" t="s">
        <v>2839</v>
      </c>
      <c r="B2922" t="s">
        <v>2939</v>
      </c>
      <c r="C2922">
        <v>179</v>
      </c>
      <c r="D2922">
        <v>113</v>
      </c>
      <c r="E2922" t="s">
        <v>7</v>
      </c>
      <c r="F2922">
        <f>tbl_AQI[[#This Row],[Most AQI Reached]]-tbl_AQI[[#This Row],[Current AQI]]</f>
        <v>66</v>
      </c>
      <c r="G29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22">
        <f>RANK(tbl_AQI[[#This Row],[Current AQI]], tbl_AQI[Current AQI], 0)</f>
        <v>3243</v>
      </c>
    </row>
    <row r="2923" spans="1:8" x14ac:dyDescent="0.35">
      <c r="A2923" t="s">
        <v>2839</v>
      </c>
      <c r="B2923" t="s">
        <v>2940</v>
      </c>
      <c r="C2923">
        <v>319</v>
      </c>
      <c r="D2923">
        <v>129</v>
      </c>
      <c r="E2923" t="s">
        <v>7</v>
      </c>
      <c r="F2923">
        <f>tbl_AQI[[#This Row],[Most AQI Reached]]-tbl_AQI[[#This Row],[Current AQI]]</f>
        <v>190</v>
      </c>
      <c r="G29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23">
        <f>RANK(tbl_AQI[[#This Row],[Current AQI]], tbl_AQI[Current AQI], 0)</f>
        <v>2852</v>
      </c>
    </row>
    <row r="2924" spans="1:8" x14ac:dyDescent="0.35">
      <c r="A2924" t="s">
        <v>2839</v>
      </c>
      <c r="B2924" t="s">
        <v>2941</v>
      </c>
      <c r="C2924">
        <v>287</v>
      </c>
      <c r="D2924">
        <v>140</v>
      </c>
      <c r="E2924" t="s">
        <v>21</v>
      </c>
      <c r="F2924">
        <f>tbl_AQI[[#This Row],[Most AQI Reached]]-tbl_AQI[[#This Row],[Current AQI]]</f>
        <v>147</v>
      </c>
      <c r="G29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24">
        <f>RANK(tbl_AQI[[#This Row],[Current AQI]], tbl_AQI[Current AQI], 0)</f>
        <v>2627</v>
      </c>
    </row>
    <row r="2925" spans="1:8" x14ac:dyDescent="0.35">
      <c r="A2925" t="s">
        <v>2839</v>
      </c>
      <c r="B2925" t="s">
        <v>2942</v>
      </c>
      <c r="C2925">
        <v>276</v>
      </c>
      <c r="D2925">
        <v>173</v>
      </c>
      <c r="E2925" t="s">
        <v>7</v>
      </c>
      <c r="F2925">
        <f>tbl_AQI[[#This Row],[Most AQI Reached]]-tbl_AQI[[#This Row],[Current AQI]]</f>
        <v>103</v>
      </c>
      <c r="G29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25">
        <f>RANK(tbl_AQI[[#This Row],[Current AQI]], tbl_AQI[Current AQI], 0)</f>
        <v>1826</v>
      </c>
    </row>
    <row r="2926" spans="1:8" x14ac:dyDescent="0.35">
      <c r="A2926" t="s">
        <v>2839</v>
      </c>
      <c r="B2926" t="s">
        <v>2943</v>
      </c>
      <c r="C2926">
        <v>245</v>
      </c>
      <c r="D2926">
        <v>177</v>
      </c>
      <c r="E2926" t="s">
        <v>21</v>
      </c>
      <c r="F2926">
        <f>tbl_AQI[[#This Row],[Most AQI Reached]]-tbl_AQI[[#This Row],[Current AQI]]</f>
        <v>68</v>
      </c>
      <c r="G29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26">
        <f>RANK(tbl_AQI[[#This Row],[Current AQI]], tbl_AQI[Current AQI], 0)</f>
        <v>1733</v>
      </c>
    </row>
    <row r="2927" spans="1:8" x14ac:dyDescent="0.35">
      <c r="A2927" t="s">
        <v>2839</v>
      </c>
      <c r="B2927" t="s">
        <v>2944</v>
      </c>
      <c r="C2927">
        <v>128</v>
      </c>
      <c r="D2927">
        <v>68</v>
      </c>
      <c r="E2927" t="s">
        <v>15</v>
      </c>
      <c r="F2927">
        <f>tbl_AQI[[#This Row],[Most AQI Reached]]-tbl_AQI[[#This Row],[Current AQI]]</f>
        <v>60</v>
      </c>
      <c r="G29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27">
        <f>RANK(tbl_AQI[[#This Row],[Current AQI]], tbl_AQI[Current AQI], 0)</f>
        <v>4204</v>
      </c>
    </row>
    <row r="2928" spans="1:8" x14ac:dyDescent="0.35">
      <c r="A2928" t="s">
        <v>2839</v>
      </c>
      <c r="B2928" t="s">
        <v>2945</v>
      </c>
      <c r="C2928">
        <v>292</v>
      </c>
      <c r="D2928">
        <v>39</v>
      </c>
      <c r="E2928" t="s">
        <v>7</v>
      </c>
      <c r="F2928">
        <f>tbl_AQI[[#This Row],[Most AQI Reached]]-tbl_AQI[[#This Row],[Current AQI]]</f>
        <v>253</v>
      </c>
      <c r="G29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28">
        <f>RANK(tbl_AQI[[#This Row],[Current AQI]], tbl_AQI[Current AQI], 0)</f>
        <v>4829</v>
      </c>
    </row>
    <row r="2929" spans="1:8" x14ac:dyDescent="0.35">
      <c r="A2929" t="s">
        <v>2839</v>
      </c>
      <c r="B2929" t="s">
        <v>2946</v>
      </c>
      <c r="C2929">
        <v>144</v>
      </c>
      <c r="D2929">
        <v>75</v>
      </c>
      <c r="E2929" t="s">
        <v>17</v>
      </c>
      <c r="F2929">
        <f>tbl_AQI[[#This Row],[Most AQI Reached]]-tbl_AQI[[#This Row],[Current AQI]]</f>
        <v>69</v>
      </c>
      <c r="G29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29">
        <f>RANK(tbl_AQI[[#This Row],[Current AQI]], tbl_AQI[Current AQI], 0)</f>
        <v>4041</v>
      </c>
    </row>
    <row r="2930" spans="1:8" x14ac:dyDescent="0.35">
      <c r="A2930" t="s">
        <v>2839</v>
      </c>
      <c r="B2930" t="s">
        <v>2947</v>
      </c>
      <c r="C2930">
        <v>199</v>
      </c>
      <c r="D2930">
        <v>131</v>
      </c>
      <c r="E2930" t="s">
        <v>17</v>
      </c>
      <c r="F2930">
        <f>tbl_AQI[[#This Row],[Most AQI Reached]]-tbl_AQI[[#This Row],[Current AQI]]</f>
        <v>68</v>
      </c>
      <c r="G29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30">
        <f>RANK(tbl_AQI[[#This Row],[Current AQI]], tbl_AQI[Current AQI], 0)</f>
        <v>2815</v>
      </c>
    </row>
    <row r="2931" spans="1:8" x14ac:dyDescent="0.35">
      <c r="A2931" t="s">
        <v>2839</v>
      </c>
      <c r="B2931" t="s">
        <v>2948</v>
      </c>
      <c r="C2931">
        <v>274</v>
      </c>
      <c r="D2931">
        <v>95</v>
      </c>
      <c r="E2931" t="s">
        <v>15</v>
      </c>
      <c r="F2931">
        <f>tbl_AQI[[#This Row],[Most AQI Reached]]-tbl_AQI[[#This Row],[Current AQI]]</f>
        <v>179</v>
      </c>
      <c r="G29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31">
        <f>RANK(tbl_AQI[[#This Row],[Current AQI]], tbl_AQI[Current AQI], 0)</f>
        <v>3634</v>
      </c>
    </row>
    <row r="2932" spans="1:8" x14ac:dyDescent="0.35">
      <c r="A2932" t="s">
        <v>2839</v>
      </c>
      <c r="B2932" t="s">
        <v>2949</v>
      </c>
      <c r="C2932">
        <v>193</v>
      </c>
      <c r="D2932">
        <v>31</v>
      </c>
      <c r="E2932" t="s">
        <v>7</v>
      </c>
      <c r="F2932">
        <f>tbl_AQI[[#This Row],[Most AQI Reached]]-tbl_AQI[[#This Row],[Current AQI]]</f>
        <v>162</v>
      </c>
      <c r="G29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32">
        <f>RANK(tbl_AQI[[#This Row],[Current AQI]], tbl_AQI[Current AQI], 0)</f>
        <v>5016</v>
      </c>
    </row>
    <row r="2933" spans="1:8" x14ac:dyDescent="0.35">
      <c r="A2933" t="s">
        <v>2839</v>
      </c>
      <c r="B2933" t="s">
        <v>2950</v>
      </c>
      <c r="C2933">
        <v>231</v>
      </c>
      <c r="D2933">
        <v>190</v>
      </c>
      <c r="E2933" t="s">
        <v>15</v>
      </c>
      <c r="F2933">
        <f>tbl_AQI[[#This Row],[Most AQI Reached]]-tbl_AQI[[#This Row],[Current AQI]]</f>
        <v>41</v>
      </c>
      <c r="G29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33">
        <f>RANK(tbl_AQI[[#This Row],[Current AQI]], tbl_AQI[Current AQI], 0)</f>
        <v>1355</v>
      </c>
    </row>
    <row r="2934" spans="1:8" x14ac:dyDescent="0.35">
      <c r="A2934" t="s">
        <v>2839</v>
      </c>
      <c r="B2934" t="s">
        <v>2951</v>
      </c>
      <c r="C2934">
        <v>315</v>
      </c>
      <c r="D2934">
        <v>122</v>
      </c>
      <c r="E2934" t="s">
        <v>21</v>
      </c>
      <c r="F2934">
        <f>tbl_AQI[[#This Row],[Most AQI Reached]]-tbl_AQI[[#This Row],[Current AQI]]</f>
        <v>193</v>
      </c>
      <c r="G29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34">
        <f>RANK(tbl_AQI[[#This Row],[Current AQI]], tbl_AQI[Current AQI], 0)</f>
        <v>3013</v>
      </c>
    </row>
    <row r="2935" spans="1:8" x14ac:dyDescent="0.35">
      <c r="A2935" t="s">
        <v>2952</v>
      </c>
      <c r="B2935" t="s">
        <v>2953</v>
      </c>
      <c r="C2935">
        <v>206</v>
      </c>
      <c r="D2935">
        <v>57</v>
      </c>
      <c r="E2935" t="s">
        <v>7</v>
      </c>
      <c r="F2935">
        <f>tbl_AQI[[#This Row],[Most AQI Reached]]-tbl_AQI[[#This Row],[Current AQI]]</f>
        <v>149</v>
      </c>
      <c r="G29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35">
        <f>RANK(tbl_AQI[[#This Row],[Current AQI]], tbl_AQI[Current AQI], 0)</f>
        <v>4452</v>
      </c>
    </row>
    <row r="2936" spans="1:8" x14ac:dyDescent="0.35">
      <c r="A2936" t="s">
        <v>2952</v>
      </c>
      <c r="B2936" t="s">
        <v>2954</v>
      </c>
      <c r="C2936">
        <v>303</v>
      </c>
      <c r="D2936">
        <v>59</v>
      </c>
      <c r="E2936" t="s">
        <v>7</v>
      </c>
      <c r="F2936">
        <f>tbl_AQI[[#This Row],[Most AQI Reached]]-tbl_AQI[[#This Row],[Current AQI]]</f>
        <v>244</v>
      </c>
      <c r="G29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36">
        <f>RANK(tbl_AQI[[#This Row],[Current AQI]], tbl_AQI[Current AQI], 0)</f>
        <v>4416</v>
      </c>
    </row>
    <row r="2937" spans="1:8" x14ac:dyDescent="0.35">
      <c r="A2937" t="s">
        <v>2952</v>
      </c>
      <c r="B2937" t="s">
        <v>2955</v>
      </c>
      <c r="C2937">
        <v>195</v>
      </c>
      <c r="D2937">
        <v>90</v>
      </c>
      <c r="E2937" t="s">
        <v>21</v>
      </c>
      <c r="F2937">
        <f>tbl_AQI[[#This Row],[Most AQI Reached]]-tbl_AQI[[#This Row],[Current AQI]]</f>
        <v>105</v>
      </c>
      <c r="G29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37">
        <f>RANK(tbl_AQI[[#This Row],[Current AQI]], tbl_AQI[Current AQI], 0)</f>
        <v>3750</v>
      </c>
    </row>
    <row r="2938" spans="1:8" x14ac:dyDescent="0.35">
      <c r="A2938" t="s">
        <v>2952</v>
      </c>
      <c r="B2938" t="s">
        <v>2956</v>
      </c>
      <c r="C2938">
        <v>260</v>
      </c>
      <c r="D2938">
        <v>185</v>
      </c>
      <c r="E2938" t="s">
        <v>33</v>
      </c>
      <c r="F2938">
        <f>tbl_AQI[[#This Row],[Most AQI Reached]]-tbl_AQI[[#This Row],[Current AQI]]</f>
        <v>75</v>
      </c>
      <c r="G29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38">
        <f>RANK(tbl_AQI[[#This Row],[Current AQI]], tbl_AQI[Current AQI], 0)</f>
        <v>1517</v>
      </c>
    </row>
    <row r="2939" spans="1:8" x14ac:dyDescent="0.35">
      <c r="A2939" t="s">
        <v>2952</v>
      </c>
      <c r="B2939" t="s">
        <v>2957</v>
      </c>
      <c r="C2939">
        <v>237</v>
      </c>
      <c r="D2939">
        <v>170</v>
      </c>
      <c r="E2939" t="s">
        <v>7</v>
      </c>
      <c r="F2939">
        <f>tbl_AQI[[#This Row],[Most AQI Reached]]-tbl_AQI[[#This Row],[Current AQI]]</f>
        <v>67</v>
      </c>
      <c r="G29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39">
        <f>RANK(tbl_AQI[[#This Row],[Current AQI]], tbl_AQI[Current AQI], 0)</f>
        <v>1898</v>
      </c>
    </row>
    <row r="2940" spans="1:8" x14ac:dyDescent="0.35">
      <c r="A2940" t="s">
        <v>2952</v>
      </c>
      <c r="B2940" t="s">
        <v>2958</v>
      </c>
      <c r="C2940">
        <v>288</v>
      </c>
      <c r="D2940">
        <v>181</v>
      </c>
      <c r="E2940" t="s">
        <v>33</v>
      </c>
      <c r="F2940">
        <f>tbl_AQI[[#This Row],[Most AQI Reached]]-tbl_AQI[[#This Row],[Current AQI]]</f>
        <v>107</v>
      </c>
      <c r="G29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40">
        <f>RANK(tbl_AQI[[#This Row],[Current AQI]], tbl_AQI[Current AQI], 0)</f>
        <v>1609</v>
      </c>
    </row>
    <row r="2941" spans="1:8" x14ac:dyDescent="0.35">
      <c r="A2941" t="s">
        <v>2952</v>
      </c>
      <c r="B2941" t="s">
        <v>2959</v>
      </c>
      <c r="C2941">
        <v>123</v>
      </c>
      <c r="D2941">
        <v>82</v>
      </c>
      <c r="E2941" t="s">
        <v>11</v>
      </c>
      <c r="F2941">
        <f>tbl_AQI[[#This Row],[Most AQI Reached]]-tbl_AQI[[#This Row],[Current AQI]]</f>
        <v>41</v>
      </c>
      <c r="G29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41">
        <f>RANK(tbl_AQI[[#This Row],[Current AQI]], tbl_AQI[Current AQI], 0)</f>
        <v>3904</v>
      </c>
    </row>
    <row r="2942" spans="1:8" x14ac:dyDescent="0.35">
      <c r="A2942" t="s">
        <v>2952</v>
      </c>
      <c r="B2942" t="s">
        <v>2960</v>
      </c>
      <c r="C2942">
        <v>135</v>
      </c>
      <c r="D2942">
        <v>65</v>
      </c>
      <c r="E2942" t="s">
        <v>17</v>
      </c>
      <c r="F2942">
        <f>tbl_AQI[[#This Row],[Most AQI Reached]]-tbl_AQI[[#This Row],[Current AQI]]</f>
        <v>70</v>
      </c>
      <c r="G29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42">
        <f>RANK(tbl_AQI[[#This Row],[Current AQI]], tbl_AQI[Current AQI], 0)</f>
        <v>4267</v>
      </c>
    </row>
    <row r="2943" spans="1:8" x14ac:dyDescent="0.35">
      <c r="A2943" t="s">
        <v>2952</v>
      </c>
      <c r="B2943" t="s">
        <v>2961</v>
      </c>
      <c r="C2943">
        <v>235</v>
      </c>
      <c r="D2943">
        <v>110</v>
      </c>
      <c r="E2943" t="s">
        <v>9</v>
      </c>
      <c r="F2943">
        <f>tbl_AQI[[#This Row],[Most AQI Reached]]-tbl_AQI[[#This Row],[Current AQI]]</f>
        <v>125</v>
      </c>
      <c r="G29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43">
        <f>RANK(tbl_AQI[[#This Row],[Current AQI]], tbl_AQI[Current AQI], 0)</f>
        <v>3302</v>
      </c>
    </row>
    <row r="2944" spans="1:8" x14ac:dyDescent="0.35">
      <c r="A2944" t="s">
        <v>2952</v>
      </c>
      <c r="B2944" t="s">
        <v>2962</v>
      </c>
      <c r="C2944">
        <v>141</v>
      </c>
      <c r="D2944">
        <v>103</v>
      </c>
      <c r="E2944" t="s">
        <v>21</v>
      </c>
      <c r="F2944">
        <f>tbl_AQI[[#This Row],[Most AQI Reached]]-tbl_AQI[[#This Row],[Current AQI]]</f>
        <v>38</v>
      </c>
      <c r="G29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44">
        <f>RANK(tbl_AQI[[#This Row],[Current AQI]], tbl_AQI[Current AQI], 0)</f>
        <v>3474</v>
      </c>
    </row>
    <row r="2945" spans="1:8" x14ac:dyDescent="0.35">
      <c r="A2945" t="s">
        <v>2952</v>
      </c>
      <c r="B2945" t="s">
        <v>2963</v>
      </c>
      <c r="C2945">
        <v>101</v>
      </c>
      <c r="D2945">
        <v>86</v>
      </c>
      <c r="E2945" t="s">
        <v>17</v>
      </c>
      <c r="F2945">
        <f>tbl_AQI[[#This Row],[Most AQI Reached]]-tbl_AQI[[#This Row],[Current AQI]]</f>
        <v>15</v>
      </c>
      <c r="G29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45">
        <f>RANK(tbl_AQI[[#This Row],[Current AQI]], tbl_AQI[Current AQI], 0)</f>
        <v>3830</v>
      </c>
    </row>
    <row r="2946" spans="1:8" x14ac:dyDescent="0.35">
      <c r="A2946" t="s">
        <v>2952</v>
      </c>
      <c r="B2946" t="s">
        <v>2964</v>
      </c>
      <c r="C2946">
        <v>266</v>
      </c>
      <c r="D2946">
        <v>162</v>
      </c>
      <c r="E2946" t="s">
        <v>17</v>
      </c>
      <c r="F2946">
        <f>tbl_AQI[[#This Row],[Most AQI Reached]]-tbl_AQI[[#This Row],[Current AQI]]</f>
        <v>104</v>
      </c>
      <c r="G29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46">
        <f>RANK(tbl_AQI[[#This Row],[Current AQI]], tbl_AQI[Current AQI], 0)</f>
        <v>2106</v>
      </c>
    </row>
    <row r="2947" spans="1:8" x14ac:dyDescent="0.35">
      <c r="A2947" t="s">
        <v>2952</v>
      </c>
      <c r="B2947" t="s">
        <v>2965</v>
      </c>
      <c r="C2947">
        <v>177</v>
      </c>
      <c r="D2947">
        <v>173</v>
      </c>
      <c r="E2947" t="s">
        <v>11</v>
      </c>
      <c r="F2947">
        <f>tbl_AQI[[#This Row],[Most AQI Reached]]-tbl_AQI[[#This Row],[Current AQI]]</f>
        <v>4</v>
      </c>
      <c r="G29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47">
        <f>RANK(tbl_AQI[[#This Row],[Current AQI]], tbl_AQI[Current AQI], 0)</f>
        <v>1826</v>
      </c>
    </row>
    <row r="2948" spans="1:8" x14ac:dyDescent="0.35">
      <c r="A2948" t="s">
        <v>2952</v>
      </c>
      <c r="B2948" t="s">
        <v>2966</v>
      </c>
      <c r="C2948">
        <v>182</v>
      </c>
      <c r="D2948">
        <v>40</v>
      </c>
      <c r="E2948" t="s">
        <v>17</v>
      </c>
      <c r="F2948">
        <f>tbl_AQI[[#This Row],[Most AQI Reached]]-tbl_AQI[[#This Row],[Current AQI]]</f>
        <v>142</v>
      </c>
      <c r="G29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48">
        <f>RANK(tbl_AQI[[#This Row],[Current AQI]], tbl_AQI[Current AQI], 0)</f>
        <v>4808</v>
      </c>
    </row>
    <row r="2949" spans="1:8" x14ac:dyDescent="0.35">
      <c r="A2949" t="s">
        <v>2952</v>
      </c>
      <c r="B2949" t="s">
        <v>2967</v>
      </c>
      <c r="C2949">
        <v>228</v>
      </c>
      <c r="D2949">
        <v>33</v>
      </c>
      <c r="E2949" t="s">
        <v>17</v>
      </c>
      <c r="F2949">
        <f>tbl_AQI[[#This Row],[Most AQI Reached]]-tbl_AQI[[#This Row],[Current AQI]]</f>
        <v>195</v>
      </c>
      <c r="G29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49">
        <f>RANK(tbl_AQI[[#This Row],[Current AQI]], tbl_AQI[Current AQI], 0)</f>
        <v>4964</v>
      </c>
    </row>
    <row r="2950" spans="1:8" x14ac:dyDescent="0.35">
      <c r="A2950" t="s">
        <v>2952</v>
      </c>
      <c r="B2950" t="s">
        <v>2968</v>
      </c>
      <c r="C2950">
        <v>161</v>
      </c>
      <c r="D2950">
        <v>133</v>
      </c>
      <c r="E2950" t="s">
        <v>21</v>
      </c>
      <c r="F2950">
        <f>tbl_AQI[[#This Row],[Most AQI Reached]]-tbl_AQI[[#This Row],[Current AQI]]</f>
        <v>28</v>
      </c>
      <c r="G29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0">
        <f>RANK(tbl_AQI[[#This Row],[Current AQI]], tbl_AQI[Current AQI], 0)</f>
        <v>2758</v>
      </c>
    </row>
    <row r="2951" spans="1:8" x14ac:dyDescent="0.35">
      <c r="A2951" t="s">
        <v>2952</v>
      </c>
      <c r="B2951" t="s">
        <v>2969</v>
      </c>
      <c r="C2951">
        <v>172</v>
      </c>
      <c r="D2951">
        <v>118</v>
      </c>
      <c r="E2951" t="s">
        <v>21</v>
      </c>
      <c r="F2951">
        <f>tbl_AQI[[#This Row],[Most AQI Reached]]-tbl_AQI[[#This Row],[Current AQI]]</f>
        <v>54</v>
      </c>
      <c r="G29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1">
        <f>RANK(tbl_AQI[[#This Row],[Current AQI]], tbl_AQI[Current AQI], 0)</f>
        <v>3122</v>
      </c>
    </row>
    <row r="2952" spans="1:8" x14ac:dyDescent="0.35">
      <c r="A2952" t="s">
        <v>2952</v>
      </c>
      <c r="B2952" t="s">
        <v>2970</v>
      </c>
      <c r="C2952">
        <v>147</v>
      </c>
      <c r="D2952">
        <v>108</v>
      </c>
      <c r="E2952" t="s">
        <v>9</v>
      </c>
      <c r="F2952">
        <f>tbl_AQI[[#This Row],[Most AQI Reached]]-tbl_AQI[[#This Row],[Current AQI]]</f>
        <v>39</v>
      </c>
      <c r="G29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2">
        <f>RANK(tbl_AQI[[#This Row],[Current AQI]], tbl_AQI[Current AQI], 0)</f>
        <v>3362</v>
      </c>
    </row>
    <row r="2953" spans="1:8" x14ac:dyDescent="0.35">
      <c r="A2953" t="s">
        <v>2952</v>
      </c>
      <c r="B2953" t="s">
        <v>2971</v>
      </c>
      <c r="C2953">
        <v>226</v>
      </c>
      <c r="D2953">
        <v>77</v>
      </c>
      <c r="E2953" t="s">
        <v>21</v>
      </c>
      <c r="F2953">
        <f>tbl_AQI[[#This Row],[Most AQI Reached]]-tbl_AQI[[#This Row],[Current AQI]]</f>
        <v>149</v>
      </c>
      <c r="G29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53">
        <f>RANK(tbl_AQI[[#This Row],[Current AQI]], tbl_AQI[Current AQI], 0)</f>
        <v>4006</v>
      </c>
    </row>
    <row r="2954" spans="1:8" x14ac:dyDescent="0.35">
      <c r="A2954" t="s">
        <v>2952</v>
      </c>
      <c r="B2954" t="s">
        <v>2972</v>
      </c>
      <c r="C2954">
        <v>224</v>
      </c>
      <c r="D2954">
        <v>110</v>
      </c>
      <c r="E2954" t="s">
        <v>21</v>
      </c>
      <c r="F2954">
        <f>tbl_AQI[[#This Row],[Most AQI Reached]]-tbl_AQI[[#This Row],[Current AQI]]</f>
        <v>114</v>
      </c>
      <c r="G29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4">
        <f>RANK(tbl_AQI[[#This Row],[Current AQI]], tbl_AQI[Current AQI], 0)</f>
        <v>3302</v>
      </c>
    </row>
    <row r="2955" spans="1:8" x14ac:dyDescent="0.35">
      <c r="A2955" t="s">
        <v>2952</v>
      </c>
      <c r="B2955" t="s">
        <v>2973</v>
      </c>
      <c r="C2955">
        <v>192</v>
      </c>
      <c r="D2955">
        <v>153</v>
      </c>
      <c r="E2955" t="s">
        <v>17</v>
      </c>
      <c r="F2955">
        <f>tbl_AQI[[#This Row],[Most AQI Reached]]-tbl_AQI[[#This Row],[Current AQI]]</f>
        <v>39</v>
      </c>
      <c r="G29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5">
        <f>RANK(tbl_AQI[[#This Row],[Current AQI]], tbl_AQI[Current AQI], 0)</f>
        <v>2329</v>
      </c>
    </row>
    <row r="2956" spans="1:8" x14ac:dyDescent="0.35">
      <c r="A2956" t="s">
        <v>2952</v>
      </c>
      <c r="B2956" t="s">
        <v>2974</v>
      </c>
      <c r="C2956">
        <v>233</v>
      </c>
      <c r="D2956">
        <v>102</v>
      </c>
      <c r="E2956" t="s">
        <v>17</v>
      </c>
      <c r="F2956">
        <f>tbl_AQI[[#This Row],[Most AQI Reached]]-tbl_AQI[[#This Row],[Current AQI]]</f>
        <v>131</v>
      </c>
      <c r="G29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6">
        <f>RANK(tbl_AQI[[#This Row],[Current AQI]], tbl_AQI[Current AQI], 0)</f>
        <v>3493</v>
      </c>
    </row>
    <row r="2957" spans="1:8" x14ac:dyDescent="0.35">
      <c r="A2957" t="s">
        <v>2952</v>
      </c>
      <c r="B2957" t="s">
        <v>2975</v>
      </c>
      <c r="C2957">
        <v>142</v>
      </c>
      <c r="D2957">
        <v>138</v>
      </c>
      <c r="E2957" t="s">
        <v>21</v>
      </c>
      <c r="F2957">
        <f>tbl_AQI[[#This Row],[Most AQI Reached]]-tbl_AQI[[#This Row],[Current AQI]]</f>
        <v>4</v>
      </c>
      <c r="G29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57">
        <f>RANK(tbl_AQI[[#This Row],[Current AQI]], tbl_AQI[Current AQI], 0)</f>
        <v>2660</v>
      </c>
    </row>
    <row r="2958" spans="1:8" x14ac:dyDescent="0.35">
      <c r="A2958" t="s">
        <v>2952</v>
      </c>
      <c r="B2958" t="s">
        <v>2976</v>
      </c>
      <c r="C2958">
        <v>97</v>
      </c>
      <c r="D2958">
        <v>86</v>
      </c>
      <c r="E2958" t="s">
        <v>17</v>
      </c>
      <c r="F2958">
        <f>tbl_AQI[[#This Row],[Most AQI Reached]]-tbl_AQI[[#This Row],[Current AQI]]</f>
        <v>11</v>
      </c>
      <c r="G29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58">
        <f>RANK(tbl_AQI[[#This Row],[Current AQI]], tbl_AQI[Current AQI], 0)</f>
        <v>3830</v>
      </c>
    </row>
    <row r="2959" spans="1:8" x14ac:dyDescent="0.35">
      <c r="A2959" t="s">
        <v>2952</v>
      </c>
      <c r="B2959" t="s">
        <v>2977</v>
      </c>
      <c r="C2959">
        <v>312</v>
      </c>
      <c r="D2959">
        <v>51</v>
      </c>
      <c r="E2959" t="s">
        <v>7</v>
      </c>
      <c r="F2959">
        <f>tbl_AQI[[#This Row],[Most AQI Reached]]-tbl_AQI[[#This Row],[Current AQI]]</f>
        <v>261</v>
      </c>
      <c r="G29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59">
        <f>RANK(tbl_AQI[[#This Row],[Current AQI]], tbl_AQI[Current AQI], 0)</f>
        <v>4578</v>
      </c>
    </row>
    <row r="2960" spans="1:8" x14ac:dyDescent="0.35">
      <c r="A2960" t="s">
        <v>2952</v>
      </c>
      <c r="B2960" t="s">
        <v>2978</v>
      </c>
      <c r="C2960">
        <v>202</v>
      </c>
      <c r="D2960">
        <v>119</v>
      </c>
      <c r="E2960" t="s">
        <v>15</v>
      </c>
      <c r="F2960">
        <f>tbl_AQI[[#This Row],[Most AQI Reached]]-tbl_AQI[[#This Row],[Current AQI]]</f>
        <v>83</v>
      </c>
      <c r="G29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60">
        <f>RANK(tbl_AQI[[#This Row],[Current AQI]], tbl_AQI[Current AQI], 0)</f>
        <v>3093</v>
      </c>
    </row>
    <row r="2961" spans="1:8" x14ac:dyDescent="0.35">
      <c r="A2961" t="s">
        <v>2952</v>
      </c>
      <c r="B2961" t="s">
        <v>2979</v>
      </c>
      <c r="C2961">
        <v>229</v>
      </c>
      <c r="D2961">
        <v>46</v>
      </c>
      <c r="E2961" t="s">
        <v>33</v>
      </c>
      <c r="F2961">
        <f>tbl_AQI[[#This Row],[Most AQI Reached]]-tbl_AQI[[#This Row],[Current AQI]]</f>
        <v>183</v>
      </c>
      <c r="G29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61">
        <f>RANK(tbl_AQI[[#This Row],[Current AQI]], tbl_AQI[Current AQI], 0)</f>
        <v>4680</v>
      </c>
    </row>
    <row r="2962" spans="1:8" x14ac:dyDescent="0.35">
      <c r="A2962" t="s">
        <v>2952</v>
      </c>
      <c r="B2962" t="s">
        <v>2980</v>
      </c>
      <c r="C2962">
        <v>238</v>
      </c>
      <c r="D2962">
        <v>180</v>
      </c>
      <c r="E2962" t="s">
        <v>7</v>
      </c>
      <c r="F2962">
        <f>tbl_AQI[[#This Row],[Most AQI Reached]]-tbl_AQI[[#This Row],[Current AQI]]</f>
        <v>58</v>
      </c>
      <c r="G29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62">
        <f>RANK(tbl_AQI[[#This Row],[Current AQI]], tbl_AQI[Current AQI], 0)</f>
        <v>1635</v>
      </c>
    </row>
    <row r="2963" spans="1:8" x14ac:dyDescent="0.35">
      <c r="A2963" t="s">
        <v>2952</v>
      </c>
      <c r="B2963" t="s">
        <v>2981</v>
      </c>
      <c r="C2963">
        <v>246</v>
      </c>
      <c r="D2963">
        <v>169</v>
      </c>
      <c r="E2963" t="s">
        <v>9</v>
      </c>
      <c r="F2963">
        <f>tbl_AQI[[#This Row],[Most AQI Reached]]-tbl_AQI[[#This Row],[Current AQI]]</f>
        <v>77</v>
      </c>
      <c r="G29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63">
        <f>RANK(tbl_AQI[[#This Row],[Current AQI]], tbl_AQI[Current AQI], 0)</f>
        <v>1925</v>
      </c>
    </row>
    <row r="2964" spans="1:8" x14ac:dyDescent="0.35">
      <c r="A2964" t="s">
        <v>2952</v>
      </c>
      <c r="B2964" t="s">
        <v>2982</v>
      </c>
      <c r="C2964">
        <v>231</v>
      </c>
      <c r="D2964">
        <v>74</v>
      </c>
      <c r="E2964" t="s">
        <v>15</v>
      </c>
      <c r="F2964">
        <f>tbl_AQI[[#This Row],[Most AQI Reached]]-tbl_AQI[[#This Row],[Current AQI]]</f>
        <v>157</v>
      </c>
      <c r="G29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64">
        <f>RANK(tbl_AQI[[#This Row],[Current AQI]], tbl_AQI[Current AQI], 0)</f>
        <v>4064</v>
      </c>
    </row>
    <row r="2965" spans="1:8" x14ac:dyDescent="0.35">
      <c r="A2965" t="s">
        <v>2952</v>
      </c>
      <c r="B2965" t="s">
        <v>2983</v>
      </c>
      <c r="C2965">
        <v>187</v>
      </c>
      <c r="D2965">
        <v>151</v>
      </c>
      <c r="E2965" t="s">
        <v>33</v>
      </c>
      <c r="F2965">
        <f>tbl_AQI[[#This Row],[Most AQI Reached]]-tbl_AQI[[#This Row],[Current AQI]]</f>
        <v>36</v>
      </c>
      <c r="G29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65">
        <f>RANK(tbl_AQI[[#This Row],[Current AQI]], tbl_AQI[Current AQI], 0)</f>
        <v>2376</v>
      </c>
    </row>
    <row r="2966" spans="1:8" x14ac:dyDescent="0.35">
      <c r="A2966" t="s">
        <v>2952</v>
      </c>
      <c r="B2966" t="s">
        <v>2984</v>
      </c>
      <c r="C2966">
        <v>227</v>
      </c>
      <c r="D2966">
        <v>173</v>
      </c>
      <c r="E2966" t="s">
        <v>15</v>
      </c>
      <c r="F2966">
        <f>tbl_AQI[[#This Row],[Most AQI Reached]]-tbl_AQI[[#This Row],[Current AQI]]</f>
        <v>54</v>
      </c>
      <c r="G29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66">
        <f>RANK(tbl_AQI[[#This Row],[Current AQI]], tbl_AQI[Current AQI], 0)</f>
        <v>1826</v>
      </c>
    </row>
    <row r="2967" spans="1:8" x14ac:dyDescent="0.35">
      <c r="A2967" t="s">
        <v>2952</v>
      </c>
      <c r="B2967" t="s">
        <v>2985</v>
      </c>
      <c r="C2967">
        <v>319</v>
      </c>
      <c r="D2967">
        <v>41</v>
      </c>
      <c r="E2967" t="s">
        <v>15</v>
      </c>
      <c r="F2967">
        <f>tbl_AQI[[#This Row],[Most AQI Reached]]-tbl_AQI[[#This Row],[Current AQI]]</f>
        <v>278</v>
      </c>
      <c r="G29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67">
        <f>RANK(tbl_AQI[[#This Row],[Current AQI]], tbl_AQI[Current AQI], 0)</f>
        <v>4789</v>
      </c>
    </row>
    <row r="2968" spans="1:8" x14ac:dyDescent="0.35">
      <c r="A2968" t="s">
        <v>2952</v>
      </c>
      <c r="B2968" t="s">
        <v>2986</v>
      </c>
      <c r="C2968">
        <v>319</v>
      </c>
      <c r="D2968">
        <v>50</v>
      </c>
      <c r="E2968" t="s">
        <v>15</v>
      </c>
      <c r="F2968">
        <f>tbl_AQI[[#This Row],[Most AQI Reached]]-tbl_AQI[[#This Row],[Current AQI]]</f>
        <v>269</v>
      </c>
      <c r="G29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68">
        <f>RANK(tbl_AQI[[#This Row],[Current AQI]], tbl_AQI[Current AQI], 0)</f>
        <v>4596</v>
      </c>
    </row>
    <row r="2969" spans="1:8" x14ac:dyDescent="0.35">
      <c r="A2969" t="s">
        <v>2952</v>
      </c>
      <c r="B2969" t="s">
        <v>2987</v>
      </c>
      <c r="C2969">
        <v>271</v>
      </c>
      <c r="D2969">
        <v>79</v>
      </c>
      <c r="E2969" t="s">
        <v>15</v>
      </c>
      <c r="F2969">
        <f>tbl_AQI[[#This Row],[Most AQI Reached]]-tbl_AQI[[#This Row],[Current AQI]]</f>
        <v>192</v>
      </c>
      <c r="G29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69">
        <f>RANK(tbl_AQI[[#This Row],[Current AQI]], tbl_AQI[Current AQI], 0)</f>
        <v>3967</v>
      </c>
    </row>
    <row r="2970" spans="1:8" x14ac:dyDescent="0.35">
      <c r="A2970" t="s">
        <v>2952</v>
      </c>
      <c r="B2970" t="s">
        <v>2988</v>
      </c>
      <c r="C2970">
        <v>129</v>
      </c>
      <c r="D2970">
        <v>52</v>
      </c>
      <c r="E2970" t="s">
        <v>33</v>
      </c>
      <c r="F2970">
        <f>tbl_AQI[[#This Row],[Most AQI Reached]]-tbl_AQI[[#This Row],[Current AQI]]</f>
        <v>77</v>
      </c>
      <c r="G29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70">
        <f>RANK(tbl_AQI[[#This Row],[Current AQI]], tbl_AQI[Current AQI], 0)</f>
        <v>4564</v>
      </c>
    </row>
    <row r="2971" spans="1:8" x14ac:dyDescent="0.35">
      <c r="A2971" t="s">
        <v>2952</v>
      </c>
      <c r="B2971" t="s">
        <v>2989</v>
      </c>
      <c r="C2971">
        <v>257</v>
      </c>
      <c r="D2971">
        <v>143</v>
      </c>
      <c r="E2971" t="s">
        <v>17</v>
      </c>
      <c r="F2971">
        <f>tbl_AQI[[#This Row],[Most AQI Reached]]-tbl_AQI[[#This Row],[Current AQI]]</f>
        <v>114</v>
      </c>
      <c r="G29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71">
        <f>RANK(tbl_AQI[[#This Row],[Current AQI]], tbl_AQI[Current AQI], 0)</f>
        <v>2567</v>
      </c>
    </row>
    <row r="2972" spans="1:8" x14ac:dyDescent="0.35">
      <c r="A2972" t="s">
        <v>2952</v>
      </c>
      <c r="B2972" t="s">
        <v>2990</v>
      </c>
      <c r="C2972">
        <v>131</v>
      </c>
      <c r="D2972">
        <v>61</v>
      </c>
      <c r="E2972" t="s">
        <v>15</v>
      </c>
      <c r="F2972">
        <f>tbl_AQI[[#This Row],[Most AQI Reached]]-tbl_AQI[[#This Row],[Current AQI]]</f>
        <v>70</v>
      </c>
      <c r="G29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72">
        <f>RANK(tbl_AQI[[#This Row],[Current AQI]], tbl_AQI[Current AQI], 0)</f>
        <v>4368</v>
      </c>
    </row>
    <row r="2973" spans="1:8" x14ac:dyDescent="0.35">
      <c r="A2973" t="s">
        <v>2952</v>
      </c>
      <c r="B2973" t="s">
        <v>2991</v>
      </c>
      <c r="C2973">
        <v>258</v>
      </c>
      <c r="D2973">
        <v>178</v>
      </c>
      <c r="E2973" t="s">
        <v>11</v>
      </c>
      <c r="F2973">
        <f>tbl_AQI[[#This Row],[Most AQI Reached]]-tbl_AQI[[#This Row],[Current AQI]]</f>
        <v>80</v>
      </c>
      <c r="G29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73">
        <f>RANK(tbl_AQI[[#This Row],[Current AQI]], tbl_AQI[Current AQI], 0)</f>
        <v>1702</v>
      </c>
    </row>
    <row r="2974" spans="1:8" x14ac:dyDescent="0.35">
      <c r="A2974" t="s">
        <v>2952</v>
      </c>
      <c r="B2974" t="s">
        <v>2992</v>
      </c>
      <c r="C2974">
        <v>240</v>
      </c>
      <c r="D2974">
        <v>72</v>
      </c>
      <c r="E2974" t="s">
        <v>33</v>
      </c>
      <c r="F2974">
        <f>tbl_AQI[[#This Row],[Most AQI Reached]]-tbl_AQI[[#This Row],[Current AQI]]</f>
        <v>168</v>
      </c>
      <c r="G29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74">
        <f>RANK(tbl_AQI[[#This Row],[Current AQI]], tbl_AQI[Current AQI], 0)</f>
        <v>4100</v>
      </c>
    </row>
    <row r="2975" spans="1:8" x14ac:dyDescent="0.35">
      <c r="A2975" t="s">
        <v>2952</v>
      </c>
      <c r="B2975" t="s">
        <v>2993</v>
      </c>
      <c r="C2975">
        <v>99</v>
      </c>
      <c r="D2975">
        <v>34</v>
      </c>
      <c r="E2975" t="s">
        <v>21</v>
      </c>
      <c r="F2975">
        <f>tbl_AQI[[#This Row],[Most AQI Reached]]-tbl_AQI[[#This Row],[Current AQI]]</f>
        <v>65</v>
      </c>
      <c r="G29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75">
        <f>RANK(tbl_AQI[[#This Row],[Current AQI]], tbl_AQI[Current AQI], 0)</f>
        <v>4944</v>
      </c>
    </row>
    <row r="2976" spans="1:8" x14ac:dyDescent="0.35">
      <c r="A2976" t="s">
        <v>2952</v>
      </c>
      <c r="B2976" t="s">
        <v>2994</v>
      </c>
      <c r="C2976">
        <v>274</v>
      </c>
      <c r="D2976">
        <v>35</v>
      </c>
      <c r="E2976" t="s">
        <v>33</v>
      </c>
      <c r="F2976">
        <f>tbl_AQI[[#This Row],[Most AQI Reached]]-tbl_AQI[[#This Row],[Current AQI]]</f>
        <v>239</v>
      </c>
      <c r="G29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76">
        <f>RANK(tbl_AQI[[#This Row],[Current AQI]], tbl_AQI[Current AQI], 0)</f>
        <v>4916</v>
      </c>
    </row>
    <row r="2977" spans="1:8" x14ac:dyDescent="0.35">
      <c r="A2977" t="s">
        <v>2952</v>
      </c>
      <c r="B2977" t="s">
        <v>2995</v>
      </c>
      <c r="C2977">
        <v>319</v>
      </c>
      <c r="D2977">
        <v>50</v>
      </c>
      <c r="E2977" t="s">
        <v>33</v>
      </c>
      <c r="F2977">
        <f>tbl_AQI[[#This Row],[Most AQI Reached]]-tbl_AQI[[#This Row],[Current AQI]]</f>
        <v>269</v>
      </c>
      <c r="G29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77">
        <f>RANK(tbl_AQI[[#This Row],[Current AQI]], tbl_AQI[Current AQI], 0)</f>
        <v>4596</v>
      </c>
    </row>
    <row r="2978" spans="1:8" x14ac:dyDescent="0.35">
      <c r="A2978" t="s">
        <v>2952</v>
      </c>
      <c r="B2978" t="s">
        <v>2996</v>
      </c>
      <c r="C2978">
        <v>311</v>
      </c>
      <c r="D2978">
        <v>64</v>
      </c>
      <c r="E2978" t="s">
        <v>21</v>
      </c>
      <c r="F2978">
        <f>tbl_AQI[[#This Row],[Most AQI Reached]]-tbl_AQI[[#This Row],[Current AQI]]</f>
        <v>247</v>
      </c>
      <c r="G29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78">
        <f>RANK(tbl_AQI[[#This Row],[Current AQI]], tbl_AQI[Current AQI], 0)</f>
        <v>4293</v>
      </c>
    </row>
    <row r="2979" spans="1:8" x14ac:dyDescent="0.35">
      <c r="A2979" t="s">
        <v>2952</v>
      </c>
      <c r="B2979" t="s">
        <v>2997</v>
      </c>
      <c r="C2979">
        <v>166</v>
      </c>
      <c r="D2979">
        <v>40</v>
      </c>
      <c r="E2979" t="s">
        <v>7</v>
      </c>
      <c r="F2979">
        <f>tbl_AQI[[#This Row],[Most AQI Reached]]-tbl_AQI[[#This Row],[Current AQI]]</f>
        <v>126</v>
      </c>
      <c r="G29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79">
        <f>RANK(tbl_AQI[[#This Row],[Current AQI]], tbl_AQI[Current AQI], 0)</f>
        <v>4808</v>
      </c>
    </row>
    <row r="2980" spans="1:8" x14ac:dyDescent="0.35">
      <c r="A2980" t="s">
        <v>2952</v>
      </c>
      <c r="B2980" t="s">
        <v>2998</v>
      </c>
      <c r="C2980">
        <v>187</v>
      </c>
      <c r="D2980">
        <v>51</v>
      </c>
      <c r="E2980" t="s">
        <v>21</v>
      </c>
      <c r="F2980">
        <f>tbl_AQI[[#This Row],[Most AQI Reached]]-tbl_AQI[[#This Row],[Current AQI]]</f>
        <v>136</v>
      </c>
      <c r="G29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80">
        <f>RANK(tbl_AQI[[#This Row],[Current AQI]], tbl_AQI[Current AQI], 0)</f>
        <v>4578</v>
      </c>
    </row>
    <row r="2981" spans="1:8" x14ac:dyDescent="0.35">
      <c r="A2981" t="s">
        <v>2952</v>
      </c>
      <c r="B2981" t="s">
        <v>2999</v>
      </c>
      <c r="C2981">
        <v>312</v>
      </c>
      <c r="D2981">
        <v>173</v>
      </c>
      <c r="E2981" t="s">
        <v>21</v>
      </c>
      <c r="F2981">
        <f>tbl_AQI[[#This Row],[Most AQI Reached]]-tbl_AQI[[#This Row],[Current AQI]]</f>
        <v>139</v>
      </c>
      <c r="G29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81">
        <f>RANK(tbl_AQI[[#This Row],[Current AQI]], tbl_AQI[Current AQI], 0)</f>
        <v>1826</v>
      </c>
    </row>
    <row r="2982" spans="1:8" x14ac:dyDescent="0.35">
      <c r="A2982" t="s">
        <v>2952</v>
      </c>
      <c r="B2982" t="s">
        <v>3000</v>
      </c>
      <c r="C2982">
        <v>248</v>
      </c>
      <c r="D2982">
        <v>118</v>
      </c>
      <c r="E2982" t="s">
        <v>9</v>
      </c>
      <c r="F2982">
        <f>tbl_AQI[[#This Row],[Most AQI Reached]]-tbl_AQI[[#This Row],[Current AQI]]</f>
        <v>130</v>
      </c>
      <c r="G29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82">
        <f>RANK(tbl_AQI[[#This Row],[Current AQI]], tbl_AQI[Current AQI], 0)</f>
        <v>3122</v>
      </c>
    </row>
    <row r="2983" spans="1:8" x14ac:dyDescent="0.35">
      <c r="A2983" t="s">
        <v>2952</v>
      </c>
      <c r="B2983" t="s">
        <v>3001</v>
      </c>
      <c r="C2983">
        <v>71</v>
      </c>
      <c r="D2983">
        <v>33</v>
      </c>
      <c r="E2983" t="s">
        <v>7</v>
      </c>
      <c r="F2983">
        <f>tbl_AQI[[#This Row],[Most AQI Reached]]-tbl_AQI[[#This Row],[Current AQI]]</f>
        <v>38</v>
      </c>
      <c r="G29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83">
        <f>RANK(tbl_AQI[[#This Row],[Current AQI]], tbl_AQI[Current AQI], 0)</f>
        <v>4964</v>
      </c>
    </row>
    <row r="2984" spans="1:8" x14ac:dyDescent="0.35">
      <c r="A2984" t="s">
        <v>2952</v>
      </c>
      <c r="B2984" t="s">
        <v>3002</v>
      </c>
      <c r="C2984">
        <v>141</v>
      </c>
      <c r="D2984">
        <v>51</v>
      </c>
      <c r="E2984" t="s">
        <v>21</v>
      </c>
      <c r="F2984">
        <f>tbl_AQI[[#This Row],[Most AQI Reached]]-tbl_AQI[[#This Row],[Current AQI]]</f>
        <v>90</v>
      </c>
      <c r="G29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84">
        <f>RANK(tbl_AQI[[#This Row],[Current AQI]], tbl_AQI[Current AQI], 0)</f>
        <v>4578</v>
      </c>
    </row>
    <row r="2985" spans="1:8" x14ac:dyDescent="0.35">
      <c r="A2985" t="s">
        <v>2952</v>
      </c>
      <c r="B2985" t="s">
        <v>3003</v>
      </c>
      <c r="C2985">
        <v>214</v>
      </c>
      <c r="D2985">
        <v>105</v>
      </c>
      <c r="E2985" t="s">
        <v>17</v>
      </c>
      <c r="F2985">
        <f>tbl_AQI[[#This Row],[Most AQI Reached]]-tbl_AQI[[#This Row],[Current AQI]]</f>
        <v>109</v>
      </c>
      <c r="G29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85">
        <f>RANK(tbl_AQI[[#This Row],[Current AQI]], tbl_AQI[Current AQI], 0)</f>
        <v>3436</v>
      </c>
    </row>
    <row r="2986" spans="1:8" x14ac:dyDescent="0.35">
      <c r="A2986" t="s">
        <v>2952</v>
      </c>
      <c r="B2986" t="s">
        <v>3004</v>
      </c>
      <c r="C2986">
        <v>95</v>
      </c>
      <c r="D2986">
        <v>55</v>
      </c>
      <c r="E2986" t="s">
        <v>33</v>
      </c>
      <c r="F2986">
        <f>tbl_AQI[[#This Row],[Most AQI Reached]]-tbl_AQI[[#This Row],[Current AQI]]</f>
        <v>40</v>
      </c>
      <c r="G29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86">
        <f>RANK(tbl_AQI[[#This Row],[Current AQI]], tbl_AQI[Current AQI], 0)</f>
        <v>4497</v>
      </c>
    </row>
    <row r="2987" spans="1:8" x14ac:dyDescent="0.35">
      <c r="A2987" t="s">
        <v>2952</v>
      </c>
      <c r="B2987" t="s">
        <v>3005</v>
      </c>
      <c r="C2987">
        <v>188</v>
      </c>
      <c r="D2987">
        <v>110</v>
      </c>
      <c r="E2987" t="s">
        <v>15</v>
      </c>
      <c r="F2987">
        <f>tbl_AQI[[#This Row],[Most AQI Reached]]-tbl_AQI[[#This Row],[Current AQI]]</f>
        <v>78</v>
      </c>
      <c r="G29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87">
        <f>RANK(tbl_AQI[[#This Row],[Current AQI]], tbl_AQI[Current AQI], 0)</f>
        <v>3302</v>
      </c>
    </row>
    <row r="2988" spans="1:8" x14ac:dyDescent="0.35">
      <c r="A2988" t="s">
        <v>2952</v>
      </c>
      <c r="B2988" t="s">
        <v>3006</v>
      </c>
      <c r="C2988">
        <v>229</v>
      </c>
      <c r="D2988">
        <v>60</v>
      </c>
      <c r="E2988" t="s">
        <v>33</v>
      </c>
      <c r="F2988">
        <f>tbl_AQI[[#This Row],[Most AQI Reached]]-tbl_AQI[[#This Row],[Current AQI]]</f>
        <v>169</v>
      </c>
      <c r="G29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88">
        <f>RANK(tbl_AQI[[#This Row],[Current AQI]], tbl_AQI[Current AQI], 0)</f>
        <v>4390</v>
      </c>
    </row>
    <row r="2989" spans="1:8" x14ac:dyDescent="0.35">
      <c r="A2989" t="s">
        <v>2952</v>
      </c>
      <c r="B2989" t="s">
        <v>3007</v>
      </c>
      <c r="C2989">
        <v>66</v>
      </c>
      <c r="D2989">
        <v>36</v>
      </c>
      <c r="E2989" t="s">
        <v>11</v>
      </c>
      <c r="F2989">
        <f>tbl_AQI[[#This Row],[Most AQI Reached]]-tbl_AQI[[#This Row],[Current AQI]]</f>
        <v>30</v>
      </c>
      <c r="G29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89">
        <f>RANK(tbl_AQI[[#This Row],[Current AQI]], tbl_AQI[Current AQI], 0)</f>
        <v>4893</v>
      </c>
    </row>
    <row r="2990" spans="1:8" x14ac:dyDescent="0.35">
      <c r="A2990" t="s">
        <v>2952</v>
      </c>
      <c r="B2990" t="s">
        <v>3008</v>
      </c>
      <c r="C2990">
        <v>156</v>
      </c>
      <c r="D2990">
        <v>55</v>
      </c>
      <c r="E2990" t="s">
        <v>11</v>
      </c>
      <c r="F2990">
        <f>tbl_AQI[[#This Row],[Most AQI Reached]]-tbl_AQI[[#This Row],[Current AQI]]</f>
        <v>101</v>
      </c>
      <c r="G29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90">
        <f>RANK(tbl_AQI[[#This Row],[Current AQI]], tbl_AQI[Current AQI], 0)</f>
        <v>4497</v>
      </c>
    </row>
    <row r="2991" spans="1:8" x14ac:dyDescent="0.35">
      <c r="A2991" t="s">
        <v>2952</v>
      </c>
      <c r="B2991" t="s">
        <v>3009</v>
      </c>
      <c r="C2991">
        <v>185</v>
      </c>
      <c r="D2991">
        <v>148</v>
      </c>
      <c r="E2991" t="s">
        <v>33</v>
      </c>
      <c r="F2991">
        <f>tbl_AQI[[#This Row],[Most AQI Reached]]-tbl_AQI[[#This Row],[Current AQI]]</f>
        <v>37</v>
      </c>
      <c r="G29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91">
        <f>RANK(tbl_AQI[[#This Row],[Current AQI]], tbl_AQI[Current AQI], 0)</f>
        <v>2446</v>
      </c>
    </row>
    <row r="2992" spans="1:8" x14ac:dyDescent="0.35">
      <c r="A2992" t="s">
        <v>2952</v>
      </c>
      <c r="B2992" t="s">
        <v>3010</v>
      </c>
      <c r="C2992">
        <v>205</v>
      </c>
      <c r="D2992">
        <v>43</v>
      </c>
      <c r="E2992" t="s">
        <v>11</v>
      </c>
      <c r="F2992">
        <f>tbl_AQI[[#This Row],[Most AQI Reached]]-tbl_AQI[[#This Row],[Current AQI]]</f>
        <v>162</v>
      </c>
      <c r="G29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92">
        <f>RANK(tbl_AQI[[#This Row],[Current AQI]], tbl_AQI[Current AQI], 0)</f>
        <v>4752</v>
      </c>
    </row>
    <row r="2993" spans="1:8" x14ac:dyDescent="0.35">
      <c r="A2993" t="s">
        <v>2952</v>
      </c>
      <c r="B2993" t="s">
        <v>3011</v>
      </c>
      <c r="C2993">
        <v>88</v>
      </c>
      <c r="D2993">
        <v>85</v>
      </c>
      <c r="E2993" t="s">
        <v>17</v>
      </c>
      <c r="F2993">
        <f>tbl_AQI[[#This Row],[Most AQI Reached]]-tbl_AQI[[#This Row],[Current AQI]]</f>
        <v>3</v>
      </c>
      <c r="G29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93">
        <f>RANK(tbl_AQI[[#This Row],[Current AQI]], tbl_AQI[Current AQI], 0)</f>
        <v>3852</v>
      </c>
    </row>
    <row r="2994" spans="1:8" x14ac:dyDescent="0.35">
      <c r="A2994" t="s">
        <v>2952</v>
      </c>
      <c r="B2994" t="s">
        <v>3012</v>
      </c>
      <c r="C2994">
        <v>114</v>
      </c>
      <c r="D2994">
        <v>73</v>
      </c>
      <c r="E2994" t="s">
        <v>15</v>
      </c>
      <c r="F2994">
        <f>tbl_AQI[[#This Row],[Most AQI Reached]]-tbl_AQI[[#This Row],[Current AQI]]</f>
        <v>41</v>
      </c>
      <c r="G29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94">
        <f>RANK(tbl_AQI[[#This Row],[Current AQI]], tbl_AQI[Current AQI], 0)</f>
        <v>4083</v>
      </c>
    </row>
    <row r="2995" spans="1:8" x14ac:dyDescent="0.35">
      <c r="A2995" t="s">
        <v>2952</v>
      </c>
      <c r="B2995" t="s">
        <v>3013</v>
      </c>
      <c r="C2995">
        <v>117</v>
      </c>
      <c r="D2995">
        <v>71</v>
      </c>
      <c r="E2995" t="s">
        <v>33</v>
      </c>
      <c r="F2995">
        <f>tbl_AQI[[#This Row],[Most AQI Reached]]-tbl_AQI[[#This Row],[Current AQI]]</f>
        <v>46</v>
      </c>
      <c r="G29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95">
        <f>RANK(tbl_AQI[[#This Row],[Current AQI]], tbl_AQI[Current AQI], 0)</f>
        <v>4129</v>
      </c>
    </row>
    <row r="2996" spans="1:8" x14ac:dyDescent="0.35">
      <c r="A2996" t="s">
        <v>2952</v>
      </c>
      <c r="B2996" t="s">
        <v>3014</v>
      </c>
      <c r="C2996">
        <v>230</v>
      </c>
      <c r="D2996">
        <v>46</v>
      </c>
      <c r="E2996" t="s">
        <v>21</v>
      </c>
      <c r="F2996">
        <f>tbl_AQI[[#This Row],[Most AQI Reached]]-tbl_AQI[[#This Row],[Current AQI]]</f>
        <v>184</v>
      </c>
      <c r="G29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2996">
        <f>RANK(tbl_AQI[[#This Row],[Current AQI]], tbl_AQI[Current AQI], 0)</f>
        <v>4680</v>
      </c>
    </row>
    <row r="2997" spans="1:8" x14ac:dyDescent="0.35">
      <c r="A2997" t="s">
        <v>2952</v>
      </c>
      <c r="B2997" t="s">
        <v>3015</v>
      </c>
      <c r="C2997">
        <v>157</v>
      </c>
      <c r="D2997">
        <v>105</v>
      </c>
      <c r="E2997" t="s">
        <v>17</v>
      </c>
      <c r="F2997">
        <f>tbl_AQI[[#This Row],[Most AQI Reached]]-tbl_AQI[[#This Row],[Current AQI]]</f>
        <v>52</v>
      </c>
      <c r="G29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97">
        <f>RANK(tbl_AQI[[#This Row],[Current AQI]], tbl_AQI[Current AQI], 0)</f>
        <v>3436</v>
      </c>
    </row>
    <row r="2998" spans="1:8" x14ac:dyDescent="0.35">
      <c r="A2998" t="s">
        <v>2952</v>
      </c>
      <c r="B2998" t="s">
        <v>3016</v>
      </c>
      <c r="C2998">
        <v>266</v>
      </c>
      <c r="D2998">
        <v>94</v>
      </c>
      <c r="E2998" t="s">
        <v>21</v>
      </c>
      <c r="F2998">
        <f>tbl_AQI[[#This Row],[Most AQI Reached]]-tbl_AQI[[#This Row],[Current AQI]]</f>
        <v>172</v>
      </c>
      <c r="G29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2998">
        <f>RANK(tbl_AQI[[#This Row],[Current AQI]], tbl_AQI[Current AQI], 0)</f>
        <v>3654</v>
      </c>
    </row>
    <row r="2999" spans="1:8" x14ac:dyDescent="0.35">
      <c r="A2999" t="s">
        <v>2952</v>
      </c>
      <c r="B2999" t="s">
        <v>3017</v>
      </c>
      <c r="C2999">
        <v>233</v>
      </c>
      <c r="D2999">
        <v>101</v>
      </c>
      <c r="E2999" t="s">
        <v>33</v>
      </c>
      <c r="F2999">
        <f>tbl_AQI[[#This Row],[Most AQI Reached]]-tbl_AQI[[#This Row],[Current AQI]]</f>
        <v>132</v>
      </c>
      <c r="G29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2999">
        <f>RANK(tbl_AQI[[#This Row],[Current AQI]], tbl_AQI[Current AQI], 0)</f>
        <v>3515</v>
      </c>
    </row>
    <row r="3000" spans="1:8" x14ac:dyDescent="0.35">
      <c r="A3000" t="s">
        <v>2952</v>
      </c>
      <c r="B3000" t="s">
        <v>3018</v>
      </c>
      <c r="C3000">
        <v>216</v>
      </c>
      <c r="D3000">
        <v>32</v>
      </c>
      <c r="E3000" t="s">
        <v>33</v>
      </c>
      <c r="F3000">
        <f>tbl_AQI[[#This Row],[Most AQI Reached]]-tbl_AQI[[#This Row],[Current AQI]]</f>
        <v>184</v>
      </c>
      <c r="G30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00">
        <f>RANK(tbl_AQI[[#This Row],[Current AQI]], tbl_AQI[Current AQI], 0)</f>
        <v>4983</v>
      </c>
    </row>
    <row r="3001" spans="1:8" x14ac:dyDescent="0.35">
      <c r="A3001" t="s">
        <v>2952</v>
      </c>
      <c r="B3001" t="s">
        <v>3019</v>
      </c>
      <c r="C3001">
        <v>217</v>
      </c>
      <c r="D3001">
        <v>159</v>
      </c>
      <c r="E3001" t="s">
        <v>9</v>
      </c>
      <c r="F3001">
        <f>tbl_AQI[[#This Row],[Most AQI Reached]]-tbl_AQI[[#This Row],[Current AQI]]</f>
        <v>58</v>
      </c>
      <c r="G30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01">
        <f>RANK(tbl_AQI[[#This Row],[Current AQI]], tbl_AQI[Current AQI], 0)</f>
        <v>2183</v>
      </c>
    </row>
    <row r="3002" spans="1:8" x14ac:dyDescent="0.35">
      <c r="A3002" t="s">
        <v>2952</v>
      </c>
      <c r="B3002" t="s">
        <v>3020</v>
      </c>
      <c r="C3002">
        <v>97</v>
      </c>
      <c r="D3002">
        <v>82</v>
      </c>
      <c r="E3002" t="s">
        <v>7</v>
      </c>
      <c r="F3002">
        <f>tbl_AQI[[#This Row],[Most AQI Reached]]-tbl_AQI[[#This Row],[Current AQI]]</f>
        <v>15</v>
      </c>
      <c r="G30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02">
        <f>RANK(tbl_AQI[[#This Row],[Current AQI]], tbl_AQI[Current AQI], 0)</f>
        <v>3904</v>
      </c>
    </row>
    <row r="3003" spans="1:8" x14ac:dyDescent="0.35">
      <c r="A3003" t="s">
        <v>2952</v>
      </c>
      <c r="B3003" t="s">
        <v>3021</v>
      </c>
      <c r="C3003">
        <v>221</v>
      </c>
      <c r="D3003">
        <v>138</v>
      </c>
      <c r="E3003" t="s">
        <v>17</v>
      </c>
      <c r="F3003">
        <f>tbl_AQI[[#This Row],[Most AQI Reached]]-tbl_AQI[[#This Row],[Current AQI]]</f>
        <v>83</v>
      </c>
      <c r="G30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03">
        <f>RANK(tbl_AQI[[#This Row],[Current AQI]], tbl_AQI[Current AQI], 0)</f>
        <v>2660</v>
      </c>
    </row>
    <row r="3004" spans="1:8" x14ac:dyDescent="0.35">
      <c r="A3004" t="s">
        <v>2952</v>
      </c>
      <c r="B3004" t="s">
        <v>3022</v>
      </c>
      <c r="C3004">
        <v>314</v>
      </c>
      <c r="D3004">
        <v>51</v>
      </c>
      <c r="E3004" t="s">
        <v>21</v>
      </c>
      <c r="F3004">
        <f>tbl_AQI[[#This Row],[Most AQI Reached]]-tbl_AQI[[#This Row],[Current AQI]]</f>
        <v>263</v>
      </c>
      <c r="G30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04">
        <f>RANK(tbl_AQI[[#This Row],[Current AQI]], tbl_AQI[Current AQI], 0)</f>
        <v>4578</v>
      </c>
    </row>
    <row r="3005" spans="1:8" x14ac:dyDescent="0.35">
      <c r="A3005" t="s">
        <v>2952</v>
      </c>
      <c r="B3005" t="s">
        <v>3023</v>
      </c>
      <c r="C3005">
        <v>173</v>
      </c>
      <c r="D3005">
        <v>92</v>
      </c>
      <c r="E3005" t="s">
        <v>33</v>
      </c>
      <c r="F3005">
        <f>tbl_AQI[[#This Row],[Most AQI Reached]]-tbl_AQI[[#This Row],[Current AQI]]</f>
        <v>81</v>
      </c>
      <c r="G30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05">
        <f>RANK(tbl_AQI[[#This Row],[Current AQI]], tbl_AQI[Current AQI], 0)</f>
        <v>3706</v>
      </c>
    </row>
    <row r="3006" spans="1:8" x14ac:dyDescent="0.35">
      <c r="A3006" t="s">
        <v>2952</v>
      </c>
      <c r="B3006" t="s">
        <v>3024</v>
      </c>
      <c r="C3006">
        <v>242</v>
      </c>
      <c r="D3006">
        <v>183</v>
      </c>
      <c r="E3006" t="s">
        <v>7</v>
      </c>
      <c r="F3006">
        <f>tbl_AQI[[#This Row],[Most AQI Reached]]-tbl_AQI[[#This Row],[Current AQI]]</f>
        <v>59</v>
      </c>
      <c r="G30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06">
        <f>RANK(tbl_AQI[[#This Row],[Current AQI]], tbl_AQI[Current AQI], 0)</f>
        <v>1572</v>
      </c>
    </row>
    <row r="3007" spans="1:8" x14ac:dyDescent="0.35">
      <c r="A3007" t="s">
        <v>2952</v>
      </c>
      <c r="B3007" t="s">
        <v>3025</v>
      </c>
      <c r="C3007">
        <v>189</v>
      </c>
      <c r="D3007">
        <v>165</v>
      </c>
      <c r="E3007" t="s">
        <v>11</v>
      </c>
      <c r="F3007">
        <f>tbl_AQI[[#This Row],[Most AQI Reached]]-tbl_AQI[[#This Row],[Current AQI]]</f>
        <v>24</v>
      </c>
      <c r="G30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07">
        <f>RANK(tbl_AQI[[#This Row],[Current AQI]], tbl_AQI[Current AQI], 0)</f>
        <v>2028</v>
      </c>
    </row>
    <row r="3008" spans="1:8" x14ac:dyDescent="0.35">
      <c r="A3008" t="s">
        <v>2952</v>
      </c>
      <c r="B3008" t="s">
        <v>3026</v>
      </c>
      <c r="C3008">
        <v>148</v>
      </c>
      <c r="D3008">
        <v>126</v>
      </c>
      <c r="E3008" t="s">
        <v>11</v>
      </c>
      <c r="F3008">
        <f>tbl_AQI[[#This Row],[Most AQI Reached]]-tbl_AQI[[#This Row],[Current AQI]]</f>
        <v>22</v>
      </c>
      <c r="G30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08">
        <f>RANK(tbl_AQI[[#This Row],[Current AQI]], tbl_AQI[Current AQI], 0)</f>
        <v>2934</v>
      </c>
    </row>
    <row r="3009" spans="1:8" x14ac:dyDescent="0.35">
      <c r="A3009" t="s">
        <v>2952</v>
      </c>
      <c r="B3009" t="s">
        <v>3027</v>
      </c>
      <c r="C3009">
        <v>160</v>
      </c>
      <c r="D3009">
        <v>148</v>
      </c>
      <c r="E3009" t="s">
        <v>11</v>
      </c>
      <c r="F3009">
        <f>tbl_AQI[[#This Row],[Most AQI Reached]]-tbl_AQI[[#This Row],[Current AQI]]</f>
        <v>12</v>
      </c>
      <c r="G30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09">
        <f>RANK(tbl_AQI[[#This Row],[Current AQI]], tbl_AQI[Current AQI], 0)</f>
        <v>2446</v>
      </c>
    </row>
    <row r="3010" spans="1:8" x14ac:dyDescent="0.35">
      <c r="A3010" t="s">
        <v>2952</v>
      </c>
      <c r="B3010" t="s">
        <v>3028</v>
      </c>
      <c r="C3010">
        <v>220</v>
      </c>
      <c r="D3010">
        <v>170</v>
      </c>
      <c r="E3010" t="s">
        <v>21</v>
      </c>
      <c r="F3010">
        <f>tbl_AQI[[#This Row],[Most AQI Reached]]-tbl_AQI[[#This Row],[Current AQI]]</f>
        <v>50</v>
      </c>
      <c r="G30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0">
        <f>RANK(tbl_AQI[[#This Row],[Current AQI]], tbl_AQI[Current AQI], 0)</f>
        <v>1898</v>
      </c>
    </row>
    <row r="3011" spans="1:8" x14ac:dyDescent="0.35">
      <c r="A3011" t="s">
        <v>2952</v>
      </c>
      <c r="B3011" t="s">
        <v>3029</v>
      </c>
      <c r="C3011">
        <v>310</v>
      </c>
      <c r="D3011">
        <v>112</v>
      </c>
      <c r="E3011" t="s">
        <v>9</v>
      </c>
      <c r="F3011">
        <f>tbl_AQI[[#This Row],[Most AQI Reached]]-tbl_AQI[[#This Row],[Current AQI]]</f>
        <v>198</v>
      </c>
      <c r="G30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1">
        <f>RANK(tbl_AQI[[#This Row],[Current AQI]], tbl_AQI[Current AQI], 0)</f>
        <v>3267</v>
      </c>
    </row>
    <row r="3012" spans="1:8" x14ac:dyDescent="0.35">
      <c r="A3012" t="s">
        <v>3030</v>
      </c>
      <c r="B3012" t="s">
        <v>3031</v>
      </c>
      <c r="C3012">
        <v>132</v>
      </c>
      <c r="D3012">
        <v>35</v>
      </c>
      <c r="E3012" t="s">
        <v>17</v>
      </c>
      <c r="F3012">
        <f>tbl_AQI[[#This Row],[Most AQI Reached]]-tbl_AQI[[#This Row],[Current AQI]]</f>
        <v>97</v>
      </c>
      <c r="G30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12">
        <f>RANK(tbl_AQI[[#This Row],[Current AQI]], tbl_AQI[Current AQI], 0)</f>
        <v>4916</v>
      </c>
    </row>
    <row r="3013" spans="1:8" x14ac:dyDescent="0.35">
      <c r="A3013" t="s">
        <v>3030</v>
      </c>
      <c r="B3013" t="s">
        <v>3032</v>
      </c>
      <c r="C3013">
        <v>155</v>
      </c>
      <c r="D3013">
        <v>142</v>
      </c>
      <c r="E3013" t="s">
        <v>33</v>
      </c>
      <c r="F3013">
        <f>tbl_AQI[[#This Row],[Most AQI Reached]]-tbl_AQI[[#This Row],[Current AQI]]</f>
        <v>13</v>
      </c>
      <c r="G30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3">
        <f>RANK(tbl_AQI[[#This Row],[Current AQI]], tbl_AQI[Current AQI], 0)</f>
        <v>2585</v>
      </c>
    </row>
    <row r="3014" spans="1:8" x14ac:dyDescent="0.35">
      <c r="A3014" t="s">
        <v>3030</v>
      </c>
      <c r="B3014" t="s">
        <v>3033</v>
      </c>
      <c r="C3014">
        <v>220</v>
      </c>
      <c r="D3014">
        <v>127</v>
      </c>
      <c r="E3014" t="s">
        <v>21</v>
      </c>
      <c r="F3014">
        <f>tbl_AQI[[#This Row],[Most AQI Reached]]-tbl_AQI[[#This Row],[Current AQI]]</f>
        <v>93</v>
      </c>
      <c r="G30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4">
        <f>RANK(tbl_AQI[[#This Row],[Current AQI]], tbl_AQI[Current AQI], 0)</f>
        <v>2909</v>
      </c>
    </row>
    <row r="3015" spans="1:8" x14ac:dyDescent="0.35">
      <c r="A3015" t="s">
        <v>3030</v>
      </c>
      <c r="B3015" t="s">
        <v>3034</v>
      </c>
      <c r="C3015">
        <v>76</v>
      </c>
      <c r="D3015">
        <v>68</v>
      </c>
      <c r="E3015" t="s">
        <v>21</v>
      </c>
      <c r="F3015">
        <f>tbl_AQI[[#This Row],[Most AQI Reached]]-tbl_AQI[[#This Row],[Current AQI]]</f>
        <v>8</v>
      </c>
      <c r="G30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15">
        <f>RANK(tbl_AQI[[#This Row],[Current AQI]], tbl_AQI[Current AQI], 0)</f>
        <v>4204</v>
      </c>
    </row>
    <row r="3016" spans="1:8" x14ac:dyDescent="0.35">
      <c r="A3016" t="s">
        <v>3030</v>
      </c>
      <c r="B3016" t="s">
        <v>3035</v>
      </c>
      <c r="C3016">
        <v>180</v>
      </c>
      <c r="D3016">
        <v>140</v>
      </c>
      <c r="E3016" t="s">
        <v>33</v>
      </c>
      <c r="F3016">
        <f>tbl_AQI[[#This Row],[Most AQI Reached]]-tbl_AQI[[#This Row],[Current AQI]]</f>
        <v>40</v>
      </c>
      <c r="G30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6">
        <f>RANK(tbl_AQI[[#This Row],[Current AQI]], tbl_AQI[Current AQI], 0)</f>
        <v>2627</v>
      </c>
    </row>
    <row r="3017" spans="1:8" x14ac:dyDescent="0.35">
      <c r="A3017" t="s">
        <v>3030</v>
      </c>
      <c r="B3017" t="s">
        <v>3036</v>
      </c>
      <c r="C3017">
        <v>222</v>
      </c>
      <c r="D3017">
        <v>161</v>
      </c>
      <c r="E3017" t="s">
        <v>9</v>
      </c>
      <c r="F3017">
        <f>tbl_AQI[[#This Row],[Most AQI Reached]]-tbl_AQI[[#This Row],[Current AQI]]</f>
        <v>61</v>
      </c>
      <c r="G30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7">
        <f>RANK(tbl_AQI[[#This Row],[Current AQI]], tbl_AQI[Current AQI], 0)</f>
        <v>2129</v>
      </c>
    </row>
    <row r="3018" spans="1:8" x14ac:dyDescent="0.35">
      <c r="A3018" t="s">
        <v>3030</v>
      </c>
      <c r="B3018" t="s">
        <v>3037</v>
      </c>
      <c r="C3018">
        <v>274</v>
      </c>
      <c r="D3018">
        <v>39</v>
      </c>
      <c r="E3018" t="s">
        <v>33</v>
      </c>
      <c r="F3018">
        <f>tbl_AQI[[#This Row],[Most AQI Reached]]-tbl_AQI[[#This Row],[Current AQI]]</f>
        <v>235</v>
      </c>
      <c r="G30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18">
        <f>RANK(tbl_AQI[[#This Row],[Current AQI]], tbl_AQI[Current AQI], 0)</f>
        <v>4829</v>
      </c>
    </row>
    <row r="3019" spans="1:8" x14ac:dyDescent="0.35">
      <c r="A3019" t="s">
        <v>3030</v>
      </c>
      <c r="B3019" t="s">
        <v>3038</v>
      </c>
      <c r="C3019">
        <v>291</v>
      </c>
      <c r="D3019">
        <v>107</v>
      </c>
      <c r="E3019" t="s">
        <v>7</v>
      </c>
      <c r="F3019">
        <f>tbl_AQI[[#This Row],[Most AQI Reached]]-tbl_AQI[[#This Row],[Current AQI]]</f>
        <v>184</v>
      </c>
      <c r="G30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19">
        <f>RANK(tbl_AQI[[#This Row],[Current AQI]], tbl_AQI[Current AQI], 0)</f>
        <v>3387</v>
      </c>
    </row>
    <row r="3020" spans="1:8" x14ac:dyDescent="0.35">
      <c r="A3020" t="s">
        <v>3030</v>
      </c>
      <c r="B3020" t="s">
        <v>3039</v>
      </c>
      <c r="C3020">
        <v>215</v>
      </c>
      <c r="D3020">
        <v>156</v>
      </c>
      <c r="E3020" t="s">
        <v>9</v>
      </c>
      <c r="F3020">
        <f>tbl_AQI[[#This Row],[Most AQI Reached]]-tbl_AQI[[#This Row],[Current AQI]]</f>
        <v>59</v>
      </c>
      <c r="G30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0">
        <f>RANK(tbl_AQI[[#This Row],[Current AQI]], tbl_AQI[Current AQI], 0)</f>
        <v>2251</v>
      </c>
    </row>
    <row r="3021" spans="1:8" x14ac:dyDescent="0.35">
      <c r="A3021" t="s">
        <v>3030</v>
      </c>
      <c r="B3021" t="s">
        <v>3040</v>
      </c>
      <c r="C3021">
        <v>158</v>
      </c>
      <c r="D3021">
        <v>128</v>
      </c>
      <c r="E3021" t="s">
        <v>11</v>
      </c>
      <c r="F3021">
        <f>tbl_AQI[[#This Row],[Most AQI Reached]]-tbl_AQI[[#This Row],[Current AQI]]</f>
        <v>30</v>
      </c>
      <c r="G30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1">
        <f>RANK(tbl_AQI[[#This Row],[Current AQI]], tbl_AQI[Current AQI], 0)</f>
        <v>2872</v>
      </c>
    </row>
    <row r="3022" spans="1:8" x14ac:dyDescent="0.35">
      <c r="A3022" t="s">
        <v>3030</v>
      </c>
      <c r="B3022" t="s">
        <v>3041</v>
      </c>
      <c r="C3022">
        <v>208</v>
      </c>
      <c r="D3022">
        <v>152</v>
      </c>
      <c r="E3022" t="s">
        <v>15</v>
      </c>
      <c r="F3022">
        <f>tbl_AQI[[#This Row],[Most AQI Reached]]-tbl_AQI[[#This Row],[Current AQI]]</f>
        <v>56</v>
      </c>
      <c r="G30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2">
        <f>RANK(tbl_AQI[[#This Row],[Current AQI]], tbl_AQI[Current AQI], 0)</f>
        <v>2349</v>
      </c>
    </row>
    <row r="3023" spans="1:8" x14ac:dyDescent="0.35">
      <c r="A3023" t="s">
        <v>3030</v>
      </c>
      <c r="B3023" t="s">
        <v>3042</v>
      </c>
      <c r="C3023">
        <v>217</v>
      </c>
      <c r="D3023">
        <v>187</v>
      </c>
      <c r="E3023" t="s">
        <v>15</v>
      </c>
      <c r="F3023">
        <f>tbl_AQI[[#This Row],[Most AQI Reached]]-tbl_AQI[[#This Row],[Current AQI]]</f>
        <v>30</v>
      </c>
      <c r="G30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3">
        <f>RANK(tbl_AQI[[#This Row],[Current AQI]], tbl_AQI[Current AQI], 0)</f>
        <v>1455</v>
      </c>
    </row>
    <row r="3024" spans="1:8" x14ac:dyDescent="0.35">
      <c r="A3024" t="s">
        <v>3030</v>
      </c>
      <c r="B3024" t="s">
        <v>3043</v>
      </c>
      <c r="C3024">
        <v>134</v>
      </c>
      <c r="D3024">
        <v>112</v>
      </c>
      <c r="E3024" t="s">
        <v>9</v>
      </c>
      <c r="F3024">
        <f>tbl_AQI[[#This Row],[Most AQI Reached]]-tbl_AQI[[#This Row],[Current AQI]]</f>
        <v>22</v>
      </c>
      <c r="G30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4">
        <f>RANK(tbl_AQI[[#This Row],[Current AQI]], tbl_AQI[Current AQI], 0)</f>
        <v>3267</v>
      </c>
    </row>
    <row r="3025" spans="1:8" x14ac:dyDescent="0.35">
      <c r="A3025" t="s">
        <v>3030</v>
      </c>
      <c r="B3025" t="s">
        <v>3044</v>
      </c>
      <c r="C3025">
        <v>147</v>
      </c>
      <c r="D3025">
        <v>147</v>
      </c>
      <c r="E3025" t="s">
        <v>15</v>
      </c>
      <c r="F3025">
        <f>tbl_AQI[[#This Row],[Most AQI Reached]]-tbl_AQI[[#This Row],[Current AQI]]</f>
        <v>0</v>
      </c>
      <c r="G30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5">
        <f>RANK(tbl_AQI[[#This Row],[Current AQI]], tbl_AQI[Current AQI], 0)</f>
        <v>2478</v>
      </c>
    </row>
    <row r="3026" spans="1:8" x14ac:dyDescent="0.35">
      <c r="A3026" t="s">
        <v>3030</v>
      </c>
      <c r="B3026" t="s">
        <v>3045</v>
      </c>
      <c r="C3026">
        <v>243</v>
      </c>
      <c r="D3026">
        <v>139</v>
      </c>
      <c r="E3026" t="s">
        <v>9</v>
      </c>
      <c r="F3026">
        <f>tbl_AQI[[#This Row],[Most AQI Reached]]-tbl_AQI[[#This Row],[Current AQI]]</f>
        <v>104</v>
      </c>
      <c r="G30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6">
        <f>RANK(tbl_AQI[[#This Row],[Current AQI]], tbl_AQI[Current AQI], 0)</f>
        <v>2647</v>
      </c>
    </row>
    <row r="3027" spans="1:8" x14ac:dyDescent="0.35">
      <c r="A3027" t="s">
        <v>3030</v>
      </c>
      <c r="B3027" t="s">
        <v>3046</v>
      </c>
      <c r="C3027">
        <v>235</v>
      </c>
      <c r="D3027">
        <v>149</v>
      </c>
      <c r="E3027" t="s">
        <v>21</v>
      </c>
      <c r="F3027">
        <f>tbl_AQI[[#This Row],[Most AQI Reached]]-tbl_AQI[[#This Row],[Current AQI]]</f>
        <v>86</v>
      </c>
      <c r="G30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7">
        <f>RANK(tbl_AQI[[#This Row],[Current AQI]], tbl_AQI[Current AQI], 0)</f>
        <v>2426</v>
      </c>
    </row>
    <row r="3028" spans="1:8" x14ac:dyDescent="0.35">
      <c r="A3028" t="s">
        <v>3030</v>
      </c>
      <c r="B3028" t="s">
        <v>3047</v>
      </c>
      <c r="C3028">
        <v>179</v>
      </c>
      <c r="D3028">
        <v>111</v>
      </c>
      <c r="E3028" t="s">
        <v>17</v>
      </c>
      <c r="F3028">
        <f>tbl_AQI[[#This Row],[Most AQI Reached]]-tbl_AQI[[#This Row],[Current AQI]]</f>
        <v>68</v>
      </c>
      <c r="G30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28">
        <f>RANK(tbl_AQI[[#This Row],[Current AQI]], tbl_AQI[Current AQI], 0)</f>
        <v>3285</v>
      </c>
    </row>
    <row r="3029" spans="1:8" x14ac:dyDescent="0.35">
      <c r="A3029" t="s">
        <v>3030</v>
      </c>
      <c r="B3029" t="s">
        <v>3048</v>
      </c>
      <c r="C3029">
        <v>236</v>
      </c>
      <c r="D3029">
        <v>39</v>
      </c>
      <c r="E3029" t="s">
        <v>15</v>
      </c>
      <c r="F3029">
        <f>tbl_AQI[[#This Row],[Most AQI Reached]]-tbl_AQI[[#This Row],[Current AQI]]</f>
        <v>197</v>
      </c>
      <c r="G30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29">
        <f>RANK(tbl_AQI[[#This Row],[Current AQI]], tbl_AQI[Current AQI], 0)</f>
        <v>4829</v>
      </c>
    </row>
    <row r="3030" spans="1:8" x14ac:dyDescent="0.35">
      <c r="A3030" t="s">
        <v>3030</v>
      </c>
      <c r="B3030" t="s">
        <v>3049</v>
      </c>
      <c r="C3030">
        <v>211</v>
      </c>
      <c r="D3030">
        <v>163</v>
      </c>
      <c r="E3030" t="s">
        <v>17</v>
      </c>
      <c r="F3030">
        <f>tbl_AQI[[#This Row],[Most AQI Reached]]-tbl_AQI[[#This Row],[Current AQI]]</f>
        <v>48</v>
      </c>
      <c r="G30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0">
        <f>RANK(tbl_AQI[[#This Row],[Current AQI]], tbl_AQI[Current AQI], 0)</f>
        <v>2075</v>
      </c>
    </row>
    <row r="3031" spans="1:8" x14ac:dyDescent="0.35">
      <c r="A3031" t="s">
        <v>3030</v>
      </c>
      <c r="B3031" t="s">
        <v>3050</v>
      </c>
      <c r="C3031">
        <v>242</v>
      </c>
      <c r="D3031">
        <v>161</v>
      </c>
      <c r="E3031" t="s">
        <v>21</v>
      </c>
      <c r="F3031">
        <f>tbl_AQI[[#This Row],[Most AQI Reached]]-tbl_AQI[[#This Row],[Current AQI]]</f>
        <v>81</v>
      </c>
      <c r="G30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1">
        <f>RANK(tbl_AQI[[#This Row],[Current AQI]], tbl_AQI[Current AQI], 0)</f>
        <v>2129</v>
      </c>
    </row>
    <row r="3032" spans="1:8" x14ac:dyDescent="0.35">
      <c r="A3032" t="s">
        <v>3030</v>
      </c>
      <c r="B3032" t="s">
        <v>3051</v>
      </c>
      <c r="C3032">
        <v>238</v>
      </c>
      <c r="D3032">
        <v>146</v>
      </c>
      <c r="E3032" t="s">
        <v>11</v>
      </c>
      <c r="F3032">
        <f>tbl_AQI[[#This Row],[Most AQI Reached]]-tbl_AQI[[#This Row],[Current AQI]]</f>
        <v>92</v>
      </c>
      <c r="G30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2">
        <f>RANK(tbl_AQI[[#This Row],[Current AQI]], tbl_AQI[Current AQI], 0)</f>
        <v>2499</v>
      </c>
    </row>
    <row r="3033" spans="1:8" x14ac:dyDescent="0.35">
      <c r="A3033" t="s">
        <v>3030</v>
      </c>
      <c r="B3033" t="s">
        <v>3052</v>
      </c>
      <c r="C3033">
        <v>181</v>
      </c>
      <c r="D3033">
        <v>100</v>
      </c>
      <c r="E3033" t="s">
        <v>21</v>
      </c>
      <c r="F3033">
        <f>tbl_AQI[[#This Row],[Most AQI Reached]]-tbl_AQI[[#This Row],[Current AQI]]</f>
        <v>81</v>
      </c>
      <c r="G30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33">
        <f>RANK(tbl_AQI[[#This Row],[Current AQI]], tbl_AQI[Current AQI], 0)</f>
        <v>3535</v>
      </c>
    </row>
    <row r="3034" spans="1:8" x14ac:dyDescent="0.35">
      <c r="A3034" t="s">
        <v>3030</v>
      </c>
      <c r="B3034" t="s">
        <v>3053</v>
      </c>
      <c r="C3034">
        <v>309</v>
      </c>
      <c r="D3034">
        <v>139</v>
      </c>
      <c r="E3034" t="s">
        <v>17</v>
      </c>
      <c r="F3034">
        <f>tbl_AQI[[#This Row],[Most AQI Reached]]-tbl_AQI[[#This Row],[Current AQI]]</f>
        <v>170</v>
      </c>
      <c r="G30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4">
        <f>RANK(tbl_AQI[[#This Row],[Current AQI]], tbl_AQI[Current AQI], 0)</f>
        <v>2647</v>
      </c>
    </row>
    <row r="3035" spans="1:8" x14ac:dyDescent="0.35">
      <c r="A3035" t="s">
        <v>3030</v>
      </c>
      <c r="B3035" t="s">
        <v>3054</v>
      </c>
      <c r="C3035">
        <v>286</v>
      </c>
      <c r="D3035">
        <v>36</v>
      </c>
      <c r="E3035" t="s">
        <v>15</v>
      </c>
      <c r="F3035">
        <f>tbl_AQI[[#This Row],[Most AQI Reached]]-tbl_AQI[[#This Row],[Current AQI]]</f>
        <v>250</v>
      </c>
      <c r="G30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35">
        <f>RANK(tbl_AQI[[#This Row],[Current AQI]], tbl_AQI[Current AQI], 0)</f>
        <v>4893</v>
      </c>
    </row>
    <row r="3036" spans="1:8" x14ac:dyDescent="0.35">
      <c r="A3036" t="s">
        <v>3030</v>
      </c>
      <c r="B3036" t="s">
        <v>3055</v>
      </c>
      <c r="C3036">
        <v>227</v>
      </c>
      <c r="D3036">
        <v>189</v>
      </c>
      <c r="E3036" t="s">
        <v>17</v>
      </c>
      <c r="F3036">
        <f>tbl_AQI[[#This Row],[Most AQI Reached]]-tbl_AQI[[#This Row],[Current AQI]]</f>
        <v>38</v>
      </c>
      <c r="G30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6">
        <f>RANK(tbl_AQI[[#This Row],[Current AQI]], tbl_AQI[Current AQI], 0)</f>
        <v>1395</v>
      </c>
    </row>
    <row r="3037" spans="1:8" x14ac:dyDescent="0.35">
      <c r="A3037" t="s">
        <v>3030</v>
      </c>
      <c r="B3037" t="s">
        <v>3056</v>
      </c>
      <c r="C3037">
        <v>188</v>
      </c>
      <c r="D3037">
        <v>175</v>
      </c>
      <c r="E3037" t="s">
        <v>17</v>
      </c>
      <c r="F3037">
        <f>tbl_AQI[[#This Row],[Most AQI Reached]]-tbl_AQI[[#This Row],[Current AQI]]</f>
        <v>13</v>
      </c>
      <c r="G30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7">
        <f>RANK(tbl_AQI[[#This Row],[Current AQI]], tbl_AQI[Current AQI], 0)</f>
        <v>1780</v>
      </c>
    </row>
    <row r="3038" spans="1:8" x14ac:dyDescent="0.35">
      <c r="A3038" t="s">
        <v>3030</v>
      </c>
      <c r="B3038" t="s">
        <v>3057</v>
      </c>
      <c r="C3038">
        <v>109</v>
      </c>
      <c r="D3038">
        <v>63</v>
      </c>
      <c r="E3038" t="s">
        <v>9</v>
      </c>
      <c r="F3038">
        <f>tbl_AQI[[#This Row],[Most AQI Reached]]-tbl_AQI[[#This Row],[Current AQI]]</f>
        <v>46</v>
      </c>
      <c r="G30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38">
        <f>RANK(tbl_AQI[[#This Row],[Current AQI]], tbl_AQI[Current AQI], 0)</f>
        <v>4322</v>
      </c>
    </row>
    <row r="3039" spans="1:8" x14ac:dyDescent="0.35">
      <c r="A3039" t="s">
        <v>3030</v>
      </c>
      <c r="B3039" t="s">
        <v>3058</v>
      </c>
      <c r="C3039">
        <v>256</v>
      </c>
      <c r="D3039">
        <v>161</v>
      </c>
      <c r="E3039" t="s">
        <v>7</v>
      </c>
      <c r="F3039">
        <f>tbl_AQI[[#This Row],[Most AQI Reached]]-tbl_AQI[[#This Row],[Current AQI]]</f>
        <v>95</v>
      </c>
      <c r="G30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39">
        <f>RANK(tbl_AQI[[#This Row],[Current AQI]], tbl_AQI[Current AQI], 0)</f>
        <v>2129</v>
      </c>
    </row>
    <row r="3040" spans="1:8" x14ac:dyDescent="0.35">
      <c r="A3040" t="s">
        <v>3030</v>
      </c>
      <c r="B3040" t="s">
        <v>3059</v>
      </c>
      <c r="C3040">
        <v>194</v>
      </c>
      <c r="D3040">
        <v>49</v>
      </c>
      <c r="E3040" t="s">
        <v>7</v>
      </c>
      <c r="F3040">
        <f>tbl_AQI[[#This Row],[Most AQI Reached]]-tbl_AQI[[#This Row],[Current AQI]]</f>
        <v>145</v>
      </c>
      <c r="G30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40">
        <f>RANK(tbl_AQI[[#This Row],[Current AQI]], tbl_AQI[Current AQI], 0)</f>
        <v>4614</v>
      </c>
    </row>
    <row r="3041" spans="1:8" x14ac:dyDescent="0.35">
      <c r="A3041" t="s">
        <v>3030</v>
      </c>
      <c r="B3041" t="s">
        <v>3060</v>
      </c>
      <c r="C3041">
        <v>179</v>
      </c>
      <c r="D3041">
        <v>168</v>
      </c>
      <c r="E3041" t="s">
        <v>33</v>
      </c>
      <c r="F3041">
        <f>tbl_AQI[[#This Row],[Most AQI Reached]]-tbl_AQI[[#This Row],[Current AQI]]</f>
        <v>11</v>
      </c>
      <c r="G30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1">
        <f>RANK(tbl_AQI[[#This Row],[Current AQI]], tbl_AQI[Current AQI], 0)</f>
        <v>1954</v>
      </c>
    </row>
    <row r="3042" spans="1:8" x14ac:dyDescent="0.35">
      <c r="A3042" t="s">
        <v>3030</v>
      </c>
      <c r="B3042" t="s">
        <v>3061</v>
      </c>
      <c r="C3042">
        <v>220</v>
      </c>
      <c r="D3042">
        <v>175</v>
      </c>
      <c r="E3042" t="s">
        <v>15</v>
      </c>
      <c r="F3042">
        <f>tbl_AQI[[#This Row],[Most AQI Reached]]-tbl_AQI[[#This Row],[Current AQI]]</f>
        <v>45</v>
      </c>
      <c r="G30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2">
        <f>RANK(tbl_AQI[[#This Row],[Current AQI]], tbl_AQI[Current AQI], 0)</f>
        <v>1780</v>
      </c>
    </row>
    <row r="3043" spans="1:8" x14ac:dyDescent="0.35">
      <c r="A3043" t="s">
        <v>3030</v>
      </c>
      <c r="B3043" t="s">
        <v>3062</v>
      </c>
      <c r="C3043">
        <v>225</v>
      </c>
      <c r="D3043">
        <v>168</v>
      </c>
      <c r="E3043" t="s">
        <v>11</v>
      </c>
      <c r="F3043">
        <f>tbl_AQI[[#This Row],[Most AQI Reached]]-tbl_AQI[[#This Row],[Current AQI]]</f>
        <v>57</v>
      </c>
      <c r="G30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3">
        <f>RANK(tbl_AQI[[#This Row],[Current AQI]], tbl_AQI[Current AQI], 0)</f>
        <v>1954</v>
      </c>
    </row>
    <row r="3044" spans="1:8" x14ac:dyDescent="0.35">
      <c r="A3044" t="s">
        <v>3030</v>
      </c>
      <c r="B3044" t="s">
        <v>3063</v>
      </c>
      <c r="C3044">
        <v>155</v>
      </c>
      <c r="D3044">
        <v>120</v>
      </c>
      <c r="E3044" t="s">
        <v>15</v>
      </c>
      <c r="F3044">
        <f>tbl_AQI[[#This Row],[Most AQI Reached]]-tbl_AQI[[#This Row],[Current AQI]]</f>
        <v>35</v>
      </c>
      <c r="G30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4">
        <f>RANK(tbl_AQI[[#This Row],[Current AQI]], tbl_AQI[Current AQI], 0)</f>
        <v>3066</v>
      </c>
    </row>
    <row r="3045" spans="1:8" x14ac:dyDescent="0.35">
      <c r="A3045" t="s">
        <v>3030</v>
      </c>
      <c r="B3045" t="s">
        <v>3064</v>
      </c>
      <c r="C3045">
        <v>285</v>
      </c>
      <c r="D3045">
        <v>142</v>
      </c>
      <c r="E3045" t="s">
        <v>7</v>
      </c>
      <c r="F3045">
        <f>tbl_AQI[[#This Row],[Most AQI Reached]]-tbl_AQI[[#This Row],[Current AQI]]</f>
        <v>143</v>
      </c>
      <c r="G30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5">
        <f>RANK(tbl_AQI[[#This Row],[Current AQI]], tbl_AQI[Current AQI], 0)</f>
        <v>2585</v>
      </c>
    </row>
    <row r="3046" spans="1:8" x14ac:dyDescent="0.35">
      <c r="A3046" t="s">
        <v>3030</v>
      </c>
      <c r="B3046" t="s">
        <v>3065</v>
      </c>
      <c r="C3046">
        <v>152</v>
      </c>
      <c r="D3046">
        <v>146</v>
      </c>
      <c r="E3046" t="s">
        <v>17</v>
      </c>
      <c r="F3046">
        <f>tbl_AQI[[#This Row],[Most AQI Reached]]-tbl_AQI[[#This Row],[Current AQI]]</f>
        <v>6</v>
      </c>
      <c r="G30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6">
        <f>RANK(tbl_AQI[[#This Row],[Current AQI]], tbl_AQI[Current AQI], 0)</f>
        <v>2499</v>
      </c>
    </row>
    <row r="3047" spans="1:8" x14ac:dyDescent="0.35">
      <c r="A3047" t="s">
        <v>3030</v>
      </c>
      <c r="B3047" t="s">
        <v>3066</v>
      </c>
      <c r="C3047">
        <v>233</v>
      </c>
      <c r="D3047">
        <v>187</v>
      </c>
      <c r="E3047" t="s">
        <v>21</v>
      </c>
      <c r="F3047">
        <f>tbl_AQI[[#This Row],[Most AQI Reached]]-tbl_AQI[[#This Row],[Current AQI]]</f>
        <v>46</v>
      </c>
      <c r="G30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7">
        <f>RANK(tbl_AQI[[#This Row],[Current AQI]], tbl_AQI[Current AQI], 0)</f>
        <v>1455</v>
      </c>
    </row>
    <row r="3048" spans="1:8" x14ac:dyDescent="0.35">
      <c r="A3048" t="s">
        <v>3030</v>
      </c>
      <c r="B3048" t="s">
        <v>3067</v>
      </c>
      <c r="C3048">
        <v>219</v>
      </c>
      <c r="D3048">
        <v>145</v>
      </c>
      <c r="E3048" t="s">
        <v>9</v>
      </c>
      <c r="F3048">
        <f>tbl_AQI[[#This Row],[Most AQI Reached]]-tbl_AQI[[#This Row],[Current AQI]]</f>
        <v>74</v>
      </c>
      <c r="G30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8">
        <f>RANK(tbl_AQI[[#This Row],[Current AQI]], tbl_AQI[Current AQI], 0)</f>
        <v>2526</v>
      </c>
    </row>
    <row r="3049" spans="1:8" x14ac:dyDescent="0.35">
      <c r="A3049" t="s">
        <v>3030</v>
      </c>
      <c r="B3049" t="s">
        <v>3068</v>
      </c>
      <c r="C3049">
        <v>238</v>
      </c>
      <c r="D3049">
        <v>190</v>
      </c>
      <c r="E3049" t="s">
        <v>21</v>
      </c>
      <c r="F3049">
        <f>tbl_AQI[[#This Row],[Most AQI Reached]]-tbl_AQI[[#This Row],[Current AQI]]</f>
        <v>48</v>
      </c>
      <c r="G30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49">
        <f>RANK(tbl_AQI[[#This Row],[Current AQI]], tbl_AQI[Current AQI], 0)</f>
        <v>1355</v>
      </c>
    </row>
    <row r="3050" spans="1:8" x14ac:dyDescent="0.35">
      <c r="A3050" t="s">
        <v>3030</v>
      </c>
      <c r="B3050" t="s">
        <v>3069</v>
      </c>
      <c r="C3050">
        <v>221</v>
      </c>
      <c r="D3050">
        <v>55</v>
      </c>
      <c r="E3050" t="s">
        <v>33</v>
      </c>
      <c r="F3050">
        <f>tbl_AQI[[#This Row],[Most AQI Reached]]-tbl_AQI[[#This Row],[Current AQI]]</f>
        <v>166</v>
      </c>
      <c r="G30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50">
        <f>RANK(tbl_AQI[[#This Row],[Current AQI]], tbl_AQI[Current AQI], 0)</f>
        <v>4497</v>
      </c>
    </row>
    <row r="3051" spans="1:8" x14ac:dyDescent="0.35">
      <c r="A3051" t="s">
        <v>3030</v>
      </c>
      <c r="B3051" t="s">
        <v>3070</v>
      </c>
      <c r="C3051">
        <v>287</v>
      </c>
      <c r="D3051">
        <v>42</v>
      </c>
      <c r="E3051" t="s">
        <v>21</v>
      </c>
      <c r="F3051">
        <f>tbl_AQI[[#This Row],[Most AQI Reached]]-tbl_AQI[[#This Row],[Current AQI]]</f>
        <v>245</v>
      </c>
      <c r="G30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51">
        <f>RANK(tbl_AQI[[#This Row],[Current AQI]], tbl_AQI[Current AQI], 0)</f>
        <v>4776</v>
      </c>
    </row>
    <row r="3052" spans="1:8" x14ac:dyDescent="0.35">
      <c r="A3052" t="s">
        <v>3030</v>
      </c>
      <c r="B3052" t="s">
        <v>3071</v>
      </c>
      <c r="C3052">
        <v>141</v>
      </c>
      <c r="D3052">
        <v>81</v>
      </c>
      <c r="E3052" t="s">
        <v>11</v>
      </c>
      <c r="F3052">
        <f>tbl_AQI[[#This Row],[Most AQI Reached]]-tbl_AQI[[#This Row],[Current AQI]]</f>
        <v>60</v>
      </c>
      <c r="G30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52">
        <f>RANK(tbl_AQI[[#This Row],[Current AQI]], tbl_AQI[Current AQI], 0)</f>
        <v>3923</v>
      </c>
    </row>
    <row r="3053" spans="1:8" x14ac:dyDescent="0.35">
      <c r="A3053" t="s">
        <v>3030</v>
      </c>
      <c r="B3053" t="s">
        <v>3072</v>
      </c>
      <c r="C3053">
        <v>247</v>
      </c>
      <c r="D3053">
        <v>152</v>
      </c>
      <c r="E3053" t="s">
        <v>17</v>
      </c>
      <c r="F3053">
        <f>tbl_AQI[[#This Row],[Most AQI Reached]]-tbl_AQI[[#This Row],[Current AQI]]</f>
        <v>95</v>
      </c>
      <c r="G30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53">
        <f>RANK(tbl_AQI[[#This Row],[Current AQI]], tbl_AQI[Current AQI], 0)</f>
        <v>2349</v>
      </c>
    </row>
    <row r="3054" spans="1:8" x14ac:dyDescent="0.35">
      <c r="A3054" t="s">
        <v>3030</v>
      </c>
      <c r="B3054" t="s">
        <v>3073</v>
      </c>
      <c r="C3054">
        <v>105</v>
      </c>
      <c r="D3054">
        <v>86</v>
      </c>
      <c r="E3054" t="s">
        <v>33</v>
      </c>
      <c r="F3054">
        <f>tbl_AQI[[#This Row],[Most AQI Reached]]-tbl_AQI[[#This Row],[Current AQI]]</f>
        <v>19</v>
      </c>
      <c r="G30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54">
        <f>RANK(tbl_AQI[[#This Row],[Current AQI]], tbl_AQI[Current AQI], 0)</f>
        <v>3830</v>
      </c>
    </row>
    <row r="3055" spans="1:8" x14ac:dyDescent="0.35">
      <c r="A3055" t="s">
        <v>3030</v>
      </c>
      <c r="B3055" t="s">
        <v>3074</v>
      </c>
      <c r="C3055">
        <v>298</v>
      </c>
      <c r="D3055">
        <v>177</v>
      </c>
      <c r="E3055" t="s">
        <v>7</v>
      </c>
      <c r="F3055">
        <f>tbl_AQI[[#This Row],[Most AQI Reached]]-tbl_AQI[[#This Row],[Current AQI]]</f>
        <v>121</v>
      </c>
      <c r="G30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55">
        <f>RANK(tbl_AQI[[#This Row],[Current AQI]], tbl_AQI[Current AQI], 0)</f>
        <v>1733</v>
      </c>
    </row>
    <row r="3056" spans="1:8" x14ac:dyDescent="0.35">
      <c r="A3056" t="s">
        <v>3030</v>
      </c>
      <c r="B3056" t="s">
        <v>3075</v>
      </c>
      <c r="C3056">
        <v>301</v>
      </c>
      <c r="D3056">
        <v>189</v>
      </c>
      <c r="E3056" t="s">
        <v>15</v>
      </c>
      <c r="F3056">
        <f>tbl_AQI[[#This Row],[Most AQI Reached]]-tbl_AQI[[#This Row],[Current AQI]]</f>
        <v>112</v>
      </c>
      <c r="G30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56">
        <f>RANK(tbl_AQI[[#This Row],[Current AQI]], tbl_AQI[Current AQI], 0)</f>
        <v>1395</v>
      </c>
    </row>
    <row r="3057" spans="1:8" x14ac:dyDescent="0.35">
      <c r="A3057" t="s">
        <v>3030</v>
      </c>
      <c r="B3057" t="s">
        <v>3076</v>
      </c>
      <c r="C3057">
        <v>267</v>
      </c>
      <c r="D3057">
        <v>117</v>
      </c>
      <c r="E3057" t="s">
        <v>11</v>
      </c>
      <c r="F3057">
        <f>tbl_AQI[[#This Row],[Most AQI Reached]]-tbl_AQI[[#This Row],[Current AQI]]</f>
        <v>150</v>
      </c>
      <c r="G30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57">
        <f>RANK(tbl_AQI[[#This Row],[Current AQI]], tbl_AQI[Current AQI], 0)</f>
        <v>3144</v>
      </c>
    </row>
    <row r="3058" spans="1:8" x14ac:dyDescent="0.35">
      <c r="A3058" t="s">
        <v>3030</v>
      </c>
      <c r="B3058" t="s">
        <v>3077</v>
      </c>
      <c r="C3058">
        <v>214</v>
      </c>
      <c r="D3058">
        <v>122</v>
      </c>
      <c r="E3058" t="s">
        <v>21</v>
      </c>
      <c r="F3058">
        <f>tbl_AQI[[#This Row],[Most AQI Reached]]-tbl_AQI[[#This Row],[Current AQI]]</f>
        <v>92</v>
      </c>
      <c r="G30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58">
        <f>RANK(tbl_AQI[[#This Row],[Current AQI]], tbl_AQI[Current AQI], 0)</f>
        <v>3013</v>
      </c>
    </row>
    <row r="3059" spans="1:8" x14ac:dyDescent="0.35">
      <c r="A3059" t="s">
        <v>3030</v>
      </c>
      <c r="B3059" t="s">
        <v>3078</v>
      </c>
      <c r="C3059">
        <v>284</v>
      </c>
      <c r="D3059">
        <v>45</v>
      </c>
      <c r="E3059" t="s">
        <v>21</v>
      </c>
      <c r="F3059">
        <f>tbl_AQI[[#This Row],[Most AQI Reached]]-tbl_AQI[[#This Row],[Current AQI]]</f>
        <v>239</v>
      </c>
      <c r="G30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59">
        <f>RANK(tbl_AQI[[#This Row],[Current AQI]], tbl_AQI[Current AQI], 0)</f>
        <v>4702</v>
      </c>
    </row>
    <row r="3060" spans="1:8" x14ac:dyDescent="0.35">
      <c r="A3060" t="s">
        <v>3030</v>
      </c>
      <c r="B3060" t="s">
        <v>3079</v>
      </c>
      <c r="C3060">
        <v>260</v>
      </c>
      <c r="D3060">
        <v>112</v>
      </c>
      <c r="E3060" t="s">
        <v>15</v>
      </c>
      <c r="F3060">
        <f>tbl_AQI[[#This Row],[Most AQI Reached]]-tbl_AQI[[#This Row],[Current AQI]]</f>
        <v>148</v>
      </c>
      <c r="G30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0">
        <f>RANK(tbl_AQI[[#This Row],[Current AQI]], tbl_AQI[Current AQI], 0)</f>
        <v>3267</v>
      </c>
    </row>
    <row r="3061" spans="1:8" x14ac:dyDescent="0.35">
      <c r="A3061" t="s">
        <v>3030</v>
      </c>
      <c r="B3061" t="s">
        <v>3080</v>
      </c>
      <c r="C3061">
        <v>208</v>
      </c>
      <c r="D3061">
        <v>133</v>
      </c>
      <c r="E3061" t="s">
        <v>7</v>
      </c>
      <c r="F3061">
        <f>tbl_AQI[[#This Row],[Most AQI Reached]]-tbl_AQI[[#This Row],[Current AQI]]</f>
        <v>75</v>
      </c>
      <c r="G30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1">
        <f>RANK(tbl_AQI[[#This Row],[Current AQI]], tbl_AQI[Current AQI], 0)</f>
        <v>2758</v>
      </c>
    </row>
    <row r="3062" spans="1:8" x14ac:dyDescent="0.35">
      <c r="A3062" t="s">
        <v>3030</v>
      </c>
      <c r="B3062" t="s">
        <v>3081</v>
      </c>
      <c r="C3062">
        <v>218</v>
      </c>
      <c r="D3062">
        <v>178</v>
      </c>
      <c r="E3062" t="s">
        <v>9</v>
      </c>
      <c r="F3062">
        <f>tbl_AQI[[#This Row],[Most AQI Reached]]-tbl_AQI[[#This Row],[Current AQI]]</f>
        <v>40</v>
      </c>
      <c r="G30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2">
        <f>RANK(tbl_AQI[[#This Row],[Current AQI]], tbl_AQI[Current AQI], 0)</f>
        <v>1702</v>
      </c>
    </row>
    <row r="3063" spans="1:8" x14ac:dyDescent="0.35">
      <c r="A3063" t="s">
        <v>3030</v>
      </c>
      <c r="B3063" t="s">
        <v>3082</v>
      </c>
      <c r="C3063">
        <v>237</v>
      </c>
      <c r="D3063">
        <v>162</v>
      </c>
      <c r="E3063" t="s">
        <v>17</v>
      </c>
      <c r="F3063">
        <f>tbl_AQI[[#This Row],[Most AQI Reached]]-tbl_AQI[[#This Row],[Current AQI]]</f>
        <v>75</v>
      </c>
      <c r="G30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3">
        <f>RANK(tbl_AQI[[#This Row],[Current AQI]], tbl_AQI[Current AQI], 0)</f>
        <v>2106</v>
      </c>
    </row>
    <row r="3064" spans="1:8" x14ac:dyDescent="0.35">
      <c r="A3064" t="s">
        <v>3030</v>
      </c>
      <c r="B3064" t="s">
        <v>3083</v>
      </c>
      <c r="C3064">
        <v>150</v>
      </c>
      <c r="D3064">
        <v>89</v>
      </c>
      <c r="E3064" t="s">
        <v>21</v>
      </c>
      <c r="F3064">
        <f>tbl_AQI[[#This Row],[Most AQI Reached]]-tbl_AQI[[#This Row],[Current AQI]]</f>
        <v>61</v>
      </c>
      <c r="G30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64">
        <f>RANK(tbl_AQI[[#This Row],[Current AQI]], tbl_AQI[Current AQI], 0)</f>
        <v>3772</v>
      </c>
    </row>
    <row r="3065" spans="1:8" x14ac:dyDescent="0.35">
      <c r="A3065" t="s">
        <v>3030</v>
      </c>
      <c r="B3065" t="s">
        <v>3084</v>
      </c>
      <c r="C3065">
        <v>151</v>
      </c>
      <c r="D3065">
        <v>145</v>
      </c>
      <c r="E3065" t="s">
        <v>17</v>
      </c>
      <c r="F3065">
        <f>tbl_AQI[[#This Row],[Most AQI Reached]]-tbl_AQI[[#This Row],[Current AQI]]</f>
        <v>6</v>
      </c>
      <c r="G30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5">
        <f>RANK(tbl_AQI[[#This Row],[Current AQI]], tbl_AQI[Current AQI], 0)</f>
        <v>2526</v>
      </c>
    </row>
    <row r="3066" spans="1:8" x14ac:dyDescent="0.35">
      <c r="A3066" t="s">
        <v>3030</v>
      </c>
      <c r="B3066" t="s">
        <v>3085</v>
      </c>
      <c r="C3066">
        <v>222</v>
      </c>
      <c r="D3066">
        <v>159</v>
      </c>
      <c r="E3066" t="s">
        <v>15</v>
      </c>
      <c r="F3066">
        <f>tbl_AQI[[#This Row],[Most AQI Reached]]-tbl_AQI[[#This Row],[Current AQI]]</f>
        <v>63</v>
      </c>
      <c r="G30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6">
        <f>RANK(tbl_AQI[[#This Row],[Current AQI]], tbl_AQI[Current AQI], 0)</f>
        <v>2183</v>
      </c>
    </row>
    <row r="3067" spans="1:8" x14ac:dyDescent="0.35">
      <c r="A3067" t="s">
        <v>3030</v>
      </c>
      <c r="B3067" t="s">
        <v>3086</v>
      </c>
      <c r="C3067">
        <v>129</v>
      </c>
      <c r="D3067">
        <v>94</v>
      </c>
      <c r="E3067" t="s">
        <v>7</v>
      </c>
      <c r="F3067">
        <f>tbl_AQI[[#This Row],[Most AQI Reached]]-tbl_AQI[[#This Row],[Current AQI]]</f>
        <v>35</v>
      </c>
      <c r="G30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67">
        <f>RANK(tbl_AQI[[#This Row],[Current AQI]], tbl_AQI[Current AQI], 0)</f>
        <v>3654</v>
      </c>
    </row>
    <row r="3068" spans="1:8" x14ac:dyDescent="0.35">
      <c r="A3068" t="s">
        <v>3087</v>
      </c>
      <c r="B3068" t="s">
        <v>3088</v>
      </c>
      <c r="C3068">
        <v>287</v>
      </c>
      <c r="D3068">
        <v>173</v>
      </c>
      <c r="E3068" t="s">
        <v>9</v>
      </c>
      <c r="F3068">
        <f>tbl_AQI[[#This Row],[Most AQI Reached]]-tbl_AQI[[#This Row],[Current AQI]]</f>
        <v>114</v>
      </c>
      <c r="G30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68">
        <f>RANK(tbl_AQI[[#This Row],[Current AQI]], tbl_AQI[Current AQI], 0)</f>
        <v>1826</v>
      </c>
    </row>
    <row r="3069" spans="1:8" x14ac:dyDescent="0.35">
      <c r="A3069" t="s">
        <v>3087</v>
      </c>
      <c r="B3069" t="s">
        <v>3089</v>
      </c>
      <c r="C3069">
        <v>221</v>
      </c>
      <c r="D3069">
        <v>83</v>
      </c>
      <c r="E3069" t="s">
        <v>17</v>
      </c>
      <c r="F3069">
        <f>tbl_AQI[[#This Row],[Most AQI Reached]]-tbl_AQI[[#This Row],[Current AQI]]</f>
        <v>138</v>
      </c>
      <c r="G30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69">
        <f>RANK(tbl_AQI[[#This Row],[Current AQI]], tbl_AQI[Current AQI], 0)</f>
        <v>3892</v>
      </c>
    </row>
    <row r="3070" spans="1:8" x14ac:dyDescent="0.35">
      <c r="A3070" t="s">
        <v>3087</v>
      </c>
      <c r="B3070" t="s">
        <v>3090</v>
      </c>
      <c r="C3070">
        <v>146</v>
      </c>
      <c r="D3070">
        <v>128</v>
      </c>
      <c r="E3070" t="s">
        <v>11</v>
      </c>
      <c r="F3070">
        <f>tbl_AQI[[#This Row],[Most AQI Reached]]-tbl_AQI[[#This Row],[Current AQI]]</f>
        <v>18</v>
      </c>
      <c r="G30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70">
        <f>RANK(tbl_AQI[[#This Row],[Current AQI]], tbl_AQI[Current AQI], 0)</f>
        <v>2872</v>
      </c>
    </row>
    <row r="3071" spans="1:8" x14ac:dyDescent="0.35">
      <c r="A3071" t="s">
        <v>3087</v>
      </c>
      <c r="B3071" t="s">
        <v>3091</v>
      </c>
      <c r="C3071">
        <v>207</v>
      </c>
      <c r="D3071">
        <v>167</v>
      </c>
      <c r="E3071" t="s">
        <v>7</v>
      </c>
      <c r="F3071">
        <f>tbl_AQI[[#This Row],[Most AQI Reached]]-tbl_AQI[[#This Row],[Current AQI]]</f>
        <v>40</v>
      </c>
      <c r="G30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71">
        <f>RANK(tbl_AQI[[#This Row],[Current AQI]], tbl_AQI[Current AQI], 0)</f>
        <v>1979</v>
      </c>
    </row>
    <row r="3072" spans="1:8" x14ac:dyDescent="0.35">
      <c r="A3072" t="s">
        <v>3087</v>
      </c>
      <c r="B3072" t="s">
        <v>3092</v>
      </c>
      <c r="C3072">
        <v>195</v>
      </c>
      <c r="D3072">
        <v>162</v>
      </c>
      <c r="E3072" t="s">
        <v>11</v>
      </c>
      <c r="F3072">
        <f>tbl_AQI[[#This Row],[Most AQI Reached]]-tbl_AQI[[#This Row],[Current AQI]]</f>
        <v>33</v>
      </c>
      <c r="G30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72">
        <f>RANK(tbl_AQI[[#This Row],[Current AQI]], tbl_AQI[Current AQI], 0)</f>
        <v>2106</v>
      </c>
    </row>
    <row r="3073" spans="1:8" x14ac:dyDescent="0.35">
      <c r="A3073" t="s">
        <v>3087</v>
      </c>
      <c r="B3073" t="s">
        <v>3093</v>
      </c>
      <c r="C3073">
        <v>146</v>
      </c>
      <c r="D3073">
        <v>37</v>
      </c>
      <c r="E3073" t="s">
        <v>9</v>
      </c>
      <c r="F3073">
        <f>tbl_AQI[[#This Row],[Most AQI Reached]]-tbl_AQI[[#This Row],[Current AQI]]</f>
        <v>109</v>
      </c>
      <c r="G30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73">
        <f>RANK(tbl_AQI[[#This Row],[Current AQI]], tbl_AQI[Current AQI], 0)</f>
        <v>4863</v>
      </c>
    </row>
    <row r="3074" spans="1:8" x14ac:dyDescent="0.35">
      <c r="A3074" t="s">
        <v>3087</v>
      </c>
      <c r="B3074" t="s">
        <v>3094</v>
      </c>
      <c r="C3074">
        <v>192</v>
      </c>
      <c r="D3074">
        <v>75</v>
      </c>
      <c r="E3074" t="s">
        <v>7</v>
      </c>
      <c r="F3074">
        <f>tbl_AQI[[#This Row],[Most AQI Reached]]-tbl_AQI[[#This Row],[Current AQI]]</f>
        <v>117</v>
      </c>
      <c r="G30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74">
        <f>RANK(tbl_AQI[[#This Row],[Current AQI]], tbl_AQI[Current AQI], 0)</f>
        <v>4041</v>
      </c>
    </row>
    <row r="3075" spans="1:8" x14ac:dyDescent="0.35">
      <c r="A3075" t="s">
        <v>3087</v>
      </c>
      <c r="B3075" t="s">
        <v>3095</v>
      </c>
      <c r="C3075">
        <v>123</v>
      </c>
      <c r="D3075">
        <v>37</v>
      </c>
      <c r="E3075" t="s">
        <v>33</v>
      </c>
      <c r="F3075">
        <f>tbl_AQI[[#This Row],[Most AQI Reached]]-tbl_AQI[[#This Row],[Current AQI]]</f>
        <v>86</v>
      </c>
      <c r="G30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75">
        <f>RANK(tbl_AQI[[#This Row],[Current AQI]], tbl_AQI[Current AQI], 0)</f>
        <v>4863</v>
      </c>
    </row>
    <row r="3076" spans="1:8" x14ac:dyDescent="0.35">
      <c r="A3076" t="s">
        <v>3087</v>
      </c>
      <c r="B3076" t="s">
        <v>3096</v>
      </c>
      <c r="C3076">
        <v>313</v>
      </c>
      <c r="D3076">
        <v>68</v>
      </c>
      <c r="E3076" t="s">
        <v>21</v>
      </c>
      <c r="F3076">
        <f>tbl_AQI[[#This Row],[Most AQI Reached]]-tbl_AQI[[#This Row],[Current AQI]]</f>
        <v>245</v>
      </c>
      <c r="G30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76">
        <f>RANK(tbl_AQI[[#This Row],[Current AQI]], tbl_AQI[Current AQI], 0)</f>
        <v>4204</v>
      </c>
    </row>
    <row r="3077" spans="1:8" x14ac:dyDescent="0.35">
      <c r="A3077" t="s">
        <v>3087</v>
      </c>
      <c r="B3077" t="s">
        <v>3097</v>
      </c>
      <c r="C3077">
        <v>81</v>
      </c>
      <c r="D3077">
        <v>75</v>
      </c>
      <c r="E3077" t="s">
        <v>17</v>
      </c>
      <c r="F3077">
        <f>tbl_AQI[[#This Row],[Most AQI Reached]]-tbl_AQI[[#This Row],[Current AQI]]</f>
        <v>6</v>
      </c>
      <c r="G30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77">
        <f>RANK(tbl_AQI[[#This Row],[Current AQI]], tbl_AQI[Current AQI], 0)</f>
        <v>4041</v>
      </c>
    </row>
    <row r="3078" spans="1:8" x14ac:dyDescent="0.35">
      <c r="A3078" t="s">
        <v>3087</v>
      </c>
      <c r="B3078" t="s">
        <v>3098</v>
      </c>
      <c r="C3078">
        <v>297</v>
      </c>
      <c r="D3078">
        <v>110</v>
      </c>
      <c r="E3078" t="s">
        <v>15</v>
      </c>
      <c r="F3078">
        <f>tbl_AQI[[#This Row],[Most AQI Reached]]-tbl_AQI[[#This Row],[Current AQI]]</f>
        <v>187</v>
      </c>
      <c r="G30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78">
        <f>RANK(tbl_AQI[[#This Row],[Current AQI]], tbl_AQI[Current AQI], 0)</f>
        <v>3302</v>
      </c>
    </row>
    <row r="3079" spans="1:8" x14ac:dyDescent="0.35">
      <c r="A3079" t="s">
        <v>3087</v>
      </c>
      <c r="B3079" t="s">
        <v>3099</v>
      </c>
      <c r="C3079">
        <v>303</v>
      </c>
      <c r="D3079">
        <v>167</v>
      </c>
      <c r="E3079" t="s">
        <v>21</v>
      </c>
      <c r="F3079">
        <f>tbl_AQI[[#This Row],[Most AQI Reached]]-tbl_AQI[[#This Row],[Current AQI]]</f>
        <v>136</v>
      </c>
      <c r="G30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79">
        <f>RANK(tbl_AQI[[#This Row],[Current AQI]], tbl_AQI[Current AQI], 0)</f>
        <v>1979</v>
      </c>
    </row>
    <row r="3080" spans="1:8" x14ac:dyDescent="0.35">
      <c r="A3080" t="s">
        <v>3087</v>
      </c>
      <c r="B3080" t="s">
        <v>3100</v>
      </c>
      <c r="C3080">
        <v>165</v>
      </c>
      <c r="D3080">
        <v>129</v>
      </c>
      <c r="E3080" t="s">
        <v>15</v>
      </c>
      <c r="F3080">
        <f>tbl_AQI[[#This Row],[Most AQI Reached]]-tbl_AQI[[#This Row],[Current AQI]]</f>
        <v>36</v>
      </c>
      <c r="G30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80">
        <f>RANK(tbl_AQI[[#This Row],[Current AQI]], tbl_AQI[Current AQI], 0)</f>
        <v>2852</v>
      </c>
    </row>
    <row r="3081" spans="1:8" x14ac:dyDescent="0.35">
      <c r="A3081" t="s">
        <v>3087</v>
      </c>
      <c r="B3081" t="s">
        <v>3101</v>
      </c>
      <c r="C3081">
        <v>249</v>
      </c>
      <c r="D3081">
        <v>41</v>
      </c>
      <c r="E3081" t="s">
        <v>9</v>
      </c>
      <c r="F3081">
        <f>tbl_AQI[[#This Row],[Most AQI Reached]]-tbl_AQI[[#This Row],[Current AQI]]</f>
        <v>208</v>
      </c>
      <c r="G30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81">
        <f>RANK(tbl_AQI[[#This Row],[Current AQI]], tbl_AQI[Current AQI], 0)</f>
        <v>4789</v>
      </c>
    </row>
    <row r="3082" spans="1:8" x14ac:dyDescent="0.35">
      <c r="A3082" t="s">
        <v>3087</v>
      </c>
      <c r="B3082" t="s">
        <v>3102</v>
      </c>
      <c r="C3082">
        <v>210</v>
      </c>
      <c r="D3082">
        <v>146</v>
      </c>
      <c r="E3082" t="s">
        <v>17</v>
      </c>
      <c r="F3082">
        <f>tbl_AQI[[#This Row],[Most AQI Reached]]-tbl_AQI[[#This Row],[Current AQI]]</f>
        <v>64</v>
      </c>
      <c r="G30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82">
        <f>RANK(tbl_AQI[[#This Row],[Current AQI]], tbl_AQI[Current AQI], 0)</f>
        <v>2499</v>
      </c>
    </row>
    <row r="3083" spans="1:8" x14ac:dyDescent="0.35">
      <c r="A3083" t="s">
        <v>3087</v>
      </c>
      <c r="B3083" t="s">
        <v>3103</v>
      </c>
      <c r="C3083">
        <v>190</v>
      </c>
      <c r="D3083">
        <v>41</v>
      </c>
      <c r="E3083" t="s">
        <v>11</v>
      </c>
      <c r="F3083">
        <f>tbl_AQI[[#This Row],[Most AQI Reached]]-tbl_AQI[[#This Row],[Current AQI]]</f>
        <v>149</v>
      </c>
      <c r="G30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83">
        <f>RANK(tbl_AQI[[#This Row],[Current AQI]], tbl_AQI[Current AQI], 0)</f>
        <v>4789</v>
      </c>
    </row>
    <row r="3084" spans="1:8" x14ac:dyDescent="0.35">
      <c r="A3084" t="s">
        <v>3087</v>
      </c>
      <c r="B3084" t="s">
        <v>3104</v>
      </c>
      <c r="C3084">
        <v>266</v>
      </c>
      <c r="D3084">
        <v>109</v>
      </c>
      <c r="E3084" t="s">
        <v>15</v>
      </c>
      <c r="F3084">
        <f>tbl_AQI[[#This Row],[Most AQI Reached]]-tbl_AQI[[#This Row],[Current AQI]]</f>
        <v>157</v>
      </c>
      <c r="G30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84">
        <f>RANK(tbl_AQI[[#This Row],[Current AQI]], tbl_AQI[Current AQI], 0)</f>
        <v>3338</v>
      </c>
    </row>
    <row r="3085" spans="1:8" x14ac:dyDescent="0.35">
      <c r="A3085" t="s">
        <v>3087</v>
      </c>
      <c r="B3085" t="s">
        <v>3105</v>
      </c>
      <c r="C3085">
        <v>259</v>
      </c>
      <c r="D3085">
        <v>175</v>
      </c>
      <c r="E3085" t="s">
        <v>11</v>
      </c>
      <c r="F3085">
        <f>tbl_AQI[[#This Row],[Most AQI Reached]]-tbl_AQI[[#This Row],[Current AQI]]</f>
        <v>84</v>
      </c>
      <c r="G30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85">
        <f>RANK(tbl_AQI[[#This Row],[Current AQI]], tbl_AQI[Current AQI], 0)</f>
        <v>1780</v>
      </c>
    </row>
    <row r="3086" spans="1:8" x14ac:dyDescent="0.35">
      <c r="A3086" t="s">
        <v>3087</v>
      </c>
      <c r="B3086" t="s">
        <v>3106</v>
      </c>
      <c r="C3086">
        <v>215</v>
      </c>
      <c r="D3086">
        <v>31</v>
      </c>
      <c r="E3086" t="s">
        <v>21</v>
      </c>
      <c r="F3086">
        <f>tbl_AQI[[#This Row],[Most AQI Reached]]-tbl_AQI[[#This Row],[Current AQI]]</f>
        <v>184</v>
      </c>
      <c r="G30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86">
        <f>RANK(tbl_AQI[[#This Row],[Current AQI]], tbl_AQI[Current AQI], 0)</f>
        <v>5016</v>
      </c>
    </row>
    <row r="3087" spans="1:8" x14ac:dyDescent="0.35">
      <c r="A3087" t="s">
        <v>3087</v>
      </c>
      <c r="B3087" t="s">
        <v>3107</v>
      </c>
      <c r="C3087">
        <v>316</v>
      </c>
      <c r="D3087">
        <v>96</v>
      </c>
      <c r="E3087" t="s">
        <v>7</v>
      </c>
      <c r="F3087">
        <f>tbl_AQI[[#This Row],[Most AQI Reached]]-tbl_AQI[[#This Row],[Current AQI]]</f>
        <v>220</v>
      </c>
      <c r="G30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87">
        <f>RANK(tbl_AQI[[#This Row],[Current AQI]], tbl_AQI[Current AQI], 0)</f>
        <v>3616</v>
      </c>
    </row>
    <row r="3088" spans="1:8" x14ac:dyDescent="0.35">
      <c r="A3088" t="s">
        <v>3087</v>
      </c>
      <c r="B3088" t="s">
        <v>3108</v>
      </c>
      <c r="C3088">
        <v>216</v>
      </c>
      <c r="D3088">
        <v>35</v>
      </c>
      <c r="E3088" t="s">
        <v>17</v>
      </c>
      <c r="F3088">
        <f>tbl_AQI[[#This Row],[Most AQI Reached]]-tbl_AQI[[#This Row],[Current AQI]]</f>
        <v>181</v>
      </c>
      <c r="G30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88">
        <f>RANK(tbl_AQI[[#This Row],[Current AQI]], tbl_AQI[Current AQI], 0)</f>
        <v>4916</v>
      </c>
    </row>
    <row r="3089" spans="1:8" x14ac:dyDescent="0.35">
      <c r="A3089" t="s">
        <v>3087</v>
      </c>
      <c r="B3089" t="s">
        <v>3109</v>
      </c>
      <c r="C3089">
        <v>314</v>
      </c>
      <c r="D3089">
        <v>146</v>
      </c>
      <c r="E3089" t="s">
        <v>7</v>
      </c>
      <c r="F3089">
        <f>tbl_AQI[[#This Row],[Most AQI Reached]]-tbl_AQI[[#This Row],[Current AQI]]</f>
        <v>168</v>
      </c>
      <c r="G30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89">
        <f>RANK(tbl_AQI[[#This Row],[Current AQI]], tbl_AQI[Current AQI], 0)</f>
        <v>2499</v>
      </c>
    </row>
    <row r="3090" spans="1:8" x14ac:dyDescent="0.35">
      <c r="A3090" t="s">
        <v>3087</v>
      </c>
      <c r="B3090" t="s">
        <v>3110</v>
      </c>
      <c r="C3090">
        <v>189</v>
      </c>
      <c r="D3090">
        <v>136</v>
      </c>
      <c r="E3090" t="s">
        <v>21</v>
      </c>
      <c r="F3090">
        <f>tbl_AQI[[#This Row],[Most AQI Reached]]-tbl_AQI[[#This Row],[Current AQI]]</f>
        <v>53</v>
      </c>
      <c r="G30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0">
        <f>RANK(tbl_AQI[[#This Row],[Current AQI]], tbl_AQI[Current AQI], 0)</f>
        <v>2692</v>
      </c>
    </row>
    <row r="3091" spans="1:8" x14ac:dyDescent="0.35">
      <c r="A3091" t="s">
        <v>3087</v>
      </c>
      <c r="B3091" t="s">
        <v>3111</v>
      </c>
      <c r="C3091">
        <v>278</v>
      </c>
      <c r="D3091">
        <v>135</v>
      </c>
      <c r="E3091" t="s">
        <v>11</v>
      </c>
      <c r="F3091">
        <f>tbl_AQI[[#This Row],[Most AQI Reached]]-tbl_AQI[[#This Row],[Current AQI]]</f>
        <v>143</v>
      </c>
      <c r="G30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1">
        <f>RANK(tbl_AQI[[#This Row],[Current AQI]], tbl_AQI[Current AQI], 0)</f>
        <v>2714</v>
      </c>
    </row>
    <row r="3092" spans="1:8" x14ac:dyDescent="0.35">
      <c r="A3092" t="s">
        <v>3087</v>
      </c>
      <c r="B3092" t="s">
        <v>3112</v>
      </c>
      <c r="C3092">
        <v>89</v>
      </c>
      <c r="D3092">
        <v>67</v>
      </c>
      <c r="E3092" t="s">
        <v>15</v>
      </c>
      <c r="F3092">
        <f>tbl_AQI[[#This Row],[Most AQI Reached]]-tbl_AQI[[#This Row],[Current AQI]]</f>
        <v>22</v>
      </c>
      <c r="G30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092">
        <f>RANK(tbl_AQI[[#This Row],[Current AQI]], tbl_AQI[Current AQI], 0)</f>
        <v>4225</v>
      </c>
    </row>
    <row r="3093" spans="1:8" x14ac:dyDescent="0.35">
      <c r="A3093" t="s">
        <v>3087</v>
      </c>
      <c r="B3093" t="s">
        <v>3113</v>
      </c>
      <c r="C3093">
        <v>184</v>
      </c>
      <c r="D3093">
        <v>174</v>
      </c>
      <c r="E3093" t="s">
        <v>9</v>
      </c>
      <c r="F3093">
        <f>tbl_AQI[[#This Row],[Most AQI Reached]]-tbl_AQI[[#This Row],[Current AQI]]</f>
        <v>10</v>
      </c>
      <c r="G30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3">
        <f>RANK(tbl_AQI[[#This Row],[Current AQI]], tbl_AQI[Current AQI], 0)</f>
        <v>1803</v>
      </c>
    </row>
    <row r="3094" spans="1:8" x14ac:dyDescent="0.35">
      <c r="A3094" t="s">
        <v>3087</v>
      </c>
      <c r="B3094" t="s">
        <v>3114</v>
      </c>
      <c r="C3094">
        <v>250</v>
      </c>
      <c r="D3094">
        <v>45</v>
      </c>
      <c r="E3094" t="s">
        <v>17</v>
      </c>
      <c r="F3094">
        <f>tbl_AQI[[#This Row],[Most AQI Reached]]-tbl_AQI[[#This Row],[Current AQI]]</f>
        <v>205</v>
      </c>
      <c r="G30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94">
        <f>RANK(tbl_AQI[[#This Row],[Current AQI]], tbl_AQI[Current AQI], 0)</f>
        <v>4702</v>
      </c>
    </row>
    <row r="3095" spans="1:8" x14ac:dyDescent="0.35">
      <c r="A3095" t="s">
        <v>3087</v>
      </c>
      <c r="B3095" t="s">
        <v>3115</v>
      </c>
      <c r="C3095">
        <v>244</v>
      </c>
      <c r="D3095">
        <v>147</v>
      </c>
      <c r="E3095" t="s">
        <v>15</v>
      </c>
      <c r="F3095">
        <f>tbl_AQI[[#This Row],[Most AQI Reached]]-tbl_AQI[[#This Row],[Current AQI]]</f>
        <v>97</v>
      </c>
      <c r="G30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5">
        <f>RANK(tbl_AQI[[#This Row],[Current AQI]], tbl_AQI[Current AQI], 0)</f>
        <v>2478</v>
      </c>
    </row>
    <row r="3096" spans="1:8" x14ac:dyDescent="0.35">
      <c r="A3096" t="s">
        <v>3087</v>
      </c>
      <c r="B3096" t="s">
        <v>3116</v>
      </c>
      <c r="C3096">
        <v>312</v>
      </c>
      <c r="D3096">
        <v>160</v>
      </c>
      <c r="E3096" t="s">
        <v>11</v>
      </c>
      <c r="F3096">
        <f>tbl_AQI[[#This Row],[Most AQI Reached]]-tbl_AQI[[#This Row],[Current AQI]]</f>
        <v>152</v>
      </c>
      <c r="G30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6">
        <f>RANK(tbl_AQI[[#This Row],[Current AQI]], tbl_AQI[Current AQI], 0)</f>
        <v>2154</v>
      </c>
    </row>
    <row r="3097" spans="1:8" x14ac:dyDescent="0.35">
      <c r="A3097" t="s">
        <v>3087</v>
      </c>
      <c r="B3097" t="s">
        <v>3117</v>
      </c>
      <c r="C3097">
        <v>211</v>
      </c>
      <c r="D3097">
        <v>162</v>
      </c>
      <c r="E3097" t="s">
        <v>7</v>
      </c>
      <c r="F3097">
        <f>tbl_AQI[[#This Row],[Most AQI Reached]]-tbl_AQI[[#This Row],[Current AQI]]</f>
        <v>49</v>
      </c>
      <c r="G30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7">
        <f>RANK(tbl_AQI[[#This Row],[Current AQI]], tbl_AQI[Current AQI], 0)</f>
        <v>2106</v>
      </c>
    </row>
    <row r="3098" spans="1:8" x14ac:dyDescent="0.35">
      <c r="A3098" t="s">
        <v>3087</v>
      </c>
      <c r="B3098" t="s">
        <v>3118</v>
      </c>
      <c r="C3098">
        <v>61</v>
      </c>
      <c r="D3098">
        <v>49</v>
      </c>
      <c r="E3098" t="s">
        <v>15</v>
      </c>
      <c r="F3098">
        <f>tbl_AQI[[#This Row],[Most AQI Reached]]-tbl_AQI[[#This Row],[Current AQI]]</f>
        <v>12</v>
      </c>
      <c r="G30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098">
        <f>RANK(tbl_AQI[[#This Row],[Current AQI]], tbl_AQI[Current AQI], 0)</f>
        <v>4614</v>
      </c>
    </row>
    <row r="3099" spans="1:8" x14ac:dyDescent="0.35">
      <c r="A3099" t="s">
        <v>3087</v>
      </c>
      <c r="B3099" t="s">
        <v>3119</v>
      </c>
      <c r="C3099">
        <v>308</v>
      </c>
      <c r="D3099">
        <v>186</v>
      </c>
      <c r="E3099" t="s">
        <v>11</v>
      </c>
      <c r="F3099">
        <f>tbl_AQI[[#This Row],[Most AQI Reached]]-tbl_AQI[[#This Row],[Current AQI]]</f>
        <v>122</v>
      </c>
      <c r="G30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099">
        <f>RANK(tbl_AQI[[#This Row],[Current AQI]], tbl_AQI[Current AQI], 0)</f>
        <v>1478</v>
      </c>
    </row>
    <row r="3100" spans="1:8" x14ac:dyDescent="0.35">
      <c r="A3100" t="s">
        <v>3087</v>
      </c>
      <c r="B3100" t="s">
        <v>3120</v>
      </c>
      <c r="C3100">
        <v>174</v>
      </c>
      <c r="D3100">
        <v>153</v>
      </c>
      <c r="E3100" t="s">
        <v>11</v>
      </c>
      <c r="F3100">
        <f>tbl_AQI[[#This Row],[Most AQI Reached]]-tbl_AQI[[#This Row],[Current AQI]]</f>
        <v>21</v>
      </c>
      <c r="G31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00">
        <f>RANK(tbl_AQI[[#This Row],[Current AQI]], tbl_AQI[Current AQI], 0)</f>
        <v>2329</v>
      </c>
    </row>
    <row r="3101" spans="1:8" x14ac:dyDescent="0.35">
      <c r="A3101" t="s">
        <v>3087</v>
      </c>
      <c r="B3101" t="s">
        <v>3121</v>
      </c>
      <c r="C3101">
        <v>98</v>
      </c>
      <c r="D3101">
        <v>88</v>
      </c>
      <c r="E3101" t="s">
        <v>17</v>
      </c>
      <c r="F3101">
        <f>tbl_AQI[[#This Row],[Most AQI Reached]]-tbl_AQI[[#This Row],[Current AQI]]</f>
        <v>10</v>
      </c>
      <c r="G31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01">
        <f>RANK(tbl_AQI[[#This Row],[Current AQI]], tbl_AQI[Current AQI], 0)</f>
        <v>3792</v>
      </c>
    </row>
    <row r="3102" spans="1:8" x14ac:dyDescent="0.35">
      <c r="A3102" t="s">
        <v>3087</v>
      </c>
      <c r="B3102" t="s">
        <v>3122</v>
      </c>
      <c r="C3102">
        <v>284</v>
      </c>
      <c r="D3102">
        <v>116</v>
      </c>
      <c r="E3102" t="s">
        <v>21</v>
      </c>
      <c r="F3102">
        <f>tbl_AQI[[#This Row],[Most AQI Reached]]-tbl_AQI[[#This Row],[Current AQI]]</f>
        <v>168</v>
      </c>
      <c r="G31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02">
        <f>RANK(tbl_AQI[[#This Row],[Current AQI]], tbl_AQI[Current AQI], 0)</f>
        <v>3173</v>
      </c>
    </row>
    <row r="3103" spans="1:8" x14ac:dyDescent="0.35">
      <c r="A3103" t="s">
        <v>3087</v>
      </c>
      <c r="B3103" t="s">
        <v>3123</v>
      </c>
      <c r="C3103">
        <v>180</v>
      </c>
      <c r="D3103">
        <v>155</v>
      </c>
      <c r="E3103" t="s">
        <v>15</v>
      </c>
      <c r="F3103">
        <f>tbl_AQI[[#This Row],[Most AQI Reached]]-tbl_AQI[[#This Row],[Current AQI]]</f>
        <v>25</v>
      </c>
      <c r="G31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03">
        <f>RANK(tbl_AQI[[#This Row],[Current AQI]], tbl_AQI[Current AQI], 0)</f>
        <v>2275</v>
      </c>
    </row>
    <row r="3104" spans="1:8" x14ac:dyDescent="0.35">
      <c r="A3104" t="s">
        <v>3087</v>
      </c>
      <c r="B3104" t="s">
        <v>3124</v>
      </c>
      <c r="C3104">
        <v>310</v>
      </c>
      <c r="D3104">
        <v>126</v>
      </c>
      <c r="E3104" t="s">
        <v>33</v>
      </c>
      <c r="F3104">
        <f>tbl_AQI[[#This Row],[Most AQI Reached]]-tbl_AQI[[#This Row],[Current AQI]]</f>
        <v>184</v>
      </c>
      <c r="G31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04">
        <f>RANK(tbl_AQI[[#This Row],[Current AQI]], tbl_AQI[Current AQI], 0)</f>
        <v>2934</v>
      </c>
    </row>
    <row r="3105" spans="1:8" x14ac:dyDescent="0.35">
      <c r="A3105" t="s">
        <v>3087</v>
      </c>
      <c r="B3105" t="s">
        <v>3125</v>
      </c>
      <c r="C3105">
        <v>188</v>
      </c>
      <c r="D3105">
        <v>164</v>
      </c>
      <c r="E3105" t="s">
        <v>33</v>
      </c>
      <c r="F3105">
        <f>tbl_AQI[[#This Row],[Most AQI Reached]]-tbl_AQI[[#This Row],[Current AQI]]</f>
        <v>24</v>
      </c>
      <c r="G31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05">
        <f>RANK(tbl_AQI[[#This Row],[Current AQI]], tbl_AQI[Current AQI], 0)</f>
        <v>2049</v>
      </c>
    </row>
    <row r="3106" spans="1:8" x14ac:dyDescent="0.35">
      <c r="A3106" t="s">
        <v>3087</v>
      </c>
      <c r="B3106" t="s">
        <v>3126</v>
      </c>
      <c r="C3106">
        <v>189</v>
      </c>
      <c r="D3106">
        <v>33</v>
      </c>
      <c r="E3106" t="s">
        <v>11</v>
      </c>
      <c r="F3106">
        <f>tbl_AQI[[#This Row],[Most AQI Reached]]-tbl_AQI[[#This Row],[Current AQI]]</f>
        <v>156</v>
      </c>
      <c r="G31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06">
        <f>RANK(tbl_AQI[[#This Row],[Current AQI]], tbl_AQI[Current AQI], 0)</f>
        <v>4964</v>
      </c>
    </row>
    <row r="3107" spans="1:8" x14ac:dyDescent="0.35">
      <c r="A3107" t="s">
        <v>3087</v>
      </c>
      <c r="B3107" t="s">
        <v>3127</v>
      </c>
      <c r="C3107">
        <v>268</v>
      </c>
      <c r="D3107">
        <v>138</v>
      </c>
      <c r="E3107" t="s">
        <v>9</v>
      </c>
      <c r="F3107">
        <f>tbl_AQI[[#This Row],[Most AQI Reached]]-tbl_AQI[[#This Row],[Current AQI]]</f>
        <v>130</v>
      </c>
      <c r="G31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07">
        <f>RANK(tbl_AQI[[#This Row],[Current AQI]], tbl_AQI[Current AQI], 0)</f>
        <v>2660</v>
      </c>
    </row>
    <row r="3108" spans="1:8" x14ac:dyDescent="0.35">
      <c r="A3108" t="s">
        <v>3087</v>
      </c>
      <c r="B3108" t="s">
        <v>3128</v>
      </c>
      <c r="C3108">
        <v>294</v>
      </c>
      <c r="D3108">
        <v>54</v>
      </c>
      <c r="E3108" t="s">
        <v>11</v>
      </c>
      <c r="F3108">
        <f>tbl_AQI[[#This Row],[Most AQI Reached]]-tbl_AQI[[#This Row],[Current AQI]]</f>
        <v>240</v>
      </c>
      <c r="G31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08">
        <f>RANK(tbl_AQI[[#This Row],[Current AQI]], tbl_AQI[Current AQI], 0)</f>
        <v>4523</v>
      </c>
    </row>
    <row r="3109" spans="1:8" x14ac:dyDescent="0.35">
      <c r="A3109" t="s">
        <v>3087</v>
      </c>
      <c r="B3109" t="s">
        <v>3129</v>
      </c>
      <c r="C3109">
        <v>256</v>
      </c>
      <c r="D3109">
        <v>166</v>
      </c>
      <c r="E3109" t="s">
        <v>33</v>
      </c>
      <c r="F3109">
        <f>tbl_AQI[[#This Row],[Most AQI Reached]]-tbl_AQI[[#This Row],[Current AQI]]</f>
        <v>90</v>
      </c>
      <c r="G31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09">
        <f>RANK(tbl_AQI[[#This Row],[Current AQI]], tbl_AQI[Current AQI], 0)</f>
        <v>2007</v>
      </c>
    </row>
    <row r="3110" spans="1:8" x14ac:dyDescent="0.35">
      <c r="A3110" t="s">
        <v>3087</v>
      </c>
      <c r="B3110" t="s">
        <v>3130</v>
      </c>
      <c r="C3110">
        <v>192</v>
      </c>
      <c r="D3110">
        <v>103</v>
      </c>
      <c r="E3110" t="s">
        <v>11</v>
      </c>
      <c r="F3110">
        <f>tbl_AQI[[#This Row],[Most AQI Reached]]-tbl_AQI[[#This Row],[Current AQI]]</f>
        <v>89</v>
      </c>
      <c r="G31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0">
        <f>RANK(tbl_AQI[[#This Row],[Current AQI]], tbl_AQI[Current AQI], 0)</f>
        <v>3474</v>
      </c>
    </row>
    <row r="3111" spans="1:8" x14ac:dyDescent="0.35">
      <c r="A3111" t="s">
        <v>3087</v>
      </c>
      <c r="B3111" t="s">
        <v>3131</v>
      </c>
      <c r="C3111">
        <v>159</v>
      </c>
      <c r="D3111">
        <v>81</v>
      </c>
      <c r="E3111" t="s">
        <v>11</v>
      </c>
      <c r="F3111">
        <f>tbl_AQI[[#This Row],[Most AQI Reached]]-tbl_AQI[[#This Row],[Current AQI]]</f>
        <v>78</v>
      </c>
      <c r="G31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11">
        <f>RANK(tbl_AQI[[#This Row],[Current AQI]], tbl_AQI[Current AQI], 0)</f>
        <v>3923</v>
      </c>
    </row>
    <row r="3112" spans="1:8" x14ac:dyDescent="0.35">
      <c r="A3112" t="s">
        <v>3087</v>
      </c>
      <c r="B3112" t="s">
        <v>3132</v>
      </c>
      <c r="C3112">
        <v>169</v>
      </c>
      <c r="D3112">
        <v>109</v>
      </c>
      <c r="E3112" t="s">
        <v>7</v>
      </c>
      <c r="F3112">
        <f>tbl_AQI[[#This Row],[Most AQI Reached]]-tbl_AQI[[#This Row],[Current AQI]]</f>
        <v>60</v>
      </c>
      <c r="G31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2">
        <f>RANK(tbl_AQI[[#This Row],[Current AQI]], tbl_AQI[Current AQI], 0)</f>
        <v>3338</v>
      </c>
    </row>
    <row r="3113" spans="1:8" x14ac:dyDescent="0.35">
      <c r="A3113" t="s">
        <v>3087</v>
      </c>
      <c r="B3113" t="s">
        <v>3133</v>
      </c>
      <c r="C3113">
        <v>227</v>
      </c>
      <c r="D3113">
        <v>150</v>
      </c>
      <c r="E3113" t="s">
        <v>17</v>
      </c>
      <c r="F3113">
        <f>tbl_AQI[[#This Row],[Most AQI Reached]]-tbl_AQI[[#This Row],[Current AQI]]</f>
        <v>77</v>
      </c>
      <c r="G31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3">
        <f>RANK(tbl_AQI[[#This Row],[Current AQI]], tbl_AQI[Current AQI], 0)</f>
        <v>2400</v>
      </c>
    </row>
    <row r="3114" spans="1:8" x14ac:dyDescent="0.35">
      <c r="A3114" t="s">
        <v>3087</v>
      </c>
      <c r="B3114" t="s">
        <v>3134</v>
      </c>
      <c r="C3114">
        <v>304</v>
      </c>
      <c r="D3114">
        <v>167</v>
      </c>
      <c r="E3114" t="s">
        <v>7</v>
      </c>
      <c r="F3114">
        <f>tbl_AQI[[#This Row],[Most AQI Reached]]-tbl_AQI[[#This Row],[Current AQI]]</f>
        <v>137</v>
      </c>
      <c r="G31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4">
        <f>RANK(tbl_AQI[[#This Row],[Current AQI]], tbl_AQI[Current AQI], 0)</f>
        <v>1979</v>
      </c>
    </row>
    <row r="3115" spans="1:8" x14ac:dyDescent="0.35">
      <c r="A3115" t="s">
        <v>3087</v>
      </c>
      <c r="B3115" t="s">
        <v>3135</v>
      </c>
      <c r="C3115">
        <v>315</v>
      </c>
      <c r="D3115">
        <v>107</v>
      </c>
      <c r="E3115" t="s">
        <v>33</v>
      </c>
      <c r="F3115">
        <f>tbl_AQI[[#This Row],[Most AQI Reached]]-tbl_AQI[[#This Row],[Current AQI]]</f>
        <v>208</v>
      </c>
      <c r="G31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5">
        <f>RANK(tbl_AQI[[#This Row],[Current AQI]], tbl_AQI[Current AQI], 0)</f>
        <v>3387</v>
      </c>
    </row>
    <row r="3116" spans="1:8" x14ac:dyDescent="0.35">
      <c r="A3116" t="s">
        <v>3087</v>
      </c>
      <c r="B3116" t="s">
        <v>3136</v>
      </c>
      <c r="C3116">
        <v>266</v>
      </c>
      <c r="D3116">
        <v>161</v>
      </c>
      <c r="E3116" t="s">
        <v>21</v>
      </c>
      <c r="F3116">
        <f>tbl_AQI[[#This Row],[Most AQI Reached]]-tbl_AQI[[#This Row],[Current AQI]]</f>
        <v>105</v>
      </c>
      <c r="G31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6">
        <f>RANK(tbl_AQI[[#This Row],[Current AQI]], tbl_AQI[Current AQI], 0)</f>
        <v>2129</v>
      </c>
    </row>
    <row r="3117" spans="1:8" x14ac:dyDescent="0.35">
      <c r="A3117" t="s">
        <v>3087</v>
      </c>
      <c r="B3117" t="s">
        <v>3137</v>
      </c>
      <c r="C3117">
        <v>247</v>
      </c>
      <c r="D3117">
        <v>65</v>
      </c>
      <c r="E3117" t="s">
        <v>9</v>
      </c>
      <c r="F3117">
        <f>tbl_AQI[[#This Row],[Most AQI Reached]]-tbl_AQI[[#This Row],[Current AQI]]</f>
        <v>182</v>
      </c>
      <c r="G31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17">
        <f>RANK(tbl_AQI[[#This Row],[Current AQI]], tbl_AQI[Current AQI], 0)</f>
        <v>4267</v>
      </c>
    </row>
    <row r="3118" spans="1:8" x14ac:dyDescent="0.35">
      <c r="A3118" t="s">
        <v>3087</v>
      </c>
      <c r="B3118" t="s">
        <v>3138</v>
      </c>
      <c r="C3118">
        <v>161</v>
      </c>
      <c r="D3118">
        <v>145</v>
      </c>
      <c r="E3118" t="s">
        <v>21</v>
      </c>
      <c r="F3118">
        <f>tbl_AQI[[#This Row],[Most AQI Reached]]-tbl_AQI[[#This Row],[Current AQI]]</f>
        <v>16</v>
      </c>
      <c r="G31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8">
        <f>RANK(tbl_AQI[[#This Row],[Current AQI]], tbl_AQI[Current AQI], 0)</f>
        <v>2526</v>
      </c>
    </row>
    <row r="3119" spans="1:8" x14ac:dyDescent="0.35">
      <c r="A3119" t="s">
        <v>3087</v>
      </c>
      <c r="B3119" t="s">
        <v>3139</v>
      </c>
      <c r="C3119">
        <v>189</v>
      </c>
      <c r="D3119">
        <v>156</v>
      </c>
      <c r="E3119" t="s">
        <v>15</v>
      </c>
      <c r="F3119">
        <f>tbl_AQI[[#This Row],[Most AQI Reached]]-tbl_AQI[[#This Row],[Current AQI]]</f>
        <v>33</v>
      </c>
      <c r="G31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19">
        <f>RANK(tbl_AQI[[#This Row],[Current AQI]], tbl_AQI[Current AQI], 0)</f>
        <v>2251</v>
      </c>
    </row>
    <row r="3120" spans="1:8" x14ac:dyDescent="0.35">
      <c r="A3120" t="s">
        <v>3087</v>
      </c>
      <c r="B3120" t="s">
        <v>3140</v>
      </c>
      <c r="C3120">
        <v>290</v>
      </c>
      <c r="D3120">
        <v>61</v>
      </c>
      <c r="E3120" t="s">
        <v>21</v>
      </c>
      <c r="F3120">
        <f>tbl_AQI[[#This Row],[Most AQI Reached]]-tbl_AQI[[#This Row],[Current AQI]]</f>
        <v>229</v>
      </c>
      <c r="G31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20">
        <f>RANK(tbl_AQI[[#This Row],[Current AQI]], tbl_AQI[Current AQI], 0)</f>
        <v>4368</v>
      </c>
    </row>
    <row r="3121" spans="1:8" x14ac:dyDescent="0.35">
      <c r="A3121" t="s">
        <v>3087</v>
      </c>
      <c r="B3121" t="s">
        <v>3141</v>
      </c>
      <c r="C3121">
        <v>189</v>
      </c>
      <c r="D3121">
        <v>50</v>
      </c>
      <c r="E3121" t="s">
        <v>7</v>
      </c>
      <c r="F3121">
        <f>tbl_AQI[[#This Row],[Most AQI Reached]]-tbl_AQI[[#This Row],[Current AQI]]</f>
        <v>139</v>
      </c>
      <c r="G31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21">
        <f>RANK(tbl_AQI[[#This Row],[Current AQI]], tbl_AQI[Current AQI], 0)</f>
        <v>4596</v>
      </c>
    </row>
    <row r="3122" spans="1:8" x14ac:dyDescent="0.35">
      <c r="A3122" t="s">
        <v>3087</v>
      </c>
      <c r="B3122" t="s">
        <v>3142</v>
      </c>
      <c r="C3122">
        <v>148</v>
      </c>
      <c r="D3122">
        <v>59</v>
      </c>
      <c r="E3122" t="s">
        <v>7</v>
      </c>
      <c r="F3122">
        <f>tbl_AQI[[#This Row],[Most AQI Reached]]-tbl_AQI[[#This Row],[Current AQI]]</f>
        <v>89</v>
      </c>
      <c r="G31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22">
        <f>RANK(tbl_AQI[[#This Row],[Current AQI]], tbl_AQI[Current AQI], 0)</f>
        <v>4416</v>
      </c>
    </row>
    <row r="3123" spans="1:8" x14ac:dyDescent="0.35">
      <c r="A3123" t="s">
        <v>3087</v>
      </c>
      <c r="B3123" t="s">
        <v>3143</v>
      </c>
      <c r="C3123">
        <v>144</v>
      </c>
      <c r="D3123">
        <v>110</v>
      </c>
      <c r="E3123" t="s">
        <v>7</v>
      </c>
      <c r="F3123">
        <f>tbl_AQI[[#This Row],[Most AQI Reached]]-tbl_AQI[[#This Row],[Current AQI]]</f>
        <v>34</v>
      </c>
      <c r="G31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23">
        <f>RANK(tbl_AQI[[#This Row],[Current AQI]], tbl_AQI[Current AQI], 0)</f>
        <v>3302</v>
      </c>
    </row>
    <row r="3124" spans="1:8" x14ac:dyDescent="0.35">
      <c r="A3124" t="s">
        <v>3087</v>
      </c>
      <c r="B3124" t="s">
        <v>3144</v>
      </c>
      <c r="C3124">
        <v>173</v>
      </c>
      <c r="D3124">
        <v>73</v>
      </c>
      <c r="E3124" t="s">
        <v>11</v>
      </c>
      <c r="F3124">
        <f>tbl_AQI[[#This Row],[Most AQI Reached]]-tbl_AQI[[#This Row],[Current AQI]]</f>
        <v>100</v>
      </c>
      <c r="G31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24">
        <f>RANK(tbl_AQI[[#This Row],[Current AQI]], tbl_AQI[Current AQI], 0)</f>
        <v>4083</v>
      </c>
    </row>
    <row r="3125" spans="1:8" x14ac:dyDescent="0.35">
      <c r="A3125" t="s">
        <v>3087</v>
      </c>
      <c r="B3125" t="s">
        <v>3145</v>
      </c>
      <c r="C3125">
        <v>179</v>
      </c>
      <c r="D3125">
        <v>54</v>
      </c>
      <c r="E3125" t="s">
        <v>9</v>
      </c>
      <c r="F3125">
        <f>tbl_AQI[[#This Row],[Most AQI Reached]]-tbl_AQI[[#This Row],[Current AQI]]</f>
        <v>125</v>
      </c>
      <c r="G31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25">
        <f>RANK(tbl_AQI[[#This Row],[Current AQI]], tbl_AQI[Current AQI], 0)</f>
        <v>4523</v>
      </c>
    </row>
    <row r="3126" spans="1:8" x14ac:dyDescent="0.35">
      <c r="A3126" t="s">
        <v>3087</v>
      </c>
      <c r="B3126" t="s">
        <v>3146</v>
      </c>
      <c r="C3126">
        <v>264</v>
      </c>
      <c r="D3126">
        <v>177</v>
      </c>
      <c r="E3126" t="s">
        <v>9</v>
      </c>
      <c r="F3126">
        <f>tbl_AQI[[#This Row],[Most AQI Reached]]-tbl_AQI[[#This Row],[Current AQI]]</f>
        <v>87</v>
      </c>
      <c r="G31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26">
        <f>RANK(tbl_AQI[[#This Row],[Current AQI]], tbl_AQI[Current AQI], 0)</f>
        <v>1733</v>
      </c>
    </row>
    <row r="3127" spans="1:8" x14ac:dyDescent="0.35">
      <c r="A3127" t="s">
        <v>3087</v>
      </c>
      <c r="B3127" t="s">
        <v>3147</v>
      </c>
      <c r="C3127">
        <v>296</v>
      </c>
      <c r="D3127">
        <v>152</v>
      </c>
      <c r="E3127" t="s">
        <v>17</v>
      </c>
      <c r="F3127">
        <f>tbl_AQI[[#This Row],[Most AQI Reached]]-tbl_AQI[[#This Row],[Current AQI]]</f>
        <v>144</v>
      </c>
      <c r="G31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27">
        <f>RANK(tbl_AQI[[#This Row],[Current AQI]], tbl_AQI[Current AQI], 0)</f>
        <v>2349</v>
      </c>
    </row>
    <row r="3128" spans="1:8" x14ac:dyDescent="0.35">
      <c r="A3128" t="s">
        <v>3087</v>
      </c>
      <c r="B3128" t="s">
        <v>3148</v>
      </c>
      <c r="C3128">
        <v>283</v>
      </c>
      <c r="D3128">
        <v>180</v>
      </c>
      <c r="E3128" t="s">
        <v>17</v>
      </c>
      <c r="F3128">
        <f>tbl_AQI[[#This Row],[Most AQI Reached]]-tbl_AQI[[#This Row],[Current AQI]]</f>
        <v>103</v>
      </c>
      <c r="G31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28">
        <f>RANK(tbl_AQI[[#This Row],[Current AQI]], tbl_AQI[Current AQI], 0)</f>
        <v>1635</v>
      </c>
    </row>
    <row r="3129" spans="1:8" x14ac:dyDescent="0.35">
      <c r="A3129" t="s">
        <v>3087</v>
      </c>
      <c r="B3129" t="s">
        <v>3149</v>
      </c>
      <c r="C3129">
        <v>149</v>
      </c>
      <c r="D3129">
        <v>59</v>
      </c>
      <c r="E3129" t="s">
        <v>9</v>
      </c>
      <c r="F3129">
        <f>tbl_AQI[[#This Row],[Most AQI Reached]]-tbl_AQI[[#This Row],[Current AQI]]</f>
        <v>90</v>
      </c>
      <c r="G31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29">
        <f>RANK(tbl_AQI[[#This Row],[Current AQI]], tbl_AQI[Current AQI], 0)</f>
        <v>4416</v>
      </c>
    </row>
    <row r="3130" spans="1:8" x14ac:dyDescent="0.35">
      <c r="A3130" t="s">
        <v>3087</v>
      </c>
      <c r="B3130" t="s">
        <v>3150</v>
      </c>
      <c r="C3130">
        <v>106</v>
      </c>
      <c r="D3130">
        <v>50</v>
      </c>
      <c r="E3130" t="s">
        <v>17</v>
      </c>
      <c r="F3130">
        <f>tbl_AQI[[#This Row],[Most AQI Reached]]-tbl_AQI[[#This Row],[Current AQI]]</f>
        <v>56</v>
      </c>
      <c r="G31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30">
        <f>RANK(tbl_AQI[[#This Row],[Current AQI]], tbl_AQI[Current AQI], 0)</f>
        <v>4596</v>
      </c>
    </row>
    <row r="3131" spans="1:8" x14ac:dyDescent="0.35">
      <c r="A3131" t="s">
        <v>3087</v>
      </c>
      <c r="B3131" t="s">
        <v>3151</v>
      </c>
      <c r="C3131">
        <v>55</v>
      </c>
      <c r="D3131">
        <v>54</v>
      </c>
      <c r="E3131" t="s">
        <v>11</v>
      </c>
      <c r="F3131">
        <f>tbl_AQI[[#This Row],[Most AQI Reached]]-tbl_AQI[[#This Row],[Current AQI]]</f>
        <v>1</v>
      </c>
      <c r="G31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31">
        <f>RANK(tbl_AQI[[#This Row],[Current AQI]], tbl_AQI[Current AQI], 0)</f>
        <v>4523</v>
      </c>
    </row>
    <row r="3132" spans="1:8" x14ac:dyDescent="0.35">
      <c r="A3132" t="s">
        <v>3087</v>
      </c>
      <c r="B3132" t="s">
        <v>3152</v>
      </c>
      <c r="C3132">
        <v>178</v>
      </c>
      <c r="D3132">
        <v>46</v>
      </c>
      <c r="E3132" t="s">
        <v>21</v>
      </c>
      <c r="F3132">
        <f>tbl_AQI[[#This Row],[Most AQI Reached]]-tbl_AQI[[#This Row],[Current AQI]]</f>
        <v>132</v>
      </c>
      <c r="G31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32">
        <f>RANK(tbl_AQI[[#This Row],[Current AQI]], tbl_AQI[Current AQI], 0)</f>
        <v>4680</v>
      </c>
    </row>
    <row r="3133" spans="1:8" x14ac:dyDescent="0.35">
      <c r="A3133" t="s">
        <v>3087</v>
      </c>
      <c r="B3133" t="s">
        <v>3153</v>
      </c>
      <c r="C3133">
        <v>304</v>
      </c>
      <c r="D3133">
        <v>181</v>
      </c>
      <c r="E3133" t="s">
        <v>11</v>
      </c>
      <c r="F3133">
        <f>tbl_AQI[[#This Row],[Most AQI Reached]]-tbl_AQI[[#This Row],[Current AQI]]</f>
        <v>123</v>
      </c>
      <c r="G31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33">
        <f>RANK(tbl_AQI[[#This Row],[Current AQI]], tbl_AQI[Current AQI], 0)</f>
        <v>1609</v>
      </c>
    </row>
    <row r="3134" spans="1:8" x14ac:dyDescent="0.35">
      <c r="A3134" t="s">
        <v>3087</v>
      </c>
      <c r="B3134" t="s">
        <v>3154</v>
      </c>
      <c r="C3134">
        <v>180</v>
      </c>
      <c r="D3134">
        <v>133</v>
      </c>
      <c r="E3134" t="s">
        <v>9</v>
      </c>
      <c r="F3134">
        <f>tbl_AQI[[#This Row],[Most AQI Reached]]-tbl_AQI[[#This Row],[Current AQI]]</f>
        <v>47</v>
      </c>
      <c r="G31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34">
        <f>RANK(tbl_AQI[[#This Row],[Current AQI]], tbl_AQI[Current AQI], 0)</f>
        <v>2758</v>
      </c>
    </row>
    <row r="3135" spans="1:8" x14ac:dyDescent="0.35">
      <c r="A3135" t="s">
        <v>3087</v>
      </c>
      <c r="B3135" t="s">
        <v>3155</v>
      </c>
      <c r="C3135">
        <v>122</v>
      </c>
      <c r="D3135">
        <v>121</v>
      </c>
      <c r="E3135" t="s">
        <v>21</v>
      </c>
      <c r="F3135">
        <f>tbl_AQI[[#This Row],[Most AQI Reached]]-tbl_AQI[[#This Row],[Current AQI]]</f>
        <v>1</v>
      </c>
      <c r="G31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35">
        <f>RANK(tbl_AQI[[#This Row],[Current AQI]], tbl_AQI[Current AQI], 0)</f>
        <v>3037</v>
      </c>
    </row>
    <row r="3136" spans="1:8" x14ac:dyDescent="0.35">
      <c r="A3136" t="s">
        <v>3087</v>
      </c>
      <c r="B3136" t="s">
        <v>3156</v>
      </c>
      <c r="C3136">
        <v>267</v>
      </c>
      <c r="D3136">
        <v>66</v>
      </c>
      <c r="E3136" t="s">
        <v>9</v>
      </c>
      <c r="F3136">
        <f>tbl_AQI[[#This Row],[Most AQI Reached]]-tbl_AQI[[#This Row],[Current AQI]]</f>
        <v>201</v>
      </c>
      <c r="G31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36">
        <f>RANK(tbl_AQI[[#This Row],[Current AQI]], tbl_AQI[Current AQI], 0)</f>
        <v>4247</v>
      </c>
    </row>
    <row r="3137" spans="1:8" x14ac:dyDescent="0.35">
      <c r="A3137" t="s">
        <v>3087</v>
      </c>
      <c r="B3137" t="s">
        <v>3157</v>
      </c>
      <c r="C3137">
        <v>277</v>
      </c>
      <c r="D3137">
        <v>90</v>
      </c>
      <c r="E3137" t="s">
        <v>17</v>
      </c>
      <c r="F3137">
        <f>tbl_AQI[[#This Row],[Most AQI Reached]]-tbl_AQI[[#This Row],[Current AQI]]</f>
        <v>187</v>
      </c>
      <c r="G31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37">
        <f>RANK(tbl_AQI[[#This Row],[Current AQI]], tbl_AQI[Current AQI], 0)</f>
        <v>3750</v>
      </c>
    </row>
    <row r="3138" spans="1:8" x14ac:dyDescent="0.35">
      <c r="A3138" t="s">
        <v>3087</v>
      </c>
      <c r="B3138" t="s">
        <v>3158</v>
      </c>
      <c r="C3138">
        <v>137</v>
      </c>
      <c r="D3138">
        <v>114</v>
      </c>
      <c r="E3138" t="s">
        <v>11</v>
      </c>
      <c r="F3138">
        <f>tbl_AQI[[#This Row],[Most AQI Reached]]-tbl_AQI[[#This Row],[Current AQI]]</f>
        <v>23</v>
      </c>
      <c r="G31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38">
        <f>RANK(tbl_AQI[[#This Row],[Current AQI]], tbl_AQI[Current AQI], 0)</f>
        <v>3226</v>
      </c>
    </row>
    <row r="3139" spans="1:8" x14ac:dyDescent="0.35">
      <c r="A3139" t="s">
        <v>3087</v>
      </c>
      <c r="B3139" t="s">
        <v>3159</v>
      </c>
      <c r="C3139">
        <v>302</v>
      </c>
      <c r="D3139">
        <v>56</v>
      </c>
      <c r="E3139" t="s">
        <v>7</v>
      </c>
      <c r="F3139">
        <f>tbl_AQI[[#This Row],[Most AQI Reached]]-tbl_AQI[[#This Row],[Current AQI]]</f>
        <v>246</v>
      </c>
      <c r="G31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39">
        <f>RANK(tbl_AQI[[#This Row],[Current AQI]], tbl_AQI[Current AQI], 0)</f>
        <v>4474</v>
      </c>
    </row>
    <row r="3140" spans="1:8" x14ac:dyDescent="0.35">
      <c r="A3140" t="s">
        <v>3087</v>
      </c>
      <c r="B3140" t="s">
        <v>3160</v>
      </c>
      <c r="C3140">
        <v>228</v>
      </c>
      <c r="D3140">
        <v>147</v>
      </c>
      <c r="E3140" t="s">
        <v>11</v>
      </c>
      <c r="F3140">
        <f>tbl_AQI[[#This Row],[Most AQI Reached]]-tbl_AQI[[#This Row],[Current AQI]]</f>
        <v>81</v>
      </c>
      <c r="G31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40">
        <f>RANK(tbl_AQI[[#This Row],[Current AQI]], tbl_AQI[Current AQI], 0)</f>
        <v>2478</v>
      </c>
    </row>
    <row r="3141" spans="1:8" x14ac:dyDescent="0.35">
      <c r="A3141" t="s">
        <v>3087</v>
      </c>
      <c r="B3141" t="s">
        <v>3161</v>
      </c>
      <c r="C3141">
        <v>73</v>
      </c>
      <c r="D3141">
        <v>60</v>
      </c>
      <c r="E3141" t="s">
        <v>21</v>
      </c>
      <c r="F3141">
        <f>tbl_AQI[[#This Row],[Most AQI Reached]]-tbl_AQI[[#This Row],[Current AQI]]</f>
        <v>13</v>
      </c>
      <c r="G31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41">
        <f>RANK(tbl_AQI[[#This Row],[Current AQI]], tbl_AQI[Current AQI], 0)</f>
        <v>4390</v>
      </c>
    </row>
    <row r="3142" spans="1:8" x14ac:dyDescent="0.35">
      <c r="A3142" t="s">
        <v>3087</v>
      </c>
      <c r="B3142" t="s">
        <v>3162</v>
      </c>
      <c r="C3142">
        <v>240</v>
      </c>
      <c r="D3142">
        <v>50</v>
      </c>
      <c r="E3142" t="s">
        <v>11</v>
      </c>
      <c r="F3142">
        <f>tbl_AQI[[#This Row],[Most AQI Reached]]-tbl_AQI[[#This Row],[Current AQI]]</f>
        <v>190</v>
      </c>
      <c r="G31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42">
        <f>RANK(tbl_AQI[[#This Row],[Current AQI]], tbl_AQI[Current AQI], 0)</f>
        <v>4596</v>
      </c>
    </row>
    <row r="3143" spans="1:8" x14ac:dyDescent="0.35">
      <c r="A3143" t="s">
        <v>3087</v>
      </c>
      <c r="B3143" t="s">
        <v>3163</v>
      </c>
      <c r="C3143">
        <v>184</v>
      </c>
      <c r="D3143">
        <v>109</v>
      </c>
      <c r="E3143" t="s">
        <v>11</v>
      </c>
      <c r="F3143">
        <f>tbl_AQI[[#This Row],[Most AQI Reached]]-tbl_AQI[[#This Row],[Current AQI]]</f>
        <v>75</v>
      </c>
      <c r="G31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43">
        <f>RANK(tbl_AQI[[#This Row],[Current AQI]], tbl_AQI[Current AQI], 0)</f>
        <v>3338</v>
      </c>
    </row>
    <row r="3144" spans="1:8" x14ac:dyDescent="0.35">
      <c r="A3144" t="s">
        <v>3087</v>
      </c>
      <c r="B3144" t="s">
        <v>3164</v>
      </c>
      <c r="C3144">
        <v>231</v>
      </c>
      <c r="D3144">
        <v>60</v>
      </c>
      <c r="E3144" t="s">
        <v>11</v>
      </c>
      <c r="F3144">
        <f>tbl_AQI[[#This Row],[Most AQI Reached]]-tbl_AQI[[#This Row],[Current AQI]]</f>
        <v>171</v>
      </c>
      <c r="G31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44">
        <f>RANK(tbl_AQI[[#This Row],[Current AQI]], tbl_AQI[Current AQI], 0)</f>
        <v>4390</v>
      </c>
    </row>
    <row r="3145" spans="1:8" x14ac:dyDescent="0.35">
      <c r="A3145" t="s">
        <v>3165</v>
      </c>
      <c r="B3145" t="s">
        <v>3166</v>
      </c>
      <c r="C3145">
        <v>319</v>
      </c>
      <c r="D3145">
        <v>33</v>
      </c>
      <c r="E3145" t="s">
        <v>11</v>
      </c>
      <c r="F3145">
        <f>tbl_AQI[[#This Row],[Most AQI Reached]]-tbl_AQI[[#This Row],[Current AQI]]</f>
        <v>286</v>
      </c>
      <c r="G31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45">
        <f>RANK(tbl_AQI[[#This Row],[Current AQI]], tbl_AQI[Current AQI], 0)</f>
        <v>4964</v>
      </c>
    </row>
    <row r="3146" spans="1:8" x14ac:dyDescent="0.35">
      <c r="A3146" t="s">
        <v>3165</v>
      </c>
      <c r="B3146" t="s">
        <v>3167</v>
      </c>
      <c r="C3146">
        <v>272</v>
      </c>
      <c r="D3146">
        <v>47</v>
      </c>
      <c r="E3146" t="s">
        <v>17</v>
      </c>
      <c r="F3146">
        <f>tbl_AQI[[#This Row],[Most AQI Reached]]-tbl_AQI[[#This Row],[Current AQI]]</f>
        <v>225</v>
      </c>
      <c r="G31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46">
        <f>RANK(tbl_AQI[[#This Row],[Current AQI]], tbl_AQI[Current AQI], 0)</f>
        <v>4656</v>
      </c>
    </row>
    <row r="3147" spans="1:8" x14ac:dyDescent="0.35">
      <c r="A3147" t="s">
        <v>3165</v>
      </c>
      <c r="B3147" t="s">
        <v>3168</v>
      </c>
      <c r="C3147">
        <v>149</v>
      </c>
      <c r="D3147">
        <v>75</v>
      </c>
      <c r="E3147" t="s">
        <v>11</v>
      </c>
      <c r="F3147">
        <f>tbl_AQI[[#This Row],[Most AQI Reached]]-tbl_AQI[[#This Row],[Current AQI]]</f>
        <v>74</v>
      </c>
      <c r="G31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47">
        <f>RANK(tbl_AQI[[#This Row],[Current AQI]], tbl_AQI[Current AQI], 0)</f>
        <v>4041</v>
      </c>
    </row>
    <row r="3148" spans="1:8" x14ac:dyDescent="0.35">
      <c r="A3148" t="s">
        <v>3165</v>
      </c>
      <c r="B3148" t="s">
        <v>3169</v>
      </c>
      <c r="C3148">
        <v>117</v>
      </c>
      <c r="D3148">
        <v>105</v>
      </c>
      <c r="E3148" t="s">
        <v>7</v>
      </c>
      <c r="F3148">
        <f>tbl_AQI[[#This Row],[Most AQI Reached]]-tbl_AQI[[#This Row],[Current AQI]]</f>
        <v>12</v>
      </c>
      <c r="G31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48">
        <f>RANK(tbl_AQI[[#This Row],[Current AQI]], tbl_AQI[Current AQI], 0)</f>
        <v>3436</v>
      </c>
    </row>
    <row r="3149" spans="1:8" x14ac:dyDescent="0.35">
      <c r="A3149" t="s">
        <v>3165</v>
      </c>
      <c r="B3149" t="s">
        <v>3170</v>
      </c>
      <c r="C3149">
        <v>235</v>
      </c>
      <c r="D3149">
        <v>167</v>
      </c>
      <c r="E3149" t="s">
        <v>9</v>
      </c>
      <c r="F3149">
        <f>tbl_AQI[[#This Row],[Most AQI Reached]]-tbl_AQI[[#This Row],[Current AQI]]</f>
        <v>68</v>
      </c>
      <c r="G31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49">
        <f>RANK(tbl_AQI[[#This Row],[Current AQI]], tbl_AQI[Current AQI], 0)</f>
        <v>1979</v>
      </c>
    </row>
    <row r="3150" spans="1:8" x14ac:dyDescent="0.35">
      <c r="A3150" t="s">
        <v>3165</v>
      </c>
      <c r="B3150" t="s">
        <v>3171</v>
      </c>
      <c r="C3150">
        <v>319</v>
      </c>
      <c r="D3150">
        <v>81</v>
      </c>
      <c r="E3150" t="s">
        <v>21</v>
      </c>
      <c r="F3150">
        <f>tbl_AQI[[#This Row],[Most AQI Reached]]-tbl_AQI[[#This Row],[Current AQI]]</f>
        <v>238</v>
      </c>
      <c r="G31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50">
        <f>RANK(tbl_AQI[[#This Row],[Current AQI]], tbl_AQI[Current AQI], 0)</f>
        <v>3923</v>
      </c>
    </row>
    <row r="3151" spans="1:8" x14ac:dyDescent="0.35">
      <c r="A3151" t="s">
        <v>3165</v>
      </c>
      <c r="B3151" t="s">
        <v>3172</v>
      </c>
      <c r="C3151">
        <v>254</v>
      </c>
      <c r="D3151">
        <v>121</v>
      </c>
      <c r="E3151" t="s">
        <v>17</v>
      </c>
      <c r="F3151">
        <f>tbl_AQI[[#This Row],[Most AQI Reached]]-tbl_AQI[[#This Row],[Current AQI]]</f>
        <v>133</v>
      </c>
      <c r="G31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51">
        <f>RANK(tbl_AQI[[#This Row],[Current AQI]], tbl_AQI[Current AQI], 0)</f>
        <v>3037</v>
      </c>
    </row>
    <row r="3152" spans="1:8" x14ac:dyDescent="0.35">
      <c r="A3152" t="s">
        <v>3165</v>
      </c>
      <c r="B3152" t="s">
        <v>3173</v>
      </c>
      <c r="C3152">
        <v>200</v>
      </c>
      <c r="D3152">
        <v>145</v>
      </c>
      <c r="E3152" t="s">
        <v>11</v>
      </c>
      <c r="F3152">
        <f>tbl_AQI[[#This Row],[Most AQI Reached]]-tbl_AQI[[#This Row],[Current AQI]]</f>
        <v>55</v>
      </c>
      <c r="G31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52">
        <f>RANK(tbl_AQI[[#This Row],[Current AQI]], tbl_AQI[Current AQI], 0)</f>
        <v>2526</v>
      </c>
    </row>
    <row r="3153" spans="1:8" x14ac:dyDescent="0.35">
      <c r="A3153" t="s">
        <v>3165</v>
      </c>
      <c r="B3153" t="s">
        <v>3174</v>
      </c>
      <c r="C3153">
        <v>219</v>
      </c>
      <c r="D3153">
        <v>67</v>
      </c>
      <c r="E3153" t="s">
        <v>15</v>
      </c>
      <c r="F3153">
        <f>tbl_AQI[[#This Row],[Most AQI Reached]]-tbl_AQI[[#This Row],[Current AQI]]</f>
        <v>152</v>
      </c>
      <c r="G31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53">
        <f>RANK(tbl_AQI[[#This Row],[Current AQI]], tbl_AQI[Current AQI], 0)</f>
        <v>4225</v>
      </c>
    </row>
    <row r="3154" spans="1:8" x14ac:dyDescent="0.35">
      <c r="A3154" t="s">
        <v>3165</v>
      </c>
      <c r="B3154" t="s">
        <v>3175</v>
      </c>
      <c r="C3154">
        <v>195</v>
      </c>
      <c r="D3154">
        <v>78</v>
      </c>
      <c r="E3154" t="s">
        <v>33</v>
      </c>
      <c r="F3154">
        <f>tbl_AQI[[#This Row],[Most AQI Reached]]-tbl_AQI[[#This Row],[Current AQI]]</f>
        <v>117</v>
      </c>
      <c r="G31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54">
        <f>RANK(tbl_AQI[[#This Row],[Current AQI]], tbl_AQI[Current AQI], 0)</f>
        <v>3989</v>
      </c>
    </row>
    <row r="3155" spans="1:8" x14ac:dyDescent="0.35">
      <c r="A3155" t="s">
        <v>3165</v>
      </c>
      <c r="B3155" t="s">
        <v>3176</v>
      </c>
      <c r="C3155">
        <v>100</v>
      </c>
      <c r="D3155">
        <v>65</v>
      </c>
      <c r="E3155" t="s">
        <v>17</v>
      </c>
      <c r="F3155">
        <f>tbl_AQI[[#This Row],[Most AQI Reached]]-tbl_AQI[[#This Row],[Current AQI]]</f>
        <v>35</v>
      </c>
      <c r="G31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55">
        <f>RANK(tbl_AQI[[#This Row],[Current AQI]], tbl_AQI[Current AQI], 0)</f>
        <v>4267</v>
      </c>
    </row>
    <row r="3156" spans="1:8" x14ac:dyDescent="0.35">
      <c r="A3156" t="s">
        <v>3165</v>
      </c>
      <c r="B3156" t="s">
        <v>3177</v>
      </c>
      <c r="C3156">
        <v>194</v>
      </c>
      <c r="D3156">
        <v>142</v>
      </c>
      <c r="E3156" t="s">
        <v>11</v>
      </c>
      <c r="F3156">
        <f>tbl_AQI[[#This Row],[Most AQI Reached]]-tbl_AQI[[#This Row],[Current AQI]]</f>
        <v>52</v>
      </c>
      <c r="G31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56">
        <f>RANK(tbl_AQI[[#This Row],[Current AQI]], tbl_AQI[Current AQI], 0)</f>
        <v>2585</v>
      </c>
    </row>
    <row r="3157" spans="1:8" x14ac:dyDescent="0.35">
      <c r="A3157" t="s">
        <v>3165</v>
      </c>
      <c r="B3157" t="s">
        <v>3178</v>
      </c>
      <c r="C3157">
        <v>211</v>
      </c>
      <c r="D3157">
        <v>141</v>
      </c>
      <c r="E3157" t="s">
        <v>21</v>
      </c>
      <c r="F3157">
        <f>tbl_AQI[[#This Row],[Most AQI Reached]]-tbl_AQI[[#This Row],[Current AQI]]</f>
        <v>70</v>
      </c>
      <c r="G31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57">
        <f>RANK(tbl_AQI[[#This Row],[Current AQI]], tbl_AQI[Current AQI], 0)</f>
        <v>2609</v>
      </c>
    </row>
    <row r="3158" spans="1:8" x14ac:dyDescent="0.35">
      <c r="A3158" t="s">
        <v>3165</v>
      </c>
      <c r="B3158" t="s">
        <v>3179</v>
      </c>
      <c r="C3158">
        <v>205</v>
      </c>
      <c r="D3158">
        <v>185</v>
      </c>
      <c r="E3158" t="s">
        <v>7</v>
      </c>
      <c r="F3158">
        <f>tbl_AQI[[#This Row],[Most AQI Reached]]-tbl_AQI[[#This Row],[Current AQI]]</f>
        <v>20</v>
      </c>
      <c r="G31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58">
        <f>RANK(tbl_AQI[[#This Row],[Current AQI]], tbl_AQI[Current AQI], 0)</f>
        <v>1517</v>
      </c>
    </row>
    <row r="3159" spans="1:8" x14ac:dyDescent="0.35">
      <c r="A3159" t="s">
        <v>3165</v>
      </c>
      <c r="B3159" t="s">
        <v>3180</v>
      </c>
      <c r="C3159">
        <v>262</v>
      </c>
      <c r="D3159">
        <v>179</v>
      </c>
      <c r="E3159" t="s">
        <v>15</v>
      </c>
      <c r="F3159">
        <f>tbl_AQI[[#This Row],[Most AQI Reached]]-tbl_AQI[[#This Row],[Current AQI]]</f>
        <v>83</v>
      </c>
      <c r="G31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59">
        <f>RANK(tbl_AQI[[#This Row],[Current AQI]], tbl_AQI[Current AQI], 0)</f>
        <v>1667</v>
      </c>
    </row>
    <row r="3160" spans="1:8" x14ac:dyDescent="0.35">
      <c r="A3160" t="s">
        <v>3165</v>
      </c>
      <c r="B3160" t="s">
        <v>3181</v>
      </c>
      <c r="C3160">
        <v>298</v>
      </c>
      <c r="D3160">
        <v>43</v>
      </c>
      <c r="E3160" t="s">
        <v>15</v>
      </c>
      <c r="F3160">
        <f>tbl_AQI[[#This Row],[Most AQI Reached]]-tbl_AQI[[#This Row],[Current AQI]]</f>
        <v>255</v>
      </c>
      <c r="G31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60">
        <f>RANK(tbl_AQI[[#This Row],[Current AQI]], tbl_AQI[Current AQI], 0)</f>
        <v>4752</v>
      </c>
    </row>
    <row r="3161" spans="1:8" x14ac:dyDescent="0.35">
      <c r="A3161" t="s">
        <v>3165</v>
      </c>
      <c r="B3161" t="s">
        <v>3182</v>
      </c>
      <c r="C3161">
        <v>240</v>
      </c>
      <c r="D3161">
        <v>189</v>
      </c>
      <c r="E3161" t="s">
        <v>33</v>
      </c>
      <c r="F3161">
        <f>tbl_AQI[[#This Row],[Most AQI Reached]]-tbl_AQI[[#This Row],[Current AQI]]</f>
        <v>51</v>
      </c>
      <c r="G31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61">
        <f>RANK(tbl_AQI[[#This Row],[Current AQI]], tbl_AQI[Current AQI], 0)</f>
        <v>1395</v>
      </c>
    </row>
    <row r="3162" spans="1:8" x14ac:dyDescent="0.35">
      <c r="A3162" t="s">
        <v>3165</v>
      </c>
      <c r="B3162" t="s">
        <v>3183</v>
      </c>
      <c r="C3162">
        <v>182</v>
      </c>
      <c r="D3162">
        <v>128</v>
      </c>
      <c r="E3162" t="s">
        <v>7</v>
      </c>
      <c r="F3162">
        <f>tbl_AQI[[#This Row],[Most AQI Reached]]-tbl_AQI[[#This Row],[Current AQI]]</f>
        <v>54</v>
      </c>
      <c r="G31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62">
        <f>RANK(tbl_AQI[[#This Row],[Current AQI]], tbl_AQI[Current AQI], 0)</f>
        <v>2872</v>
      </c>
    </row>
    <row r="3163" spans="1:8" x14ac:dyDescent="0.35">
      <c r="A3163" t="s">
        <v>3165</v>
      </c>
      <c r="B3163" t="s">
        <v>3184</v>
      </c>
      <c r="C3163">
        <v>186</v>
      </c>
      <c r="D3163">
        <v>122</v>
      </c>
      <c r="E3163" t="s">
        <v>33</v>
      </c>
      <c r="F3163">
        <f>tbl_AQI[[#This Row],[Most AQI Reached]]-tbl_AQI[[#This Row],[Current AQI]]</f>
        <v>64</v>
      </c>
      <c r="G31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63">
        <f>RANK(tbl_AQI[[#This Row],[Current AQI]], tbl_AQI[Current AQI], 0)</f>
        <v>3013</v>
      </c>
    </row>
    <row r="3164" spans="1:8" x14ac:dyDescent="0.35">
      <c r="A3164" t="s">
        <v>3165</v>
      </c>
      <c r="B3164" t="s">
        <v>3185</v>
      </c>
      <c r="C3164">
        <v>207</v>
      </c>
      <c r="D3164">
        <v>70</v>
      </c>
      <c r="E3164" t="s">
        <v>9</v>
      </c>
      <c r="F3164">
        <f>tbl_AQI[[#This Row],[Most AQI Reached]]-tbl_AQI[[#This Row],[Current AQI]]</f>
        <v>137</v>
      </c>
      <c r="G31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64">
        <f>RANK(tbl_AQI[[#This Row],[Current AQI]], tbl_AQI[Current AQI], 0)</f>
        <v>4153</v>
      </c>
    </row>
    <row r="3165" spans="1:8" x14ac:dyDescent="0.35">
      <c r="A3165" t="s">
        <v>3165</v>
      </c>
      <c r="B3165" t="s">
        <v>3186</v>
      </c>
      <c r="C3165">
        <v>135</v>
      </c>
      <c r="D3165">
        <v>98</v>
      </c>
      <c r="E3165" t="s">
        <v>17</v>
      </c>
      <c r="F3165">
        <f>tbl_AQI[[#This Row],[Most AQI Reached]]-tbl_AQI[[#This Row],[Current AQI]]</f>
        <v>37</v>
      </c>
      <c r="G31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65">
        <f>RANK(tbl_AQI[[#This Row],[Current AQI]], tbl_AQI[Current AQI], 0)</f>
        <v>3574</v>
      </c>
    </row>
    <row r="3166" spans="1:8" x14ac:dyDescent="0.35">
      <c r="A3166" t="s">
        <v>3165</v>
      </c>
      <c r="B3166" t="s">
        <v>3187</v>
      </c>
      <c r="C3166">
        <v>88</v>
      </c>
      <c r="D3166">
        <v>58</v>
      </c>
      <c r="E3166" t="s">
        <v>11</v>
      </c>
      <c r="F3166">
        <f>tbl_AQI[[#This Row],[Most AQI Reached]]-tbl_AQI[[#This Row],[Current AQI]]</f>
        <v>30</v>
      </c>
      <c r="G31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66">
        <f>RANK(tbl_AQI[[#This Row],[Current AQI]], tbl_AQI[Current AQI], 0)</f>
        <v>4431</v>
      </c>
    </row>
    <row r="3167" spans="1:8" x14ac:dyDescent="0.35">
      <c r="A3167" t="s">
        <v>3165</v>
      </c>
      <c r="B3167" t="s">
        <v>3188</v>
      </c>
      <c r="C3167">
        <v>173</v>
      </c>
      <c r="D3167">
        <v>148</v>
      </c>
      <c r="E3167" t="s">
        <v>21</v>
      </c>
      <c r="F3167">
        <f>tbl_AQI[[#This Row],[Most AQI Reached]]-tbl_AQI[[#This Row],[Current AQI]]</f>
        <v>25</v>
      </c>
      <c r="G31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67">
        <f>RANK(tbl_AQI[[#This Row],[Current AQI]], tbl_AQI[Current AQI], 0)</f>
        <v>2446</v>
      </c>
    </row>
    <row r="3168" spans="1:8" x14ac:dyDescent="0.35">
      <c r="A3168" t="s">
        <v>3165</v>
      </c>
      <c r="B3168" t="s">
        <v>3189</v>
      </c>
      <c r="C3168">
        <v>190</v>
      </c>
      <c r="D3168">
        <v>168</v>
      </c>
      <c r="E3168" t="s">
        <v>21</v>
      </c>
      <c r="F3168">
        <f>tbl_AQI[[#This Row],[Most AQI Reached]]-tbl_AQI[[#This Row],[Current AQI]]</f>
        <v>22</v>
      </c>
      <c r="G31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68">
        <f>RANK(tbl_AQI[[#This Row],[Current AQI]], tbl_AQI[Current AQI], 0)</f>
        <v>1954</v>
      </c>
    </row>
    <row r="3169" spans="1:8" x14ac:dyDescent="0.35">
      <c r="A3169" t="s">
        <v>3165</v>
      </c>
      <c r="B3169" t="s">
        <v>3190</v>
      </c>
      <c r="C3169">
        <v>295</v>
      </c>
      <c r="D3169">
        <v>61</v>
      </c>
      <c r="E3169" t="s">
        <v>15</v>
      </c>
      <c r="F3169">
        <f>tbl_AQI[[#This Row],[Most AQI Reached]]-tbl_AQI[[#This Row],[Current AQI]]</f>
        <v>234</v>
      </c>
      <c r="G31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69">
        <f>RANK(tbl_AQI[[#This Row],[Current AQI]], tbl_AQI[Current AQI], 0)</f>
        <v>4368</v>
      </c>
    </row>
    <row r="3170" spans="1:8" x14ac:dyDescent="0.35">
      <c r="A3170" t="s">
        <v>3165</v>
      </c>
      <c r="B3170" t="s">
        <v>3191</v>
      </c>
      <c r="C3170">
        <v>272</v>
      </c>
      <c r="D3170">
        <v>79</v>
      </c>
      <c r="E3170" t="s">
        <v>11</v>
      </c>
      <c r="F3170">
        <f>tbl_AQI[[#This Row],[Most AQI Reached]]-tbl_AQI[[#This Row],[Current AQI]]</f>
        <v>193</v>
      </c>
      <c r="G31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70">
        <f>RANK(tbl_AQI[[#This Row],[Current AQI]], tbl_AQI[Current AQI], 0)</f>
        <v>3967</v>
      </c>
    </row>
    <row r="3171" spans="1:8" x14ac:dyDescent="0.35">
      <c r="A3171" t="s">
        <v>3165</v>
      </c>
      <c r="B3171" t="s">
        <v>3192</v>
      </c>
      <c r="C3171">
        <v>78</v>
      </c>
      <c r="D3171">
        <v>35</v>
      </c>
      <c r="E3171" t="s">
        <v>33</v>
      </c>
      <c r="F3171">
        <f>tbl_AQI[[#This Row],[Most AQI Reached]]-tbl_AQI[[#This Row],[Current AQI]]</f>
        <v>43</v>
      </c>
      <c r="G31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71">
        <f>RANK(tbl_AQI[[#This Row],[Current AQI]], tbl_AQI[Current AQI], 0)</f>
        <v>4916</v>
      </c>
    </row>
    <row r="3172" spans="1:8" x14ac:dyDescent="0.35">
      <c r="A3172" t="s">
        <v>3165</v>
      </c>
      <c r="B3172" t="s">
        <v>3193</v>
      </c>
      <c r="C3172">
        <v>253</v>
      </c>
      <c r="D3172">
        <v>43</v>
      </c>
      <c r="E3172" t="s">
        <v>17</v>
      </c>
      <c r="F3172">
        <f>tbl_AQI[[#This Row],[Most AQI Reached]]-tbl_AQI[[#This Row],[Current AQI]]</f>
        <v>210</v>
      </c>
      <c r="G31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72">
        <f>RANK(tbl_AQI[[#This Row],[Current AQI]], tbl_AQI[Current AQI], 0)</f>
        <v>4752</v>
      </c>
    </row>
    <row r="3173" spans="1:8" x14ac:dyDescent="0.35">
      <c r="A3173" t="s">
        <v>3165</v>
      </c>
      <c r="B3173" t="s">
        <v>3194</v>
      </c>
      <c r="C3173">
        <v>166</v>
      </c>
      <c r="D3173">
        <v>63</v>
      </c>
      <c r="E3173" t="s">
        <v>21</v>
      </c>
      <c r="F3173">
        <f>tbl_AQI[[#This Row],[Most AQI Reached]]-tbl_AQI[[#This Row],[Current AQI]]</f>
        <v>103</v>
      </c>
      <c r="G31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73">
        <f>RANK(tbl_AQI[[#This Row],[Current AQI]], tbl_AQI[Current AQI], 0)</f>
        <v>4322</v>
      </c>
    </row>
    <row r="3174" spans="1:8" x14ac:dyDescent="0.35">
      <c r="A3174" t="s">
        <v>3165</v>
      </c>
      <c r="B3174" t="s">
        <v>3195</v>
      </c>
      <c r="C3174">
        <v>282</v>
      </c>
      <c r="D3174">
        <v>133</v>
      </c>
      <c r="E3174" t="s">
        <v>33</v>
      </c>
      <c r="F3174">
        <f>tbl_AQI[[#This Row],[Most AQI Reached]]-tbl_AQI[[#This Row],[Current AQI]]</f>
        <v>149</v>
      </c>
      <c r="G31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74">
        <f>RANK(tbl_AQI[[#This Row],[Current AQI]], tbl_AQI[Current AQI], 0)</f>
        <v>2758</v>
      </c>
    </row>
    <row r="3175" spans="1:8" x14ac:dyDescent="0.35">
      <c r="A3175" t="s">
        <v>3165</v>
      </c>
      <c r="B3175" t="s">
        <v>3196</v>
      </c>
      <c r="C3175">
        <v>229</v>
      </c>
      <c r="D3175">
        <v>171</v>
      </c>
      <c r="E3175" t="s">
        <v>11</v>
      </c>
      <c r="F3175">
        <f>tbl_AQI[[#This Row],[Most AQI Reached]]-tbl_AQI[[#This Row],[Current AQI]]</f>
        <v>58</v>
      </c>
      <c r="G31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75">
        <f>RANK(tbl_AQI[[#This Row],[Current AQI]], tbl_AQI[Current AQI], 0)</f>
        <v>1866</v>
      </c>
    </row>
    <row r="3176" spans="1:8" x14ac:dyDescent="0.35">
      <c r="A3176" t="s">
        <v>3165</v>
      </c>
      <c r="B3176" t="s">
        <v>3197</v>
      </c>
      <c r="C3176">
        <v>185</v>
      </c>
      <c r="D3176">
        <v>128</v>
      </c>
      <c r="E3176" t="s">
        <v>17</v>
      </c>
      <c r="F3176">
        <f>tbl_AQI[[#This Row],[Most AQI Reached]]-tbl_AQI[[#This Row],[Current AQI]]</f>
        <v>57</v>
      </c>
      <c r="G31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76">
        <f>RANK(tbl_AQI[[#This Row],[Current AQI]], tbl_AQI[Current AQI], 0)</f>
        <v>2872</v>
      </c>
    </row>
    <row r="3177" spans="1:8" x14ac:dyDescent="0.35">
      <c r="A3177" t="s">
        <v>3165</v>
      </c>
      <c r="B3177" t="s">
        <v>3198</v>
      </c>
      <c r="C3177">
        <v>249</v>
      </c>
      <c r="D3177">
        <v>78</v>
      </c>
      <c r="E3177" t="s">
        <v>15</v>
      </c>
      <c r="F3177">
        <f>tbl_AQI[[#This Row],[Most AQI Reached]]-tbl_AQI[[#This Row],[Current AQI]]</f>
        <v>171</v>
      </c>
      <c r="G31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77">
        <f>RANK(tbl_AQI[[#This Row],[Current AQI]], tbl_AQI[Current AQI], 0)</f>
        <v>3989</v>
      </c>
    </row>
    <row r="3178" spans="1:8" x14ac:dyDescent="0.35">
      <c r="A3178" t="s">
        <v>3165</v>
      </c>
      <c r="B3178" t="s">
        <v>3199</v>
      </c>
      <c r="C3178">
        <v>235</v>
      </c>
      <c r="D3178">
        <v>142</v>
      </c>
      <c r="E3178" t="s">
        <v>11</v>
      </c>
      <c r="F3178">
        <f>tbl_AQI[[#This Row],[Most AQI Reached]]-tbl_AQI[[#This Row],[Current AQI]]</f>
        <v>93</v>
      </c>
      <c r="G31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78">
        <f>RANK(tbl_AQI[[#This Row],[Current AQI]], tbl_AQI[Current AQI], 0)</f>
        <v>2585</v>
      </c>
    </row>
    <row r="3179" spans="1:8" x14ac:dyDescent="0.35">
      <c r="A3179" t="s">
        <v>3165</v>
      </c>
      <c r="B3179" t="s">
        <v>3200</v>
      </c>
      <c r="C3179">
        <v>255</v>
      </c>
      <c r="D3179">
        <v>159</v>
      </c>
      <c r="E3179" t="s">
        <v>9</v>
      </c>
      <c r="F3179">
        <f>tbl_AQI[[#This Row],[Most AQI Reached]]-tbl_AQI[[#This Row],[Current AQI]]</f>
        <v>96</v>
      </c>
      <c r="G31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79">
        <f>RANK(tbl_AQI[[#This Row],[Current AQI]], tbl_AQI[Current AQI], 0)</f>
        <v>2183</v>
      </c>
    </row>
    <row r="3180" spans="1:8" x14ac:dyDescent="0.35">
      <c r="A3180" t="s">
        <v>3165</v>
      </c>
      <c r="B3180" t="s">
        <v>3201</v>
      </c>
      <c r="C3180">
        <v>151</v>
      </c>
      <c r="D3180">
        <v>97</v>
      </c>
      <c r="E3180" t="s">
        <v>15</v>
      </c>
      <c r="F3180">
        <f>tbl_AQI[[#This Row],[Most AQI Reached]]-tbl_AQI[[#This Row],[Current AQI]]</f>
        <v>54</v>
      </c>
      <c r="G31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80">
        <f>RANK(tbl_AQI[[#This Row],[Current AQI]], tbl_AQI[Current AQI], 0)</f>
        <v>3593</v>
      </c>
    </row>
    <row r="3181" spans="1:8" x14ac:dyDescent="0.35">
      <c r="A3181" t="s">
        <v>3165</v>
      </c>
      <c r="B3181" t="s">
        <v>3202</v>
      </c>
      <c r="C3181">
        <v>174</v>
      </c>
      <c r="D3181">
        <v>100</v>
      </c>
      <c r="E3181" t="s">
        <v>21</v>
      </c>
      <c r="F3181">
        <f>tbl_AQI[[#This Row],[Most AQI Reached]]-tbl_AQI[[#This Row],[Current AQI]]</f>
        <v>74</v>
      </c>
      <c r="G31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81">
        <f>RANK(tbl_AQI[[#This Row],[Current AQI]], tbl_AQI[Current AQI], 0)</f>
        <v>3535</v>
      </c>
    </row>
    <row r="3182" spans="1:8" x14ac:dyDescent="0.35">
      <c r="A3182" t="s">
        <v>3165</v>
      </c>
      <c r="B3182" t="s">
        <v>3203</v>
      </c>
      <c r="C3182">
        <v>73</v>
      </c>
      <c r="D3182">
        <v>70</v>
      </c>
      <c r="E3182" t="s">
        <v>33</v>
      </c>
      <c r="F3182">
        <f>tbl_AQI[[#This Row],[Most AQI Reached]]-tbl_AQI[[#This Row],[Current AQI]]</f>
        <v>3</v>
      </c>
      <c r="G31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82">
        <f>RANK(tbl_AQI[[#This Row],[Current AQI]], tbl_AQI[Current AQI], 0)</f>
        <v>4153</v>
      </c>
    </row>
    <row r="3183" spans="1:8" x14ac:dyDescent="0.35">
      <c r="A3183" t="s">
        <v>3165</v>
      </c>
      <c r="B3183" t="s">
        <v>3204</v>
      </c>
      <c r="C3183">
        <v>163</v>
      </c>
      <c r="D3183">
        <v>69</v>
      </c>
      <c r="E3183" t="s">
        <v>17</v>
      </c>
      <c r="F3183">
        <f>tbl_AQI[[#This Row],[Most AQI Reached]]-tbl_AQI[[#This Row],[Current AQI]]</f>
        <v>94</v>
      </c>
      <c r="G31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83">
        <f>RANK(tbl_AQI[[#This Row],[Current AQI]], tbl_AQI[Current AQI], 0)</f>
        <v>4186</v>
      </c>
    </row>
    <row r="3184" spans="1:8" x14ac:dyDescent="0.35">
      <c r="A3184" t="s">
        <v>3165</v>
      </c>
      <c r="B3184" t="s">
        <v>3205</v>
      </c>
      <c r="C3184">
        <v>293</v>
      </c>
      <c r="D3184">
        <v>167</v>
      </c>
      <c r="E3184" t="s">
        <v>7</v>
      </c>
      <c r="F3184">
        <f>tbl_AQI[[#This Row],[Most AQI Reached]]-tbl_AQI[[#This Row],[Current AQI]]</f>
        <v>126</v>
      </c>
      <c r="G31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84">
        <f>RANK(tbl_AQI[[#This Row],[Current AQI]], tbl_AQI[Current AQI], 0)</f>
        <v>1979</v>
      </c>
    </row>
    <row r="3185" spans="1:8" x14ac:dyDescent="0.35">
      <c r="A3185" t="s">
        <v>3165</v>
      </c>
      <c r="B3185" t="s">
        <v>3206</v>
      </c>
      <c r="C3185">
        <v>113</v>
      </c>
      <c r="D3185">
        <v>88</v>
      </c>
      <c r="E3185" t="s">
        <v>15</v>
      </c>
      <c r="F3185">
        <f>tbl_AQI[[#This Row],[Most AQI Reached]]-tbl_AQI[[#This Row],[Current AQI]]</f>
        <v>25</v>
      </c>
      <c r="G31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85">
        <f>RANK(tbl_AQI[[#This Row],[Current AQI]], tbl_AQI[Current AQI], 0)</f>
        <v>3792</v>
      </c>
    </row>
    <row r="3186" spans="1:8" x14ac:dyDescent="0.35">
      <c r="A3186" t="s">
        <v>3165</v>
      </c>
      <c r="B3186" t="s">
        <v>3207</v>
      </c>
      <c r="C3186">
        <v>275</v>
      </c>
      <c r="D3186">
        <v>125</v>
      </c>
      <c r="E3186" t="s">
        <v>9</v>
      </c>
      <c r="F3186">
        <f>tbl_AQI[[#This Row],[Most AQI Reached]]-tbl_AQI[[#This Row],[Current AQI]]</f>
        <v>150</v>
      </c>
      <c r="G31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86">
        <f>RANK(tbl_AQI[[#This Row],[Current AQI]], tbl_AQI[Current AQI], 0)</f>
        <v>2951</v>
      </c>
    </row>
    <row r="3187" spans="1:8" x14ac:dyDescent="0.35">
      <c r="A3187" t="s">
        <v>3165</v>
      </c>
      <c r="B3187" t="s">
        <v>3208</v>
      </c>
      <c r="C3187">
        <v>245</v>
      </c>
      <c r="D3187">
        <v>35</v>
      </c>
      <c r="E3187" t="s">
        <v>33</v>
      </c>
      <c r="F3187">
        <f>tbl_AQI[[#This Row],[Most AQI Reached]]-tbl_AQI[[#This Row],[Current AQI]]</f>
        <v>210</v>
      </c>
      <c r="G31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87">
        <f>RANK(tbl_AQI[[#This Row],[Current AQI]], tbl_AQI[Current AQI], 0)</f>
        <v>4916</v>
      </c>
    </row>
    <row r="3188" spans="1:8" x14ac:dyDescent="0.35">
      <c r="A3188" t="s">
        <v>3165</v>
      </c>
      <c r="B3188" t="s">
        <v>3209</v>
      </c>
      <c r="C3188">
        <v>175</v>
      </c>
      <c r="D3188">
        <v>120</v>
      </c>
      <c r="E3188" t="s">
        <v>9</v>
      </c>
      <c r="F3188">
        <f>tbl_AQI[[#This Row],[Most AQI Reached]]-tbl_AQI[[#This Row],[Current AQI]]</f>
        <v>55</v>
      </c>
      <c r="G31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88">
        <f>RANK(tbl_AQI[[#This Row],[Current AQI]], tbl_AQI[Current AQI], 0)</f>
        <v>3066</v>
      </c>
    </row>
    <row r="3189" spans="1:8" x14ac:dyDescent="0.35">
      <c r="A3189" t="s">
        <v>3165</v>
      </c>
      <c r="B3189" t="s">
        <v>3210</v>
      </c>
      <c r="C3189">
        <v>172</v>
      </c>
      <c r="D3189">
        <v>133</v>
      </c>
      <c r="E3189" t="s">
        <v>15</v>
      </c>
      <c r="F3189">
        <f>tbl_AQI[[#This Row],[Most AQI Reached]]-tbl_AQI[[#This Row],[Current AQI]]</f>
        <v>39</v>
      </c>
      <c r="G31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89">
        <f>RANK(tbl_AQI[[#This Row],[Current AQI]], tbl_AQI[Current AQI], 0)</f>
        <v>2758</v>
      </c>
    </row>
    <row r="3190" spans="1:8" x14ac:dyDescent="0.35">
      <c r="A3190" t="s">
        <v>3165</v>
      </c>
      <c r="B3190" t="s">
        <v>3211</v>
      </c>
      <c r="C3190">
        <v>209</v>
      </c>
      <c r="D3190">
        <v>33</v>
      </c>
      <c r="E3190" t="s">
        <v>11</v>
      </c>
      <c r="F3190">
        <f>tbl_AQI[[#This Row],[Most AQI Reached]]-tbl_AQI[[#This Row],[Current AQI]]</f>
        <v>176</v>
      </c>
      <c r="G31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190">
        <f>RANK(tbl_AQI[[#This Row],[Current AQI]], tbl_AQI[Current AQI], 0)</f>
        <v>4964</v>
      </c>
    </row>
    <row r="3191" spans="1:8" x14ac:dyDescent="0.35">
      <c r="A3191" t="s">
        <v>3165</v>
      </c>
      <c r="B3191" t="s">
        <v>3212</v>
      </c>
      <c r="C3191">
        <v>65</v>
      </c>
      <c r="D3191">
        <v>56</v>
      </c>
      <c r="E3191" t="s">
        <v>9</v>
      </c>
      <c r="F3191">
        <f>tbl_AQI[[#This Row],[Most AQI Reached]]-tbl_AQI[[#This Row],[Current AQI]]</f>
        <v>9</v>
      </c>
      <c r="G31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91">
        <f>RANK(tbl_AQI[[#This Row],[Current AQI]], tbl_AQI[Current AQI], 0)</f>
        <v>4474</v>
      </c>
    </row>
    <row r="3192" spans="1:8" x14ac:dyDescent="0.35">
      <c r="A3192" t="s">
        <v>3165</v>
      </c>
      <c r="B3192" t="s">
        <v>3213</v>
      </c>
      <c r="C3192">
        <v>156</v>
      </c>
      <c r="D3192">
        <v>63</v>
      </c>
      <c r="E3192" t="s">
        <v>7</v>
      </c>
      <c r="F3192">
        <f>tbl_AQI[[#This Row],[Most AQI Reached]]-tbl_AQI[[#This Row],[Current AQI]]</f>
        <v>93</v>
      </c>
      <c r="G31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92">
        <f>RANK(tbl_AQI[[#This Row],[Current AQI]], tbl_AQI[Current AQI], 0)</f>
        <v>4322</v>
      </c>
    </row>
    <row r="3193" spans="1:8" x14ac:dyDescent="0.35">
      <c r="A3193" t="s">
        <v>3165</v>
      </c>
      <c r="B3193" t="s">
        <v>3214</v>
      </c>
      <c r="C3193">
        <v>279</v>
      </c>
      <c r="D3193">
        <v>116</v>
      </c>
      <c r="E3193" t="s">
        <v>7</v>
      </c>
      <c r="F3193">
        <f>tbl_AQI[[#This Row],[Most AQI Reached]]-tbl_AQI[[#This Row],[Current AQI]]</f>
        <v>163</v>
      </c>
      <c r="G31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93">
        <f>RANK(tbl_AQI[[#This Row],[Current AQI]], tbl_AQI[Current AQI], 0)</f>
        <v>3173</v>
      </c>
    </row>
    <row r="3194" spans="1:8" x14ac:dyDescent="0.35">
      <c r="A3194" t="s">
        <v>3165</v>
      </c>
      <c r="B3194" t="s">
        <v>3215</v>
      </c>
      <c r="C3194">
        <v>284</v>
      </c>
      <c r="D3194">
        <v>81</v>
      </c>
      <c r="E3194" t="s">
        <v>15</v>
      </c>
      <c r="F3194">
        <f>tbl_AQI[[#This Row],[Most AQI Reached]]-tbl_AQI[[#This Row],[Current AQI]]</f>
        <v>203</v>
      </c>
      <c r="G31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194">
        <f>RANK(tbl_AQI[[#This Row],[Current AQI]], tbl_AQI[Current AQI], 0)</f>
        <v>3923</v>
      </c>
    </row>
    <row r="3195" spans="1:8" x14ac:dyDescent="0.35">
      <c r="A3195" t="s">
        <v>3165</v>
      </c>
      <c r="B3195" t="s">
        <v>3216</v>
      </c>
      <c r="C3195">
        <v>190</v>
      </c>
      <c r="D3195">
        <v>138</v>
      </c>
      <c r="E3195" t="s">
        <v>15</v>
      </c>
      <c r="F3195">
        <f>tbl_AQI[[#This Row],[Most AQI Reached]]-tbl_AQI[[#This Row],[Current AQI]]</f>
        <v>52</v>
      </c>
      <c r="G31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95">
        <f>RANK(tbl_AQI[[#This Row],[Current AQI]], tbl_AQI[Current AQI], 0)</f>
        <v>2660</v>
      </c>
    </row>
    <row r="3196" spans="1:8" x14ac:dyDescent="0.35">
      <c r="A3196" t="s">
        <v>3165</v>
      </c>
      <c r="B3196" t="s">
        <v>3217</v>
      </c>
      <c r="C3196">
        <v>199</v>
      </c>
      <c r="D3196">
        <v>189</v>
      </c>
      <c r="E3196" t="s">
        <v>33</v>
      </c>
      <c r="F3196">
        <f>tbl_AQI[[#This Row],[Most AQI Reached]]-tbl_AQI[[#This Row],[Current AQI]]</f>
        <v>10</v>
      </c>
      <c r="G31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96">
        <f>RANK(tbl_AQI[[#This Row],[Current AQI]], tbl_AQI[Current AQI], 0)</f>
        <v>1395</v>
      </c>
    </row>
    <row r="3197" spans="1:8" x14ac:dyDescent="0.35">
      <c r="A3197" t="s">
        <v>3165</v>
      </c>
      <c r="B3197" t="s">
        <v>3218</v>
      </c>
      <c r="C3197">
        <v>185</v>
      </c>
      <c r="D3197">
        <v>135</v>
      </c>
      <c r="E3197" t="s">
        <v>9</v>
      </c>
      <c r="F3197">
        <f>tbl_AQI[[#This Row],[Most AQI Reached]]-tbl_AQI[[#This Row],[Current AQI]]</f>
        <v>50</v>
      </c>
      <c r="G31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97">
        <f>RANK(tbl_AQI[[#This Row],[Current AQI]], tbl_AQI[Current AQI], 0)</f>
        <v>2714</v>
      </c>
    </row>
    <row r="3198" spans="1:8" x14ac:dyDescent="0.35">
      <c r="A3198" t="s">
        <v>3165</v>
      </c>
      <c r="B3198" t="s">
        <v>3219</v>
      </c>
      <c r="C3198">
        <v>161</v>
      </c>
      <c r="D3198">
        <v>123</v>
      </c>
      <c r="E3198" t="s">
        <v>17</v>
      </c>
      <c r="F3198">
        <f>tbl_AQI[[#This Row],[Most AQI Reached]]-tbl_AQI[[#This Row],[Current AQI]]</f>
        <v>38</v>
      </c>
      <c r="G31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98">
        <f>RANK(tbl_AQI[[#This Row],[Current AQI]], tbl_AQI[Current AQI], 0)</f>
        <v>2983</v>
      </c>
    </row>
    <row r="3199" spans="1:8" x14ac:dyDescent="0.35">
      <c r="A3199" t="s">
        <v>3165</v>
      </c>
      <c r="B3199" t="s">
        <v>3220</v>
      </c>
      <c r="C3199">
        <v>270</v>
      </c>
      <c r="D3199">
        <v>118</v>
      </c>
      <c r="E3199" t="s">
        <v>33</v>
      </c>
      <c r="F3199">
        <f>tbl_AQI[[#This Row],[Most AQI Reached]]-tbl_AQI[[#This Row],[Current AQI]]</f>
        <v>152</v>
      </c>
      <c r="G31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199">
        <f>RANK(tbl_AQI[[#This Row],[Current AQI]], tbl_AQI[Current AQI], 0)</f>
        <v>3122</v>
      </c>
    </row>
    <row r="3200" spans="1:8" x14ac:dyDescent="0.35">
      <c r="A3200" t="s">
        <v>3165</v>
      </c>
      <c r="B3200" t="s">
        <v>3221</v>
      </c>
      <c r="C3200">
        <v>189</v>
      </c>
      <c r="D3200">
        <v>181</v>
      </c>
      <c r="E3200" t="s">
        <v>17</v>
      </c>
      <c r="F3200">
        <f>tbl_AQI[[#This Row],[Most AQI Reached]]-tbl_AQI[[#This Row],[Current AQI]]</f>
        <v>8</v>
      </c>
      <c r="G32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00">
        <f>RANK(tbl_AQI[[#This Row],[Current AQI]], tbl_AQI[Current AQI], 0)</f>
        <v>1609</v>
      </c>
    </row>
    <row r="3201" spans="1:8" x14ac:dyDescent="0.35">
      <c r="A3201" t="s">
        <v>3165</v>
      </c>
      <c r="B3201" t="s">
        <v>3222</v>
      </c>
      <c r="C3201">
        <v>300</v>
      </c>
      <c r="D3201">
        <v>47</v>
      </c>
      <c r="E3201" t="s">
        <v>9</v>
      </c>
      <c r="F3201">
        <f>tbl_AQI[[#This Row],[Most AQI Reached]]-tbl_AQI[[#This Row],[Current AQI]]</f>
        <v>253</v>
      </c>
      <c r="G32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01">
        <f>RANK(tbl_AQI[[#This Row],[Current AQI]], tbl_AQI[Current AQI], 0)</f>
        <v>4656</v>
      </c>
    </row>
    <row r="3202" spans="1:8" x14ac:dyDescent="0.35">
      <c r="A3202" t="s">
        <v>3165</v>
      </c>
      <c r="B3202" t="s">
        <v>3223</v>
      </c>
      <c r="C3202">
        <v>282</v>
      </c>
      <c r="D3202">
        <v>140</v>
      </c>
      <c r="E3202" t="s">
        <v>15</v>
      </c>
      <c r="F3202">
        <f>tbl_AQI[[#This Row],[Most AQI Reached]]-tbl_AQI[[#This Row],[Current AQI]]</f>
        <v>142</v>
      </c>
      <c r="G32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02">
        <f>RANK(tbl_AQI[[#This Row],[Current AQI]], tbl_AQI[Current AQI], 0)</f>
        <v>2627</v>
      </c>
    </row>
    <row r="3203" spans="1:8" x14ac:dyDescent="0.35">
      <c r="A3203" t="s">
        <v>3165</v>
      </c>
      <c r="B3203" t="s">
        <v>3224</v>
      </c>
      <c r="C3203">
        <v>206</v>
      </c>
      <c r="D3203">
        <v>58</v>
      </c>
      <c r="E3203" t="s">
        <v>7</v>
      </c>
      <c r="F3203">
        <f>tbl_AQI[[#This Row],[Most AQI Reached]]-tbl_AQI[[#This Row],[Current AQI]]</f>
        <v>148</v>
      </c>
      <c r="G32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03">
        <f>RANK(tbl_AQI[[#This Row],[Current AQI]], tbl_AQI[Current AQI], 0)</f>
        <v>4431</v>
      </c>
    </row>
    <row r="3204" spans="1:8" x14ac:dyDescent="0.35">
      <c r="A3204" t="s">
        <v>3165</v>
      </c>
      <c r="B3204" t="s">
        <v>3225</v>
      </c>
      <c r="C3204">
        <v>168</v>
      </c>
      <c r="D3204">
        <v>108</v>
      </c>
      <c r="E3204" t="s">
        <v>33</v>
      </c>
      <c r="F3204">
        <f>tbl_AQI[[#This Row],[Most AQI Reached]]-tbl_AQI[[#This Row],[Current AQI]]</f>
        <v>60</v>
      </c>
      <c r="G32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04">
        <f>RANK(tbl_AQI[[#This Row],[Current AQI]], tbl_AQI[Current AQI], 0)</f>
        <v>3362</v>
      </c>
    </row>
    <row r="3205" spans="1:8" x14ac:dyDescent="0.35">
      <c r="A3205" t="s">
        <v>3165</v>
      </c>
      <c r="B3205" t="s">
        <v>3226</v>
      </c>
      <c r="C3205">
        <v>112</v>
      </c>
      <c r="D3205">
        <v>65</v>
      </c>
      <c r="E3205" t="s">
        <v>9</v>
      </c>
      <c r="F3205">
        <f>tbl_AQI[[#This Row],[Most AQI Reached]]-tbl_AQI[[#This Row],[Current AQI]]</f>
        <v>47</v>
      </c>
      <c r="G32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05">
        <f>RANK(tbl_AQI[[#This Row],[Current AQI]], tbl_AQI[Current AQI], 0)</f>
        <v>4267</v>
      </c>
    </row>
    <row r="3206" spans="1:8" x14ac:dyDescent="0.35">
      <c r="A3206" t="s">
        <v>3165</v>
      </c>
      <c r="B3206" t="s">
        <v>3227</v>
      </c>
      <c r="C3206">
        <v>316</v>
      </c>
      <c r="D3206">
        <v>120</v>
      </c>
      <c r="E3206" t="s">
        <v>33</v>
      </c>
      <c r="F3206">
        <f>tbl_AQI[[#This Row],[Most AQI Reached]]-tbl_AQI[[#This Row],[Current AQI]]</f>
        <v>196</v>
      </c>
      <c r="G32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06">
        <f>RANK(tbl_AQI[[#This Row],[Current AQI]], tbl_AQI[Current AQI], 0)</f>
        <v>3066</v>
      </c>
    </row>
    <row r="3207" spans="1:8" x14ac:dyDescent="0.35">
      <c r="A3207" t="s">
        <v>3165</v>
      </c>
      <c r="B3207" t="s">
        <v>3228</v>
      </c>
      <c r="C3207">
        <v>302</v>
      </c>
      <c r="D3207">
        <v>89</v>
      </c>
      <c r="E3207" t="s">
        <v>7</v>
      </c>
      <c r="F3207">
        <f>tbl_AQI[[#This Row],[Most AQI Reached]]-tbl_AQI[[#This Row],[Current AQI]]</f>
        <v>213</v>
      </c>
      <c r="G32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07">
        <f>RANK(tbl_AQI[[#This Row],[Current AQI]], tbl_AQI[Current AQI], 0)</f>
        <v>3772</v>
      </c>
    </row>
    <row r="3208" spans="1:8" x14ac:dyDescent="0.35">
      <c r="A3208" t="s">
        <v>3165</v>
      </c>
      <c r="B3208" t="s">
        <v>3229</v>
      </c>
      <c r="C3208">
        <v>260</v>
      </c>
      <c r="D3208">
        <v>85</v>
      </c>
      <c r="E3208" t="s">
        <v>33</v>
      </c>
      <c r="F3208">
        <f>tbl_AQI[[#This Row],[Most AQI Reached]]-tbl_AQI[[#This Row],[Current AQI]]</f>
        <v>175</v>
      </c>
      <c r="G32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08">
        <f>RANK(tbl_AQI[[#This Row],[Current AQI]], tbl_AQI[Current AQI], 0)</f>
        <v>3852</v>
      </c>
    </row>
    <row r="3209" spans="1:8" x14ac:dyDescent="0.35">
      <c r="A3209" t="s">
        <v>3165</v>
      </c>
      <c r="B3209" t="s">
        <v>3230</v>
      </c>
      <c r="C3209">
        <v>184</v>
      </c>
      <c r="D3209">
        <v>116</v>
      </c>
      <c r="E3209" t="s">
        <v>15</v>
      </c>
      <c r="F3209">
        <f>tbl_AQI[[#This Row],[Most AQI Reached]]-tbl_AQI[[#This Row],[Current AQI]]</f>
        <v>68</v>
      </c>
      <c r="G32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09">
        <f>RANK(tbl_AQI[[#This Row],[Current AQI]], tbl_AQI[Current AQI], 0)</f>
        <v>3173</v>
      </c>
    </row>
    <row r="3210" spans="1:8" x14ac:dyDescent="0.35">
      <c r="A3210" t="s">
        <v>3165</v>
      </c>
      <c r="B3210" t="s">
        <v>3231</v>
      </c>
      <c r="C3210">
        <v>139</v>
      </c>
      <c r="D3210">
        <v>39</v>
      </c>
      <c r="E3210" t="s">
        <v>15</v>
      </c>
      <c r="F3210">
        <f>tbl_AQI[[#This Row],[Most AQI Reached]]-tbl_AQI[[#This Row],[Current AQI]]</f>
        <v>100</v>
      </c>
      <c r="G32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10">
        <f>RANK(tbl_AQI[[#This Row],[Current AQI]], tbl_AQI[Current AQI], 0)</f>
        <v>4829</v>
      </c>
    </row>
    <row r="3211" spans="1:8" x14ac:dyDescent="0.35">
      <c r="A3211" t="s">
        <v>3165</v>
      </c>
      <c r="B3211" t="s">
        <v>3232</v>
      </c>
      <c r="C3211">
        <v>227</v>
      </c>
      <c r="D3211">
        <v>124</v>
      </c>
      <c r="E3211" t="s">
        <v>7</v>
      </c>
      <c r="F3211">
        <f>tbl_AQI[[#This Row],[Most AQI Reached]]-tbl_AQI[[#This Row],[Current AQI]]</f>
        <v>103</v>
      </c>
      <c r="G32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11">
        <f>RANK(tbl_AQI[[#This Row],[Current AQI]], tbl_AQI[Current AQI], 0)</f>
        <v>2971</v>
      </c>
    </row>
    <row r="3212" spans="1:8" x14ac:dyDescent="0.35">
      <c r="A3212" t="s">
        <v>3165</v>
      </c>
      <c r="B3212" t="s">
        <v>3233</v>
      </c>
      <c r="C3212">
        <v>249</v>
      </c>
      <c r="D3212">
        <v>184</v>
      </c>
      <c r="E3212" t="s">
        <v>9</v>
      </c>
      <c r="F3212">
        <f>tbl_AQI[[#This Row],[Most AQI Reached]]-tbl_AQI[[#This Row],[Current AQI]]</f>
        <v>65</v>
      </c>
      <c r="G32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12">
        <f>RANK(tbl_AQI[[#This Row],[Current AQI]], tbl_AQI[Current AQI], 0)</f>
        <v>1544</v>
      </c>
    </row>
    <row r="3213" spans="1:8" x14ac:dyDescent="0.35">
      <c r="A3213" t="s">
        <v>3165</v>
      </c>
      <c r="B3213" t="s">
        <v>3234</v>
      </c>
      <c r="C3213">
        <v>95</v>
      </c>
      <c r="D3213">
        <v>39</v>
      </c>
      <c r="E3213" t="s">
        <v>17</v>
      </c>
      <c r="F3213">
        <f>tbl_AQI[[#This Row],[Most AQI Reached]]-tbl_AQI[[#This Row],[Current AQI]]</f>
        <v>56</v>
      </c>
      <c r="G32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13">
        <f>RANK(tbl_AQI[[#This Row],[Current AQI]], tbl_AQI[Current AQI], 0)</f>
        <v>4829</v>
      </c>
    </row>
    <row r="3214" spans="1:8" x14ac:dyDescent="0.35">
      <c r="A3214" t="s">
        <v>3165</v>
      </c>
      <c r="B3214" t="s">
        <v>3235</v>
      </c>
      <c r="C3214">
        <v>140</v>
      </c>
      <c r="D3214">
        <v>36</v>
      </c>
      <c r="E3214" t="s">
        <v>15</v>
      </c>
      <c r="F3214">
        <f>tbl_AQI[[#This Row],[Most AQI Reached]]-tbl_AQI[[#This Row],[Current AQI]]</f>
        <v>104</v>
      </c>
      <c r="G32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14">
        <f>RANK(tbl_AQI[[#This Row],[Current AQI]], tbl_AQI[Current AQI], 0)</f>
        <v>4893</v>
      </c>
    </row>
    <row r="3215" spans="1:8" x14ac:dyDescent="0.35">
      <c r="A3215" t="s">
        <v>3165</v>
      </c>
      <c r="B3215" t="s">
        <v>3236</v>
      </c>
      <c r="C3215">
        <v>177</v>
      </c>
      <c r="D3215">
        <v>159</v>
      </c>
      <c r="E3215" t="s">
        <v>15</v>
      </c>
      <c r="F3215">
        <f>tbl_AQI[[#This Row],[Most AQI Reached]]-tbl_AQI[[#This Row],[Current AQI]]</f>
        <v>18</v>
      </c>
      <c r="G32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15">
        <f>RANK(tbl_AQI[[#This Row],[Current AQI]], tbl_AQI[Current AQI], 0)</f>
        <v>2183</v>
      </c>
    </row>
    <row r="3216" spans="1:8" x14ac:dyDescent="0.35">
      <c r="A3216" t="s">
        <v>3165</v>
      </c>
      <c r="B3216" t="s">
        <v>3237</v>
      </c>
      <c r="C3216">
        <v>196</v>
      </c>
      <c r="D3216">
        <v>171</v>
      </c>
      <c r="E3216" t="s">
        <v>9</v>
      </c>
      <c r="F3216">
        <f>tbl_AQI[[#This Row],[Most AQI Reached]]-tbl_AQI[[#This Row],[Current AQI]]</f>
        <v>25</v>
      </c>
      <c r="G32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16">
        <f>RANK(tbl_AQI[[#This Row],[Current AQI]], tbl_AQI[Current AQI], 0)</f>
        <v>1866</v>
      </c>
    </row>
    <row r="3217" spans="1:8" x14ac:dyDescent="0.35">
      <c r="A3217" t="s">
        <v>3165</v>
      </c>
      <c r="B3217" t="s">
        <v>3238</v>
      </c>
      <c r="C3217">
        <v>253</v>
      </c>
      <c r="D3217">
        <v>99</v>
      </c>
      <c r="E3217" t="s">
        <v>15</v>
      </c>
      <c r="F3217">
        <f>tbl_AQI[[#This Row],[Most AQI Reached]]-tbl_AQI[[#This Row],[Current AQI]]</f>
        <v>154</v>
      </c>
      <c r="G32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17">
        <f>RANK(tbl_AQI[[#This Row],[Current AQI]], tbl_AQI[Current AQI], 0)</f>
        <v>3553</v>
      </c>
    </row>
    <row r="3218" spans="1:8" x14ac:dyDescent="0.35">
      <c r="A3218" t="s">
        <v>3165</v>
      </c>
      <c r="B3218" t="s">
        <v>3239</v>
      </c>
      <c r="C3218">
        <v>223</v>
      </c>
      <c r="D3218">
        <v>151</v>
      </c>
      <c r="E3218" t="s">
        <v>21</v>
      </c>
      <c r="F3218">
        <f>tbl_AQI[[#This Row],[Most AQI Reached]]-tbl_AQI[[#This Row],[Current AQI]]</f>
        <v>72</v>
      </c>
      <c r="G32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18">
        <f>RANK(tbl_AQI[[#This Row],[Current AQI]], tbl_AQI[Current AQI], 0)</f>
        <v>2376</v>
      </c>
    </row>
    <row r="3219" spans="1:8" x14ac:dyDescent="0.35">
      <c r="A3219" t="s">
        <v>3165</v>
      </c>
      <c r="B3219" t="s">
        <v>3240</v>
      </c>
      <c r="C3219">
        <v>36</v>
      </c>
      <c r="D3219">
        <v>31</v>
      </c>
      <c r="E3219" t="s">
        <v>17</v>
      </c>
      <c r="F3219">
        <f>tbl_AQI[[#This Row],[Most AQI Reached]]-tbl_AQI[[#This Row],[Current AQI]]</f>
        <v>5</v>
      </c>
      <c r="G32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19">
        <f>RANK(tbl_AQI[[#This Row],[Current AQI]], tbl_AQI[Current AQI], 0)</f>
        <v>5016</v>
      </c>
    </row>
    <row r="3220" spans="1:8" x14ac:dyDescent="0.35">
      <c r="A3220" t="s">
        <v>3165</v>
      </c>
      <c r="B3220" t="s">
        <v>3241</v>
      </c>
      <c r="C3220">
        <v>268</v>
      </c>
      <c r="D3220">
        <v>151</v>
      </c>
      <c r="E3220" t="s">
        <v>11</v>
      </c>
      <c r="F3220">
        <f>tbl_AQI[[#This Row],[Most AQI Reached]]-tbl_AQI[[#This Row],[Current AQI]]</f>
        <v>117</v>
      </c>
      <c r="G32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20">
        <f>RANK(tbl_AQI[[#This Row],[Current AQI]], tbl_AQI[Current AQI], 0)</f>
        <v>2376</v>
      </c>
    </row>
    <row r="3221" spans="1:8" x14ac:dyDescent="0.35">
      <c r="A3221" t="s">
        <v>3165</v>
      </c>
      <c r="B3221" t="s">
        <v>3242</v>
      </c>
      <c r="C3221">
        <v>268</v>
      </c>
      <c r="D3221">
        <v>148</v>
      </c>
      <c r="E3221" t="s">
        <v>33</v>
      </c>
      <c r="F3221">
        <f>tbl_AQI[[#This Row],[Most AQI Reached]]-tbl_AQI[[#This Row],[Current AQI]]</f>
        <v>120</v>
      </c>
      <c r="G32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21">
        <f>RANK(tbl_AQI[[#This Row],[Current AQI]], tbl_AQI[Current AQI], 0)</f>
        <v>2446</v>
      </c>
    </row>
    <row r="3222" spans="1:8" x14ac:dyDescent="0.35">
      <c r="A3222" t="s">
        <v>3165</v>
      </c>
      <c r="B3222" t="s">
        <v>3243</v>
      </c>
      <c r="C3222">
        <v>239</v>
      </c>
      <c r="D3222">
        <v>91</v>
      </c>
      <c r="E3222" t="s">
        <v>17</v>
      </c>
      <c r="F3222">
        <f>tbl_AQI[[#This Row],[Most AQI Reached]]-tbl_AQI[[#This Row],[Current AQI]]</f>
        <v>148</v>
      </c>
      <c r="G32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22">
        <f>RANK(tbl_AQI[[#This Row],[Current AQI]], tbl_AQI[Current AQI], 0)</f>
        <v>3726</v>
      </c>
    </row>
    <row r="3223" spans="1:8" x14ac:dyDescent="0.35">
      <c r="A3223" t="s">
        <v>3165</v>
      </c>
      <c r="B3223" t="s">
        <v>3244</v>
      </c>
      <c r="C3223">
        <v>104</v>
      </c>
      <c r="D3223">
        <v>41</v>
      </c>
      <c r="E3223" t="s">
        <v>33</v>
      </c>
      <c r="F3223">
        <f>tbl_AQI[[#This Row],[Most AQI Reached]]-tbl_AQI[[#This Row],[Current AQI]]</f>
        <v>63</v>
      </c>
      <c r="G32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23">
        <f>RANK(tbl_AQI[[#This Row],[Current AQI]], tbl_AQI[Current AQI], 0)</f>
        <v>4789</v>
      </c>
    </row>
    <row r="3224" spans="1:8" x14ac:dyDescent="0.35">
      <c r="A3224" t="s">
        <v>3165</v>
      </c>
      <c r="B3224" t="s">
        <v>3245</v>
      </c>
      <c r="C3224">
        <v>157</v>
      </c>
      <c r="D3224">
        <v>61</v>
      </c>
      <c r="E3224" t="s">
        <v>11</v>
      </c>
      <c r="F3224">
        <f>tbl_AQI[[#This Row],[Most AQI Reached]]-tbl_AQI[[#This Row],[Current AQI]]</f>
        <v>96</v>
      </c>
      <c r="G32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24">
        <f>RANK(tbl_AQI[[#This Row],[Current AQI]], tbl_AQI[Current AQI], 0)</f>
        <v>4368</v>
      </c>
    </row>
    <row r="3225" spans="1:8" x14ac:dyDescent="0.35">
      <c r="A3225" t="s">
        <v>3165</v>
      </c>
      <c r="B3225" t="s">
        <v>3246</v>
      </c>
      <c r="C3225">
        <v>271</v>
      </c>
      <c r="D3225">
        <v>60</v>
      </c>
      <c r="E3225" t="s">
        <v>9</v>
      </c>
      <c r="F3225">
        <f>tbl_AQI[[#This Row],[Most AQI Reached]]-tbl_AQI[[#This Row],[Current AQI]]</f>
        <v>211</v>
      </c>
      <c r="G32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25">
        <f>RANK(tbl_AQI[[#This Row],[Current AQI]], tbl_AQI[Current AQI], 0)</f>
        <v>4390</v>
      </c>
    </row>
    <row r="3226" spans="1:8" x14ac:dyDescent="0.35">
      <c r="A3226" t="s">
        <v>3165</v>
      </c>
      <c r="B3226" t="s">
        <v>3247</v>
      </c>
      <c r="C3226">
        <v>190</v>
      </c>
      <c r="D3226">
        <v>118</v>
      </c>
      <c r="E3226" t="s">
        <v>33</v>
      </c>
      <c r="F3226">
        <f>tbl_AQI[[#This Row],[Most AQI Reached]]-tbl_AQI[[#This Row],[Current AQI]]</f>
        <v>72</v>
      </c>
      <c r="G32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26">
        <f>RANK(tbl_AQI[[#This Row],[Current AQI]], tbl_AQI[Current AQI], 0)</f>
        <v>3122</v>
      </c>
    </row>
    <row r="3227" spans="1:8" x14ac:dyDescent="0.35">
      <c r="A3227" t="s">
        <v>3165</v>
      </c>
      <c r="B3227" t="s">
        <v>3248</v>
      </c>
      <c r="C3227">
        <v>261</v>
      </c>
      <c r="D3227">
        <v>41</v>
      </c>
      <c r="E3227" t="s">
        <v>9</v>
      </c>
      <c r="F3227">
        <f>tbl_AQI[[#This Row],[Most AQI Reached]]-tbl_AQI[[#This Row],[Current AQI]]</f>
        <v>220</v>
      </c>
      <c r="G32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27">
        <f>RANK(tbl_AQI[[#This Row],[Current AQI]], tbl_AQI[Current AQI], 0)</f>
        <v>4789</v>
      </c>
    </row>
    <row r="3228" spans="1:8" x14ac:dyDescent="0.35">
      <c r="A3228" t="s">
        <v>3165</v>
      </c>
      <c r="B3228" t="s">
        <v>3249</v>
      </c>
      <c r="C3228">
        <v>262</v>
      </c>
      <c r="D3228">
        <v>153</v>
      </c>
      <c r="E3228" t="s">
        <v>15</v>
      </c>
      <c r="F3228">
        <f>tbl_AQI[[#This Row],[Most AQI Reached]]-tbl_AQI[[#This Row],[Current AQI]]</f>
        <v>109</v>
      </c>
      <c r="G32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28">
        <f>RANK(tbl_AQI[[#This Row],[Current AQI]], tbl_AQI[Current AQI], 0)</f>
        <v>2329</v>
      </c>
    </row>
    <row r="3229" spans="1:8" x14ac:dyDescent="0.35">
      <c r="A3229" t="s">
        <v>3165</v>
      </c>
      <c r="B3229" t="s">
        <v>3250</v>
      </c>
      <c r="C3229">
        <v>219</v>
      </c>
      <c r="D3229">
        <v>162</v>
      </c>
      <c r="E3229" t="s">
        <v>33</v>
      </c>
      <c r="F3229">
        <f>tbl_AQI[[#This Row],[Most AQI Reached]]-tbl_AQI[[#This Row],[Current AQI]]</f>
        <v>57</v>
      </c>
      <c r="G32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29">
        <f>RANK(tbl_AQI[[#This Row],[Current AQI]], tbl_AQI[Current AQI], 0)</f>
        <v>2106</v>
      </c>
    </row>
    <row r="3230" spans="1:8" x14ac:dyDescent="0.35">
      <c r="A3230" t="s">
        <v>3165</v>
      </c>
      <c r="B3230" t="s">
        <v>3251</v>
      </c>
      <c r="C3230">
        <v>238</v>
      </c>
      <c r="D3230">
        <v>94</v>
      </c>
      <c r="E3230" t="s">
        <v>15</v>
      </c>
      <c r="F3230">
        <f>tbl_AQI[[#This Row],[Most AQI Reached]]-tbl_AQI[[#This Row],[Current AQI]]</f>
        <v>144</v>
      </c>
      <c r="G32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30">
        <f>RANK(tbl_AQI[[#This Row],[Current AQI]], tbl_AQI[Current AQI], 0)</f>
        <v>3654</v>
      </c>
    </row>
    <row r="3231" spans="1:8" x14ac:dyDescent="0.35">
      <c r="A3231" t="s">
        <v>3165</v>
      </c>
      <c r="B3231" t="s">
        <v>3252</v>
      </c>
      <c r="C3231">
        <v>135</v>
      </c>
      <c r="D3231">
        <v>94</v>
      </c>
      <c r="E3231" t="s">
        <v>15</v>
      </c>
      <c r="F3231">
        <f>tbl_AQI[[#This Row],[Most AQI Reached]]-tbl_AQI[[#This Row],[Current AQI]]</f>
        <v>41</v>
      </c>
      <c r="G32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31">
        <f>RANK(tbl_AQI[[#This Row],[Current AQI]], tbl_AQI[Current AQI], 0)</f>
        <v>3654</v>
      </c>
    </row>
    <row r="3232" spans="1:8" x14ac:dyDescent="0.35">
      <c r="A3232" t="s">
        <v>3165</v>
      </c>
      <c r="B3232" t="s">
        <v>3253</v>
      </c>
      <c r="C3232">
        <v>204</v>
      </c>
      <c r="D3232">
        <v>47</v>
      </c>
      <c r="E3232" t="s">
        <v>11</v>
      </c>
      <c r="F3232">
        <f>tbl_AQI[[#This Row],[Most AQI Reached]]-tbl_AQI[[#This Row],[Current AQI]]</f>
        <v>157</v>
      </c>
      <c r="G32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32">
        <f>RANK(tbl_AQI[[#This Row],[Current AQI]], tbl_AQI[Current AQI], 0)</f>
        <v>4656</v>
      </c>
    </row>
    <row r="3233" spans="1:8" x14ac:dyDescent="0.35">
      <c r="A3233" t="s">
        <v>3165</v>
      </c>
      <c r="B3233" t="s">
        <v>3254</v>
      </c>
      <c r="C3233">
        <v>218</v>
      </c>
      <c r="D3233">
        <v>148</v>
      </c>
      <c r="E3233" t="s">
        <v>7</v>
      </c>
      <c r="F3233">
        <f>tbl_AQI[[#This Row],[Most AQI Reached]]-tbl_AQI[[#This Row],[Current AQI]]</f>
        <v>70</v>
      </c>
      <c r="G32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33">
        <f>RANK(tbl_AQI[[#This Row],[Current AQI]], tbl_AQI[Current AQI], 0)</f>
        <v>2446</v>
      </c>
    </row>
    <row r="3234" spans="1:8" x14ac:dyDescent="0.35">
      <c r="A3234" t="s">
        <v>3165</v>
      </c>
      <c r="B3234" t="s">
        <v>3255</v>
      </c>
      <c r="C3234">
        <v>280</v>
      </c>
      <c r="D3234">
        <v>120</v>
      </c>
      <c r="E3234" t="s">
        <v>15</v>
      </c>
      <c r="F3234">
        <f>tbl_AQI[[#This Row],[Most AQI Reached]]-tbl_AQI[[#This Row],[Current AQI]]</f>
        <v>160</v>
      </c>
      <c r="G32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34">
        <f>RANK(tbl_AQI[[#This Row],[Current AQI]], tbl_AQI[Current AQI], 0)</f>
        <v>3066</v>
      </c>
    </row>
    <row r="3235" spans="1:8" x14ac:dyDescent="0.35">
      <c r="A3235" t="s">
        <v>3165</v>
      </c>
      <c r="B3235" t="s">
        <v>3256</v>
      </c>
      <c r="C3235">
        <v>208</v>
      </c>
      <c r="D3235">
        <v>66</v>
      </c>
      <c r="E3235" t="s">
        <v>11</v>
      </c>
      <c r="F3235">
        <f>tbl_AQI[[#This Row],[Most AQI Reached]]-tbl_AQI[[#This Row],[Current AQI]]</f>
        <v>142</v>
      </c>
      <c r="G32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35">
        <f>RANK(tbl_AQI[[#This Row],[Current AQI]], tbl_AQI[Current AQI], 0)</f>
        <v>4247</v>
      </c>
    </row>
    <row r="3236" spans="1:8" x14ac:dyDescent="0.35">
      <c r="A3236" t="s">
        <v>3165</v>
      </c>
      <c r="B3236" t="s">
        <v>3257</v>
      </c>
      <c r="C3236">
        <v>246</v>
      </c>
      <c r="D3236">
        <v>171</v>
      </c>
      <c r="E3236" t="s">
        <v>15</v>
      </c>
      <c r="F3236">
        <f>tbl_AQI[[#This Row],[Most AQI Reached]]-tbl_AQI[[#This Row],[Current AQI]]</f>
        <v>75</v>
      </c>
      <c r="G32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36">
        <f>RANK(tbl_AQI[[#This Row],[Current AQI]], tbl_AQI[Current AQI], 0)</f>
        <v>1866</v>
      </c>
    </row>
    <row r="3237" spans="1:8" x14ac:dyDescent="0.35">
      <c r="A3237" t="s">
        <v>3165</v>
      </c>
      <c r="B3237" t="s">
        <v>3258</v>
      </c>
      <c r="C3237">
        <v>173</v>
      </c>
      <c r="D3237">
        <v>142</v>
      </c>
      <c r="E3237" t="s">
        <v>21</v>
      </c>
      <c r="F3237">
        <f>tbl_AQI[[#This Row],[Most AQI Reached]]-tbl_AQI[[#This Row],[Current AQI]]</f>
        <v>31</v>
      </c>
      <c r="G32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37">
        <f>RANK(tbl_AQI[[#This Row],[Current AQI]], tbl_AQI[Current AQI], 0)</f>
        <v>2585</v>
      </c>
    </row>
    <row r="3238" spans="1:8" x14ac:dyDescent="0.35">
      <c r="A3238" t="s">
        <v>3165</v>
      </c>
      <c r="B3238" t="s">
        <v>3259</v>
      </c>
      <c r="C3238">
        <v>195</v>
      </c>
      <c r="D3238">
        <v>180</v>
      </c>
      <c r="E3238" t="s">
        <v>11</v>
      </c>
      <c r="F3238">
        <f>tbl_AQI[[#This Row],[Most AQI Reached]]-tbl_AQI[[#This Row],[Current AQI]]</f>
        <v>15</v>
      </c>
      <c r="G32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38">
        <f>RANK(tbl_AQI[[#This Row],[Current AQI]], tbl_AQI[Current AQI], 0)</f>
        <v>1635</v>
      </c>
    </row>
    <row r="3239" spans="1:8" x14ac:dyDescent="0.35">
      <c r="A3239" t="s">
        <v>3165</v>
      </c>
      <c r="B3239" t="s">
        <v>3260</v>
      </c>
      <c r="C3239">
        <v>243</v>
      </c>
      <c r="D3239">
        <v>113</v>
      </c>
      <c r="E3239" t="s">
        <v>7</v>
      </c>
      <c r="F3239">
        <f>tbl_AQI[[#This Row],[Most AQI Reached]]-tbl_AQI[[#This Row],[Current AQI]]</f>
        <v>130</v>
      </c>
      <c r="G32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39">
        <f>RANK(tbl_AQI[[#This Row],[Current AQI]], tbl_AQI[Current AQI], 0)</f>
        <v>3243</v>
      </c>
    </row>
    <row r="3240" spans="1:8" x14ac:dyDescent="0.35">
      <c r="A3240" t="s">
        <v>3165</v>
      </c>
      <c r="B3240" t="s">
        <v>3261</v>
      </c>
      <c r="C3240">
        <v>193</v>
      </c>
      <c r="D3240">
        <v>183</v>
      </c>
      <c r="E3240" t="s">
        <v>17</v>
      </c>
      <c r="F3240">
        <f>tbl_AQI[[#This Row],[Most AQI Reached]]-tbl_AQI[[#This Row],[Current AQI]]</f>
        <v>10</v>
      </c>
      <c r="G32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40">
        <f>RANK(tbl_AQI[[#This Row],[Current AQI]], tbl_AQI[Current AQI], 0)</f>
        <v>1572</v>
      </c>
    </row>
    <row r="3241" spans="1:8" x14ac:dyDescent="0.35">
      <c r="A3241" t="s">
        <v>3165</v>
      </c>
      <c r="B3241" t="s">
        <v>3262</v>
      </c>
      <c r="C3241">
        <v>194</v>
      </c>
      <c r="D3241">
        <v>54</v>
      </c>
      <c r="E3241" t="s">
        <v>9</v>
      </c>
      <c r="F3241">
        <f>tbl_AQI[[#This Row],[Most AQI Reached]]-tbl_AQI[[#This Row],[Current AQI]]</f>
        <v>140</v>
      </c>
      <c r="G32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41">
        <f>RANK(tbl_AQI[[#This Row],[Current AQI]], tbl_AQI[Current AQI], 0)</f>
        <v>4523</v>
      </c>
    </row>
    <row r="3242" spans="1:8" x14ac:dyDescent="0.35">
      <c r="A3242" t="s">
        <v>3165</v>
      </c>
      <c r="B3242" t="s">
        <v>3263</v>
      </c>
      <c r="C3242">
        <v>259</v>
      </c>
      <c r="D3242">
        <v>142</v>
      </c>
      <c r="E3242" t="s">
        <v>17</v>
      </c>
      <c r="F3242">
        <f>tbl_AQI[[#This Row],[Most AQI Reached]]-tbl_AQI[[#This Row],[Current AQI]]</f>
        <v>117</v>
      </c>
      <c r="G32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42">
        <f>RANK(tbl_AQI[[#This Row],[Current AQI]], tbl_AQI[Current AQI], 0)</f>
        <v>2585</v>
      </c>
    </row>
    <row r="3243" spans="1:8" x14ac:dyDescent="0.35">
      <c r="A3243" t="s">
        <v>3165</v>
      </c>
      <c r="B3243" t="s">
        <v>3264</v>
      </c>
      <c r="C3243">
        <v>146</v>
      </c>
      <c r="D3243">
        <v>146</v>
      </c>
      <c r="E3243" t="s">
        <v>9</v>
      </c>
      <c r="F3243">
        <f>tbl_AQI[[#This Row],[Most AQI Reached]]-tbl_AQI[[#This Row],[Current AQI]]</f>
        <v>0</v>
      </c>
      <c r="G32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43">
        <f>RANK(tbl_AQI[[#This Row],[Current AQI]], tbl_AQI[Current AQI], 0)</f>
        <v>2499</v>
      </c>
    </row>
    <row r="3244" spans="1:8" x14ac:dyDescent="0.35">
      <c r="A3244" t="s">
        <v>3165</v>
      </c>
      <c r="B3244" t="s">
        <v>3265</v>
      </c>
      <c r="C3244">
        <v>216</v>
      </c>
      <c r="D3244">
        <v>164</v>
      </c>
      <c r="E3244" t="s">
        <v>21</v>
      </c>
      <c r="F3244">
        <f>tbl_AQI[[#This Row],[Most AQI Reached]]-tbl_AQI[[#This Row],[Current AQI]]</f>
        <v>52</v>
      </c>
      <c r="G32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44">
        <f>RANK(tbl_AQI[[#This Row],[Current AQI]], tbl_AQI[Current AQI], 0)</f>
        <v>2049</v>
      </c>
    </row>
    <row r="3245" spans="1:8" x14ac:dyDescent="0.35">
      <c r="A3245" t="s">
        <v>3165</v>
      </c>
      <c r="B3245" t="s">
        <v>3266</v>
      </c>
      <c r="C3245">
        <v>286</v>
      </c>
      <c r="D3245">
        <v>81</v>
      </c>
      <c r="E3245" t="s">
        <v>15</v>
      </c>
      <c r="F3245">
        <f>tbl_AQI[[#This Row],[Most AQI Reached]]-tbl_AQI[[#This Row],[Current AQI]]</f>
        <v>205</v>
      </c>
      <c r="G32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45">
        <f>RANK(tbl_AQI[[#This Row],[Current AQI]], tbl_AQI[Current AQI], 0)</f>
        <v>3923</v>
      </c>
    </row>
    <row r="3246" spans="1:8" x14ac:dyDescent="0.35">
      <c r="A3246" t="s">
        <v>3165</v>
      </c>
      <c r="B3246" t="s">
        <v>3267</v>
      </c>
      <c r="C3246">
        <v>159</v>
      </c>
      <c r="D3246">
        <v>51</v>
      </c>
      <c r="E3246" t="s">
        <v>7</v>
      </c>
      <c r="F3246">
        <f>tbl_AQI[[#This Row],[Most AQI Reached]]-tbl_AQI[[#This Row],[Current AQI]]</f>
        <v>108</v>
      </c>
      <c r="G32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46">
        <f>RANK(tbl_AQI[[#This Row],[Current AQI]], tbl_AQI[Current AQI], 0)</f>
        <v>4578</v>
      </c>
    </row>
    <row r="3247" spans="1:8" x14ac:dyDescent="0.35">
      <c r="A3247" t="s">
        <v>3165</v>
      </c>
      <c r="B3247" t="s">
        <v>3268</v>
      </c>
      <c r="C3247">
        <v>279</v>
      </c>
      <c r="D3247">
        <v>114</v>
      </c>
      <c r="E3247" t="s">
        <v>17</v>
      </c>
      <c r="F3247">
        <f>tbl_AQI[[#This Row],[Most AQI Reached]]-tbl_AQI[[#This Row],[Current AQI]]</f>
        <v>165</v>
      </c>
      <c r="G32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47">
        <f>RANK(tbl_AQI[[#This Row],[Current AQI]], tbl_AQI[Current AQI], 0)</f>
        <v>3226</v>
      </c>
    </row>
    <row r="3248" spans="1:8" x14ac:dyDescent="0.35">
      <c r="A3248" t="s">
        <v>3165</v>
      </c>
      <c r="B3248" t="s">
        <v>3269</v>
      </c>
      <c r="C3248">
        <v>159</v>
      </c>
      <c r="D3248">
        <v>78</v>
      </c>
      <c r="E3248" t="s">
        <v>15</v>
      </c>
      <c r="F3248">
        <f>tbl_AQI[[#This Row],[Most AQI Reached]]-tbl_AQI[[#This Row],[Current AQI]]</f>
        <v>81</v>
      </c>
      <c r="G32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48">
        <f>RANK(tbl_AQI[[#This Row],[Current AQI]], tbl_AQI[Current AQI], 0)</f>
        <v>3989</v>
      </c>
    </row>
    <row r="3249" spans="1:8" x14ac:dyDescent="0.35">
      <c r="A3249" t="s">
        <v>3165</v>
      </c>
      <c r="B3249" t="s">
        <v>3270</v>
      </c>
      <c r="C3249">
        <v>169</v>
      </c>
      <c r="D3249">
        <v>159</v>
      </c>
      <c r="E3249" t="s">
        <v>17</v>
      </c>
      <c r="F3249">
        <f>tbl_AQI[[#This Row],[Most AQI Reached]]-tbl_AQI[[#This Row],[Current AQI]]</f>
        <v>10</v>
      </c>
      <c r="G32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49">
        <f>RANK(tbl_AQI[[#This Row],[Current AQI]], tbl_AQI[Current AQI], 0)</f>
        <v>2183</v>
      </c>
    </row>
    <row r="3250" spans="1:8" x14ac:dyDescent="0.35">
      <c r="A3250" t="s">
        <v>3165</v>
      </c>
      <c r="B3250" t="s">
        <v>3271</v>
      </c>
      <c r="C3250">
        <v>209</v>
      </c>
      <c r="D3250">
        <v>93</v>
      </c>
      <c r="E3250" t="s">
        <v>15</v>
      </c>
      <c r="F3250">
        <f>tbl_AQI[[#This Row],[Most AQI Reached]]-tbl_AQI[[#This Row],[Current AQI]]</f>
        <v>116</v>
      </c>
      <c r="G32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50">
        <f>RANK(tbl_AQI[[#This Row],[Current AQI]], tbl_AQI[Current AQI], 0)</f>
        <v>3678</v>
      </c>
    </row>
    <row r="3251" spans="1:8" x14ac:dyDescent="0.35">
      <c r="A3251" t="s">
        <v>3165</v>
      </c>
      <c r="B3251" t="s">
        <v>3272</v>
      </c>
      <c r="C3251">
        <v>314</v>
      </c>
      <c r="D3251">
        <v>49</v>
      </c>
      <c r="E3251" t="s">
        <v>9</v>
      </c>
      <c r="F3251">
        <f>tbl_AQI[[#This Row],[Most AQI Reached]]-tbl_AQI[[#This Row],[Current AQI]]</f>
        <v>265</v>
      </c>
      <c r="G32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51">
        <f>RANK(tbl_AQI[[#This Row],[Current AQI]], tbl_AQI[Current AQI], 0)</f>
        <v>4614</v>
      </c>
    </row>
    <row r="3252" spans="1:8" x14ac:dyDescent="0.35">
      <c r="A3252" t="s">
        <v>3165</v>
      </c>
      <c r="B3252" t="s">
        <v>3273</v>
      </c>
      <c r="C3252">
        <v>280</v>
      </c>
      <c r="D3252">
        <v>172</v>
      </c>
      <c r="E3252" t="s">
        <v>15</v>
      </c>
      <c r="F3252">
        <f>tbl_AQI[[#This Row],[Most AQI Reached]]-tbl_AQI[[#This Row],[Current AQI]]</f>
        <v>108</v>
      </c>
      <c r="G32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2">
        <f>RANK(tbl_AQI[[#This Row],[Current AQI]], tbl_AQI[Current AQI], 0)</f>
        <v>1852</v>
      </c>
    </row>
    <row r="3253" spans="1:8" x14ac:dyDescent="0.35">
      <c r="A3253" t="s">
        <v>3165</v>
      </c>
      <c r="B3253" t="s">
        <v>3274</v>
      </c>
      <c r="C3253">
        <v>235</v>
      </c>
      <c r="D3253">
        <v>156</v>
      </c>
      <c r="E3253" t="s">
        <v>15</v>
      </c>
      <c r="F3253">
        <f>tbl_AQI[[#This Row],[Most AQI Reached]]-tbl_AQI[[#This Row],[Current AQI]]</f>
        <v>79</v>
      </c>
      <c r="G32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3">
        <f>RANK(tbl_AQI[[#This Row],[Current AQI]], tbl_AQI[Current AQI], 0)</f>
        <v>2251</v>
      </c>
    </row>
    <row r="3254" spans="1:8" x14ac:dyDescent="0.35">
      <c r="A3254" t="s">
        <v>3165</v>
      </c>
      <c r="B3254" t="s">
        <v>3275</v>
      </c>
      <c r="C3254">
        <v>232</v>
      </c>
      <c r="D3254">
        <v>188</v>
      </c>
      <c r="E3254" t="s">
        <v>15</v>
      </c>
      <c r="F3254">
        <f>tbl_AQI[[#This Row],[Most AQI Reached]]-tbl_AQI[[#This Row],[Current AQI]]</f>
        <v>44</v>
      </c>
      <c r="G32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4">
        <f>RANK(tbl_AQI[[#This Row],[Current AQI]], tbl_AQI[Current AQI], 0)</f>
        <v>1423</v>
      </c>
    </row>
    <row r="3255" spans="1:8" x14ac:dyDescent="0.35">
      <c r="A3255" t="s">
        <v>3165</v>
      </c>
      <c r="B3255" t="s">
        <v>3276</v>
      </c>
      <c r="C3255">
        <v>307</v>
      </c>
      <c r="D3255">
        <v>113</v>
      </c>
      <c r="E3255" t="s">
        <v>21</v>
      </c>
      <c r="F3255">
        <f>tbl_AQI[[#This Row],[Most AQI Reached]]-tbl_AQI[[#This Row],[Current AQI]]</f>
        <v>194</v>
      </c>
      <c r="G32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5">
        <f>RANK(tbl_AQI[[#This Row],[Current AQI]], tbl_AQI[Current AQI], 0)</f>
        <v>3243</v>
      </c>
    </row>
    <row r="3256" spans="1:8" x14ac:dyDescent="0.35">
      <c r="A3256" t="s">
        <v>3165</v>
      </c>
      <c r="B3256" t="s">
        <v>3277</v>
      </c>
      <c r="C3256">
        <v>283</v>
      </c>
      <c r="D3256">
        <v>176</v>
      </c>
      <c r="E3256" t="s">
        <v>9</v>
      </c>
      <c r="F3256">
        <f>tbl_AQI[[#This Row],[Most AQI Reached]]-tbl_AQI[[#This Row],[Current AQI]]</f>
        <v>107</v>
      </c>
      <c r="G32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6">
        <f>RANK(tbl_AQI[[#This Row],[Current AQI]], tbl_AQI[Current AQI], 0)</f>
        <v>1754</v>
      </c>
    </row>
    <row r="3257" spans="1:8" x14ac:dyDescent="0.35">
      <c r="A3257" t="s">
        <v>3165</v>
      </c>
      <c r="B3257" t="s">
        <v>3278</v>
      </c>
      <c r="C3257">
        <v>232</v>
      </c>
      <c r="D3257">
        <v>187</v>
      </c>
      <c r="E3257" t="s">
        <v>7</v>
      </c>
      <c r="F3257">
        <f>tbl_AQI[[#This Row],[Most AQI Reached]]-tbl_AQI[[#This Row],[Current AQI]]</f>
        <v>45</v>
      </c>
      <c r="G32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7">
        <f>RANK(tbl_AQI[[#This Row],[Current AQI]], tbl_AQI[Current AQI], 0)</f>
        <v>1455</v>
      </c>
    </row>
    <row r="3258" spans="1:8" x14ac:dyDescent="0.35">
      <c r="A3258" t="s">
        <v>3165</v>
      </c>
      <c r="B3258" t="s">
        <v>3279</v>
      </c>
      <c r="C3258">
        <v>302</v>
      </c>
      <c r="D3258">
        <v>180</v>
      </c>
      <c r="E3258" t="s">
        <v>11</v>
      </c>
      <c r="F3258">
        <f>tbl_AQI[[#This Row],[Most AQI Reached]]-tbl_AQI[[#This Row],[Current AQI]]</f>
        <v>122</v>
      </c>
      <c r="G32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8">
        <f>RANK(tbl_AQI[[#This Row],[Current AQI]], tbl_AQI[Current AQI], 0)</f>
        <v>1635</v>
      </c>
    </row>
    <row r="3259" spans="1:8" x14ac:dyDescent="0.35">
      <c r="A3259" t="s">
        <v>3165</v>
      </c>
      <c r="B3259" t="s">
        <v>3280</v>
      </c>
      <c r="C3259">
        <v>257</v>
      </c>
      <c r="D3259">
        <v>166</v>
      </c>
      <c r="E3259" t="s">
        <v>33</v>
      </c>
      <c r="F3259">
        <f>tbl_AQI[[#This Row],[Most AQI Reached]]-tbl_AQI[[#This Row],[Current AQI]]</f>
        <v>91</v>
      </c>
      <c r="G32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59">
        <f>RANK(tbl_AQI[[#This Row],[Current AQI]], tbl_AQI[Current AQI], 0)</f>
        <v>2007</v>
      </c>
    </row>
    <row r="3260" spans="1:8" x14ac:dyDescent="0.35">
      <c r="A3260" t="s">
        <v>3165</v>
      </c>
      <c r="B3260" t="s">
        <v>3281</v>
      </c>
      <c r="C3260">
        <v>161</v>
      </c>
      <c r="D3260">
        <v>48</v>
      </c>
      <c r="E3260" t="s">
        <v>15</v>
      </c>
      <c r="F3260">
        <f>tbl_AQI[[#This Row],[Most AQI Reached]]-tbl_AQI[[#This Row],[Current AQI]]</f>
        <v>113</v>
      </c>
      <c r="G32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60">
        <f>RANK(tbl_AQI[[#This Row],[Current AQI]], tbl_AQI[Current AQI], 0)</f>
        <v>4638</v>
      </c>
    </row>
    <row r="3261" spans="1:8" x14ac:dyDescent="0.35">
      <c r="A3261" t="s">
        <v>3165</v>
      </c>
      <c r="B3261" t="s">
        <v>3282</v>
      </c>
      <c r="C3261">
        <v>276</v>
      </c>
      <c r="D3261">
        <v>110</v>
      </c>
      <c r="E3261" t="s">
        <v>7</v>
      </c>
      <c r="F3261">
        <f>tbl_AQI[[#This Row],[Most AQI Reached]]-tbl_AQI[[#This Row],[Current AQI]]</f>
        <v>166</v>
      </c>
      <c r="G32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61">
        <f>RANK(tbl_AQI[[#This Row],[Current AQI]], tbl_AQI[Current AQI], 0)</f>
        <v>3302</v>
      </c>
    </row>
    <row r="3262" spans="1:8" x14ac:dyDescent="0.35">
      <c r="A3262" t="s">
        <v>3165</v>
      </c>
      <c r="B3262" t="s">
        <v>3283</v>
      </c>
      <c r="C3262">
        <v>274</v>
      </c>
      <c r="D3262">
        <v>73</v>
      </c>
      <c r="E3262" t="s">
        <v>15</v>
      </c>
      <c r="F3262">
        <f>tbl_AQI[[#This Row],[Most AQI Reached]]-tbl_AQI[[#This Row],[Current AQI]]</f>
        <v>201</v>
      </c>
      <c r="G32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62">
        <f>RANK(tbl_AQI[[#This Row],[Current AQI]], tbl_AQI[Current AQI], 0)</f>
        <v>4083</v>
      </c>
    </row>
    <row r="3263" spans="1:8" x14ac:dyDescent="0.35">
      <c r="A3263" t="s">
        <v>3165</v>
      </c>
      <c r="B3263" t="s">
        <v>3284</v>
      </c>
      <c r="C3263">
        <v>187</v>
      </c>
      <c r="D3263">
        <v>101</v>
      </c>
      <c r="E3263" t="s">
        <v>9</v>
      </c>
      <c r="F3263">
        <f>tbl_AQI[[#This Row],[Most AQI Reached]]-tbl_AQI[[#This Row],[Current AQI]]</f>
        <v>86</v>
      </c>
      <c r="G32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63">
        <f>RANK(tbl_AQI[[#This Row],[Current AQI]], tbl_AQI[Current AQI], 0)</f>
        <v>3515</v>
      </c>
    </row>
    <row r="3264" spans="1:8" x14ac:dyDescent="0.35">
      <c r="A3264" t="s">
        <v>3165</v>
      </c>
      <c r="B3264" t="s">
        <v>3285</v>
      </c>
      <c r="C3264">
        <v>301</v>
      </c>
      <c r="D3264">
        <v>119</v>
      </c>
      <c r="E3264" t="s">
        <v>17</v>
      </c>
      <c r="F3264">
        <f>tbl_AQI[[#This Row],[Most AQI Reached]]-tbl_AQI[[#This Row],[Current AQI]]</f>
        <v>182</v>
      </c>
      <c r="G32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64">
        <f>RANK(tbl_AQI[[#This Row],[Current AQI]], tbl_AQI[Current AQI], 0)</f>
        <v>3093</v>
      </c>
    </row>
    <row r="3265" spans="1:8" x14ac:dyDescent="0.35">
      <c r="A3265" t="s">
        <v>3165</v>
      </c>
      <c r="B3265" t="s">
        <v>3286</v>
      </c>
      <c r="C3265">
        <v>198</v>
      </c>
      <c r="D3265">
        <v>106</v>
      </c>
      <c r="E3265" t="s">
        <v>9</v>
      </c>
      <c r="F3265">
        <f>tbl_AQI[[#This Row],[Most AQI Reached]]-tbl_AQI[[#This Row],[Current AQI]]</f>
        <v>92</v>
      </c>
      <c r="G32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65">
        <f>RANK(tbl_AQI[[#This Row],[Current AQI]], tbl_AQI[Current AQI], 0)</f>
        <v>3413</v>
      </c>
    </row>
    <row r="3266" spans="1:8" x14ac:dyDescent="0.35">
      <c r="A3266" t="s">
        <v>3165</v>
      </c>
      <c r="B3266" t="s">
        <v>3287</v>
      </c>
      <c r="C3266">
        <v>278</v>
      </c>
      <c r="D3266">
        <v>60</v>
      </c>
      <c r="E3266" t="s">
        <v>11</v>
      </c>
      <c r="F3266">
        <f>tbl_AQI[[#This Row],[Most AQI Reached]]-tbl_AQI[[#This Row],[Current AQI]]</f>
        <v>218</v>
      </c>
      <c r="G32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66">
        <f>RANK(tbl_AQI[[#This Row],[Current AQI]], tbl_AQI[Current AQI], 0)</f>
        <v>4390</v>
      </c>
    </row>
    <row r="3267" spans="1:8" x14ac:dyDescent="0.35">
      <c r="A3267" t="s">
        <v>3165</v>
      </c>
      <c r="B3267" t="s">
        <v>3288</v>
      </c>
      <c r="C3267">
        <v>192</v>
      </c>
      <c r="D3267">
        <v>176</v>
      </c>
      <c r="E3267" t="s">
        <v>33</v>
      </c>
      <c r="F3267">
        <f>tbl_AQI[[#This Row],[Most AQI Reached]]-tbl_AQI[[#This Row],[Current AQI]]</f>
        <v>16</v>
      </c>
      <c r="G32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67">
        <f>RANK(tbl_AQI[[#This Row],[Current AQI]], tbl_AQI[Current AQI], 0)</f>
        <v>1754</v>
      </c>
    </row>
    <row r="3268" spans="1:8" x14ac:dyDescent="0.35">
      <c r="A3268" t="s">
        <v>3165</v>
      </c>
      <c r="B3268" t="s">
        <v>3289</v>
      </c>
      <c r="C3268">
        <v>320</v>
      </c>
      <c r="D3268">
        <v>84</v>
      </c>
      <c r="E3268" t="s">
        <v>17</v>
      </c>
      <c r="F3268">
        <f>tbl_AQI[[#This Row],[Most AQI Reached]]-tbl_AQI[[#This Row],[Current AQI]]</f>
        <v>236</v>
      </c>
      <c r="G32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68">
        <f>RANK(tbl_AQI[[#This Row],[Current AQI]], tbl_AQI[Current AQI], 0)</f>
        <v>3872</v>
      </c>
    </row>
    <row r="3269" spans="1:8" x14ac:dyDescent="0.35">
      <c r="A3269" t="s">
        <v>3165</v>
      </c>
      <c r="B3269" t="s">
        <v>3290</v>
      </c>
      <c r="C3269">
        <v>210</v>
      </c>
      <c r="D3269">
        <v>150</v>
      </c>
      <c r="E3269" t="s">
        <v>33</v>
      </c>
      <c r="F3269">
        <f>tbl_AQI[[#This Row],[Most AQI Reached]]-tbl_AQI[[#This Row],[Current AQI]]</f>
        <v>60</v>
      </c>
      <c r="G32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69">
        <f>RANK(tbl_AQI[[#This Row],[Current AQI]], tbl_AQI[Current AQI], 0)</f>
        <v>2400</v>
      </c>
    </row>
    <row r="3270" spans="1:8" x14ac:dyDescent="0.35">
      <c r="A3270" t="s">
        <v>3165</v>
      </c>
      <c r="B3270" t="s">
        <v>3291</v>
      </c>
      <c r="C3270">
        <v>186</v>
      </c>
      <c r="D3270">
        <v>90</v>
      </c>
      <c r="E3270" t="s">
        <v>17</v>
      </c>
      <c r="F3270">
        <f>tbl_AQI[[#This Row],[Most AQI Reached]]-tbl_AQI[[#This Row],[Current AQI]]</f>
        <v>96</v>
      </c>
      <c r="G32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70">
        <f>RANK(tbl_AQI[[#This Row],[Current AQI]], tbl_AQI[Current AQI], 0)</f>
        <v>3750</v>
      </c>
    </row>
    <row r="3271" spans="1:8" x14ac:dyDescent="0.35">
      <c r="A3271" t="s">
        <v>3165</v>
      </c>
      <c r="B3271" t="s">
        <v>3292</v>
      </c>
      <c r="C3271">
        <v>243</v>
      </c>
      <c r="D3271">
        <v>69</v>
      </c>
      <c r="E3271" t="s">
        <v>21</v>
      </c>
      <c r="F3271">
        <f>tbl_AQI[[#This Row],[Most AQI Reached]]-tbl_AQI[[#This Row],[Current AQI]]</f>
        <v>174</v>
      </c>
      <c r="G32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71">
        <f>RANK(tbl_AQI[[#This Row],[Current AQI]], tbl_AQI[Current AQI], 0)</f>
        <v>4186</v>
      </c>
    </row>
    <row r="3272" spans="1:8" x14ac:dyDescent="0.35">
      <c r="A3272" t="s">
        <v>3165</v>
      </c>
      <c r="B3272" t="s">
        <v>3293</v>
      </c>
      <c r="C3272">
        <v>237</v>
      </c>
      <c r="D3272">
        <v>65</v>
      </c>
      <c r="E3272" t="s">
        <v>7</v>
      </c>
      <c r="F3272">
        <f>tbl_AQI[[#This Row],[Most AQI Reached]]-tbl_AQI[[#This Row],[Current AQI]]</f>
        <v>172</v>
      </c>
      <c r="G32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72">
        <f>RANK(tbl_AQI[[#This Row],[Current AQI]], tbl_AQI[Current AQI], 0)</f>
        <v>4267</v>
      </c>
    </row>
    <row r="3273" spans="1:8" x14ac:dyDescent="0.35">
      <c r="A3273" t="s">
        <v>3165</v>
      </c>
      <c r="B3273" t="s">
        <v>3294</v>
      </c>
      <c r="C3273">
        <v>118</v>
      </c>
      <c r="D3273">
        <v>47</v>
      </c>
      <c r="E3273" t="s">
        <v>7</v>
      </c>
      <c r="F3273">
        <f>tbl_AQI[[#This Row],[Most AQI Reached]]-tbl_AQI[[#This Row],[Current AQI]]</f>
        <v>71</v>
      </c>
      <c r="G32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73">
        <f>RANK(tbl_AQI[[#This Row],[Current AQI]], tbl_AQI[Current AQI], 0)</f>
        <v>4656</v>
      </c>
    </row>
    <row r="3274" spans="1:8" x14ac:dyDescent="0.35">
      <c r="A3274" t="s">
        <v>3165</v>
      </c>
      <c r="B3274" t="s">
        <v>3295</v>
      </c>
      <c r="C3274">
        <v>188</v>
      </c>
      <c r="D3274">
        <v>156</v>
      </c>
      <c r="E3274" t="s">
        <v>11</v>
      </c>
      <c r="F3274">
        <f>tbl_AQI[[#This Row],[Most AQI Reached]]-tbl_AQI[[#This Row],[Current AQI]]</f>
        <v>32</v>
      </c>
      <c r="G32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74">
        <f>RANK(tbl_AQI[[#This Row],[Current AQI]], tbl_AQI[Current AQI], 0)</f>
        <v>2251</v>
      </c>
    </row>
    <row r="3275" spans="1:8" x14ac:dyDescent="0.35">
      <c r="A3275" t="s">
        <v>3165</v>
      </c>
      <c r="B3275" t="s">
        <v>3296</v>
      </c>
      <c r="C3275">
        <v>125</v>
      </c>
      <c r="D3275">
        <v>36</v>
      </c>
      <c r="E3275" t="s">
        <v>17</v>
      </c>
      <c r="F3275">
        <f>tbl_AQI[[#This Row],[Most AQI Reached]]-tbl_AQI[[#This Row],[Current AQI]]</f>
        <v>89</v>
      </c>
      <c r="G32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75">
        <f>RANK(tbl_AQI[[#This Row],[Current AQI]], tbl_AQI[Current AQI], 0)</f>
        <v>4893</v>
      </c>
    </row>
    <row r="3276" spans="1:8" x14ac:dyDescent="0.35">
      <c r="A3276" t="s">
        <v>3165</v>
      </c>
      <c r="B3276" t="s">
        <v>3297</v>
      </c>
      <c r="C3276">
        <v>126</v>
      </c>
      <c r="D3276">
        <v>102</v>
      </c>
      <c r="E3276" t="s">
        <v>11</v>
      </c>
      <c r="F3276">
        <f>tbl_AQI[[#This Row],[Most AQI Reached]]-tbl_AQI[[#This Row],[Current AQI]]</f>
        <v>24</v>
      </c>
      <c r="G32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76">
        <f>RANK(tbl_AQI[[#This Row],[Current AQI]], tbl_AQI[Current AQI], 0)</f>
        <v>3493</v>
      </c>
    </row>
    <row r="3277" spans="1:8" x14ac:dyDescent="0.35">
      <c r="A3277" t="s">
        <v>3165</v>
      </c>
      <c r="B3277" t="s">
        <v>3298</v>
      </c>
      <c r="C3277">
        <v>177</v>
      </c>
      <c r="D3277">
        <v>165</v>
      </c>
      <c r="E3277" t="s">
        <v>17</v>
      </c>
      <c r="F3277">
        <f>tbl_AQI[[#This Row],[Most AQI Reached]]-tbl_AQI[[#This Row],[Current AQI]]</f>
        <v>12</v>
      </c>
      <c r="G32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77">
        <f>RANK(tbl_AQI[[#This Row],[Current AQI]], tbl_AQI[Current AQI], 0)</f>
        <v>2028</v>
      </c>
    </row>
    <row r="3278" spans="1:8" x14ac:dyDescent="0.35">
      <c r="A3278" t="s">
        <v>3165</v>
      </c>
      <c r="B3278" t="s">
        <v>3299</v>
      </c>
      <c r="C3278">
        <v>248</v>
      </c>
      <c r="D3278">
        <v>86</v>
      </c>
      <c r="E3278" t="s">
        <v>21</v>
      </c>
      <c r="F3278">
        <f>tbl_AQI[[#This Row],[Most AQI Reached]]-tbl_AQI[[#This Row],[Current AQI]]</f>
        <v>162</v>
      </c>
      <c r="G32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78">
        <f>RANK(tbl_AQI[[#This Row],[Current AQI]], tbl_AQI[Current AQI], 0)</f>
        <v>3830</v>
      </c>
    </row>
    <row r="3279" spans="1:8" x14ac:dyDescent="0.35">
      <c r="A3279" t="s">
        <v>3165</v>
      </c>
      <c r="B3279" t="s">
        <v>3300</v>
      </c>
      <c r="C3279">
        <v>311</v>
      </c>
      <c r="D3279">
        <v>117</v>
      </c>
      <c r="E3279" t="s">
        <v>7</v>
      </c>
      <c r="F3279">
        <f>tbl_AQI[[#This Row],[Most AQI Reached]]-tbl_AQI[[#This Row],[Current AQI]]</f>
        <v>194</v>
      </c>
      <c r="G32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79">
        <f>RANK(tbl_AQI[[#This Row],[Current AQI]], tbl_AQI[Current AQI], 0)</f>
        <v>3144</v>
      </c>
    </row>
    <row r="3280" spans="1:8" x14ac:dyDescent="0.35">
      <c r="A3280" t="s">
        <v>3165</v>
      </c>
      <c r="B3280" t="s">
        <v>3301</v>
      </c>
      <c r="C3280">
        <v>311</v>
      </c>
      <c r="D3280">
        <v>34</v>
      </c>
      <c r="E3280" t="s">
        <v>21</v>
      </c>
      <c r="F3280">
        <f>tbl_AQI[[#This Row],[Most AQI Reached]]-tbl_AQI[[#This Row],[Current AQI]]</f>
        <v>277</v>
      </c>
      <c r="G32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80">
        <f>RANK(tbl_AQI[[#This Row],[Current AQI]], tbl_AQI[Current AQI], 0)</f>
        <v>4944</v>
      </c>
    </row>
    <row r="3281" spans="1:8" x14ac:dyDescent="0.35">
      <c r="A3281" t="s">
        <v>3165</v>
      </c>
      <c r="B3281" t="s">
        <v>3302</v>
      </c>
      <c r="C3281">
        <v>224</v>
      </c>
      <c r="D3281">
        <v>70</v>
      </c>
      <c r="E3281" t="s">
        <v>17</v>
      </c>
      <c r="F3281">
        <f>tbl_AQI[[#This Row],[Most AQI Reached]]-tbl_AQI[[#This Row],[Current AQI]]</f>
        <v>154</v>
      </c>
      <c r="G32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81">
        <f>RANK(tbl_AQI[[#This Row],[Current AQI]], tbl_AQI[Current AQI], 0)</f>
        <v>4153</v>
      </c>
    </row>
    <row r="3282" spans="1:8" x14ac:dyDescent="0.35">
      <c r="A3282" t="s">
        <v>3165</v>
      </c>
      <c r="B3282" t="s">
        <v>3303</v>
      </c>
      <c r="C3282">
        <v>245</v>
      </c>
      <c r="D3282">
        <v>154</v>
      </c>
      <c r="E3282" t="s">
        <v>9</v>
      </c>
      <c r="F3282">
        <f>tbl_AQI[[#This Row],[Most AQI Reached]]-tbl_AQI[[#This Row],[Current AQI]]</f>
        <v>91</v>
      </c>
      <c r="G32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82">
        <f>RANK(tbl_AQI[[#This Row],[Current AQI]], tbl_AQI[Current AQI], 0)</f>
        <v>2307</v>
      </c>
    </row>
    <row r="3283" spans="1:8" x14ac:dyDescent="0.35">
      <c r="A3283" t="s">
        <v>3165</v>
      </c>
      <c r="B3283" t="s">
        <v>3304</v>
      </c>
      <c r="C3283">
        <v>208</v>
      </c>
      <c r="D3283">
        <v>183</v>
      </c>
      <c r="E3283" t="s">
        <v>21</v>
      </c>
      <c r="F3283">
        <f>tbl_AQI[[#This Row],[Most AQI Reached]]-tbl_AQI[[#This Row],[Current AQI]]</f>
        <v>25</v>
      </c>
      <c r="G32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83">
        <f>RANK(tbl_AQI[[#This Row],[Current AQI]], tbl_AQI[Current AQI], 0)</f>
        <v>1572</v>
      </c>
    </row>
    <row r="3284" spans="1:8" x14ac:dyDescent="0.35">
      <c r="A3284" t="s">
        <v>3165</v>
      </c>
      <c r="B3284" t="s">
        <v>3305</v>
      </c>
      <c r="C3284">
        <v>126</v>
      </c>
      <c r="D3284">
        <v>70</v>
      </c>
      <c r="E3284" t="s">
        <v>15</v>
      </c>
      <c r="F3284">
        <f>tbl_AQI[[#This Row],[Most AQI Reached]]-tbl_AQI[[#This Row],[Current AQI]]</f>
        <v>56</v>
      </c>
      <c r="G32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84">
        <f>RANK(tbl_AQI[[#This Row],[Current AQI]], tbl_AQI[Current AQI], 0)</f>
        <v>4153</v>
      </c>
    </row>
    <row r="3285" spans="1:8" x14ac:dyDescent="0.35">
      <c r="A3285" t="s">
        <v>3165</v>
      </c>
      <c r="B3285" t="s">
        <v>3306</v>
      </c>
      <c r="C3285">
        <v>311</v>
      </c>
      <c r="D3285">
        <v>110</v>
      </c>
      <c r="E3285" t="s">
        <v>17</v>
      </c>
      <c r="F3285">
        <f>tbl_AQI[[#This Row],[Most AQI Reached]]-tbl_AQI[[#This Row],[Current AQI]]</f>
        <v>201</v>
      </c>
      <c r="G32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85">
        <f>RANK(tbl_AQI[[#This Row],[Current AQI]], tbl_AQI[Current AQI], 0)</f>
        <v>3302</v>
      </c>
    </row>
    <row r="3286" spans="1:8" x14ac:dyDescent="0.35">
      <c r="A3286" t="s">
        <v>3165</v>
      </c>
      <c r="B3286" t="s">
        <v>3307</v>
      </c>
      <c r="C3286">
        <v>288</v>
      </c>
      <c r="D3286">
        <v>101</v>
      </c>
      <c r="E3286" t="s">
        <v>15</v>
      </c>
      <c r="F3286">
        <f>tbl_AQI[[#This Row],[Most AQI Reached]]-tbl_AQI[[#This Row],[Current AQI]]</f>
        <v>187</v>
      </c>
      <c r="G32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86">
        <f>RANK(tbl_AQI[[#This Row],[Current AQI]], tbl_AQI[Current AQI], 0)</f>
        <v>3515</v>
      </c>
    </row>
    <row r="3287" spans="1:8" x14ac:dyDescent="0.35">
      <c r="A3287" t="s">
        <v>3165</v>
      </c>
      <c r="B3287" t="s">
        <v>3308</v>
      </c>
      <c r="C3287">
        <v>242</v>
      </c>
      <c r="D3287">
        <v>129</v>
      </c>
      <c r="E3287" t="s">
        <v>15</v>
      </c>
      <c r="F3287">
        <f>tbl_AQI[[#This Row],[Most AQI Reached]]-tbl_AQI[[#This Row],[Current AQI]]</f>
        <v>113</v>
      </c>
      <c r="G32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87">
        <f>RANK(tbl_AQI[[#This Row],[Current AQI]], tbl_AQI[Current AQI], 0)</f>
        <v>2852</v>
      </c>
    </row>
    <row r="3288" spans="1:8" x14ac:dyDescent="0.35">
      <c r="A3288" t="s">
        <v>3165</v>
      </c>
      <c r="B3288" t="s">
        <v>3309</v>
      </c>
      <c r="C3288">
        <v>264</v>
      </c>
      <c r="D3288">
        <v>146</v>
      </c>
      <c r="E3288" t="s">
        <v>9</v>
      </c>
      <c r="F3288">
        <f>tbl_AQI[[#This Row],[Most AQI Reached]]-tbl_AQI[[#This Row],[Current AQI]]</f>
        <v>118</v>
      </c>
      <c r="G32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88">
        <f>RANK(tbl_AQI[[#This Row],[Current AQI]], tbl_AQI[Current AQI], 0)</f>
        <v>2499</v>
      </c>
    </row>
    <row r="3289" spans="1:8" x14ac:dyDescent="0.35">
      <c r="A3289" t="s">
        <v>3165</v>
      </c>
      <c r="B3289" t="s">
        <v>3310</v>
      </c>
      <c r="C3289">
        <v>212</v>
      </c>
      <c r="D3289">
        <v>31</v>
      </c>
      <c r="E3289" t="s">
        <v>11</v>
      </c>
      <c r="F3289">
        <f>tbl_AQI[[#This Row],[Most AQI Reached]]-tbl_AQI[[#This Row],[Current AQI]]</f>
        <v>181</v>
      </c>
      <c r="G32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89">
        <f>RANK(tbl_AQI[[#This Row],[Current AQI]], tbl_AQI[Current AQI], 0)</f>
        <v>5016</v>
      </c>
    </row>
    <row r="3290" spans="1:8" x14ac:dyDescent="0.35">
      <c r="A3290" t="s">
        <v>3165</v>
      </c>
      <c r="B3290" t="s">
        <v>3311</v>
      </c>
      <c r="C3290">
        <v>219</v>
      </c>
      <c r="D3290">
        <v>157</v>
      </c>
      <c r="E3290" t="s">
        <v>33</v>
      </c>
      <c r="F3290">
        <f>tbl_AQI[[#This Row],[Most AQI Reached]]-tbl_AQI[[#This Row],[Current AQI]]</f>
        <v>62</v>
      </c>
      <c r="G32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90">
        <f>RANK(tbl_AQI[[#This Row],[Current AQI]], tbl_AQI[Current AQI], 0)</f>
        <v>2239</v>
      </c>
    </row>
    <row r="3291" spans="1:8" x14ac:dyDescent="0.35">
      <c r="A3291" t="s">
        <v>3165</v>
      </c>
      <c r="B3291" t="s">
        <v>3312</v>
      </c>
      <c r="C3291">
        <v>204</v>
      </c>
      <c r="D3291">
        <v>85</v>
      </c>
      <c r="E3291" t="s">
        <v>15</v>
      </c>
      <c r="F3291">
        <f>tbl_AQI[[#This Row],[Most AQI Reached]]-tbl_AQI[[#This Row],[Current AQI]]</f>
        <v>119</v>
      </c>
      <c r="G32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91">
        <f>RANK(tbl_AQI[[#This Row],[Current AQI]], tbl_AQI[Current AQI], 0)</f>
        <v>3852</v>
      </c>
    </row>
    <row r="3292" spans="1:8" x14ac:dyDescent="0.35">
      <c r="A3292" t="s">
        <v>3165</v>
      </c>
      <c r="B3292" t="s">
        <v>3313</v>
      </c>
      <c r="C3292">
        <v>115</v>
      </c>
      <c r="D3292">
        <v>101</v>
      </c>
      <c r="E3292" t="s">
        <v>15</v>
      </c>
      <c r="F3292">
        <f>tbl_AQI[[#This Row],[Most AQI Reached]]-tbl_AQI[[#This Row],[Current AQI]]</f>
        <v>14</v>
      </c>
      <c r="G32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92">
        <f>RANK(tbl_AQI[[#This Row],[Current AQI]], tbl_AQI[Current AQI], 0)</f>
        <v>3515</v>
      </c>
    </row>
    <row r="3293" spans="1:8" x14ac:dyDescent="0.35">
      <c r="A3293" t="s">
        <v>3165</v>
      </c>
      <c r="B3293" t="s">
        <v>3314</v>
      </c>
      <c r="C3293">
        <v>294</v>
      </c>
      <c r="D3293">
        <v>39</v>
      </c>
      <c r="E3293" t="s">
        <v>15</v>
      </c>
      <c r="F3293">
        <f>tbl_AQI[[#This Row],[Most AQI Reached]]-tbl_AQI[[#This Row],[Current AQI]]</f>
        <v>255</v>
      </c>
      <c r="G32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93">
        <f>RANK(tbl_AQI[[#This Row],[Current AQI]], tbl_AQI[Current AQI], 0)</f>
        <v>4829</v>
      </c>
    </row>
    <row r="3294" spans="1:8" x14ac:dyDescent="0.35">
      <c r="A3294" t="s">
        <v>3165</v>
      </c>
      <c r="B3294" t="s">
        <v>3315</v>
      </c>
      <c r="C3294">
        <v>126</v>
      </c>
      <c r="D3294">
        <v>94</v>
      </c>
      <c r="E3294" t="s">
        <v>21</v>
      </c>
      <c r="F3294">
        <f>tbl_AQI[[#This Row],[Most AQI Reached]]-tbl_AQI[[#This Row],[Current AQI]]</f>
        <v>32</v>
      </c>
      <c r="G32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94">
        <f>RANK(tbl_AQI[[#This Row],[Current AQI]], tbl_AQI[Current AQI], 0)</f>
        <v>3654</v>
      </c>
    </row>
    <row r="3295" spans="1:8" x14ac:dyDescent="0.35">
      <c r="A3295" t="s">
        <v>3165</v>
      </c>
      <c r="B3295" t="s">
        <v>3316</v>
      </c>
      <c r="C3295">
        <v>276</v>
      </c>
      <c r="D3295">
        <v>69</v>
      </c>
      <c r="E3295" t="s">
        <v>15</v>
      </c>
      <c r="F3295">
        <f>tbl_AQI[[#This Row],[Most AQI Reached]]-tbl_AQI[[#This Row],[Current AQI]]</f>
        <v>207</v>
      </c>
      <c r="G32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295">
        <f>RANK(tbl_AQI[[#This Row],[Current AQI]], tbl_AQI[Current AQI], 0)</f>
        <v>4186</v>
      </c>
    </row>
    <row r="3296" spans="1:8" x14ac:dyDescent="0.35">
      <c r="A3296" t="s">
        <v>3165</v>
      </c>
      <c r="B3296" t="s">
        <v>3317</v>
      </c>
      <c r="C3296">
        <v>108</v>
      </c>
      <c r="D3296">
        <v>41</v>
      </c>
      <c r="E3296" t="s">
        <v>17</v>
      </c>
      <c r="F3296">
        <f>tbl_AQI[[#This Row],[Most AQI Reached]]-tbl_AQI[[#This Row],[Current AQI]]</f>
        <v>67</v>
      </c>
      <c r="G32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96">
        <f>RANK(tbl_AQI[[#This Row],[Current AQI]], tbl_AQI[Current AQI], 0)</f>
        <v>4789</v>
      </c>
    </row>
    <row r="3297" spans="1:8" x14ac:dyDescent="0.35">
      <c r="A3297" t="s">
        <v>3165</v>
      </c>
      <c r="B3297" t="s">
        <v>3318</v>
      </c>
      <c r="C3297">
        <v>197</v>
      </c>
      <c r="D3297">
        <v>154</v>
      </c>
      <c r="E3297" t="s">
        <v>33</v>
      </c>
      <c r="F3297">
        <f>tbl_AQI[[#This Row],[Most AQI Reached]]-tbl_AQI[[#This Row],[Current AQI]]</f>
        <v>43</v>
      </c>
      <c r="G32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97">
        <f>RANK(tbl_AQI[[#This Row],[Current AQI]], tbl_AQI[Current AQI], 0)</f>
        <v>2307</v>
      </c>
    </row>
    <row r="3298" spans="1:8" x14ac:dyDescent="0.35">
      <c r="A3298" t="s">
        <v>3165</v>
      </c>
      <c r="B3298" t="s">
        <v>3319</v>
      </c>
      <c r="C3298">
        <v>128</v>
      </c>
      <c r="D3298">
        <v>50</v>
      </c>
      <c r="E3298" t="s">
        <v>33</v>
      </c>
      <c r="F3298">
        <f>tbl_AQI[[#This Row],[Most AQI Reached]]-tbl_AQI[[#This Row],[Current AQI]]</f>
        <v>78</v>
      </c>
      <c r="G32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298">
        <f>RANK(tbl_AQI[[#This Row],[Current AQI]], tbl_AQI[Current AQI], 0)</f>
        <v>4596</v>
      </c>
    </row>
    <row r="3299" spans="1:8" x14ac:dyDescent="0.35">
      <c r="A3299" t="s">
        <v>3165</v>
      </c>
      <c r="B3299" t="s">
        <v>3320</v>
      </c>
      <c r="C3299">
        <v>299</v>
      </c>
      <c r="D3299">
        <v>154</v>
      </c>
      <c r="E3299" t="s">
        <v>11</v>
      </c>
      <c r="F3299">
        <f>tbl_AQI[[#This Row],[Most AQI Reached]]-tbl_AQI[[#This Row],[Current AQI]]</f>
        <v>145</v>
      </c>
      <c r="G32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299">
        <f>RANK(tbl_AQI[[#This Row],[Current AQI]], tbl_AQI[Current AQI], 0)</f>
        <v>2307</v>
      </c>
    </row>
    <row r="3300" spans="1:8" x14ac:dyDescent="0.35">
      <c r="A3300" t="s">
        <v>3165</v>
      </c>
      <c r="B3300" t="s">
        <v>3321</v>
      </c>
      <c r="C3300">
        <v>166</v>
      </c>
      <c r="D3300">
        <v>98</v>
      </c>
      <c r="E3300" t="s">
        <v>11</v>
      </c>
      <c r="F3300">
        <f>tbl_AQI[[#This Row],[Most AQI Reached]]-tbl_AQI[[#This Row],[Current AQI]]</f>
        <v>68</v>
      </c>
      <c r="G33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00">
        <f>RANK(tbl_AQI[[#This Row],[Current AQI]], tbl_AQI[Current AQI], 0)</f>
        <v>3574</v>
      </c>
    </row>
    <row r="3301" spans="1:8" x14ac:dyDescent="0.35">
      <c r="A3301" t="s">
        <v>3165</v>
      </c>
      <c r="B3301" t="s">
        <v>3322</v>
      </c>
      <c r="C3301">
        <v>258</v>
      </c>
      <c r="D3301">
        <v>132</v>
      </c>
      <c r="E3301" t="s">
        <v>9</v>
      </c>
      <c r="F3301">
        <f>tbl_AQI[[#This Row],[Most AQI Reached]]-tbl_AQI[[#This Row],[Current AQI]]</f>
        <v>126</v>
      </c>
      <c r="G33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01">
        <f>RANK(tbl_AQI[[#This Row],[Current AQI]], tbl_AQI[Current AQI], 0)</f>
        <v>2792</v>
      </c>
    </row>
    <row r="3302" spans="1:8" x14ac:dyDescent="0.35">
      <c r="A3302" t="s">
        <v>3165</v>
      </c>
      <c r="B3302" t="s">
        <v>3323</v>
      </c>
      <c r="C3302">
        <v>194</v>
      </c>
      <c r="D3302">
        <v>89</v>
      </c>
      <c r="E3302" t="s">
        <v>9</v>
      </c>
      <c r="F3302">
        <f>tbl_AQI[[#This Row],[Most AQI Reached]]-tbl_AQI[[#This Row],[Current AQI]]</f>
        <v>105</v>
      </c>
      <c r="G33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02">
        <f>RANK(tbl_AQI[[#This Row],[Current AQI]], tbl_AQI[Current AQI], 0)</f>
        <v>3772</v>
      </c>
    </row>
    <row r="3303" spans="1:8" x14ac:dyDescent="0.35">
      <c r="A3303" t="s">
        <v>3165</v>
      </c>
      <c r="B3303" t="s">
        <v>3324</v>
      </c>
      <c r="C3303">
        <v>204</v>
      </c>
      <c r="D3303">
        <v>138</v>
      </c>
      <c r="E3303" t="s">
        <v>7</v>
      </c>
      <c r="F3303">
        <f>tbl_AQI[[#This Row],[Most AQI Reached]]-tbl_AQI[[#This Row],[Current AQI]]</f>
        <v>66</v>
      </c>
      <c r="G33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03">
        <f>RANK(tbl_AQI[[#This Row],[Current AQI]], tbl_AQI[Current AQI], 0)</f>
        <v>2660</v>
      </c>
    </row>
    <row r="3304" spans="1:8" x14ac:dyDescent="0.35">
      <c r="A3304" t="s">
        <v>3165</v>
      </c>
      <c r="B3304" t="s">
        <v>3325</v>
      </c>
      <c r="C3304">
        <v>320</v>
      </c>
      <c r="D3304">
        <v>123</v>
      </c>
      <c r="E3304" t="s">
        <v>11</v>
      </c>
      <c r="F3304">
        <f>tbl_AQI[[#This Row],[Most AQI Reached]]-tbl_AQI[[#This Row],[Current AQI]]</f>
        <v>197</v>
      </c>
      <c r="G33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04">
        <f>RANK(tbl_AQI[[#This Row],[Current AQI]], tbl_AQI[Current AQI], 0)</f>
        <v>2983</v>
      </c>
    </row>
    <row r="3305" spans="1:8" x14ac:dyDescent="0.35">
      <c r="A3305" t="s">
        <v>3165</v>
      </c>
      <c r="B3305" t="s">
        <v>3326</v>
      </c>
      <c r="C3305">
        <v>219</v>
      </c>
      <c r="D3305">
        <v>135</v>
      </c>
      <c r="E3305" t="s">
        <v>21</v>
      </c>
      <c r="F3305">
        <f>tbl_AQI[[#This Row],[Most AQI Reached]]-tbl_AQI[[#This Row],[Current AQI]]</f>
        <v>84</v>
      </c>
      <c r="G33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05">
        <f>RANK(tbl_AQI[[#This Row],[Current AQI]], tbl_AQI[Current AQI], 0)</f>
        <v>2714</v>
      </c>
    </row>
    <row r="3306" spans="1:8" x14ac:dyDescent="0.35">
      <c r="A3306" t="s">
        <v>3165</v>
      </c>
      <c r="B3306" t="s">
        <v>3327</v>
      </c>
      <c r="C3306">
        <v>296</v>
      </c>
      <c r="D3306">
        <v>73</v>
      </c>
      <c r="E3306" t="s">
        <v>17</v>
      </c>
      <c r="F3306">
        <f>tbl_AQI[[#This Row],[Most AQI Reached]]-tbl_AQI[[#This Row],[Current AQI]]</f>
        <v>223</v>
      </c>
      <c r="G33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06">
        <f>RANK(tbl_AQI[[#This Row],[Current AQI]], tbl_AQI[Current AQI], 0)</f>
        <v>4083</v>
      </c>
    </row>
    <row r="3307" spans="1:8" x14ac:dyDescent="0.35">
      <c r="A3307" t="s">
        <v>3165</v>
      </c>
      <c r="B3307" t="s">
        <v>3328</v>
      </c>
      <c r="C3307">
        <v>172</v>
      </c>
      <c r="D3307">
        <v>171</v>
      </c>
      <c r="E3307" t="s">
        <v>7</v>
      </c>
      <c r="F3307">
        <f>tbl_AQI[[#This Row],[Most AQI Reached]]-tbl_AQI[[#This Row],[Current AQI]]</f>
        <v>1</v>
      </c>
      <c r="G33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07">
        <f>RANK(tbl_AQI[[#This Row],[Current AQI]], tbl_AQI[Current AQI], 0)</f>
        <v>1866</v>
      </c>
    </row>
    <row r="3308" spans="1:8" x14ac:dyDescent="0.35">
      <c r="A3308" t="s">
        <v>3165</v>
      </c>
      <c r="B3308" t="s">
        <v>3329</v>
      </c>
      <c r="C3308">
        <v>151</v>
      </c>
      <c r="D3308">
        <v>116</v>
      </c>
      <c r="E3308" t="s">
        <v>21</v>
      </c>
      <c r="F3308">
        <f>tbl_AQI[[#This Row],[Most AQI Reached]]-tbl_AQI[[#This Row],[Current AQI]]</f>
        <v>35</v>
      </c>
      <c r="G33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08">
        <f>RANK(tbl_AQI[[#This Row],[Current AQI]], tbl_AQI[Current AQI], 0)</f>
        <v>3173</v>
      </c>
    </row>
    <row r="3309" spans="1:8" x14ac:dyDescent="0.35">
      <c r="A3309" t="s">
        <v>3165</v>
      </c>
      <c r="B3309" t="s">
        <v>3330</v>
      </c>
      <c r="C3309">
        <v>208</v>
      </c>
      <c r="D3309">
        <v>117</v>
      </c>
      <c r="E3309" t="s">
        <v>9</v>
      </c>
      <c r="F3309">
        <f>tbl_AQI[[#This Row],[Most AQI Reached]]-tbl_AQI[[#This Row],[Current AQI]]</f>
        <v>91</v>
      </c>
      <c r="G33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09">
        <f>RANK(tbl_AQI[[#This Row],[Current AQI]], tbl_AQI[Current AQI], 0)</f>
        <v>3144</v>
      </c>
    </row>
    <row r="3310" spans="1:8" x14ac:dyDescent="0.35">
      <c r="A3310" t="s">
        <v>3165</v>
      </c>
      <c r="B3310" t="s">
        <v>3331</v>
      </c>
      <c r="C3310">
        <v>249</v>
      </c>
      <c r="D3310">
        <v>170</v>
      </c>
      <c r="E3310" t="s">
        <v>21</v>
      </c>
      <c r="F3310">
        <f>tbl_AQI[[#This Row],[Most AQI Reached]]-tbl_AQI[[#This Row],[Current AQI]]</f>
        <v>79</v>
      </c>
      <c r="G33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10">
        <f>RANK(tbl_AQI[[#This Row],[Current AQI]], tbl_AQI[Current AQI], 0)</f>
        <v>1898</v>
      </c>
    </row>
    <row r="3311" spans="1:8" x14ac:dyDescent="0.35">
      <c r="A3311" t="s">
        <v>3165</v>
      </c>
      <c r="B3311" t="s">
        <v>3332</v>
      </c>
      <c r="C3311">
        <v>273</v>
      </c>
      <c r="D3311">
        <v>123</v>
      </c>
      <c r="E3311" t="s">
        <v>7</v>
      </c>
      <c r="F3311">
        <f>tbl_AQI[[#This Row],[Most AQI Reached]]-tbl_AQI[[#This Row],[Current AQI]]</f>
        <v>150</v>
      </c>
      <c r="G33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11">
        <f>RANK(tbl_AQI[[#This Row],[Current AQI]], tbl_AQI[Current AQI], 0)</f>
        <v>2983</v>
      </c>
    </row>
    <row r="3312" spans="1:8" x14ac:dyDescent="0.35">
      <c r="A3312" t="s">
        <v>3165</v>
      </c>
      <c r="B3312" t="s">
        <v>3333</v>
      </c>
      <c r="C3312">
        <v>263</v>
      </c>
      <c r="D3312">
        <v>181</v>
      </c>
      <c r="E3312" t="s">
        <v>17</v>
      </c>
      <c r="F3312">
        <f>tbl_AQI[[#This Row],[Most AQI Reached]]-tbl_AQI[[#This Row],[Current AQI]]</f>
        <v>82</v>
      </c>
      <c r="G33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12">
        <f>RANK(tbl_AQI[[#This Row],[Current AQI]], tbl_AQI[Current AQI], 0)</f>
        <v>1609</v>
      </c>
    </row>
    <row r="3313" spans="1:8" x14ac:dyDescent="0.35">
      <c r="A3313" t="s">
        <v>3165</v>
      </c>
      <c r="B3313" t="s">
        <v>3334</v>
      </c>
      <c r="C3313">
        <v>189</v>
      </c>
      <c r="D3313">
        <v>185</v>
      </c>
      <c r="E3313" t="s">
        <v>21</v>
      </c>
      <c r="F3313">
        <f>tbl_AQI[[#This Row],[Most AQI Reached]]-tbl_AQI[[#This Row],[Current AQI]]</f>
        <v>4</v>
      </c>
      <c r="G33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13">
        <f>RANK(tbl_AQI[[#This Row],[Current AQI]], tbl_AQI[Current AQI], 0)</f>
        <v>1517</v>
      </c>
    </row>
    <row r="3314" spans="1:8" x14ac:dyDescent="0.35">
      <c r="A3314" t="s">
        <v>3165</v>
      </c>
      <c r="B3314" t="s">
        <v>3335</v>
      </c>
      <c r="C3314">
        <v>199</v>
      </c>
      <c r="D3314">
        <v>79</v>
      </c>
      <c r="E3314" t="s">
        <v>33</v>
      </c>
      <c r="F3314">
        <f>tbl_AQI[[#This Row],[Most AQI Reached]]-tbl_AQI[[#This Row],[Current AQI]]</f>
        <v>120</v>
      </c>
      <c r="G33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14">
        <f>RANK(tbl_AQI[[#This Row],[Current AQI]], tbl_AQI[Current AQI], 0)</f>
        <v>3967</v>
      </c>
    </row>
    <row r="3315" spans="1:8" x14ac:dyDescent="0.35">
      <c r="A3315" t="s">
        <v>3165</v>
      </c>
      <c r="B3315" t="s">
        <v>3336</v>
      </c>
      <c r="C3315">
        <v>313</v>
      </c>
      <c r="D3315">
        <v>70</v>
      </c>
      <c r="E3315" t="s">
        <v>21</v>
      </c>
      <c r="F3315">
        <f>tbl_AQI[[#This Row],[Most AQI Reached]]-tbl_AQI[[#This Row],[Current AQI]]</f>
        <v>243</v>
      </c>
      <c r="G33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15">
        <f>RANK(tbl_AQI[[#This Row],[Current AQI]], tbl_AQI[Current AQI], 0)</f>
        <v>4153</v>
      </c>
    </row>
    <row r="3316" spans="1:8" x14ac:dyDescent="0.35">
      <c r="A3316" t="s">
        <v>3165</v>
      </c>
      <c r="B3316" t="s">
        <v>3337</v>
      </c>
      <c r="C3316">
        <v>295</v>
      </c>
      <c r="D3316">
        <v>113</v>
      </c>
      <c r="E3316" t="s">
        <v>21</v>
      </c>
      <c r="F3316">
        <f>tbl_AQI[[#This Row],[Most AQI Reached]]-tbl_AQI[[#This Row],[Current AQI]]</f>
        <v>182</v>
      </c>
      <c r="G33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16">
        <f>RANK(tbl_AQI[[#This Row],[Current AQI]], tbl_AQI[Current AQI], 0)</f>
        <v>3243</v>
      </c>
    </row>
    <row r="3317" spans="1:8" x14ac:dyDescent="0.35">
      <c r="A3317" t="s">
        <v>3165</v>
      </c>
      <c r="B3317" t="s">
        <v>3338</v>
      </c>
      <c r="C3317">
        <v>159</v>
      </c>
      <c r="D3317">
        <v>145</v>
      </c>
      <c r="E3317" t="s">
        <v>21</v>
      </c>
      <c r="F3317">
        <f>tbl_AQI[[#This Row],[Most AQI Reached]]-tbl_AQI[[#This Row],[Current AQI]]</f>
        <v>14</v>
      </c>
      <c r="G33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17">
        <f>RANK(tbl_AQI[[#This Row],[Current AQI]], tbl_AQI[Current AQI], 0)</f>
        <v>2526</v>
      </c>
    </row>
    <row r="3318" spans="1:8" x14ac:dyDescent="0.35">
      <c r="A3318" t="s">
        <v>3165</v>
      </c>
      <c r="B3318" t="s">
        <v>3339</v>
      </c>
      <c r="C3318">
        <v>240</v>
      </c>
      <c r="D3318">
        <v>93</v>
      </c>
      <c r="E3318" t="s">
        <v>15</v>
      </c>
      <c r="F3318">
        <f>tbl_AQI[[#This Row],[Most AQI Reached]]-tbl_AQI[[#This Row],[Current AQI]]</f>
        <v>147</v>
      </c>
      <c r="G33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18">
        <f>RANK(tbl_AQI[[#This Row],[Current AQI]], tbl_AQI[Current AQI], 0)</f>
        <v>3678</v>
      </c>
    </row>
    <row r="3319" spans="1:8" x14ac:dyDescent="0.35">
      <c r="A3319" t="s">
        <v>3165</v>
      </c>
      <c r="B3319" t="s">
        <v>3340</v>
      </c>
      <c r="C3319">
        <v>90</v>
      </c>
      <c r="D3319">
        <v>90</v>
      </c>
      <c r="E3319" t="s">
        <v>9</v>
      </c>
      <c r="F3319">
        <f>tbl_AQI[[#This Row],[Most AQI Reached]]-tbl_AQI[[#This Row],[Current AQI]]</f>
        <v>0</v>
      </c>
      <c r="G33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19">
        <f>RANK(tbl_AQI[[#This Row],[Current AQI]], tbl_AQI[Current AQI], 0)</f>
        <v>3750</v>
      </c>
    </row>
    <row r="3320" spans="1:8" x14ac:dyDescent="0.35">
      <c r="A3320" t="s">
        <v>3165</v>
      </c>
      <c r="B3320" t="s">
        <v>3341</v>
      </c>
      <c r="C3320">
        <v>222</v>
      </c>
      <c r="D3320">
        <v>148</v>
      </c>
      <c r="E3320" t="s">
        <v>33</v>
      </c>
      <c r="F3320">
        <f>tbl_AQI[[#This Row],[Most AQI Reached]]-tbl_AQI[[#This Row],[Current AQI]]</f>
        <v>74</v>
      </c>
      <c r="G33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20">
        <f>RANK(tbl_AQI[[#This Row],[Current AQI]], tbl_AQI[Current AQI], 0)</f>
        <v>2446</v>
      </c>
    </row>
    <row r="3321" spans="1:8" x14ac:dyDescent="0.35">
      <c r="A3321" t="s">
        <v>3165</v>
      </c>
      <c r="B3321" t="s">
        <v>3342</v>
      </c>
      <c r="C3321">
        <v>314</v>
      </c>
      <c r="D3321">
        <v>38</v>
      </c>
      <c r="E3321" t="s">
        <v>15</v>
      </c>
      <c r="F3321">
        <f>tbl_AQI[[#This Row],[Most AQI Reached]]-tbl_AQI[[#This Row],[Current AQI]]</f>
        <v>276</v>
      </c>
      <c r="G33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21">
        <f>RANK(tbl_AQI[[#This Row],[Current AQI]], tbl_AQI[Current AQI], 0)</f>
        <v>4845</v>
      </c>
    </row>
    <row r="3322" spans="1:8" x14ac:dyDescent="0.35">
      <c r="A3322" t="s">
        <v>3165</v>
      </c>
      <c r="B3322" t="s">
        <v>3343</v>
      </c>
      <c r="C3322">
        <v>290</v>
      </c>
      <c r="D3322">
        <v>88</v>
      </c>
      <c r="E3322" t="s">
        <v>17</v>
      </c>
      <c r="F3322">
        <f>tbl_AQI[[#This Row],[Most AQI Reached]]-tbl_AQI[[#This Row],[Current AQI]]</f>
        <v>202</v>
      </c>
      <c r="G33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22">
        <f>RANK(tbl_AQI[[#This Row],[Current AQI]], tbl_AQI[Current AQI], 0)</f>
        <v>3792</v>
      </c>
    </row>
    <row r="3323" spans="1:8" x14ac:dyDescent="0.35">
      <c r="A3323" t="s">
        <v>3165</v>
      </c>
      <c r="B3323" t="s">
        <v>3344</v>
      </c>
      <c r="C3323">
        <v>137</v>
      </c>
      <c r="D3323">
        <v>50</v>
      </c>
      <c r="E3323" t="s">
        <v>9</v>
      </c>
      <c r="F3323">
        <f>tbl_AQI[[#This Row],[Most AQI Reached]]-tbl_AQI[[#This Row],[Current AQI]]</f>
        <v>87</v>
      </c>
      <c r="G33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23">
        <f>RANK(tbl_AQI[[#This Row],[Current AQI]], tbl_AQI[Current AQI], 0)</f>
        <v>4596</v>
      </c>
    </row>
    <row r="3324" spans="1:8" x14ac:dyDescent="0.35">
      <c r="A3324" t="s">
        <v>3165</v>
      </c>
      <c r="B3324" t="s">
        <v>3345</v>
      </c>
      <c r="C3324">
        <v>275</v>
      </c>
      <c r="D3324">
        <v>188</v>
      </c>
      <c r="E3324" t="s">
        <v>17</v>
      </c>
      <c r="F3324">
        <f>tbl_AQI[[#This Row],[Most AQI Reached]]-tbl_AQI[[#This Row],[Current AQI]]</f>
        <v>87</v>
      </c>
      <c r="G33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24">
        <f>RANK(tbl_AQI[[#This Row],[Current AQI]], tbl_AQI[Current AQI], 0)</f>
        <v>1423</v>
      </c>
    </row>
    <row r="3325" spans="1:8" x14ac:dyDescent="0.35">
      <c r="A3325" t="s">
        <v>3165</v>
      </c>
      <c r="B3325" t="s">
        <v>3346</v>
      </c>
      <c r="C3325">
        <v>248</v>
      </c>
      <c r="D3325">
        <v>181</v>
      </c>
      <c r="E3325" t="s">
        <v>17</v>
      </c>
      <c r="F3325">
        <f>tbl_AQI[[#This Row],[Most AQI Reached]]-tbl_AQI[[#This Row],[Current AQI]]</f>
        <v>67</v>
      </c>
      <c r="G33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25">
        <f>RANK(tbl_AQI[[#This Row],[Current AQI]], tbl_AQI[Current AQI], 0)</f>
        <v>1609</v>
      </c>
    </row>
    <row r="3326" spans="1:8" x14ac:dyDescent="0.35">
      <c r="A3326" t="s">
        <v>3165</v>
      </c>
      <c r="B3326" t="s">
        <v>3347</v>
      </c>
      <c r="C3326">
        <v>245</v>
      </c>
      <c r="D3326">
        <v>37</v>
      </c>
      <c r="E3326" t="s">
        <v>15</v>
      </c>
      <c r="F3326">
        <f>tbl_AQI[[#This Row],[Most AQI Reached]]-tbl_AQI[[#This Row],[Current AQI]]</f>
        <v>208</v>
      </c>
      <c r="G33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26">
        <f>RANK(tbl_AQI[[#This Row],[Current AQI]], tbl_AQI[Current AQI], 0)</f>
        <v>4863</v>
      </c>
    </row>
    <row r="3327" spans="1:8" x14ac:dyDescent="0.35">
      <c r="A3327" t="s">
        <v>3165</v>
      </c>
      <c r="B3327" t="s">
        <v>3348</v>
      </c>
      <c r="C3327">
        <v>102</v>
      </c>
      <c r="D3327">
        <v>34</v>
      </c>
      <c r="E3327" t="s">
        <v>7</v>
      </c>
      <c r="F3327">
        <f>tbl_AQI[[#This Row],[Most AQI Reached]]-tbl_AQI[[#This Row],[Current AQI]]</f>
        <v>68</v>
      </c>
      <c r="G33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27">
        <f>RANK(tbl_AQI[[#This Row],[Current AQI]], tbl_AQI[Current AQI], 0)</f>
        <v>4944</v>
      </c>
    </row>
    <row r="3328" spans="1:8" x14ac:dyDescent="0.35">
      <c r="A3328" t="s">
        <v>3165</v>
      </c>
      <c r="B3328" t="s">
        <v>3349</v>
      </c>
      <c r="C3328">
        <v>135</v>
      </c>
      <c r="D3328">
        <v>121</v>
      </c>
      <c r="E3328" t="s">
        <v>11</v>
      </c>
      <c r="F3328">
        <f>tbl_AQI[[#This Row],[Most AQI Reached]]-tbl_AQI[[#This Row],[Current AQI]]</f>
        <v>14</v>
      </c>
      <c r="G33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28">
        <f>RANK(tbl_AQI[[#This Row],[Current AQI]], tbl_AQI[Current AQI], 0)</f>
        <v>3037</v>
      </c>
    </row>
    <row r="3329" spans="1:8" x14ac:dyDescent="0.35">
      <c r="A3329" t="s">
        <v>3165</v>
      </c>
      <c r="B3329" t="s">
        <v>3350</v>
      </c>
      <c r="C3329">
        <v>66</v>
      </c>
      <c r="D3329">
        <v>44</v>
      </c>
      <c r="E3329" t="s">
        <v>21</v>
      </c>
      <c r="F3329">
        <f>tbl_AQI[[#This Row],[Most AQI Reached]]-tbl_AQI[[#This Row],[Current AQI]]</f>
        <v>22</v>
      </c>
      <c r="G33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29">
        <f>RANK(tbl_AQI[[#This Row],[Current AQI]], tbl_AQI[Current AQI], 0)</f>
        <v>4732</v>
      </c>
    </row>
    <row r="3330" spans="1:8" x14ac:dyDescent="0.35">
      <c r="A3330" t="s">
        <v>3165</v>
      </c>
      <c r="B3330" t="s">
        <v>3351</v>
      </c>
      <c r="C3330">
        <v>171</v>
      </c>
      <c r="D3330">
        <v>97</v>
      </c>
      <c r="E3330" t="s">
        <v>7</v>
      </c>
      <c r="F3330">
        <f>tbl_AQI[[#This Row],[Most AQI Reached]]-tbl_AQI[[#This Row],[Current AQI]]</f>
        <v>74</v>
      </c>
      <c r="G33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0">
        <f>RANK(tbl_AQI[[#This Row],[Current AQI]], tbl_AQI[Current AQI], 0)</f>
        <v>3593</v>
      </c>
    </row>
    <row r="3331" spans="1:8" x14ac:dyDescent="0.35">
      <c r="A3331" t="s">
        <v>3165</v>
      </c>
      <c r="B3331" t="s">
        <v>3352</v>
      </c>
      <c r="C3331">
        <v>235</v>
      </c>
      <c r="D3331">
        <v>80</v>
      </c>
      <c r="E3331" t="s">
        <v>15</v>
      </c>
      <c r="F3331">
        <f>tbl_AQI[[#This Row],[Most AQI Reached]]-tbl_AQI[[#This Row],[Current AQI]]</f>
        <v>155</v>
      </c>
      <c r="G33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1">
        <f>RANK(tbl_AQI[[#This Row],[Current AQI]], tbl_AQI[Current AQI], 0)</f>
        <v>3948</v>
      </c>
    </row>
    <row r="3332" spans="1:8" x14ac:dyDescent="0.35">
      <c r="A3332" t="s">
        <v>3165</v>
      </c>
      <c r="B3332" t="s">
        <v>3353</v>
      </c>
      <c r="C3332">
        <v>220</v>
      </c>
      <c r="D3332">
        <v>81</v>
      </c>
      <c r="E3332" t="s">
        <v>9</v>
      </c>
      <c r="F3332">
        <f>tbl_AQI[[#This Row],[Most AQI Reached]]-tbl_AQI[[#This Row],[Current AQI]]</f>
        <v>139</v>
      </c>
      <c r="G33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2">
        <f>RANK(tbl_AQI[[#This Row],[Current AQI]], tbl_AQI[Current AQI], 0)</f>
        <v>3923</v>
      </c>
    </row>
    <row r="3333" spans="1:8" x14ac:dyDescent="0.35">
      <c r="A3333" t="s">
        <v>3165</v>
      </c>
      <c r="B3333" t="s">
        <v>3354</v>
      </c>
      <c r="C3333">
        <v>99</v>
      </c>
      <c r="D3333">
        <v>74</v>
      </c>
      <c r="E3333" t="s">
        <v>15</v>
      </c>
      <c r="F3333">
        <f>tbl_AQI[[#This Row],[Most AQI Reached]]-tbl_AQI[[#This Row],[Current AQI]]</f>
        <v>25</v>
      </c>
      <c r="G33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3">
        <f>RANK(tbl_AQI[[#This Row],[Current AQI]], tbl_AQI[Current AQI], 0)</f>
        <v>4064</v>
      </c>
    </row>
    <row r="3334" spans="1:8" x14ac:dyDescent="0.35">
      <c r="A3334" t="s">
        <v>3165</v>
      </c>
      <c r="B3334" t="s">
        <v>3355</v>
      </c>
      <c r="C3334">
        <v>73</v>
      </c>
      <c r="D3334">
        <v>57</v>
      </c>
      <c r="E3334" t="s">
        <v>15</v>
      </c>
      <c r="F3334">
        <f>tbl_AQI[[#This Row],[Most AQI Reached]]-tbl_AQI[[#This Row],[Current AQI]]</f>
        <v>16</v>
      </c>
      <c r="G33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4">
        <f>RANK(tbl_AQI[[#This Row],[Current AQI]], tbl_AQI[Current AQI], 0)</f>
        <v>4452</v>
      </c>
    </row>
    <row r="3335" spans="1:8" x14ac:dyDescent="0.35">
      <c r="A3335" t="s">
        <v>3165</v>
      </c>
      <c r="B3335" t="s">
        <v>3356</v>
      </c>
      <c r="C3335">
        <v>169</v>
      </c>
      <c r="D3335">
        <v>125</v>
      </c>
      <c r="E3335" t="s">
        <v>33</v>
      </c>
      <c r="F3335">
        <f>tbl_AQI[[#This Row],[Most AQI Reached]]-tbl_AQI[[#This Row],[Current AQI]]</f>
        <v>44</v>
      </c>
      <c r="G33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35">
        <f>RANK(tbl_AQI[[#This Row],[Current AQI]], tbl_AQI[Current AQI], 0)</f>
        <v>2951</v>
      </c>
    </row>
    <row r="3336" spans="1:8" x14ac:dyDescent="0.35">
      <c r="A3336" t="s">
        <v>3165</v>
      </c>
      <c r="B3336" t="s">
        <v>3357</v>
      </c>
      <c r="C3336">
        <v>319</v>
      </c>
      <c r="D3336">
        <v>75</v>
      </c>
      <c r="E3336" t="s">
        <v>7</v>
      </c>
      <c r="F3336">
        <f>tbl_AQI[[#This Row],[Most AQI Reached]]-tbl_AQI[[#This Row],[Current AQI]]</f>
        <v>244</v>
      </c>
      <c r="G33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6">
        <f>RANK(tbl_AQI[[#This Row],[Current AQI]], tbl_AQI[Current AQI], 0)</f>
        <v>4041</v>
      </c>
    </row>
    <row r="3337" spans="1:8" x14ac:dyDescent="0.35">
      <c r="A3337" t="s">
        <v>3165</v>
      </c>
      <c r="B3337" t="s">
        <v>3358</v>
      </c>
      <c r="C3337">
        <v>91</v>
      </c>
      <c r="D3337">
        <v>53</v>
      </c>
      <c r="E3337" t="s">
        <v>17</v>
      </c>
      <c r="F3337">
        <f>tbl_AQI[[#This Row],[Most AQI Reached]]-tbl_AQI[[#This Row],[Current AQI]]</f>
        <v>38</v>
      </c>
      <c r="G33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37">
        <f>RANK(tbl_AQI[[#This Row],[Current AQI]], tbl_AQI[Current AQI], 0)</f>
        <v>4544</v>
      </c>
    </row>
    <row r="3338" spans="1:8" x14ac:dyDescent="0.35">
      <c r="A3338" t="s">
        <v>3165</v>
      </c>
      <c r="B3338" t="s">
        <v>3359</v>
      </c>
      <c r="C3338">
        <v>319</v>
      </c>
      <c r="D3338">
        <v>164</v>
      </c>
      <c r="E3338" t="s">
        <v>9</v>
      </c>
      <c r="F3338">
        <f>tbl_AQI[[#This Row],[Most AQI Reached]]-tbl_AQI[[#This Row],[Current AQI]]</f>
        <v>155</v>
      </c>
      <c r="G33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38">
        <f>RANK(tbl_AQI[[#This Row],[Current AQI]], tbl_AQI[Current AQI], 0)</f>
        <v>2049</v>
      </c>
    </row>
    <row r="3339" spans="1:8" x14ac:dyDescent="0.35">
      <c r="A3339" t="s">
        <v>3165</v>
      </c>
      <c r="B3339" t="s">
        <v>3360</v>
      </c>
      <c r="C3339">
        <v>169</v>
      </c>
      <c r="D3339">
        <v>164</v>
      </c>
      <c r="E3339" t="s">
        <v>33</v>
      </c>
      <c r="F3339">
        <f>tbl_AQI[[#This Row],[Most AQI Reached]]-tbl_AQI[[#This Row],[Current AQI]]</f>
        <v>5</v>
      </c>
      <c r="G33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39">
        <f>RANK(tbl_AQI[[#This Row],[Current AQI]], tbl_AQI[Current AQI], 0)</f>
        <v>2049</v>
      </c>
    </row>
    <row r="3340" spans="1:8" x14ac:dyDescent="0.35">
      <c r="A3340" t="s">
        <v>3165</v>
      </c>
      <c r="B3340" t="s">
        <v>3361</v>
      </c>
      <c r="C3340">
        <v>249</v>
      </c>
      <c r="D3340">
        <v>105</v>
      </c>
      <c r="E3340" t="s">
        <v>33</v>
      </c>
      <c r="F3340">
        <f>tbl_AQI[[#This Row],[Most AQI Reached]]-tbl_AQI[[#This Row],[Current AQI]]</f>
        <v>144</v>
      </c>
      <c r="G33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40">
        <f>RANK(tbl_AQI[[#This Row],[Current AQI]], tbl_AQI[Current AQI], 0)</f>
        <v>3436</v>
      </c>
    </row>
    <row r="3341" spans="1:8" x14ac:dyDescent="0.35">
      <c r="A3341" t="s">
        <v>3165</v>
      </c>
      <c r="B3341" t="s">
        <v>3362</v>
      </c>
      <c r="C3341">
        <v>202</v>
      </c>
      <c r="D3341">
        <v>119</v>
      </c>
      <c r="E3341" t="s">
        <v>15</v>
      </c>
      <c r="F3341">
        <f>tbl_AQI[[#This Row],[Most AQI Reached]]-tbl_AQI[[#This Row],[Current AQI]]</f>
        <v>83</v>
      </c>
      <c r="G33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41">
        <f>RANK(tbl_AQI[[#This Row],[Current AQI]], tbl_AQI[Current AQI], 0)</f>
        <v>3093</v>
      </c>
    </row>
    <row r="3342" spans="1:8" x14ac:dyDescent="0.35">
      <c r="A3342" t="s">
        <v>3165</v>
      </c>
      <c r="B3342" t="s">
        <v>3363</v>
      </c>
      <c r="C3342">
        <v>196</v>
      </c>
      <c r="D3342">
        <v>164</v>
      </c>
      <c r="E3342" t="s">
        <v>21</v>
      </c>
      <c r="F3342">
        <f>tbl_AQI[[#This Row],[Most AQI Reached]]-tbl_AQI[[#This Row],[Current AQI]]</f>
        <v>32</v>
      </c>
      <c r="G33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42">
        <f>RANK(tbl_AQI[[#This Row],[Current AQI]], tbl_AQI[Current AQI], 0)</f>
        <v>2049</v>
      </c>
    </row>
    <row r="3343" spans="1:8" x14ac:dyDescent="0.35">
      <c r="A3343" t="s">
        <v>3165</v>
      </c>
      <c r="B3343" t="s">
        <v>3364</v>
      </c>
      <c r="C3343">
        <v>289</v>
      </c>
      <c r="D3343">
        <v>45</v>
      </c>
      <c r="E3343" t="s">
        <v>15</v>
      </c>
      <c r="F3343">
        <f>tbl_AQI[[#This Row],[Most AQI Reached]]-tbl_AQI[[#This Row],[Current AQI]]</f>
        <v>244</v>
      </c>
      <c r="G33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43">
        <f>RANK(tbl_AQI[[#This Row],[Current AQI]], tbl_AQI[Current AQI], 0)</f>
        <v>4702</v>
      </c>
    </row>
    <row r="3344" spans="1:8" x14ac:dyDescent="0.35">
      <c r="A3344" t="s">
        <v>3165</v>
      </c>
      <c r="B3344" t="s">
        <v>3365</v>
      </c>
      <c r="C3344">
        <v>123</v>
      </c>
      <c r="D3344">
        <v>32</v>
      </c>
      <c r="E3344" t="s">
        <v>15</v>
      </c>
      <c r="F3344">
        <f>tbl_AQI[[#This Row],[Most AQI Reached]]-tbl_AQI[[#This Row],[Current AQI]]</f>
        <v>91</v>
      </c>
      <c r="G33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44">
        <f>RANK(tbl_AQI[[#This Row],[Current AQI]], tbl_AQI[Current AQI], 0)</f>
        <v>4983</v>
      </c>
    </row>
    <row r="3345" spans="1:8" x14ac:dyDescent="0.35">
      <c r="A3345" t="s">
        <v>3165</v>
      </c>
      <c r="B3345" t="s">
        <v>3366</v>
      </c>
      <c r="C3345">
        <v>226</v>
      </c>
      <c r="D3345">
        <v>123</v>
      </c>
      <c r="E3345" t="s">
        <v>21</v>
      </c>
      <c r="F3345">
        <f>tbl_AQI[[#This Row],[Most AQI Reached]]-tbl_AQI[[#This Row],[Current AQI]]</f>
        <v>103</v>
      </c>
      <c r="G33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45">
        <f>RANK(tbl_AQI[[#This Row],[Current AQI]], tbl_AQI[Current AQI], 0)</f>
        <v>2983</v>
      </c>
    </row>
    <row r="3346" spans="1:8" x14ac:dyDescent="0.35">
      <c r="A3346" t="s">
        <v>3165</v>
      </c>
      <c r="B3346" t="s">
        <v>3367</v>
      </c>
      <c r="C3346">
        <v>197</v>
      </c>
      <c r="D3346">
        <v>128</v>
      </c>
      <c r="E3346" t="s">
        <v>11</v>
      </c>
      <c r="F3346">
        <f>tbl_AQI[[#This Row],[Most AQI Reached]]-tbl_AQI[[#This Row],[Current AQI]]</f>
        <v>69</v>
      </c>
      <c r="G33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46">
        <f>RANK(tbl_AQI[[#This Row],[Current AQI]], tbl_AQI[Current AQI], 0)</f>
        <v>2872</v>
      </c>
    </row>
    <row r="3347" spans="1:8" x14ac:dyDescent="0.35">
      <c r="A3347" t="s">
        <v>3165</v>
      </c>
      <c r="B3347" t="s">
        <v>3368</v>
      </c>
      <c r="C3347">
        <v>105</v>
      </c>
      <c r="D3347">
        <v>72</v>
      </c>
      <c r="E3347" t="s">
        <v>33</v>
      </c>
      <c r="F3347">
        <f>tbl_AQI[[#This Row],[Most AQI Reached]]-tbl_AQI[[#This Row],[Current AQI]]</f>
        <v>33</v>
      </c>
      <c r="G33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47">
        <f>RANK(tbl_AQI[[#This Row],[Current AQI]], tbl_AQI[Current AQI], 0)</f>
        <v>4100</v>
      </c>
    </row>
    <row r="3348" spans="1:8" x14ac:dyDescent="0.35">
      <c r="A3348" t="s">
        <v>3165</v>
      </c>
      <c r="B3348" t="s">
        <v>3369</v>
      </c>
      <c r="C3348">
        <v>311</v>
      </c>
      <c r="D3348">
        <v>105</v>
      </c>
      <c r="E3348" t="s">
        <v>15</v>
      </c>
      <c r="F3348">
        <f>tbl_AQI[[#This Row],[Most AQI Reached]]-tbl_AQI[[#This Row],[Current AQI]]</f>
        <v>206</v>
      </c>
      <c r="G33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48">
        <f>RANK(tbl_AQI[[#This Row],[Current AQI]], tbl_AQI[Current AQI], 0)</f>
        <v>3436</v>
      </c>
    </row>
    <row r="3349" spans="1:8" x14ac:dyDescent="0.35">
      <c r="A3349" t="s">
        <v>3165</v>
      </c>
      <c r="B3349" t="s">
        <v>3370</v>
      </c>
      <c r="C3349">
        <v>113</v>
      </c>
      <c r="D3349">
        <v>95</v>
      </c>
      <c r="E3349" t="s">
        <v>9</v>
      </c>
      <c r="F3349">
        <f>tbl_AQI[[#This Row],[Most AQI Reached]]-tbl_AQI[[#This Row],[Current AQI]]</f>
        <v>18</v>
      </c>
      <c r="G33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49">
        <f>RANK(tbl_AQI[[#This Row],[Current AQI]], tbl_AQI[Current AQI], 0)</f>
        <v>3634</v>
      </c>
    </row>
    <row r="3350" spans="1:8" x14ac:dyDescent="0.35">
      <c r="A3350" t="s">
        <v>3165</v>
      </c>
      <c r="B3350" t="s">
        <v>3371</v>
      </c>
      <c r="C3350">
        <v>254</v>
      </c>
      <c r="D3350">
        <v>118</v>
      </c>
      <c r="E3350" t="s">
        <v>9</v>
      </c>
      <c r="F3350">
        <f>tbl_AQI[[#This Row],[Most AQI Reached]]-tbl_AQI[[#This Row],[Current AQI]]</f>
        <v>136</v>
      </c>
      <c r="G33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50">
        <f>RANK(tbl_AQI[[#This Row],[Current AQI]], tbl_AQI[Current AQI], 0)</f>
        <v>3122</v>
      </c>
    </row>
    <row r="3351" spans="1:8" x14ac:dyDescent="0.35">
      <c r="A3351" t="s">
        <v>3165</v>
      </c>
      <c r="B3351" t="s">
        <v>3372</v>
      </c>
      <c r="C3351">
        <v>253</v>
      </c>
      <c r="D3351">
        <v>57</v>
      </c>
      <c r="E3351" t="s">
        <v>17</v>
      </c>
      <c r="F3351">
        <f>tbl_AQI[[#This Row],[Most AQI Reached]]-tbl_AQI[[#This Row],[Current AQI]]</f>
        <v>196</v>
      </c>
      <c r="G33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51">
        <f>RANK(tbl_AQI[[#This Row],[Current AQI]], tbl_AQI[Current AQI], 0)</f>
        <v>4452</v>
      </c>
    </row>
    <row r="3352" spans="1:8" x14ac:dyDescent="0.35">
      <c r="A3352" t="s">
        <v>3165</v>
      </c>
      <c r="B3352" t="s">
        <v>3373</v>
      </c>
      <c r="C3352">
        <v>319</v>
      </c>
      <c r="D3352">
        <v>56</v>
      </c>
      <c r="E3352" t="s">
        <v>11</v>
      </c>
      <c r="F3352">
        <f>tbl_AQI[[#This Row],[Most AQI Reached]]-tbl_AQI[[#This Row],[Current AQI]]</f>
        <v>263</v>
      </c>
      <c r="G33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52">
        <f>RANK(tbl_AQI[[#This Row],[Current AQI]], tbl_AQI[Current AQI], 0)</f>
        <v>4474</v>
      </c>
    </row>
    <row r="3353" spans="1:8" x14ac:dyDescent="0.35">
      <c r="A3353" t="s">
        <v>3165</v>
      </c>
      <c r="B3353" t="s">
        <v>3374</v>
      </c>
      <c r="C3353">
        <v>303</v>
      </c>
      <c r="D3353">
        <v>87</v>
      </c>
      <c r="E3353" t="s">
        <v>15</v>
      </c>
      <c r="F3353">
        <f>tbl_AQI[[#This Row],[Most AQI Reached]]-tbl_AQI[[#This Row],[Current AQI]]</f>
        <v>216</v>
      </c>
      <c r="G33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53">
        <f>RANK(tbl_AQI[[#This Row],[Current AQI]], tbl_AQI[Current AQI], 0)</f>
        <v>3813</v>
      </c>
    </row>
    <row r="3354" spans="1:8" x14ac:dyDescent="0.35">
      <c r="A3354" t="s">
        <v>3165</v>
      </c>
      <c r="B3354" t="s">
        <v>3375</v>
      </c>
      <c r="C3354">
        <v>220</v>
      </c>
      <c r="D3354">
        <v>185</v>
      </c>
      <c r="E3354" t="s">
        <v>33</v>
      </c>
      <c r="F3354">
        <f>tbl_AQI[[#This Row],[Most AQI Reached]]-tbl_AQI[[#This Row],[Current AQI]]</f>
        <v>35</v>
      </c>
      <c r="G33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54">
        <f>RANK(tbl_AQI[[#This Row],[Current AQI]], tbl_AQI[Current AQI], 0)</f>
        <v>1517</v>
      </c>
    </row>
    <row r="3355" spans="1:8" x14ac:dyDescent="0.35">
      <c r="A3355" t="s">
        <v>3376</v>
      </c>
      <c r="B3355" t="s">
        <v>3377</v>
      </c>
      <c r="C3355">
        <v>303</v>
      </c>
      <c r="D3355">
        <v>135</v>
      </c>
      <c r="E3355" t="s">
        <v>7</v>
      </c>
      <c r="F3355">
        <f>tbl_AQI[[#This Row],[Most AQI Reached]]-tbl_AQI[[#This Row],[Current AQI]]</f>
        <v>168</v>
      </c>
      <c r="G33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55">
        <f>RANK(tbl_AQI[[#This Row],[Current AQI]], tbl_AQI[Current AQI], 0)</f>
        <v>2714</v>
      </c>
    </row>
    <row r="3356" spans="1:8" x14ac:dyDescent="0.35">
      <c r="A3356" t="s">
        <v>3376</v>
      </c>
      <c r="B3356" t="s">
        <v>3378</v>
      </c>
      <c r="C3356">
        <v>152</v>
      </c>
      <c r="D3356">
        <v>70</v>
      </c>
      <c r="E3356" t="s">
        <v>33</v>
      </c>
      <c r="F3356">
        <f>tbl_AQI[[#This Row],[Most AQI Reached]]-tbl_AQI[[#This Row],[Current AQI]]</f>
        <v>82</v>
      </c>
      <c r="G33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56">
        <f>RANK(tbl_AQI[[#This Row],[Current AQI]], tbl_AQI[Current AQI], 0)</f>
        <v>4153</v>
      </c>
    </row>
    <row r="3357" spans="1:8" x14ac:dyDescent="0.35">
      <c r="A3357" t="s">
        <v>3376</v>
      </c>
      <c r="B3357" t="s">
        <v>3379</v>
      </c>
      <c r="C3357">
        <v>188</v>
      </c>
      <c r="D3357">
        <v>188</v>
      </c>
      <c r="E3357" t="s">
        <v>7</v>
      </c>
      <c r="F3357">
        <f>tbl_AQI[[#This Row],[Most AQI Reached]]-tbl_AQI[[#This Row],[Current AQI]]</f>
        <v>0</v>
      </c>
      <c r="G33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57">
        <f>RANK(tbl_AQI[[#This Row],[Current AQI]], tbl_AQI[Current AQI], 0)</f>
        <v>1423</v>
      </c>
    </row>
    <row r="3358" spans="1:8" x14ac:dyDescent="0.35">
      <c r="A3358" t="s">
        <v>3376</v>
      </c>
      <c r="B3358" t="s">
        <v>3380</v>
      </c>
      <c r="C3358">
        <v>147</v>
      </c>
      <c r="D3358">
        <v>62</v>
      </c>
      <c r="E3358" t="s">
        <v>15</v>
      </c>
      <c r="F3358">
        <f>tbl_AQI[[#This Row],[Most AQI Reached]]-tbl_AQI[[#This Row],[Current AQI]]</f>
        <v>85</v>
      </c>
      <c r="G33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58">
        <f>RANK(tbl_AQI[[#This Row],[Current AQI]], tbl_AQI[Current AQI], 0)</f>
        <v>4343</v>
      </c>
    </row>
    <row r="3359" spans="1:8" x14ac:dyDescent="0.35">
      <c r="A3359" t="s">
        <v>3376</v>
      </c>
      <c r="B3359" t="s">
        <v>3381</v>
      </c>
      <c r="C3359">
        <v>116</v>
      </c>
      <c r="D3359">
        <v>75</v>
      </c>
      <c r="E3359" t="s">
        <v>21</v>
      </c>
      <c r="F3359">
        <f>tbl_AQI[[#This Row],[Most AQI Reached]]-tbl_AQI[[#This Row],[Current AQI]]</f>
        <v>41</v>
      </c>
      <c r="G33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59">
        <f>RANK(tbl_AQI[[#This Row],[Current AQI]], tbl_AQI[Current AQI], 0)</f>
        <v>4041</v>
      </c>
    </row>
    <row r="3360" spans="1:8" x14ac:dyDescent="0.35">
      <c r="A3360" t="s">
        <v>3376</v>
      </c>
      <c r="B3360" t="s">
        <v>3382</v>
      </c>
      <c r="C3360">
        <v>305</v>
      </c>
      <c r="D3360">
        <v>86</v>
      </c>
      <c r="E3360" t="s">
        <v>33</v>
      </c>
      <c r="F3360">
        <f>tbl_AQI[[#This Row],[Most AQI Reached]]-tbl_AQI[[#This Row],[Current AQI]]</f>
        <v>219</v>
      </c>
      <c r="G33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60">
        <f>RANK(tbl_AQI[[#This Row],[Current AQI]], tbl_AQI[Current AQI], 0)</f>
        <v>3830</v>
      </c>
    </row>
    <row r="3361" spans="1:8" x14ac:dyDescent="0.35">
      <c r="A3361" t="s">
        <v>3376</v>
      </c>
      <c r="B3361" t="s">
        <v>3383</v>
      </c>
      <c r="C3361">
        <v>166</v>
      </c>
      <c r="D3361">
        <v>119</v>
      </c>
      <c r="E3361" t="s">
        <v>15</v>
      </c>
      <c r="F3361">
        <f>tbl_AQI[[#This Row],[Most AQI Reached]]-tbl_AQI[[#This Row],[Current AQI]]</f>
        <v>47</v>
      </c>
      <c r="G33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61">
        <f>RANK(tbl_AQI[[#This Row],[Current AQI]], tbl_AQI[Current AQI], 0)</f>
        <v>3093</v>
      </c>
    </row>
    <row r="3362" spans="1:8" x14ac:dyDescent="0.35">
      <c r="A3362" t="s">
        <v>3376</v>
      </c>
      <c r="B3362" t="s">
        <v>3384</v>
      </c>
      <c r="C3362">
        <v>250</v>
      </c>
      <c r="D3362">
        <v>105</v>
      </c>
      <c r="E3362" t="s">
        <v>33</v>
      </c>
      <c r="F3362">
        <f>tbl_AQI[[#This Row],[Most AQI Reached]]-tbl_AQI[[#This Row],[Current AQI]]</f>
        <v>145</v>
      </c>
      <c r="G33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62">
        <f>RANK(tbl_AQI[[#This Row],[Current AQI]], tbl_AQI[Current AQI], 0)</f>
        <v>3436</v>
      </c>
    </row>
    <row r="3363" spans="1:8" x14ac:dyDescent="0.35">
      <c r="A3363" t="s">
        <v>3376</v>
      </c>
      <c r="B3363" t="s">
        <v>3385</v>
      </c>
      <c r="C3363">
        <v>224</v>
      </c>
      <c r="D3363">
        <v>120</v>
      </c>
      <c r="E3363" t="s">
        <v>33</v>
      </c>
      <c r="F3363">
        <f>tbl_AQI[[#This Row],[Most AQI Reached]]-tbl_AQI[[#This Row],[Current AQI]]</f>
        <v>104</v>
      </c>
      <c r="G33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63">
        <f>RANK(tbl_AQI[[#This Row],[Current AQI]], tbl_AQI[Current AQI], 0)</f>
        <v>3066</v>
      </c>
    </row>
    <row r="3364" spans="1:8" x14ac:dyDescent="0.35">
      <c r="A3364" t="s">
        <v>3376</v>
      </c>
      <c r="B3364" t="s">
        <v>3386</v>
      </c>
      <c r="C3364">
        <v>246</v>
      </c>
      <c r="D3364">
        <v>165</v>
      </c>
      <c r="E3364" t="s">
        <v>11</v>
      </c>
      <c r="F3364">
        <f>tbl_AQI[[#This Row],[Most AQI Reached]]-tbl_AQI[[#This Row],[Current AQI]]</f>
        <v>81</v>
      </c>
      <c r="G33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64">
        <f>RANK(tbl_AQI[[#This Row],[Current AQI]], tbl_AQI[Current AQI], 0)</f>
        <v>2028</v>
      </c>
    </row>
    <row r="3365" spans="1:8" x14ac:dyDescent="0.35">
      <c r="A3365" t="s">
        <v>3376</v>
      </c>
      <c r="B3365" t="s">
        <v>3387</v>
      </c>
      <c r="C3365">
        <v>301</v>
      </c>
      <c r="D3365">
        <v>32</v>
      </c>
      <c r="E3365" t="s">
        <v>11</v>
      </c>
      <c r="F3365">
        <f>tbl_AQI[[#This Row],[Most AQI Reached]]-tbl_AQI[[#This Row],[Current AQI]]</f>
        <v>269</v>
      </c>
      <c r="G33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65">
        <f>RANK(tbl_AQI[[#This Row],[Current AQI]], tbl_AQI[Current AQI], 0)</f>
        <v>4983</v>
      </c>
    </row>
    <row r="3366" spans="1:8" x14ac:dyDescent="0.35">
      <c r="A3366" t="s">
        <v>3376</v>
      </c>
      <c r="B3366" t="s">
        <v>3388</v>
      </c>
      <c r="C3366">
        <v>173</v>
      </c>
      <c r="D3366">
        <v>100</v>
      </c>
      <c r="E3366" t="s">
        <v>9</v>
      </c>
      <c r="F3366">
        <f>tbl_AQI[[#This Row],[Most AQI Reached]]-tbl_AQI[[#This Row],[Current AQI]]</f>
        <v>73</v>
      </c>
      <c r="G33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66">
        <f>RANK(tbl_AQI[[#This Row],[Current AQI]], tbl_AQI[Current AQI], 0)</f>
        <v>3535</v>
      </c>
    </row>
    <row r="3367" spans="1:8" x14ac:dyDescent="0.35">
      <c r="A3367" t="s">
        <v>3376</v>
      </c>
      <c r="B3367" t="s">
        <v>3389</v>
      </c>
      <c r="C3367">
        <v>131</v>
      </c>
      <c r="D3367">
        <v>45</v>
      </c>
      <c r="E3367" t="s">
        <v>11</v>
      </c>
      <c r="F3367">
        <f>tbl_AQI[[#This Row],[Most AQI Reached]]-tbl_AQI[[#This Row],[Current AQI]]</f>
        <v>86</v>
      </c>
      <c r="G33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67">
        <f>RANK(tbl_AQI[[#This Row],[Current AQI]], tbl_AQI[Current AQI], 0)</f>
        <v>4702</v>
      </c>
    </row>
    <row r="3368" spans="1:8" x14ac:dyDescent="0.35">
      <c r="A3368" t="s">
        <v>3376</v>
      </c>
      <c r="B3368" t="s">
        <v>3390</v>
      </c>
      <c r="C3368">
        <v>134</v>
      </c>
      <c r="D3368">
        <v>49</v>
      </c>
      <c r="E3368" t="s">
        <v>17</v>
      </c>
      <c r="F3368">
        <f>tbl_AQI[[#This Row],[Most AQI Reached]]-tbl_AQI[[#This Row],[Current AQI]]</f>
        <v>85</v>
      </c>
      <c r="G33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68">
        <f>RANK(tbl_AQI[[#This Row],[Current AQI]], tbl_AQI[Current AQI], 0)</f>
        <v>4614</v>
      </c>
    </row>
    <row r="3369" spans="1:8" x14ac:dyDescent="0.35">
      <c r="A3369" t="s">
        <v>3376</v>
      </c>
      <c r="B3369" t="s">
        <v>3391</v>
      </c>
      <c r="C3369">
        <v>194</v>
      </c>
      <c r="D3369">
        <v>132</v>
      </c>
      <c r="E3369" t="s">
        <v>21</v>
      </c>
      <c r="F3369">
        <f>tbl_AQI[[#This Row],[Most AQI Reached]]-tbl_AQI[[#This Row],[Current AQI]]</f>
        <v>62</v>
      </c>
      <c r="G33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69">
        <f>RANK(tbl_AQI[[#This Row],[Current AQI]], tbl_AQI[Current AQI], 0)</f>
        <v>2792</v>
      </c>
    </row>
    <row r="3370" spans="1:8" x14ac:dyDescent="0.35">
      <c r="A3370" t="s">
        <v>3376</v>
      </c>
      <c r="B3370" t="s">
        <v>3392</v>
      </c>
      <c r="C3370">
        <v>249</v>
      </c>
      <c r="D3370">
        <v>183</v>
      </c>
      <c r="E3370" t="s">
        <v>7</v>
      </c>
      <c r="F3370">
        <f>tbl_AQI[[#This Row],[Most AQI Reached]]-tbl_AQI[[#This Row],[Current AQI]]</f>
        <v>66</v>
      </c>
      <c r="G33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70">
        <f>RANK(tbl_AQI[[#This Row],[Current AQI]], tbl_AQI[Current AQI], 0)</f>
        <v>1572</v>
      </c>
    </row>
    <row r="3371" spans="1:8" x14ac:dyDescent="0.35">
      <c r="A3371" t="s">
        <v>3376</v>
      </c>
      <c r="B3371" t="s">
        <v>3393</v>
      </c>
      <c r="C3371">
        <v>188</v>
      </c>
      <c r="D3371">
        <v>89</v>
      </c>
      <c r="E3371" t="s">
        <v>11</v>
      </c>
      <c r="F3371">
        <f>tbl_AQI[[#This Row],[Most AQI Reached]]-tbl_AQI[[#This Row],[Current AQI]]</f>
        <v>99</v>
      </c>
      <c r="G33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71">
        <f>RANK(tbl_AQI[[#This Row],[Current AQI]], tbl_AQI[Current AQI], 0)</f>
        <v>3772</v>
      </c>
    </row>
    <row r="3372" spans="1:8" x14ac:dyDescent="0.35">
      <c r="A3372" t="s">
        <v>3376</v>
      </c>
      <c r="B3372" t="s">
        <v>3394</v>
      </c>
      <c r="C3372">
        <v>163</v>
      </c>
      <c r="D3372">
        <v>147</v>
      </c>
      <c r="E3372" t="s">
        <v>17</v>
      </c>
      <c r="F3372">
        <f>tbl_AQI[[#This Row],[Most AQI Reached]]-tbl_AQI[[#This Row],[Current AQI]]</f>
        <v>16</v>
      </c>
      <c r="G33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72">
        <f>RANK(tbl_AQI[[#This Row],[Current AQI]], tbl_AQI[Current AQI], 0)</f>
        <v>2478</v>
      </c>
    </row>
    <row r="3373" spans="1:8" x14ac:dyDescent="0.35">
      <c r="A3373" t="s">
        <v>3376</v>
      </c>
      <c r="B3373" t="s">
        <v>3395</v>
      </c>
      <c r="C3373">
        <v>320</v>
      </c>
      <c r="D3373">
        <v>186</v>
      </c>
      <c r="E3373" t="s">
        <v>17</v>
      </c>
      <c r="F3373">
        <f>tbl_AQI[[#This Row],[Most AQI Reached]]-tbl_AQI[[#This Row],[Current AQI]]</f>
        <v>134</v>
      </c>
      <c r="G33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73">
        <f>RANK(tbl_AQI[[#This Row],[Current AQI]], tbl_AQI[Current AQI], 0)</f>
        <v>1478</v>
      </c>
    </row>
    <row r="3374" spans="1:8" x14ac:dyDescent="0.35">
      <c r="A3374" t="s">
        <v>3376</v>
      </c>
      <c r="B3374" t="s">
        <v>3396</v>
      </c>
      <c r="C3374">
        <v>245</v>
      </c>
      <c r="D3374">
        <v>97</v>
      </c>
      <c r="E3374" t="s">
        <v>15</v>
      </c>
      <c r="F3374">
        <f>tbl_AQI[[#This Row],[Most AQI Reached]]-tbl_AQI[[#This Row],[Current AQI]]</f>
        <v>148</v>
      </c>
      <c r="G33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74">
        <f>RANK(tbl_AQI[[#This Row],[Current AQI]], tbl_AQI[Current AQI], 0)</f>
        <v>3593</v>
      </c>
    </row>
    <row r="3375" spans="1:8" x14ac:dyDescent="0.35">
      <c r="A3375" t="s">
        <v>3376</v>
      </c>
      <c r="B3375" t="s">
        <v>3397</v>
      </c>
      <c r="C3375">
        <v>178</v>
      </c>
      <c r="D3375">
        <v>102</v>
      </c>
      <c r="E3375" t="s">
        <v>7</v>
      </c>
      <c r="F3375">
        <f>tbl_AQI[[#This Row],[Most AQI Reached]]-tbl_AQI[[#This Row],[Current AQI]]</f>
        <v>76</v>
      </c>
      <c r="G33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75">
        <f>RANK(tbl_AQI[[#This Row],[Current AQI]], tbl_AQI[Current AQI], 0)</f>
        <v>3493</v>
      </c>
    </row>
    <row r="3376" spans="1:8" x14ac:dyDescent="0.35">
      <c r="A3376" t="s">
        <v>3376</v>
      </c>
      <c r="B3376" t="s">
        <v>3398</v>
      </c>
      <c r="C3376">
        <v>200</v>
      </c>
      <c r="D3376">
        <v>56</v>
      </c>
      <c r="E3376" t="s">
        <v>7</v>
      </c>
      <c r="F3376">
        <f>tbl_AQI[[#This Row],[Most AQI Reached]]-tbl_AQI[[#This Row],[Current AQI]]</f>
        <v>144</v>
      </c>
      <c r="G33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76">
        <f>RANK(tbl_AQI[[#This Row],[Current AQI]], tbl_AQI[Current AQI], 0)</f>
        <v>4474</v>
      </c>
    </row>
    <row r="3377" spans="1:8" x14ac:dyDescent="0.35">
      <c r="A3377" t="s">
        <v>3376</v>
      </c>
      <c r="B3377" t="s">
        <v>3399</v>
      </c>
      <c r="C3377">
        <v>269</v>
      </c>
      <c r="D3377">
        <v>190</v>
      </c>
      <c r="E3377" t="s">
        <v>11</v>
      </c>
      <c r="F3377">
        <f>tbl_AQI[[#This Row],[Most AQI Reached]]-tbl_AQI[[#This Row],[Current AQI]]</f>
        <v>79</v>
      </c>
      <c r="G33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77">
        <f>RANK(tbl_AQI[[#This Row],[Current AQI]], tbl_AQI[Current AQI], 0)</f>
        <v>1355</v>
      </c>
    </row>
    <row r="3378" spans="1:8" x14ac:dyDescent="0.35">
      <c r="A3378" t="s">
        <v>3376</v>
      </c>
      <c r="B3378" t="s">
        <v>3400</v>
      </c>
      <c r="C3378">
        <v>66</v>
      </c>
      <c r="D3378">
        <v>55</v>
      </c>
      <c r="E3378" t="s">
        <v>9</v>
      </c>
      <c r="F3378">
        <f>tbl_AQI[[#This Row],[Most AQI Reached]]-tbl_AQI[[#This Row],[Current AQI]]</f>
        <v>11</v>
      </c>
      <c r="G33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78">
        <f>RANK(tbl_AQI[[#This Row],[Current AQI]], tbl_AQI[Current AQI], 0)</f>
        <v>4497</v>
      </c>
    </row>
    <row r="3379" spans="1:8" x14ac:dyDescent="0.35">
      <c r="A3379" t="s">
        <v>3376</v>
      </c>
      <c r="B3379" t="s">
        <v>3401</v>
      </c>
      <c r="C3379">
        <v>120</v>
      </c>
      <c r="D3379">
        <v>105</v>
      </c>
      <c r="E3379" t="s">
        <v>7</v>
      </c>
      <c r="F3379">
        <f>tbl_AQI[[#This Row],[Most AQI Reached]]-tbl_AQI[[#This Row],[Current AQI]]</f>
        <v>15</v>
      </c>
      <c r="G33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79">
        <f>RANK(tbl_AQI[[#This Row],[Current AQI]], tbl_AQI[Current AQI], 0)</f>
        <v>3436</v>
      </c>
    </row>
    <row r="3380" spans="1:8" x14ac:dyDescent="0.35">
      <c r="A3380" t="s">
        <v>3376</v>
      </c>
      <c r="B3380" t="s">
        <v>3402</v>
      </c>
      <c r="C3380">
        <v>150</v>
      </c>
      <c r="D3380">
        <v>34</v>
      </c>
      <c r="E3380" t="s">
        <v>7</v>
      </c>
      <c r="F3380">
        <f>tbl_AQI[[#This Row],[Most AQI Reached]]-tbl_AQI[[#This Row],[Current AQI]]</f>
        <v>116</v>
      </c>
      <c r="G33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380">
        <f>RANK(tbl_AQI[[#This Row],[Current AQI]], tbl_AQI[Current AQI], 0)</f>
        <v>4944</v>
      </c>
    </row>
    <row r="3381" spans="1:8" x14ac:dyDescent="0.35">
      <c r="A3381" t="s">
        <v>3376</v>
      </c>
      <c r="B3381" t="s">
        <v>3403</v>
      </c>
      <c r="C3381">
        <v>175</v>
      </c>
      <c r="D3381">
        <v>168</v>
      </c>
      <c r="E3381" t="s">
        <v>33</v>
      </c>
      <c r="F3381">
        <f>tbl_AQI[[#This Row],[Most AQI Reached]]-tbl_AQI[[#This Row],[Current AQI]]</f>
        <v>7</v>
      </c>
      <c r="G33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81">
        <f>RANK(tbl_AQI[[#This Row],[Current AQI]], tbl_AQI[Current AQI], 0)</f>
        <v>1954</v>
      </c>
    </row>
    <row r="3382" spans="1:8" x14ac:dyDescent="0.35">
      <c r="A3382" t="s">
        <v>3376</v>
      </c>
      <c r="B3382" t="s">
        <v>3404</v>
      </c>
      <c r="C3382">
        <v>217</v>
      </c>
      <c r="D3382">
        <v>80</v>
      </c>
      <c r="E3382" t="s">
        <v>9</v>
      </c>
      <c r="F3382">
        <f>tbl_AQI[[#This Row],[Most AQI Reached]]-tbl_AQI[[#This Row],[Current AQI]]</f>
        <v>137</v>
      </c>
      <c r="G33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382">
        <f>RANK(tbl_AQI[[#This Row],[Current AQI]], tbl_AQI[Current AQI], 0)</f>
        <v>3948</v>
      </c>
    </row>
    <row r="3383" spans="1:8" x14ac:dyDescent="0.35">
      <c r="A3383" t="s">
        <v>3405</v>
      </c>
      <c r="B3383" t="s">
        <v>3406</v>
      </c>
      <c r="C3383">
        <v>495</v>
      </c>
      <c r="D3383">
        <v>294</v>
      </c>
      <c r="E3383" t="s">
        <v>7</v>
      </c>
      <c r="F3383">
        <f>tbl_AQI[[#This Row],[Most AQI Reached]]-tbl_AQI[[#This Row],[Current AQI]]</f>
        <v>201</v>
      </c>
      <c r="G33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383">
        <f>RANK(tbl_AQI[[#This Row],[Current AQI]], tbl_AQI[Current AQI], 0)</f>
        <v>884</v>
      </c>
    </row>
    <row r="3384" spans="1:8" x14ac:dyDescent="0.35">
      <c r="A3384" t="s">
        <v>3405</v>
      </c>
      <c r="B3384" t="s">
        <v>3407</v>
      </c>
      <c r="C3384">
        <v>429</v>
      </c>
      <c r="D3384">
        <v>268</v>
      </c>
      <c r="E3384" t="s">
        <v>17</v>
      </c>
      <c r="F3384">
        <f>tbl_AQI[[#This Row],[Most AQI Reached]]-tbl_AQI[[#This Row],[Current AQI]]</f>
        <v>161</v>
      </c>
      <c r="G33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384">
        <f>RANK(tbl_AQI[[#This Row],[Current AQI]], tbl_AQI[Current AQI], 0)</f>
        <v>1008</v>
      </c>
    </row>
    <row r="3385" spans="1:8" x14ac:dyDescent="0.35">
      <c r="A3385" t="s">
        <v>3405</v>
      </c>
      <c r="B3385" t="s">
        <v>3408</v>
      </c>
      <c r="C3385">
        <v>444</v>
      </c>
      <c r="D3385">
        <v>426</v>
      </c>
      <c r="E3385" t="s">
        <v>7</v>
      </c>
      <c r="F3385">
        <f>tbl_AQI[[#This Row],[Most AQI Reached]]-tbl_AQI[[#This Row],[Current AQI]]</f>
        <v>18</v>
      </c>
      <c r="G33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385">
        <f>RANK(tbl_AQI[[#This Row],[Current AQI]], tbl_AQI[Current AQI], 0)</f>
        <v>288</v>
      </c>
    </row>
    <row r="3386" spans="1:8" x14ac:dyDescent="0.35">
      <c r="A3386" t="s">
        <v>3405</v>
      </c>
      <c r="B3386" t="s">
        <v>3409</v>
      </c>
      <c r="C3386">
        <v>479</v>
      </c>
      <c r="D3386">
        <v>180</v>
      </c>
      <c r="E3386" t="s">
        <v>21</v>
      </c>
      <c r="F3386">
        <f>tbl_AQI[[#This Row],[Most AQI Reached]]-tbl_AQI[[#This Row],[Current AQI]]</f>
        <v>299</v>
      </c>
      <c r="G33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86">
        <f>RANK(tbl_AQI[[#This Row],[Current AQI]], tbl_AQI[Current AQI], 0)</f>
        <v>1635</v>
      </c>
    </row>
    <row r="3387" spans="1:8" x14ac:dyDescent="0.35">
      <c r="A3387" t="s">
        <v>3405</v>
      </c>
      <c r="B3387" t="s">
        <v>3410</v>
      </c>
      <c r="C3387">
        <v>367</v>
      </c>
      <c r="D3387">
        <v>300</v>
      </c>
      <c r="E3387" t="s">
        <v>11</v>
      </c>
      <c r="F3387">
        <f>tbl_AQI[[#This Row],[Most AQI Reached]]-tbl_AQI[[#This Row],[Current AQI]]</f>
        <v>67</v>
      </c>
      <c r="G33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387">
        <f>RANK(tbl_AQI[[#This Row],[Current AQI]], tbl_AQI[Current AQI], 0)</f>
        <v>851</v>
      </c>
    </row>
    <row r="3388" spans="1:8" x14ac:dyDescent="0.35">
      <c r="A3388" t="s">
        <v>3405</v>
      </c>
      <c r="B3388" t="s">
        <v>3411</v>
      </c>
      <c r="C3388">
        <v>471</v>
      </c>
      <c r="D3388">
        <v>469</v>
      </c>
      <c r="E3388" t="s">
        <v>7</v>
      </c>
      <c r="F3388">
        <f>tbl_AQI[[#This Row],[Most AQI Reached]]-tbl_AQI[[#This Row],[Current AQI]]</f>
        <v>2</v>
      </c>
      <c r="G33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388">
        <f>RANK(tbl_AQI[[#This Row],[Current AQI]], tbl_AQI[Current AQI], 0)</f>
        <v>59</v>
      </c>
    </row>
    <row r="3389" spans="1:8" x14ac:dyDescent="0.35">
      <c r="A3389" t="s">
        <v>3405</v>
      </c>
      <c r="B3389" t="s">
        <v>3412</v>
      </c>
      <c r="C3389">
        <v>426</v>
      </c>
      <c r="D3389">
        <v>266</v>
      </c>
      <c r="E3389" t="s">
        <v>17</v>
      </c>
      <c r="F3389">
        <f>tbl_AQI[[#This Row],[Most AQI Reached]]-tbl_AQI[[#This Row],[Current AQI]]</f>
        <v>160</v>
      </c>
      <c r="G33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389">
        <f>RANK(tbl_AQI[[#This Row],[Current AQI]], tbl_AQI[Current AQI], 0)</f>
        <v>1018</v>
      </c>
    </row>
    <row r="3390" spans="1:8" x14ac:dyDescent="0.35">
      <c r="A3390" t="s">
        <v>3405</v>
      </c>
      <c r="B3390" t="s">
        <v>3413</v>
      </c>
      <c r="C3390">
        <v>421</v>
      </c>
      <c r="D3390">
        <v>354</v>
      </c>
      <c r="E3390" t="s">
        <v>7</v>
      </c>
      <c r="F3390">
        <f>tbl_AQI[[#This Row],[Most AQI Reached]]-tbl_AQI[[#This Row],[Current AQI]]</f>
        <v>67</v>
      </c>
      <c r="G33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390">
        <f>RANK(tbl_AQI[[#This Row],[Current AQI]], tbl_AQI[Current AQI], 0)</f>
        <v>602</v>
      </c>
    </row>
    <row r="3391" spans="1:8" x14ac:dyDescent="0.35">
      <c r="A3391" t="s">
        <v>3405</v>
      </c>
      <c r="B3391" t="s">
        <v>3414</v>
      </c>
      <c r="C3391">
        <v>442</v>
      </c>
      <c r="D3391">
        <v>166</v>
      </c>
      <c r="E3391" t="s">
        <v>7</v>
      </c>
      <c r="F3391">
        <f>tbl_AQI[[#This Row],[Most AQI Reached]]-tbl_AQI[[#This Row],[Current AQI]]</f>
        <v>276</v>
      </c>
      <c r="G33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91">
        <f>RANK(tbl_AQI[[#This Row],[Current AQI]], tbl_AQI[Current AQI], 0)</f>
        <v>2007</v>
      </c>
    </row>
    <row r="3392" spans="1:8" x14ac:dyDescent="0.35">
      <c r="A3392" t="s">
        <v>3405</v>
      </c>
      <c r="B3392" t="s">
        <v>3415</v>
      </c>
      <c r="C3392">
        <v>320</v>
      </c>
      <c r="D3392">
        <v>320</v>
      </c>
      <c r="E3392" t="s">
        <v>17</v>
      </c>
      <c r="F3392">
        <f>tbl_AQI[[#This Row],[Most AQI Reached]]-tbl_AQI[[#This Row],[Current AQI]]</f>
        <v>0</v>
      </c>
      <c r="G33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392">
        <f>RANK(tbl_AQI[[#This Row],[Current AQI]], tbl_AQI[Current AQI], 0)</f>
        <v>778</v>
      </c>
    </row>
    <row r="3393" spans="1:8" x14ac:dyDescent="0.35">
      <c r="A3393" t="s">
        <v>3405</v>
      </c>
      <c r="B3393" t="s">
        <v>3416</v>
      </c>
      <c r="C3393">
        <v>305</v>
      </c>
      <c r="D3393">
        <v>194</v>
      </c>
      <c r="E3393" t="s">
        <v>33</v>
      </c>
      <c r="F3393">
        <f>tbl_AQI[[#This Row],[Most AQI Reached]]-tbl_AQI[[#This Row],[Current AQI]]</f>
        <v>111</v>
      </c>
      <c r="G33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93">
        <f>RANK(tbl_AQI[[#This Row],[Current AQI]], tbl_AQI[Current AQI], 0)</f>
        <v>1334</v>
      </c>
    </row>
    <row r="3394" spans="1:8" x14ac:dyDescent="0.35">
      <c r="A3394" t="s">
        <v>3405</v>
      </c>
      <c r="B3394" t="s">
        <v>3417</v>
      </c>
      <c r="C3394">
        <v>385</v>
      </c>
      <c r="D3394">
        <v>336</v>
      </c>
      <c r="E3394" t="s">
        <v>21</v>
      </c>
      <c r="F3394">
        <f>tbl_AQI[[#This Row],[Most AQI Reached]]-tbl_AQI[[#This Row],[Current AQI]]</f>
        <v>49</v>
      </c>
      <c r="G33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394">
        <f>RANK(tbl_AQI[[#This Row],[Current AQI]], tbl_AQI[Current AQI], 0)</f>
        <v>700</v>
      </c>
    </row>
    <row r="3395" spans="1:8" x14ac:dyDescent="0.35">
      <c r="A3395" t="s">
        <v>3405</v>
      </c>
      <c r="B3395" t="s">
        <v>3418</v>
      </c>
      <c r="C3395">
        <v>477</v>
      </c>
      <c r="D3395">
        <v>265</v>
      </c>
      <c r="E3395" t="s">
        <v>21</v>
      </c>
      <c r="F3395">
        <f>tbl_AQI[[#This Row],[Most AQI Reached]]-tbl_AQI[[#This Row],[Current AQI]]</f>
        <v>212</v>
      </c>
      <c r="G33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395">
        <f>RANK(tbl_AQI[[#This Row],[Current AQI]], tbl_AQI[Current AQI], 0)</f>
        <v>1022</v>
      </c>
    </row>
    <row r="3396" spans="1:8" x14ac:dyDescent="0.35">
      <c r="A3396" t="s">
        <v>3405</v>
      </c>
      <c r="B3396" t="s">
        <v>3419</v>
      </c>
      <c r="C3396">
        <v>311</v>
      </c>
      <c r="D3396">
        <v>185</v>
      </c>
      <c r="E3396" t="s">
        <v>15</v>
      </c>
      <c r="F3396">
        <f>tbl_AQI[[#This Row],[Most AQI Reached]]-tbl_AQI[[#This Row],[Current AQI]]</f>
        <v>126</v>
      </c>
      <c r="G33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396">
        <f>RANK(tbl_AQI[[#This Row],[Current AQI]], tbl_AQI[Current AQI], 0)</f>
        <v>1517</v>
      </c>
    </row>
    <row r="3397" spans="1:8" x14ac:dyDescent="0.35">
      <c r="A3397" t="s">
        <v>3405</v>
      </c>
      <c r="B3397" t="s">
        <v>3420</v>
      </c>
      <c r="C3397">
        <v>423</v>
      </c>
      <c r="D3397">
        <v>390</v>
      </c>
      <c r="E3397" t="s">
        <v>21</v>
      </c>
      <c r="F3397">
        <f>tbl_AQI[[#This Row],[Most AQI Reached]]-tbl_AQI[[#This Row],[Current AQI]]</f>
        <v>33</v>
      </c>
      <c r="G33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397">
        <f>RANK(tbl_AQI[[#This Row],[Current AQI]], tbl_AQI[Current AQI], 0)</f>
        <v>441</v>
      </c>
    </row>
    <row r="3398" spans="1:8" x14ac:dyDescent="0.35">
      <c r="A3398" t="s">
        <v>3405</v>
      </c>
      <c r="B3398" t="s">
        <v>3421</v>
      </c>
      <c r="C3398">
        <v>472</v>
      </c>
      <c r="D3398">
        <v>414</v>
      </c>
      <c r="E3398" t="s">
        <v>9</v>
      </c>
      <c r="F3398">
        <f>tbl_AQI[[#This Row],[Most AQI Reached]]-tbl_AQI[[#This Row],[Current AQI]]</f>
        <v>58</v>
      </c>
      <c r="G33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398">
        <f>RANK(tbl_AQI[[#This Row],[Current AQI]], tbl_AQI[Current AQI], 0)</f>
        <v>329</v>
      </c>
    </row>
    <row r="3399" spans="1:8" x14ac:dyDescent="0.35">
      <c r="A3399" t="s">
        <v>3405</v>
      </c>
      <c r="B3399" t="s">
        <v>3422</v>
      </c>
      <c r="C3399">
        <v>427</v>
      </c>
      <c r="D3399">
        <v>367</v>
      </c>
      <c r="E3399" t="s">
        <v>7</v>
      </c>
      <c r="F3399">
        <f>tbl_AQI[[#This Row],[Most AQI Reached]]-tbl_AQI[[#This Row],[Current AQI]]</f>
        <v>60</v>
      </c>
      <c r="G33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399">
        <f>RANK(tbl_AQI[[#This Row],[Current AQI]], tbl_AQI[Current AQI], 0)</f>
        <v>551</v>
      </c>
    </row>
    <row r="3400" spans="1:8" x14ac:dyDescent="0.35">
      <c r="A3400" t="s">
        <v>3405</v>
      </c>
      <c r="B3400" t="s">
        <v>3423</v>
      </c>
      <c r="C3400">
        <v>473</v>
      </c>
      <c r="D3400">
        <v>448</v>
      </c>
      <c r="E3400" t="s">
        <v>21</v>
      </c>
      <c r="F3400">
        <f>tbl_AQI[[#This Row],[Most AQI Reached]]-tbl_AQI[[#This Row],[Current AQI]]</f>
        <v>25</v>
      </c>
      <c r="G34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00">
        <f>RANK(tbl_AQI[[#This Row],[Current AQI]], tbl_AQI[Current AQI], 0)</f>
        <v>166</v>
      </c>
    </row>
    <row r="3401" spans="1:8" x14ac:dyDescent="0.35">
      <c r="A3401" t="s">
        <v>3405</v>
      </c>
      <c r="B3401" t="s">
        <v>3424</v>
      </c>
      <c r="C3401">
        <v>467</v>
      </c>
      <c r="D3401">
        <v>449</v>
      </c>
      <c r="E3401" t="s">
        <v>21</v>
      </c>
      <c r="F3401">
        <f>tbl_AQI[[#This Row],[Most AQI Reached]]-tbl_AQI[[#This Row],[Current AQI]]</f>
        <v>18</v>
      </c>
      <c r="G34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01">
        <f>RANK(tbl_AQI[[#This Row],[Current AQI]], tbl_AQI[Current AQI], 0)</f>
        <v>161</v>
      </c>
    </row>
    <row r="3402" spans="1:8" x14ac:dyDescent="0.35">
      <c r="A3402" t="s">
        <v>3405</v>
      </c>
      <c r="B3402" t="s">
        <v>3425</v>
      </c>
      <c r="C3402">
        <v>483</v>
      </c>
      <c r="D3402">
        <v>455</v>
      </c>
      <c r="E3402" t="s">
        <v>17</v>
      </c>
      <c r="F3402">
        <f>tbl_AQI[[#This Row],[Most AQI Reached]]-tbl_AQI[[#This Row],[Current AQI]]</f>
        <v>28</v>
      </c>
      <c r="G34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02">
        <f>RANK(tbl_AQI[[#This Row],[Current AQI]], tbl_AQI[Current AQI], 0)</f>
        <v>126</v>
      </c>
    </row>
    <row r="3403" spans="1:8" x14ac:dyDescent="0.35">
      <c r="A3403" t="s">
        <v>3405</v>
      </c>
      <c r="B3403" t="s">
        <v>3426</v>
      </c>
      <c r="C3403">
        <v>500</v>
      </c>
      <c r="D3403">
        <v>464</v>
      </c>
      <c r="E3403" t="s">
        <v>9</v>
      </c>
      <c r="F3403">
        <f>tbl_AQI[[#This Row],[Most AQI Reached]]-tbl_AQI[[#This Row],[Current AQI]]</f>
        <v>36</v>
      </c>
      <c r="G34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03">
        <f>RANK(tbl_AQI[[#This Row],[Current AQI]], tbl_AQI[Current AQI], 0)</f>
        <v>86</v>
      </c>
    </row>
    <row r="3404" spans="1:8" x14ac:dyDescent="0.35">
      <c r="A3404" t="s">
        <v>3405</v>
      </c>
      <c r="B3404" t="s">
        <v>3427</v>
      </c>
      <c r="C3404">
        <v>431</v>
      </c>
      <c r="D3404">
        <v>427</v>
      </c>
      <c r="E3404" t="s">
        <v>17</v>
      </c>
      <c r="F3404">
        <f>tbl_AQI[[#This Row],[Most AQI Reached]]-tbl_AQI[[#This Row],[Current AQI]]</f>
        <v>4</v>
      </c>
      <c r="G34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04">
        <f>RANK(tbl_AQI[[#This Row],[Current AQI]], tbl_AQI[Current AQI], 0)</f>
        <v>281</v>
      </c>
    </row>
    <row r="3405" spans="1:8" x14ac:dyDescent="0.35">
      <c r="A3405" t="s">
        <v>3405</v>
      </c>
      <c r="B3405" t="s">
        <v>3428</v>
      </c>
      <c r="C3405">
        <v>485</v>
      </c>
      <c r="D3405">
        <v>460</v>
      </c>
      <c r="E3405" t="s">
        <v>7</v>
      </c>
      <c r="F3405">
        <f>tbl_AQI[[#This Row],[Most AQI Reached]]-tbl_AQI[[#This Row],[Current AQI]]</f>
        <v>25</v>
      </c>
      <c r="G34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05">
        <f>RANK(tbl_AQI[[#This Row],[Current AQI]], tbl_AQI[Current AQI], 0)</f>
        <v>107</v>
      </c>
    </row>
    <row r="3406" spans="1:8" x14ac:dyDescent="0.35">
      <c r="A3406" t="s">
        <v>3405</v>
      </c>
      <c r="B3406" t="s">
        <v>3429</v>
      </c>
      <c r="C3406">
        <v>448</v>
      </c>
      <c r="D3406">
        <v>403</v>
      </c>
      <c r="E3406" t="s">
        <v>17</v>
      </c>
      <c r="F3406">
        <f>tbl_AQI[[#This Row],[Most AQI Reached]]-tbl_AQI[[#This Row],[Current AQI]]</f>
        <v>45</v>
      </c>
      <c r="G34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06">
        <f>RANK(tbl_AQI[[#This Row],[Current AQI]], tbl_AQI[Current AQI], 0)</f>
        <v>378</v>
      </c>
    </row>
    <row r="3407" spans="1:8" x14ac:dyDescent="0.35">
      <c r="A3407" t="s">
        <v>3405</v>
      </c>
      <c r="B3407" t="s">
        <v>3430</v>
      </c>
      <c r="C3407">
        <v>428</v>
      </c>
      <c r="D3407">
        <v>336</v>
      </c>
      <c r="E3407" t="s">
        <v>17</v>
      </c>
      <c r="F3407">
        <f>tbl_AQI[[#This Row],[Most AQI Reached]]-tbl_AQI[[#This Row],[Current AQI]]</f>
        <v>92</v>
      </c>
      <c r="G34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07">
        <f>RANK(tbl_AQI[[#This Row],[Current AQI]], tbl_AQI[Current AQI], 0)</f>
        <v>700</v>
      </c>
    </row>
    <row r="3408" spans="1:8" x14ac:dyDescent="0.35">
      <c r="A3408" t="s">
        <v>3405</v>
      </c>
      <c r="B3408" t="s">
        <v>3431</v>
      </c>
      <c r="C3408">
        <v>423</v>
      </c>
      <c r="D3408">
        <v>382</v>
      </c>
      <c r="E3408" t="s">
        <v>21</v>
      </c>
      <c r="F3408">
        <f>tbl_AQI[[#This Row],[Most AQI Reached]]-tbl_AQI[[#This Row],[Current AQI]]</f>
        <v>41</v>
      </c>
      <c r="G34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08">
        <f>RANK(tbl_AQI[[#This Row],[Current AQI]], tbl_AQI[Current AQI], 0)</f>
        <v>471</v>
      </c>
    </row>
    <row r="3409" spans="1:8" x14ac:dyDescent="0.35">
      <c r="A3409" t="s">
        <v>3405</v>
      </c>
      <c r="B3409" t="s">
        <v>3432</v>
      </c>
      <c r="C3409">
        <v>358</v>
      </c>
      <c r="D3409">
        <v>300</v>
      </c>
      <c r="E3409" t="s">
        <v>17</v>
      </c>
      <c r="F3409">
        <f>tbl_AQI[[#This Row],[Most AQI Reached]]-tbl_AQI[[#This Row],[Current AQI]]</f>
        <v>58</v>
      </c>
      <c r="G34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09">
        <f>RANK(tbl_AQI[[#This Row],[Current AQI]], tbl_AQI[Current AQI], 0)</f>
        <v>851</v>
      </c>
    </row>
    <row r="3410" spans="1:8" x14ac:dyDescent="0.35">
      <c r="A3410" t="s">
        <v>3405</v>
      </c>
      <c r="B3410" t="s">
        <v>3433</v>
      </c>
      <c r="C3410">
        <v>231</v>
      </c>
      <c r="D3410">
        <v>199</v>
      </c>
      <c r="E3410" t="s">
        <v>11</v>
      </c>
      <c r="F3410">
        <f>tbl_AQI[[#This Row],[Most AQI Reached]]-tbl_AQI[[#This Row],[Current AQI]]</f>
        <v>32</v>
      </c>
      <c r="G34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10">
        <f>RANK(tbl_AQI[[#This Row],[Current AQI]], tbl_AQI[Current AQI], 0)</f>
        <v>1314</v>
      </c>
    </row>
    <row r="3411" spans="1:8" x14ac:dyDescent="0.35">
      <c r="A3411" t="s">
        <v>3405</v>
      </c>
      <c r="B3411" t="s">
        <v>3434</v>
      </c>
      <c r="C3411">
        <v>386</v>
      </c>
      <c r="D3411">
        <v>194</v>
      </c>
      <c r="E3411" t="s">
        <v>33</v>
      </c>
      <c r="F3411">
        <f>tbl_AQI[[#This Row],[Most AQI Reached]]-tbl_AQI[[#This Row],[Current AQI]]</f>
        <v>192</v>
      </c>
      <c r="G34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11">
        <f>RANK(tbl_AQI[[#This Row],[Current AQI]], tbl_AQI[Current AQI], 0)</f>
        <v>1334</v>
      </c>
    </row>
    <row r="3412" spans="1:8" x14ac:dyDescent="0.35">
      <c r="A3412" t="s">
        <v>3405</v>
      </c>
      <c r="B3412" t="s">
        <v>3435</v>
      </c>
      <c r="C3412">
        <v>466</v>
      </c>
      <c r="D3412">
        <v>278</v>
      </c>
      <c r="E3412" t="s">
        <v>17</v>
      </c>
      <c r="F3412">
        <f>tbl_AQI[[#This Row],[Most AQI Reached]]-tbl_AQI[[#This Row],[Current AQI]]</f>
        <v>188</v>
      </c>
      <c r="G34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12">
        <f>RANK(tbl_AQI[[#This Row],[Current AQI]], tbl_AQI[Current AQI], 0)</f>
        <v>964</v>
      </c>
    </row>
    <row r="3413" spans="1:8" x14ac:dyDescent="0.35">
      <c r="A3413" t="s">
        <v>3405</v>
      </c>
      <c r="B3413" t="s">
        <v>3436</v>
      </c>
      <c r="C3413">
        <v>375</v>
      </c>
      <c r="D3413">
        <v>189</v>
      </c>
      <c r="E3413" t="s">
        <v>17</v>
      </c>
      <c r="F3413">
        <f>tbl_AQI[[#This Row],[Most AQI Reached]]-tbl_AQI[[#This Row],[Current AQI]]</f>
        <v>186</v>
      </c>
      <c r="G34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13">
        <f>RANK(tbl_AQI[[#This Row],[Current AQI]], tbl_AQI[Current AQI], 0)</f>
        <v>1395</v>
      </c>
    </row>
    <row r="3414" spans="1:8" x14ac:dyDescent="0.35">
      <c r="A3414" t="s">
        <v>3405</v>
      </c>
      <c r="B3414" t="s">
        <v>3437</v>
      </c>
      <c r="C3414">
        <v>499</v>
      </c>
      <c r="D3414">
        <v>468</v>
      </c>
      <c r="E3414" t="s">
        <v>9</v>
      </c>
      <c r="F3414">
        <f>tbl_AQI[[#This Row],[Most AQI Reached]]-tbl_AQI[[#This Row],[Current AQI]]</f>
        <v>31</v>
      </c>
      <c r="G34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14">
        <f>RANK(tbl_AQI[[#This Row],[Current AQI]], tbl_AQI[Current AQI], 0)</f>
        <v>66</v>
      </c>
    </row>
    <row r="3415" spans="1:8" x14ac:dyDescent="0.35">
      <c r="A3415" t="s">
        <v>3405</v>
      </c>
      <c r="B3415" t="s">
        <v>3438</v>
      </c>
      <c r="C3415">
        <v>354</v>
      </c>
      <c r="D3415">
        <v>196</v>
      </c>
      <c r="E3415" t="s">
        <v>33</v>
      </c>
      <c r="F3415">
        <f>tbl_AQI[[#This Row],[Most AQI Reached]]-tbl_AQI[[#This Row],[Current AQI]]</f>
        <v>158</v>
      </c>
      <c r="G34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15">
        <f>RANK(tbl_AQI[[#This Row],[Current AQI]], tbl_AQI[Current AQI], 0)</f>
        <v>1329</v>
      </c>
    </row>
    <row r="3416" spans="1:8" x14ac:dyDescent="0.35">
      <c r="A3416" t="s">
        <v>3405</v>
      </c>
      <c r="B3416" t="s">
        <v>3439</v>
      </c>
      <c r="C3416">
        <v>354</v>
      </c>
      <c r="D3416">
        <v>185</v>
      </c>
      <c r="E3416" t="s">
        <v>9</v>
      </c>
      <c r="F3416">
        <f>tbl_AQI[[#This Row],[Most AQI Reached]]-tbl_AQI[[#This Row],[Current AQI]]</f>
        <v>169</v>
      </c>
      <c r="G34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16">
        <f>RANK(tbl_AQI[[#This Row],[Current AQI]], tbl_AQI[Current AQI], 0)</f>
        <v>1517</v>
      </c>
    </row>
    <row r="3417" spans="1:8" x14ac:dyDescent="0.35">
      <c r="A3417" t="s">
        <v>3405</v>
      </c>
      <c r="B3417" t="s">
        <v>3440</v>
      </c>
      <c r="C3417">
        <v>373</v>
      </c>
      <c r="D3417">
        <v>350</v>
      </c>
      <c r="E3417" t="s">
        <v>15</v>
      </c>
      <c r="F3417">
        <f>tbl_AQI[[#This Row],[Most AQI Reached]]-tbl_AQI[[#This Row],[Current AQI]]</f>
        <v>23</v>
      </c>
      <c r="G34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17">
        <f>RANK(tbl_AQI[[#This Row],[Current AQI]], tbl_AQI[Current AQI], 0)</f>
        <v>621</v>
      </c>
    </row>
    <row r="3418" spans="1:8" x14ac:dyDescent="0.35">
      <c r="A3418" t="s">
        <v>3405</v>
      </c>
      <c r="B3418" t="s">
        <v>3441</v>
      </c>
      <c r="C3418">
        <v>451</v>
      </c>
      <c r="D3418">
        <v>230</v>
      </c>
      <c r="E3418" t="s">
        <v>7</v>
      </c>
      <c r="F3418">
        <f>tbl_AQI[[#This Row],[Most AQI Reached]]-tbl_AQI[[#This Row],[Current AQI]]</f>
        <v>221</v>
      </c>
      <c r="G34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18">
        <f>RANK(tbl_AQI[[#This Row],[Current AQI]], tbl_AQI[Current AQI], 0)</f>
        <v>1184</v>
      </c>
    </row>
    <row r="3419" spans="1:8" x14ac:dyDescent="0.35">
      <c r="A3419" t="s">
        <v>3405</v>
      </c>
      <c r="B3419" t="s">
        <v>3442</v>
      </c>
      <c r="C3419">
        <v>496</v>
      </c>
      <c r="D3419">
        <v>371</v>
      </c>
      <c r="E3419" t="s">
        <v>7</v>
      </c>
      <c r="F3419">
        <f>tbl_AQI[[#This Row],[Most AQI Reached]]-tbl_AQI[[#This Row],[Current AQI]]</f>
        <v>125</v>
      </c>
      <c r="G34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19">
        <f>RANK(tbl_AQI[[#This Row],[Current AQI]], tbl_AQI[Current AQI], 0)</f>
        <v>533</v>
      </c>
    </row>
    <row r="3420" spans="1:8" x14ac:dyDescent="0.35">
      <c r="A3420" t="s">
        <v>3405</v>
      </c>
      <c r="B3420" t="s">
        <v>3443</v>
      </c>
      <c r="C3420">
        <v>451</v>
      </c>
      <c r="D3420">
        <v>407</v>
      </c>
      <c r="E3420" t="s">
        <v>7</v>
      </c>
      <c r="F3420">
        <f>tbl_AQI[[#This Row],[Most AQI Reached]]-tbl_AQI[[#This Row],[Current AQI]]</f>
        <v>44</v>
      </c>
      <c r="G34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20">
        <f>RANK(tbl_AQI[[#This Row],[Current AQI]], tbl_AQI[Current AQI], 0)</f>
        <v>354</v>
      </c>
    </row>
    <row r="3421" spans="1:8" x14ac:dyDescent="0.35">
      <c r="A3421" t="s">
        <v>3405</v>
      </c>
      <c r="B3421" t="s">
        <v>3444</v>
      </c>
      <c r="C3421">
        <v>445</v>
      </c>
      <c r="D3421">
        <v>263</v>
      </c>
      <c r="E3421" t="s">
        <v>17</v>
      </c>
      <c r="F3421">
        <f>tbl_AQI[[#This Row],[Most AQI Reached]]-tbl_AQI[[#This Row],[Current AQI]]</f>
        <v>182</v>
      </c>
      <c r="G34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21">
        <f>RANK(tbl_AQI[[#This Row],[Current AQI]], tbl_AQI[Current AQI], 0)</f>
        <v>1031</v>
      </c>
    </row>
    <row r="3422" spans="1:8" x14ac:dyDescent="0.35">
      <c r="A3422" t="s">
        <v>3405</v>
      </c>
      <c r="B3422" t="s">
        <v>3445</v>
      </c>
      <c r="C3422">
        <v>490</v>
      </c>
      <c r="D3422">
        <v>434</v>
      </c>
      <c r="E3422" t="s">
        <v>17</v>
      </c>
      <c r="F3422">
        <f>tbl_AQI[[#This Row],[Most AQI Reached]]-tbl_AQI[[#This Row],[Current AQI]]</f>
        <v>56</v>
      </c>
      <c r="G34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22">
        <f>RANK(tbl_AQI[[#This Row],[Current AQI]], tbl_AQI[Current AQI], 0)</f>
        <v>242</v>
      </c>
    </row>
    <row r="3423" spans="1:8" x14ac:dyDescent="0.35">
      <c r="A3423" t="s">
        <v>3405</v>
      </c>
      <c r="B3423" t="s">
        <v>3446</v>
      </c>
      <c r="C3423">
        <v>417</v>
      </c>
      <c r="D3423">
        <v>175</v>
      </c>
      <c r="E3423" t="s">
        <v>17</v>
      </c>
      <c r="F3423">
        <f>tbl_AQI[[#This Row],[Most AQI Reached]]-tbl_AQI[[#This Row],[Current AQI]]</f>
        <v>242</v>
      </c>
      <c r="G34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23">
        <f>RANK(tbl_AQI[[#This Row],[Current AQI]], tbl_AQI[Current AQI], 0)</f>
        <v>1780</v>
      </c>
    </row>
    <row r="3424" spans="1:8" x14ac:dyDescent="0.35">
      <c r="A3424" t="s">
        <v>3405</v>
      </c>
      <c r="B3424" t="s">
        <v>3447</v>
      </c>
      <c r="C3424">
        <v>339</v>
      </c>
      <c r="D3424">
        <v>318</v>
      </c>
      <c r="E3424" t="s">
        <v>9</v>
      </c>
      <c r="F3424">
        <f>tbl_AQI[[#This Row],[Most AQI Reached]]-tbl_AQI[[#This Row],[Current AQI]]</f>
        <v>21</v>
      </c>
      <c r="G34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24">
        <f>RANK(tbl_AQI[[#This Row],[Current AQI]], tbl_AQI[Current AQI], 0)</f>
        <v>786</v>
      </c>
    </row>
    <row r="3425" spans="1:8" x14ac:dyDescent="0.35">
      <c r="A3425" t="s">
        <v>3405</v>
      </c>
      <c r="B3425" t="s">
        <v>3448</v>
      </c>
      <c r="C3425">
        <v>245</v>
      </c>
      <c r="D3425">
        <v>151</v>
      </c>
      <c r="E3425" t="s">
        <v>17</v>
      </c>
      <c r="F3425">
        <f>tbl_AQI[[#This Row],[Most AQI Reached]]-tbl_AQI[[#This Row],[Current AQI]]</f>
        <v>94</v>
      </c>
      <c r="G34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25">
        <f>RANK(tbl_AQI[[#This Row],[Current AQI]], tbl_AQI[Current AQI], 0)</f>
        <v>2376</v>
      </c>
    </row>
    <row r="3426" spans="1:8" x14ac:dyDescent="0.35">
      <c r="A3426" t="s">
        <v>3405</v>
      </c>
      <c r="B3426" t="s">
        <v>3449</v>
      </c>
      <c r="C3426">
        <v>335</v>
      </c>
      <c r="D3426">
        <v>216</v>
      </c>
      <c r="E3426" t="s">
        <v>17</v>
      </c>
      <c r="F3426">
        <f>tbl_AQI[[#This Row],[Most AQI Reached]]-tbl_AQI[[#This Row],[Current AQI]]</f>
        <v>119</v>
      </c>
      <c r="G34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26">
        <f>RANK(tbl_AQI[[#This Row],[Current AQI]], tbl_AQI[Current AQI], 0)</f>
        <v>1246</v>
      </c>
    </row>
    <row r="3427" spans="1:8" x14ac:dyDescent="0.35">
      <c r="A3427" t="s">
        <v>3405</v>
      </c>
      <c r="B3427" t="s">
        <v>3450</v>
      </c>
      <c r="C3427">
        <v>360</v>
      </c>
      <c r="D3427">
        <v>282</v>
      </c>
      <c r="E3427" t="s">
        <v>15</v>
      </c>
      <c r="F3427">
        <f>tbl_AQI[[#This Row],[Most AQI Reached]]-tbl_AQI[[#This Row],[Current AQI]]</f>
        <v>78</v>
      </c>
      <c r="G34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27">
        <f>RANK(tbl_AQI[[#This Row],[Current AQI]], tbl_AQI[Current AQI], 0)</f>
        <v>938</v>
      </c>
    </row>
    <row r="3428" spans="1:8" x14ac:dyDescent="0.35">
      <c r="A3428" t="s">
        <v>3405</v>
      </c>
      <c r="B3428" t="s">
        <v>3451</v>
      </c>
      <c r="C3428">
        <v>443</v>
      </c>
      <c r="D3428">
        <v>345</v>
      </c>
      <c r="E3428" t="s">
        <v>33</v>
      </c>
      <c r="F3428">
        <f>tbl_AQI[[#This Row],[Most AQI Reached]]-tbl_AQI[[#This Row],[Current AQI]]</f>
        <v>98</v>
      </c>
      <c r="G34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28">
        <f>RANK(tbl_AQI[[#This Row],[Current AQI]], tbl_AQI[Current AQI], 0)</f>
        <v>651</v>
      </c>
    </row>
    <row r="3429" spans="1:8" x14ac:dyDescent="0.35">
      <c r="A3429" t="s">
        <v>3405</v>
      </c>
      <c r="B3429" t="s">
        <v>3452</v>
      </c>
      <c r="C3429">
        <v>427</v>
      </c>
      <c r="D3429">
        <v>420</v>
      </c>
      <c r="E3429" t="s">
        <v>21</v>
      </c>
      <c r="F3429">
        <f>tbl_AQI[[#This Row],[Most AQI Reached]]-tbl_AQI[[#This Row],[Current AQI]]</f>
        <v>7</v>
      </c>
      <c r="G34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29">
        <f>RANK(tbl_AQI[[#This Row],[Current AQI]], tbl_AQI[Current AQI], 0)</f>
        <v>307</v>
      </c>
    </row>
    <row r="3430" spans="1:8" x14ac:dyDescent="0.35">
      <c r="A3430" t="s">
        <v>3405</v>
      </c>
      <c r="B3430" t="s">
        <v>3453</v>
      </c>
      <c r="C3430">
        <v>391</v>
      </c>
      <c r="D3430">
        <v>387</v>
      </c>
      <c r="E3430" t="s">
        <v>17</v>
      </c>
      <c r="F3430">
        <f>tbl_AQI[[#This Row],[Most AQI Reached]]-tbl_AQI[[#This Row],[Current AQI]]</f>
        <v>4</v>
      </c>
      <c r="G34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30">
        <f>RANK(tbl_AQI[[#This Row],[Current AQI]], tbl_AQI[Current AQI], 0)</f>
        <v>451</v>
      </c>
    </row>
    <row r="3431" spans="1:8" x14ac:dyDescent="0.35">
      <c r="A3431" t="s">
        <v>3405</v>
      </c>
      <c r="B3431" t="s">
        <v>3454</v>
      </c>
      <c r="C3431">
        <v>445</v>
      </c>
      <c r="D3431">
        <v>352</v>
      </c>
      <c r="E3431" t="s">
        <v>21</v>
      </c>
      <c r="F3431">
        <f>tbl_AQI[[#This Row],[Most AQI Reached]]-tbl_AQI[[#This Row],[Current AQI]]</f>
        <v>93</v>
      </c>
      <c r="G34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31">
        <f>RANK(tbl_AQI[[#This Row],[Current AQI]], tbl_AQI[Current AQI], 0)</f>
        <v>614</v>
      </c>
    </row>
    <row r="3432" spans="1:8" x14ac:dyDescent="0.35">
      <c r="A3432" t="s">
        <v>3405</v>
      </c>
      <c r="B3432" t="s">
        <v>3455</v>
      </c>
      <c r="C3432">
        <v>498</v>
      </c>
      <c r="D3432">
        <v>416</v>
      </c>
      <c r="E3432" t="s">
        <v>17</v>
      </c>
      <c r="F3432">
        <f>tbl_AQI[[#This Row],[Most AQI Reached]]-tbl_AQI[[#This Row],[Current AQI]]</f>
        <v>82</v>
      </c>
      <c r="G34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32">
        <f>RANK(tbl_AQI[[#This Row],[Current AQI]], tbl_AQI[Current AQI], 0)</f>
        <v>322</v>
      </c>
    </row>
    <row r="3433" spans="1:8" x14ac:dyDescent="0.35">
      <c r="A3433" t="s">
        <v>3405</v>
      </c>
      <c r="B3433" t="s">
        <v>3456</v>
      </c>
      <c r="C3433">
        <v>441</v>
      </c>
      <c r="D3433">
        <v>430</v>
      </c>
      <c r="E3433" t="s">
        <v>17</v>
      </c>
      <c r="F3433">
        <f>tbl_AQI[[#This Row],[Most AQI Reached]]-tbl_AQI[[#This Row],[Current AQI]]</f>
        <v>11</v>
      </c>
      <c r="G34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33">
        <f>RANK(tbl_AQI[[#This Row],[Current AQI]], tbl_AQI[Current AQI], 0)</f>
        <v>263</v>
      </c>
    </row>
    <row r="3434" spans="1:8" x14ac:dyDescent="0.35">
      <c r="A3434" t="s">
        <v>3405</v>
      </c>
      <c r="B3434" t="s">
        <v>3457</v>
      </c>
      <c r="C3434">
        <v>284</v>
      </c>
      <c r="D3434">
        <v>227</v>
      </c>
      <c r="E3434" t="s">
        <v>15</v>
      </c>
      <c r="F3434">
        <f>tbl_AQI[[#This Row],[Most AQI Reached]]-tbl_AQI[[#This Row],[Current AQI]]</f>
        <v>57</v>
      </c>
      <c r="G34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34">
        <f>RANK(tbl_AQI[[#This Row],[Current AQI]], tbl_AQI[Current AQI], 0)</f>
        <v>1197</v>
      </c>
    </row>
    <row r="3435" spans="1:8" x14ac:dyDescent="0.35">
      <c r="A3435" t="s">
        <v>3405</v>
      </c>
      <c r="B3435" t="s">
        <v>3458</v>
      </c>
      <c r="C3435">
        <v>437</v>
      </c>
      <c r="D3435">
        <v>289</v>
      </c>
      <c r="E3435" t="s">
        <v>17</v>
      </c>
      <c r="F3435">
        <f>tbl_AQI[[#This Row],[Most AQI Reached]]-tbl_AQI[[#This Row],[Current AQI]]</f>
        <v>148</v>
      </c>
      <c r="G34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35">
        <f>RANK(tbl_AQI[[#This Row],[Current AQI]], tbl_AQI[Current AQI], 0)</f>
        <v>910</v>
      </c>
    </row>
    <row r="3436" spans="1:8" x14ac:dyDescent="0.35">
      <c r="A3436" t="s">
        <v>3405</v>
      </c>
      <c r="B3436" t="s">
        <v>3459</v>
      </c>
      <c r="C3436">
        <v>272</v>
      </c>
      <c r="D3436">
        <v>201</v>
      </c>
      <c r="E3436" t="s">
        <v>17</v>
      </c>
      <c r="F3436">
        <f>tbl_AQI[[#This Row],[Most AQI Reached]]-tbl_AQI[[#This Row],[Current AQI]]</f>
        <v>71</v>
      </c>
      <c r="G34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36">
        <f>RANK(tbl_AQI[[#This Row],[Current AQI]], tbl_AQI[Current AQI], 0)</f>
        <v>1305</v>
      </c>
    </row>
    <row r="3437" spans="1:8" x14ac:dyDescent="0.35">
      <c r="A3437" t="s">
        <v>3405</v>
      </c>
      <c r="B3437" t="s">
        <v>3460</v>
      </c>
      <c r="C3437">
        <v>378</v>
      </c>
      <c r="D3437">
        <v>254</v>
      </c>
      <c r="E3437" t="s">
        <v>17</v>
      </c>
      <c r="F3437">
        <f>tbl_AQI[[#This Row],[Most AQI Reached]]-tbl_AQI[[#This Row],[Current AQI]]</f>
        <v>124</v>
      </c>
      <c r="G34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37">
        <f>RANK(tbl_AQI[[#This Row],[Current AQI]], tbl_AQI[Current AQI], 0)</f>
        <v>1073</v>
      </c>
    </row>
    <row r="3438" spans="1:8" x14ac:dyDescent="0.35">
      <c r="A3438" t="s">
        <v>3405</v>
      </c>
      <c r="B3438" t="s">
        <v>3461</v>
      </c>
      <c r="C3438">
        <v>449</v>
      </c>
      <c r="D3438">
        <v>375</v>
      </c>
      <c r="E3438" t="s">
        <v>17</v>
      </c>
      <c r="F3438">
        <f>tbl_AQI[[#This Row],[Most AQI Reached]]-tbl_AQI[[#This Row],[Current AQI]]</f>
        <v>74</v>
      </c>
      <c r="G34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38">
        <f>RANK(tbl_AQI[[#This Row],[Current AQI]], tbl_AQI[Current AQI], 0)</f>
        <v>514</v>
      </c>
    </row>
    <row r="3439" spans="1:8" x14ac:dyDescent="0.35">
      <c r="A3439" t="s">
        <v>3405</v>
      </c>
      <c r="B3439" t="s">
        <v>3462</v>
      </c>
      <c r="C3439">
        <v>493</v>
      </c>
      <c r="D3439">
        <v>443</v>
      </c>
      <c r="E3439" t="s">
        <v>9</v>
      </c>
      <c r="F3439">
        <f>tbl_AQI[[#This Row],[Most AQI Reached]]-tbl_AQI[[#This Row],[Current AQI]]</f>
        <v>50</v>
      </c>
      <c r="G34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39">
        <f>RANK(tbl_AQI[[#This Row],[Current AQI]], tbl_AQI[Current AQI], 0)</f>
        <v>188</v>
      </c>
    </row>
    <row r="3440" spans="1:8" x14ac:dyDescent="0.35">
      <c r="A3440" t="s">
        <v>3405</v>
      </c>
      <c r="B3440" t="s">
        <v>3463</v>
      </c>
      <c r="C3440">
        <v>345</v>
      </c>
      <c r="D3440">
        <v>323</v>
      </c>
      <c r="E3440" t="s">
        <v>17</v>
      </c>
      <c r="F3440">
        <f>tbl_AQI[[#This Row],[Most AQI Reached]]-tbl_AQI[[#This Row],[Current AQI]]</f>
        <v>22</v>
      </c>
      <c r="G34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40">
        <f>RANK(tbl_AQI[[#This Row],[Current AQI]], tbl_AQI[Current AQI], 0)</f>
        <v>765</v>
      </c>
    </row>
    <row r="3441" spans="1:8" x14ac:dyDescent="0.35">
      <c r="A3441" t="s">
        <v>3405</v>
      </c>
      <c r="B3441" t="s">
        <v>3464</v>
      </c>
      <c r="C3441">
        <v>457</v>
      </c>
      <c r="D3441">
        <v>186</v>
      </c>
      <c r="E3441" t="s">
        <v>17</v>
      </c>
      <c r="F3441">
        <f>tbl_AQI[[#This Row],[Most AQI Reached]]-tbl_AQI[[#This Row],[Current AQI]]</f>
        <v>271</v>
      </c>
      <c r="G34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41">
        <f>RANK(tbl_AQI[[#This Row],[Current AQI]], tbl_AQI[Current AQI], 0)</f>
        <v>1478</v>
      </c>
    </row>
    <row r="3442" spans="1:8" x14ac:dyDescent="0.35">
      <c r="A3442" t="s">
        <v>3405</v>
      </c>
      <c r="B3442" t="s">
        <v>3465</v>
      </c>
      <c r="C3442">
        <v>486</v>
      </c>
      <c r="D3442">
        <v>473</v>
      </c>
      <c r="E3442" t="s">
        <v>21</v>
      </c>
      <c r="F3442">
        <f>tbl_AQI[[#This Row],[Most AQI Reached]]-tbl_AQI[[#This Row],[Current AQI]]</f>
        <v>13</v>
      </c>
      <c r="G34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42">
        <f>RANK(tbl_AQI[[#This Row],[Current AQI]], tbl_AQI[Current AQI], 0)</f>
        <v>33</v>
      </c>
    </row>
    <row r="3443" spans="1:8" x14ac:dyDescent="0.35">
      <c r="A3443" t="s">
        <v>3405</v>
      </c>
      <c r="B3443" t="s">
        <v>3466</v>
      </c>
      <c r="C3443">
        <v>399</v>
      </c>
      <c r="D3443">
        <v>382</v>
      </c>
      <c r="E3443" t="s">
        <v>17</v>
      </c>
      <c r="F3443">
        <f>tbl_AQI[[#This Row],[Most AQI Reached]]-tbl_AQI[[#This Row],[Current AQI]]</f>
        <v>17</v>
      </c>
      <c r="G34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43">
        <f>RANK(tbl_AQI[[#This Row],[Current AQI]], tbl_AQI[Current AQI], 0)</f>
        <v>471</v>
      </c>
    </row>
    <row r="3444" spans="1:8" x14ac:dyDescent="0.35">
      <c r="A3444" t="s">
        <v>3405</v>
      </c>
      <c r="B3444" t="s">
        <v>3467</v>
      </c>
      <c r="C3444">
        <v>439</v>
      </c>
      <c r="D3444">
        <v>242</v>
      </c>
      <c r="E3444" t="s">
        <v>17</v>
      </c>
      <c r="F3444">
        <f>tbl_AQI[[#This Row],[Most AQI Reached]]-tbl_AQI[[#This Row],[Current AQI]]</f>
        <v>197</v>
      </c>
      <c r="G34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44">
        <f>RANK(tbl_AQI[[#This Row],[Current AQI]], tbl_AQI[Current AQI], 0)</f>
        <v>1134</v>
      </c>
    </row>
    <row r="3445" spans="1:8" x14ac:dyDescent="0.35">
      <c r="A3445" t="s">
        <v>3405</v>
      </c>
      <c r="B3445" t="s">
        <v>3468</v>
      </c>
      <c r="C3445">
        <v>374</v>
      </c>
      <c r="D3445">
        <v>262</v>
      </c>
      <c r="E3445" t="s">
        <v>33</v>
      </c>
      <c r="F3445">
        <f>tbl_AQI[[#This Row],[Most AQI Reached]]-tbl_AQI[[#This Row],[Current AQI]]</f>
        <v>112</v>
      </c>
      <c r="G34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45">
        <f>RANK(tbl_AQI[[#This Row],[Current AQI]], tbl_AQI[Current AQI], 0)</f>
        <v>1035</v>
      </c>
    </row>
    <row r="3446" spans="1:8" x14ac:dyDescent="0.35">
      <c r="A3446" t="s">
        <v>3405</v>
      </c>
      <c r="B3446" t="s">
        <v>3469</v>
      </c>
      <c r="C3446">
        <v>395</v>
      </c>
      <c r="D3446">
        <v>300</v>
      </c>
      <c r="E3446" t="s">
        <v>7</v>
      </c>
      <c r="F3446">
        <f>tbl_AQI[[#This Row],[Most AQI Reached]]-tbl_AQI[[#This Row],[Current AQI]]</f>
        <v>95</v>
      </c>
      <c r="G34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46">
        <f>RANK(tbl_AQI[[#This Row],[Current AQI]], tbl_AQI[Current AQI], 0)</f>
        <v>851</v>
      </c>
    </row>
    <row r="3447" spans="1:8" x14ac:dyDescent="0.35">
      <c r="A3447" t="s">
        <v>3405</v>
      </c>
      <c r="B3447" t="s">
        <v>3470</v>
      </c>
      <c r="C3447">
        <v>482</v>
      </c>
      <c r="D3447">
        <v>461</v>
      </c>
      <c r="E3447" t="s">
        <v>9</v>
      </c>
      <c r="F3447">
        <f>tbl_AQI[[#This Row],[Most AQI Reached]]-tbl_AQI[[#This Row],[Current AQI]]</f>
        <v>21</v>
      </c>
      <c r="G34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47">
        <f>RANK(tbl_AQI[[#This Row],[Current AQI]], tbl_AQI[Current AQI], 0)</f>
        <v>102</v>
      </c>
    </row>
    <row r="3448" spans="1:8" x14ac:dyDescent="0.35">
      <c r="A3448" t="s">
        <v>3405</v>
      </c>
      <c r="B3448" t="s">
        <v>3471</v>
      </c>
      <c r="C3448">
        <v>422</v>
      </c>
      <c r="D3448">
        <v>173</v>
      </c>
      <c r="E3448" t="s">
        <v>9</v>
      </c>
      <c r="F3448">
        <f>tbl_AQI[[#This Row],[Most AQI Reached]]-tbl_AQI[[#This Row],[Current AQI]]</f>
        <v>249</v>
      </c>
      <c r="G34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48">
        <f>RANK(tbl_AQI[[#This Row],[Current AQI]], tbl_AQI[Current AQI], 0)</f>
        <v>1826</v>
      </c>
    </row>
    <row r="3449" spans="1:8" x14ac:dyDescent="0.35">
      <c r="A3449" t="s">
        <v>3405</v>
      </c>
      <c r="B3449" t="s">
        <v>3472</v>
      </c>
      <c r="C3449">
        <v>360</v>
      </c>
      <c r="D3449">
        <v>264</v>
      </c>
      <c r="E3449" t="s">
        <v>21</v>
      </c>
      <c r="F3449">
        <f>tbl_AQI[[#This Row],[Most AQI Reached]]-tbl_AQI[[#This Row],[Current AQI]]</f>
        <v>96</v>
      </c>
      <c r="G34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49">
        <f>RANK(tbl_AQI[[#This Row],[Current AQI]], tbl_AQI[Current AQI], 0)</f>
        <v>1028</v>
      </c>
    </row>
    <row r="3450" spans="1:8" x14ac:dyDescent="0.35">
      <c r="A3450" t="s">
        <v>3405</v>
      </c>
      <c r="B3450" t="s">
        <v>3473</v>
      </c>
      <c r="C3450">
        <v>403</v>
      </c>
      <c r="D3450">
        <v>354</v>
      </c>
      <c r="E3450" t="s">
        <v>7</v>
      </c>
      <c r="F3450">
        <f>tbl_AQI[[#This Row],[Most AQI Reached]]-tbl_AQI[[#This Row],[Current AQI]]</f>
        <v>49</v>
      </c>
      <c r="G34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50">
        <f>RANK(tbl_AQI[[#This Row],[Current AQI]], tbl_AQI[Current AQI], 0)</f>
        <v>602</v>
      </c>
    </row>
    <row r="3451" spans="1:8" x14ac:dyDescent="0.35">
      <c r="A3451" t="s">
        <v>3405</v>
      </c>
      <c r="B3451" t="s">
        <v>3474</v>
      </c>
      <c r="C3451">
        <v>340</v>
      </c>
      <c r="D3451">
        <v>291</v>
      </c>
      <c r="E3451" t="s">
        <v>15</v>
      </c>
      <c r="F3451">
        <f>tbl_AQI[[#This Row],[Most AQI Reached]]-tbl_AQI[[#This Row],[Current AQI]]</f>
        <v>49</v>
      </c>
      <c r="G34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51">
        <f>RANK(tbl_AQI[[#This Row],[Current AQI]], tbl_AQI[Current AQI], 0)</f>
        <v>898</v>
      </c>
    </row>
    <row r="3452" spans="1:8" x14ac:dyDescent="0.35">
      <c r="A3452" t="s">
        <v>3405</v>
      </c>
      <c r="B3452" t="s">
        <v>3475</v>
      </c>
      <c r="C3452">
        <v>444</v>
      </c>
      <c r="D3452">
        <v>191</v>
      </c>
      <c r="E3452" t="s">
        <v>33</v>
      </c>
      <c r="F3452">
        <f>tbl_AQI[[#This Row],[Most AQI Reached]]-tbl_AQI[[#This Row],[Current AQI]]</f>
        <v>253</v>
      </c>
      <c r="G34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52">
        <f>RANK(tbl_AQI[[#This Row],[Current AQI]], tbl_AQI[Current AQI], 0)</f>
        <v>1351</v>
      </c>
    </row>
    <row r="3453" spans="1:8" x14ac:dyDescent="0.35">
      <c r="A3453" t="s">
        <v>3405</v>
      </c>
      <c r="B3453" t="s">
        <v>3476</v>
      </c>
      <c r="C3453">
        <v>466</v>
      </c>
      <c r="D3453">
        <v>438</v>
      </c>
      <c r="E3453" t="s">
        <v>21</v>
      </c>
      <c r="F3453">
        <f>tbl_AQI[[#This Row],[Most AQI Reached]]-tbl_AQI[[#This Row],[Current AQI]]</f>
        <v>28</v>
      </c>
      <c r="G34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53">
        <f>RANK(tbl_AQI[[#This Row],[Current AQI]], tbl_AQI[Current AQI], 0)</f>
        <v>218</v>
      </c>
    </row>
    <row r="3454" spans="1:8" x14ac:dyDescent="0.35">
      <c r="A3454" t="s">
        <v>3405</v>
      </c>
      <c r="B3454" t="s">
        <v>3477</v>
      </c>
      <c r="C3454">
        <v>463</v>
      </c>
      <c r="D3454">
        <v>181</v>
      </c>
      <c r="E3454" t="s">
        <v>17</v>
      </c>
      <c r="F3454">
        <f>tbl_AQI[[#This Row],[Most AQI Reached]]-tbl_AQI[[#This Row],[Current AQI]]</f>
        <v>282</v>
      </c>
      <c r="G34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54">
        <f>RANK(tbl_AQI[[#This Row],[Current AQI]], tbl_AQI[Current AQI], 0)</f>
        <v>1609</v>
      </c>
    </row>
    <row r="3455" spans="1:8" x14ac:dyDescent="0.35">
      <c r="A3455" t="s">
        <v>3405</v>
      </c>
      <c r="B3455" t="s">
        <v>3478</v>
      </c>
      <c r="C3455">
        <v>485</v>
      </c>
      <c r="D3455">
        <v>478</v>
      </c>
      <c r="E3455" t="s">
        <v>17</v>
      </c>
      <c r="F3455">
        <f>tbl_AQI[[#This Row],[Most AQI Reached]]-tbl_AQI[[#This Row],[Current AQI]]</f>
        <v>7</v>
      </c>
      <c r="G34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55">
        <f>RANK(tbl_AQI[[#This Row],[Current AQI]], tbl_AQI[Current AQI], 0)</f>
        <v>11</v>
      </c>
    </row>
    <row r="3456" spans="1:8" x14ac:dyDescent="0.35">
      <c r="A3456" t="s">
        <v>3405</v>
      </c>
      <c r="B3456" t="s">
        <v>3479</v>
      </c>
      <c r="C3456">
        <v>449</v>
      </c>
      <c r="D3456">
        <v>365</v>
      </c>
      <c r="E3456" t="s">
        <v>21</v>
      </c>
      <c r="F3456">
        <f>tbl_AQI[[#This Row],[Most AQI Reached]]-tbl_AQI[[#This Row],[Current AQI]]</f>
        <v>84</v>
      </c>
      <c r="G34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56">
        <f>RANK(tbl_AQI[[#This Row],[Current AQI]], tbl_AQI[Current AQI], 0)</f>
        <v>556</v>
      </c>
    </row>
    <row r="3457" spans="1:8" x14ac:dyDescent="0.35">
      <c r="A3457" t="s">
        <v>3405</v>
      </c>
      <c r="B3457" t="s">
        <v>3480</v>
      </c>
      <c r="C3457">
        <v>263</v>
      </c>
      <c r="D3457">
        <v>169</v>
      </c>
      <c r="E3457" t="s">
        <v>7</v>
      </c>
      <c r="F3457">
        <f>tbl_AQI[[#This Row],[Most AQI Reached]]-tbl_AQI[[#This Row],[Current AQI]]</f>
        <v>94</v>
      </c>
      <c r="G34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57">
        <f>RANK(tbl_AQI[[#This Row],[Current AQI]], tbl_AQI[Current AQI], 0)</f>
        <v>1925</v>
      </c>
    </row>
    <row r="3458" spans="1:8" x14ac:dyDescent="0.35">
      <c r="A3458" t="s">
        <v>3405</v>
      </c>
      <c r="B3458" t="s">
        <v>3481</v>
      </c>
      <c r="C3458">
        <v>326</v>
      </c>
      <c r="D3458">
        <v>192</v>
      </c>
      <c r="E3458" t="s">
        <v>9</v>
      </c>
      <c r="F3458">
        <f>tbl_AQI[[#This Row],[Most AQI Reached]]-tbl_AQI[[#This Row],[Current AQI]]</f>
        <v>134</v>
      </c>
      <c r="G34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58">
        <f>RANK(tbl_AQI[[#This Row],[Current AQI]], tbl_AQI[Current AQI], 0)</f>
        <v>1347</v>
      </c>
    </row>
    <row r="3459" spans="1:8" x14ac:dyDescent="0.35">
      <c r="A3459" t="s">
        <v>3405</v>
      </c>
      <c r="B3459" t="s">
        <v>3482</v>
      </c>
      <c r="C3459">
        <v>310</v>
      </c>
      <c r="D3459">
        <v>192</v>
      </c>
      <c r="E3459" t="s">
        <v>9</v>
      </c>
      <c r="F3459">
        <f>tbl_AQI[[#This Row],[Most AQI Reached]]-tbl_AQI[[#This Row],[Current AQI]]</f>
        <v>118</v>
      </c>
      <c r="G34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59">
        <f>RANK(tbl_AQI[[#This Row],[Current AQI]], tbl_AQI[Current AQI], 0)</f>
        <v>1347</v>
      </c>
    </row>
    <row r="3460" spans="1:8" x14ac:dyDescent="0.35">
      <c r="A3460" t="s">
        <v>3405</v>
      </c>
      <c r="B3460" t="s">
        <v>3483</v>
      </c>
      <c r="C3460">
        <v>431</v>
      </c>
      <c r="D3460">
        <v>375</v>
      </c>
      <c r="E3460" t="s">
        <v>17</v>
      </c>
      <c r="F3460">
        <f>tbl_AQI[[#This Row],[Most AQI Reached]]-tbl_AQI[[#This Row],[Current AQI]]</f>
        <v>56</v>
      </c>
      <c r="G34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60">
        <f>RANK(tbl_AQI[[#This Row],[Current AQI]], tbl_AQI[Current AQI], 0)</f>
        <v>514</v>
      </c>
    </row>
    <row r="3461" spans="1:8" x14ac:dyDescent="0.35">
      <c r="A3461" t="s">
        <v>3405</v>
      </c>
      <c r="B3461" t="s">
        <v>3484</v>
      </c>
      <c r="C3461">
        <v>474</v>
      </c>
      <c r="D3461">
        <v>438</v>
      </c>
      <c r="E3461" t="s">
        <v>9</v>
      </c>
      <c r="F3461">
        <f>tbl_AQI[[#This Row],[Most AQI Reached]]-tbl_AQI[[#This Row],[Current AQI]]</f>
        <v>36</v>
      </c>
      <c r="G34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61">
        <f>RANK(tbl_AQI[[#This Row],[Current AQI]], tbl_AQI[Current AQI], 0)</f>
        <v>218</v>
      </c>
    </row>
    <row r="3462" spans="1:8" x14ac:dyDescent="0.35">
      <c r="A3462" t="s">
        <v>3405</v>
      </c>
      <c r="B3462" t="s">
        <v>3485</v>
      </c>
      <c r="C3462">
        <v>320</v>
      </c>
      <c r="D3462">
        <v>275</v>
      </c>
      <c r="E3462" t="s">
        <v>17</v>
      </c>
      <c r="F3462">
        <f>tbl_AQI[[#This Row],[Most AQI Reached]]-tbl_AQI[[#This Row],[Current AQI]]</f>
        <v>45</v>
      </c>
      <c r="G34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62">
        <f>RANK(tbl_AQI[[#This Row],[Current AQI]], tbl_AQI[Current AQI], 0)</f>
        <v>980</v>
      </c>
    </row>
    <row r="3463" spans="1:8" x14ac:dyDescent="0.35">
      <c r="A3463" t="s">
        <v>3405</v>
      </c>
      <c r="B3463" t="s">
        <v>3486</v>
      </c>
      <c r="C3463">
        <v>458</v>
      </c>
      <c r="D3463">
        <v>390</v>
      </c>
      <c r="E3463" t="s">
        <v>21</v>
      </c>
      <c r="F3463">
        <f>tbl_AQI[[#This Row],[Most AQI Reached]]-tbl_AQI[[#This Row],[Current AQI]]</f>
        <v>68</v>
      </c>
      <c r="G34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63">
        <f>RANK(tbl_AQI[[#This Row],[Current AQI]], tbl_AQI[Current AQI], 0)</f>
        <v>441</v>
      </c>
    </row>
    <row r="3464" spans="1:8" x14ac:dyDescent="0.35">
      <c r="A3464" t="s">
        <v>3405</v>
      </c>
      <c r="B3464" t="s">
        <v>3487</v>
      </c>
      <c r="C3464">
        <v>355</v>
      </c>
      <c r="D3464">
        <v>342</v>
      </c>
      <c r="E3464" t="s">
        <v>21</v>
      </c>
      <c r="F3464">
        <f>tbl_AQI[[#This Row],[Most AQI Reached]]-tbl_AQI[[#This Row],[Current AQI]]</f>
        <v>13</v>
      </c>
      <c r="G34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64">
        <f>RANK(tbl_AQI[[#This Row],[Current AQI]], tbl_AQI[Current AQI], 0)</f>
        <v>670</v>
      </c>
    </row>
    <row r="3465" spans="1:8" x14ac:dyDescent="0.35">
      <c r="A3465" t="s">
        <v>3405</v>
      </c>
      <c r="B3465" t="s">
        <v>3488</v>
      </c>
      <c r="C3465">
        <v>446</v>
      </c>
      <c r="D3465">
        <v>380</v>
      </c>
      <c r="E3465" t="s">
        <v>9</v>
      </c>
      <c r="F3465">
        <f>tbl_AQI[[#This Row],[Most AQI Reached]]-tbl_AQI[[#This Row],[Current AQI]]</f>
        <v>66</v>
      </c>
      <c r="G34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65">
        <f>RANK(tbl_AQI[[#This Row],[Current AQI]], tbl_AQI[Current AQI], 0)</f>
        <v>482</v>
      </c>
    </row>
    <row r="3466" spans="1:8" x14ac:dyDescent="0.35">
      <c r="A3466" t="s">
        <v>3405</v>
      </c>
      <c r="B3466" t="s">
        <v>3489</v>
      </c>
      <c r="C3466">
        <v>289</v>
      </c>
      <c r="D3466">
        <v>210</v>
      </c>
      <c r="E3466" t="s">
        <v>17</v>
      </c>
      <c r="F3466">
        <f>tbl_AQI[[#This Row],[Most AQI Reached]]-tbl_AQI[[#This Row],[Current AQI]]</f>
        <v>79</v>
      </c>
      <c r="G34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66">
        <f>RANK(tbl_AQI[[#This Row],[Current AQI]], tbl_AQI[Current AQI], 0)</f>
        <v>1272</v>
      </c>
    </row>
    <row r="3467" spans="1:8" x14ac:dyDescent="0.35">
      <c r="A3467" t="s">
        <v>3405</v>
      </c>
      <c r="B3467" t="s">
        <v>3490</v>
      </c>
      <c r="C3467">
        <v>499</v>
      </c>
      <c r="D3467">
        <v>453</v>
      </c>
      <c r="E3467" t="s">
        <v>17</v>
      </c>
      <c r="F3467">
        <f>tbl_AQI[[#This Row],[Most AQI Reached]]-tbl_AQI[[#This Row],[Current AQI]]</f>
        <v>46</v>
      </c>
      <c r="G34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67">
        <f>RANK(tbl_AQI[[#This Row],[Current AQI]], tbl_AQI[Current AQI], 0)</f>
        <v>141</v>
      </c>
    </row>
    <row r="3468" spans="1:8" x14ac:dyDescent="0.35">
      <c r="A3468" t="s">
        <v>3405</v>
      </c>
      <c r="B3468" t="s">
        <v>3491</v>
      </c>
      <c r="C3468">
        <v>272</v>
      </c>
      <c r="D3468">
        <v>167</v>
      </c>
      <c r="E3468" t="s">
        <v>17</v>
      </c>
      <c r="F3468">
        <f>tbl_AQI[[#This Row],[Most AQI Reached]]-tbl_AQI[[#This Row],[Current AQI]]</f>
        <v>105</v>
      </c>
      <c r="G34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68">
        <f>RANK(tbl_AQI[[#This Row],[Current AQI]], tbl_AQI[Current AQI], 0)</f>
        <v>1979</v>
      </c>
    </row>
    <row r="3469" spans="1:8" x14ac:dyDescent="0.35">
      <c r="A3469" t="s">
        <v>3405</v>
      </c>
      <c r="B3469" t="s">
        <v>3492</v>
      </c>
      <c r="C3469">
        <v>473</v>
      </c>
      <c r="D3469">
        <v>470</v>
      </c>
      <c r="E3469" t="s">
        <v>9</v>
      </c>
      <c r="F3469">
        <f>tbl_AQI[[#This Row],[Most AQI Reached]]-tbl_AQI[[#This Row],[Current AQI]]</f>
        <v>3</v>
      </c>
      <c r="G34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69">
        <f>RANK(tbl_AQI[[#This Row],[Current AQI]], tbl_AQI[Current AQI], 0)</f>
        <v>53</v>
      </c>
    </row>
    <row r="3470" spans="1:8" x14ac:dyDescent="0.35">
      <c r="A3470" t="s">
        <v>3405</v>
      </c>
      <c r="B3470" t="s">
        <v>3493</v>
      </c>
      <c r="C3470">
        <v>460</v>
      </c>
      <c r="D3470">
        <v>221</v>
      </c>
      <c r="E3470" t="s">
        <v>17</v>
      </c>
      <c r="F3470">
        <f>tbl_AQI[[#This Row],[Most AQI Reached]]-tbl_AQI[[#This Row],[Current AQI]]</f>
        <v>239</v>
      </c>
      <c r="G34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70">
        <f>RANK(tbl_AQI[[#This Row],[Current AQI]], tbl_AQI[Current AQI], 0)</f>
        <v>1224</v>
      </c>
    </row>
    <row r="3471" spans="1:8" x14ac:dyDescent="0.35">
      <c r="A3471" t="s">
        <v>3405</v>
      </c>
      <c r="B3471" t="s">
        <v>3494</v>
      </c>
      <c r="C3471">
        <v>429</v>
      </c>
      <c r="D3471">
        <v>409</v>
      </c>
      <c r="E3471" t="s">
        <v>7</v>
      </c>
      <c r="F3471">
        <f>tbl_AQI[[#This Row],[Most AQI Reached]]-tbl_AQI[[#This Row],[Current AQI]]</f>
        <v>20</v>
      </c>
      <c r="G34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71">
        <f>RANK(tbl_AQI[[#This Row],[Current AQI]], tbl_AQI[Current AQI], 0)</f>
        <v>348</v>
      </c>
    </row>
    <row r="3472" spans="1:8" x14ac:dyDescent="0.35">
      <c r="A3472" t="s">
        <v>3405</v>
      </c>
      <c r="B3472" t="s">
        <v>3495</v>
      </c>
      <c r="C3472">
        <v>380</v>
      </c>
      <c r="D3472">
        <v>325</v>
      </c>
      <c r="E3472" t="s">
        <v>17</v>
      </c>
      <c r="F3472">
        <f>tbl_AQI[[#This Row],[Most AQI Reached]]-tbl_AQI[[#This Row],[Current AQI]]</f>
        <v>55</v>
      </c>
      <c r="G34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72">
        <f>RANK(tbl_AQI[[#This Row],[Current AQI]], tbl_AQI[Current AQI], 0)</f>
        <v>755</v>
      </c>
    </row>
    <row r="3473" spans="1:8" x14ac:dyDescent="0.35">
      <c r="A3473" t="s">
        <v>3405</v>
      </c>
      <c r="B3473" t="s">
        <v>3496</v>
      </c>
      <c r="C3473">
        <v>330</v>
      </c>
      <c r="D3473">
        <v>165</v>
      </c>
      <c r="E3473" t="s">
        <v>11</v>
      </c>
      <c r="F3473">
        <f>tbl_AQI[[#This Row],[Most AQI Reached]]-tbl_AQI[[#This Row],[Current AQI]]</f>
        <v>165</v>
      </c>
      <c r="G34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73">
        <f>RANK(tbl_AQI[[#This Row],[Current AQI]], tbl_AQI[Current AQI], 0)</f>
        <v>2028</v>
      </c>
    </row>
    <row r="3474" spans="1:8" x14ac:dyDescent="0.35">
      <c r="A3474" t="s">
        <v>3405</v>
      </c>
      <c r="B3474" t="s">
        <v>3497</v>
      </c>
      <c r="C3474">
        <v>418</v>
      </c>
      <c r="D3474">
        <v>389</v>
      </c>
      <c r="E3474" t="s">
        <v>7</v>
      </c>
      <c r="F3474">
        <f>tbl_AQI[[#This Row],[Most AQI Reached]]-tbl_AQI[[#This Row],[Current AQI]]</f>
        <v>29</v>
      </c>
      <c r="G34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74">
        <f>RANK(tbl_AQI[[#This Row],[Current AQI]], tbl_AQI[Current AQI], 0)</f>
        <v>446</v>
      </c>
    </row>
    <row r="3475" spans="1:8" x14ac:dyDescent="0.35">
      <c r="A3475" t="s">
        <v>3405</v>
      </c>
      <c r="B3475" t="s">
        <v>3498</v>
      </c>
      <c r="C3475">
        <v>452</v>
      </c>
      <c r="D3475">
        <v>324</v>
      </c>
      <c r="E3475" t="s">
        <v>17</v>
      </c>
      <c r="F3475">
        <f>tbl_AQI[[#This Row],[Most AQI Reached]]-tbl_AQI[[#This Row],[Current AQI]]</f>
        <v>128</v>
      </c>
      <c r="G34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75">
        <f>RANK(tbl_AQI[[#This Row],[Current AQI]], tbl_AQI[Current AQI], 0)</f>
        <v>760</v>
      </c>
    </row>
    <row r="3476" spans="1:8" x14ac:dyDescent="0.35">
      <c r="A3476" t="s">
        <v>3405</v>
      </c>
      <c r="B3476" t="s">
        <v>3499</v>
      </c>
      <c r="C3476">
        <v>404</v>
      </c>
      <c r="D3476">
        <v>369</v>
      </c>
      <c r="E3476" t="s">
        <v>17</v>
      </c>
      <c r="F3476">
        <f>tbl_AQI[[#This Row],[Most AQI Reached]]-tbl_AQI[[#This Row],[Current AQI]]</f>
        <v>35</v>
      </c>
      <c r="G34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76">
        <f>RANK(tbl_AQI[[#This Row],[Current AQI]], tbl_AQI[Current AQI], 0)</f>
        <v>543</v>
      </c>
    </row>
    <row r="3477" spans="1:8" x14ac:dyDescent="0.35">
      <c r="A3477" t="s">
        <v>3405</v>
      </c>
      <c r="B3477" t="s">
        <v>3500</v>
      </c>
      <c r="C3477">
        <v>290</v>
      </c>
      <c r="D3477">
        <v>157</v>
      </c>
      <c r="E3477" t="s">
        <v>17</v>
      </c>
      <c r="F3477">
        <f>tbl_AQI[[#This Row],[Most AQI Reached]]-tbl_AQI[[#This Row],[Current AQI]]</f>
        <v>133</v>
      </c>
      <c r="G34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77">
        <f>RANK(tbl_AQI[[#This Row],[Current AQI]], tbl_AQI[Current AQI], 0)</f>
        <v>2239</v>
      </c>
    </row>
    <row r="3478" spans="1:8" x14ac:dyDescent="0.35">
      <c r="A3478" t="s">
        <v>3405</v>
      </c>
      <c r="B3478" t="s">
        <v>3501</v>
      </c>
      <c r="C3478">
        <v>469</v>
      </c>
      <c r="D3478">
        <v>418</v>
      </c>
      <c r="E3478" t="s">
        <v>7</v>
      </c>
      <c r="F3478">
        <f>tbl_AQI[[#This Row],[Most AQI Reached]]-tbl_AQI[[#This Row],[Current AQI]]</f>
        <v>51</v>
      </c>
      <c r="G34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78">
        <f>RANK(tbl_AQI[[#This Row],[Current AQI]], tbl_AQI[Current AQI], 0)</f>
        <v>312</v>
      </c>
    </row>
    <row r="3479" spans="1:8" x14ac:dyDescent="0.35">
      <c r="A3479" t="s">
        <v>3405</v>
      </c>
      <c r="B3479" t="s">
        <v>3502</v>
      </c>
      <c r="C3479">
        <v>457</v>
      </c>
      <c r="D3479">
        <v>300</v>
      </c>
      <c r="E3479" t="s">
        <v>33</v>
      </c>
      <c r="F3479">
        <f>tbl_AQI[[#This Row],[Most AQI Reached]]-tbl_AQI[[#This Row],[Current AQI]]</f>
        <v>157</v>
      </c>
      <c r="G34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79">
        <f>RANK(tbl_AQI[[#This Row],[Current AQI]], tbl_AQI[Current AQI], 0)</f>
        <v>851</v>
      </c>
    </row>
    <row r="3480" spans="1:8" x14ac:dyDescent="0.35">
      <c r="A3480" t="s">
        <v>3405</v>
      </c>
      <c r="B3480" t="s">
        <v>3503</v>
      </c>
      <c r="C3480">
        <v>488</v>
      </c>
      <c r="D3480">
        <v>456</v>
      </c>
      <c r="E3480" t="s">
        <v>21</v>
      </c>
      <c r="F3480">
        <f>tbl_AQI[[#This Row],[Most AQI Reached]]-tbl_AQI[[#This Row],[Current AQI]]</f>
        <v>32</v>
      </c>
      <c r="G34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80">
        <f>RANK(tbl_AQI[[#This Row],[Current AQI]], tbl_AQI[Current AQI], 0)</f>
        <v>122</v>
      </c>
    </row>
    <row r="3481" spans="1:8" x14ac:dyDescent="0.35">
      <c r="A3481" t="s">
        <v>3405</v>
      </c>
      <c r="B3481" t="s">
        <v>3504</v>
      </c>
      <c r="C3481">
        <v>475</v>
      </c>
      <c r="D3481">
        <v>438</v>
      </c>
      <c r="E3481" t="s">
        <v>17</v>
      </c>
      <c r="F3481">
        <f>tbl_AQI[[#This Row],[Most AQI Reached]]-tbl_AQI[[#This Row],[Current AQI]]</f>
        <v>37</v>
      </c>
      <c r="G34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81">
        <f>RANK(tbl_AQI[[#This Row],[Current AQI]], tbl_AQI[Current AQI], 0)</f>
        <v>218</v>
      </c>
    </row>
    <row r="3482" spans="1:8" x14ac:dyDescent="0.35">
      <c r="A3482" t="s">
        <v>3405</v>
      </c>
      <c r="B3482" t="s">
        <v>3505</v>
      </c>
      <c r="C3482">
        <v>486</v>
      </c>
      <c r="D3482">
        <v>388</v>
      </c>
      <c r="E3482" t="s">
        <v>9</v>
      </c>
      <c r="F3482">
        <f>tbl_AQI[[#This Row],[Most AQI Reached]]-tbl_AQI[[#This Row],[Current AQI]]</f>
        <v>98</v>
      </c>
      <c r="G34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82">
        <f>RANK(tbl_AQI[[#This Row],[Current AQI]], tbl_AQI[Current AQI], 0)</f>
        <v>448</v>
      </c>
    </row>
    <row r="3483" spans="1:8" x14ac:dyDescent="0.35">
      <c r="A3483" t="s">
        <v>3405</v>
      </c>
      <c r="B3483" t="s">
        <v>3506</v>
      </c>
      <c r="C3483">
        <v>482</v>
      </c>
      <c r="D3483">
        <v>430</v>
      </c>
      <c r="E3483" t="s">
        <v>17</v>
      </c>
      <c r="F3483">
        <f>tbl_AQI[[#This Row],[Most AQI Reached]]-tbl_AQI[[#This Row],[Current AQI]]</f>
        <v>52</v>
      </c>
      <c r="G34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83">
        <f>RANK(tbl_AQI[[#This Row],[Current AQI]], tbl_AQI[Current AQI], 0)</f>
        <v>263</v>
      </c>
    </row>
    <row r="3484" spans="1:8" x14ac:dyDescent="0.35">
      <c r="A3484" t="s">
        <v>3405</v>
      </c>
      <c r="B3484" t="s">
        <v>3507</v>
      </c>
      <c r="C3484">
        <v>435</v>
      </c>
      <c r="D3484">
        <v>432</v>
      </c>
      <c r="E3484" t="s">
        <v>9</v>
      </c>
      <c r="F3484">
        <f>tbl_AQI[[#This Row],[Most AQI Reached]]-tbl_AQI[[#This Row],[Current AQI]]</f>
        <v>3</v>
      </c>
      <c r="G34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84">
        <f>RANK(tbl_AQI[[#This Row],[Current AQI]], tbl_AQI[Current AQI], 0)</f>
        <v>254</v>
      </c>
    </row>
    <row r="3485" spans="1:8" x14ac:dyDescent="0.35">
      <c r="A3485" t="s">
        <v>3405</v>
      </c>
      <c r="B3485" t="s">
        <v>3508</v>
      </c>
      <c r="C3485">
        <v>479</v>
      </c>
      <c r="D3485">
        <v>421</v>
      </c>
      <c r="E3485" t="s">
        <v>9</v>
      </c>
      <c r="F3485">
        <f>tbl_AQI[[#This Row],[Most AQI Reached]]-tbl_AQI[[#This Row],[Current AQI]]</f>
        <v>58</v>
      </c>
      <c r="G34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85">
        <f>RANK(tbl_AQI[[#This Row],[Current AQI]], tbl_AQI[Current AQI], 0)</f>
        <v>301</v>
      </c>
    </row>
    <row r="3486" spans="1:8" x14ac:dyDescent="0.35">
      <c r="A3486" t="s">
        <v>3405</v>
      </c>
      <c r="B3486" t="s">
        <v>3509</v>
      </c>
      <c r="C3486">
        <v>200</v>
      </c>
      <c r="D3486">
        <v>164</v>
      </c>
      <c r="E3486" t="s">
        <v>33</v>
      </c>
      <c r="F3486">
        <f>tbl_AQI[[#This Row],[Most AQI Reached]]-tbl_AQI[[#This Row],[Current AQI]]</f>
        <v>36</v>
      </c>
      <c r="G34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86">
        <f>RANK(tbl_AQI[[#This Row],[Current AQI]], tbl_AQI[Current AQI], 0)</f>
        <v>2049</v>
      </c>
    </row>
    <row r="3487" spans="1:8" x14ac:dyDescent="0.35">
      <c r="A3487" t="s">
        <v>3405</v>
      </c>
      <c r="B3487" t="s">
        <v>3510</v>
      </c>
      <c r="C3487">
        <v>483</v>
      </c>
      <c r="D3487">
        <v>469</v>
      </c>
      <c r="E3487" t="s">
        <v>21</v>
      </c>
      <c r="F3487">
        <f>tbl_AQI[[#This Row],[Most AQI Reached]]-tbl_AQI[[#This Row],[Current AQI]]</f>
        <v>14</v>
      </c>
      <c r="G34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87">
        <f>RANK(tbl_AQI[[#This Row],[Current AQI]], tbl_AQI[Current AQI], 0)</f>
        <v>59</v>
      </c>
    </row>
    <row r="3488" spans="1:8" x14ac:dyDescent="0.35">
      <c r="A3488" t="s">
        <v>3405</v>
      </c>
      <c r="B3488" t="s">
        <v>3511</v>
      </c>
      <c r="C3488">
        <v>316</v>
      </c>
      <c r="D3488">
        <v>236</v>
      </c>
      <c r="E3488" t="s">
        <v>17</v>
      </c>
      <c r="F3488">
        <f>tbl_AQI[[#This Row],[Most AQI Reached]]-tbl_AQI[[#This Row],[Current AQI]]</f>
        <v>80</v>
      </c>
      <c r="G34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88">
        <f>RANK(tbl_AQI[[#This Row],[Current AQI]], tbl_AQI[Current AQI], 0)</f>
        <v>1162</v>
      </c>
    </row>
    <row r="3489" spans="1:8" x14ac:dyDescent="0.35">
      <c r="A3489" t="s">
        <v>3405</v>
      </c>
      <c r="B3489" t="s">
        <v>3512</v>
      </c>
      <c r="C3489">
        <v>482</v>
      </c>
      <c r="D3489">
        <v>475</v>
      </c>
      <c r="E3489" t="s">
        <v>21</v>
      </c>
      <c r="F3489">
        <f>tbl_AQI[[#This Row],[Most AQI Reached]]-tbl_AQI[[#This Row],[Current AQI]]</f>
        <v>7</v>
      </c>
      <c r="G34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89">
        <f>RANK(tbl_AQI[[#This Row],[Current AQI]], tbl_AQI[Current AQI], 0)</f>
        <v>22</v>
      </c>
    </row>
    <row r="3490" spans="1:8" x14ac:dyDescent="0.35">
      <c r="A3490" t="s">
        <v>3405</v>
      </c>
      <c r="B3490" t="s">
        <v>3513</v>
      </c>
      <c r="C3490">
        <v>491</v>
      </c>
      <c r="D3490">
        <v>372</v>
      </c>
      <c r="E3490" t="s">
        <v>17</v>
      </c>
      <c r="F3490">
        <f>tbl_AQI[[#This Row],[Most AQI Reached]]-tbl_AQI[[#This Row],[Current AQI]]</f>
        <v>119</v>
      </c>
      <c r="G34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90">
        <f>RANK(tbl_AQI[[#This Row],[Current AQI]], tbl_AQI[Current AQI], 0)</f>
        <v>529</v>
      </c>
    </row>
    <row r="3491" spans="1:8" x14ac:dyDescent="0.35">
      <c r="A3491" t="s">
        <v>3405</v>
      </c>
      <c r="B3491" t="s">
        <v>3514</v>
      </c>
      <c r="C3491">
        <v>436</v>
      </c>
      <c r="D3491">
        <v>312</v>
      </c>
      <c r="E3491" t="s">
        <v>15</v>
      </c>
      <c r="F3491">
        <f>tbl_AQI[[#This Row],[Most AQI Reached]]-tbl_AQI[[#This Row],[Current AQI]]</f>
        <v>124</v>
      </c>
      <c r="G34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91">
        <f>RANK(tbl_AQI[[#This Row],[Current AQI]], tbl_AQI[Current AQI], 0)</f>
        <v>812</v>
      </c>
    </row>
    <row r="3492" spans="1:8" x14ac:dyDescent="0.35">
      <c r="A3492" t="s">
        <v>3405</v>
      </c>
      <c r="B3492" t="s">
        <v>3515</v>
      </c>
      <c r="C3492">
        <v>455</v>
      </c>
      <c r="D3492">
        <v>383</v>
      </c>
      <c r="E3492" t="s">
        <v>9</v>
      </c>
      <c r="F3492">
        <f>tbl_AQI[[#This Row],[Most AQI Reached]]-tbl_AQI[[#This Row],[Current AQI]]</f>
        <v>72</v>
      </c>
      <c r="G34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92">
        <f>RANK(tbl_AQI[[#This Row],[Current AQI]], tbl_AQI[Current AQI], 0)</f>
        <v>468</v>
      </c>
    </row>
    <row r="3493" spans="1:8" x14ac:dyDescent="0.35">
      <c r="A3493" t="s">
        <v>3405</v>
      </c>
      <c r="B3493" t="s">
        <v>3516</v>
      </c>
      <c r="C3493">
        <v>496</v>
      </c>
      <c r="D3493">
        <v>249</v>
      </c>
      <c r="E3493" t="s">
        <v>17</v>
      </c>
      <c r="F3493">
        <f>tbl_AQI[[#This Row],[Most AQI Reached]]-tbl_AQI[[#This Row],[Current AQI]]</f>
        <v>247</v>
      </c>
      <c r="G34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93">
        <f>RANK(tbl_AQI[[#This Row],[Current AQI]], tbl_AQI[Current AQI], 0)</f>
        <v>1096</v>
      </c>
    </row>
    <row r="3494" spans="1:8" x14ac:dyDescent="0.35">
      <c r="A3494" t="s">
        <v>3405</v>
      </c>
      <c r="B3494" t="s">
        <v>3517</v>
      </c>
      <c r="C3494">
        <v>220</v>
      </c>
      <c r="D3494">
        <v>150</v>
      </c>
      <c r="E3494" t="s">
        <v>17</v>
      </c>
      <c r="F3494">
        <f>tbl_AQI[[#This Row],[Most AQI Reached]]-tbl_AQI[[#This Row],[Current AQI]]</f>
        <v>70</v>
      </c>
      <c r="G34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494">
        <f>RANK(tbl_AQI[[#This Row],[Current AQI]], tbl_AQI[Current AQI], 0)</f>
        <v>2400</v>
      </c>
    </row>
    <row r="3495" spans="1:8" x14ac:dyDescent="0.35">
      <c r="A3495" t="s">
        <v>3405</v>
      </c>
      <c r="B3495" t="s">
        <v>3518</v>
      </c>
      <c r="C3495">
        <v>461</v>
      </c>
      <c r="D3495">
        <v>383</v>
      </c>
      <c r="E3495" t="s">
        <v>17</v>
      </c>
      <c r="F3495">
        <f>tbl_AQI[[#This Row],[Most AQI Reached]]-tbl_AQI[[#This Row],[Current AQI]]</f>
        <v>78</v>
      </c>
      <c r="G34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95">
        <f>RANK(tbl_AQI[[#This Row],[Current AQI]], tbl_AQI[Current AQI], 0)</f>
        <v>468</v>
      </c>
    </row>
    <row r="3496" spans="1:8" x14ac:dyDescent="0.35">
      <c r="A3496" t="s">
        <v>3405</v>
      </c>
      <c r="B3496" t="s">
        <v>3519</v>
      </c>
      <c r="C3496">
        <v>381</v>
      </c>
      <c r="D3496">
        <v>250</v>
      </c>
      <c r="E3496" t="s">
        <v>11</v>
      </c>
      <c r="F3496">
        <f>tbl_AQI[[#This Row],[Most AQI Reached]]-tbl_AQI[[#This Row],[Current AQI]]</f>
        <v>131</v>
      </c>
      <c r="G34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96">
        <f>RANK(tbl_AQI[[#This Row],[Current AQI]], tbl_AQI[Current AQI], 0)</f>
        <v>1092</v>
      </c>
    </row>
    <row r="3497" spans="1:8" x14ac:dyDescent="0.35">
      <c r="A3497" t="s">
        <v>3405</v>
      </c>
      <c r="B3497" t="s">
        <v>3520</v>
      </c>
      <c r="C3497">
        <v>499</v>
      </c>
      <c r="D3497">
        <v>475</v>
      </c>
      <c r="E3497" t="s">
        <v>7</v>
      </c>
      <c r="F3497">
        <f>tbl_AQI[[#This Row],[Most AQI Reached]]-tbl_AQI[[#This Row],[Current AQI]]</f>
        <v>24</v>
      </c>
      <c r="G34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497">
        <f>RANK(tbl_AQI[[#This Row],[Current AQI]], tbl_AQI[Current AQI], 0)</f>
        <v>22</v>
      </c>
    </row>
    <row r="3498" spans="1:8" x14ac:dyDescent="0.35">
      <c r="A3498" t="s">
        <v>3405</v>
      </c>
      <c r="B3498" t="s">
        <v>3521</v>
      </c>
      <c r="C3498">
        <v>491</v>
      </c>
      <c r="D3498">
        <v>297</v>
      </c>
      <c r="E3498" t="s">
        <v>17</v>
      </c>
      <c r="F3498">
        <f>tbl_AQI[[#This Row],[Most AQI Reached]]-tbl_AQI[[#This Row],[Current AQI]]</f>
        <v>194</v>
      </c>
      <c r="G34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498">
        <f>RANK(tbl_AQI[[#This Row],[Current AQI]], tbl_AQI[Current AQI], 0)</f>
        <v>868</v>
      </c>
    </row>
    <row r="3499" spans="1:8" x14ac:dyDescent="0.35">
      <c r="A3499" t="s">
        <v>3405</v>
      </c>
      <c r="B3499" t="s">
        <v>3522</v>
      </c>
      <c r="C3499">
        <v>472</v>
      </c>
      <c r="D3499">
        <v>340</v>
      </c>
      <c r="E3499" t="s">
        <v>15</v>
      </c>
      <c r="F3499">
        <f>tbl_AQI[[#This Row],[Most AQI Reached]]-tbl_AQI[[#This Row],[Current AQI]]</f>
        <v>132</v>
      </c>
      <c r="G34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499">
        <f>RANK(tbl_AQI[[#This Row],[Current AQI]], tbl_AQI[Current AQI], 0)</f>
        <v>678</v>
      </c>
    </row>
    <row r="3500" spans="1:8" x14ac:dyDescent="0.35">
      <c r="A3500" t="s">
        <v>3405</v>
      </c>
      <c r="B3500" t="s">
        <v>3523</v>
      </c>
      <c r="C3500">
        <v>258</v>
      </c>
      <c r="D3500">
        <v>235</v>
      </c>
      <c r="E3500" t="s">
        <v>17</v>
      </c>
      <c r="F3500">
        <f>tbl_AQI[[#This Row],[Most AQI Reached]]-tbl_AQI[[#This Row],[Current AQI]]</f>
        <v>23</v>
      </c>
      <c r="G35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00">
        <f>RANK(tbl_AQI[[#This Row],[Current AQI]], tbl_AQI[Current AQI], 0)</f>
        <v>1166</v>
      </c>
    </row>
    <row r="3501" spans="1:8" x14ac:dyDescent="0.35">
      <c r="A3501" t="s">
        <v>3405</v>
      </c>
      <c r="B3501" t="s">
        <v>3524</v>
      </c>
      <c r="C3501">
        <v>473</v>
      </c>
      <c r="D3501">
        <v>441</v>
      </c>
      <c r="E3501" t="s">
        <v>9</v>
      </c>
      <c r="F3501">
        <f>tbl_AQI[[#This Row],[Most AQI Reached]]-tbl_AQI[[#This Row],[Current AQI]]</f>
        <v>32</v>
      </c>
      <c r="G35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01">
        <f>RANK(tbl_AQI[[#This Row],[Current AQI]], tbl_AQI[Current AQI], 0)</f>
        <v>203</v>
      </c>
    </row>
    <row r="3502" spans="1:8" x14ac:dyDescent="0.35">
      <c r="A3502" t="s">
        <v>3405</v>
      </c>
      <c r="B3502" t="s">
        <v>3525</v>
      </c>
      <c r="C3502">
        <v>497</v>
      </c>
      <c r="D3502">
        <v>472</v>
      </c>
      <c r="E3502" t="s">
        <v>9</v>
      </c>
      <c r="F3502">
        <f>tbl_AQI[[#This Row],[Most AQI Reached]]-tbl_AQI[[#This Row],[Current AQI]]</f>
        <v>25</v>
      </c>
      <c r="G35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02">
        <f>RANK(tbl_AQI[[#This Row],[Current AQI]], tbl_AQI[Current AQI], 0)</f>
        <v>43</v>
      </c>
    </row>
    <row r="3503" spans="1:8" x14ac:dyDescent="0.35">
      <c r="A3503" t="s">
        <v>3405</v>
      </c>
      <c r="B3503" t="s">
        <v>3526</v>
      </c>
      <c r="C3503">
        <v>296</v>
      </c>
      <c r="D3503">
        <v>227</v>
      </c>
      <c r="E3503" t="s">
        <v>9</v>
      </c>
      <c r="F3503">
        <f>tbl_AQI[[#This Row],[Most AQI Reached]]-tbl_AQI[[#This Row],[Current AQI]]</f>
        <v>69</v>
      </c>
      <c r="G35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03">
        <f>RANK(tbl_AQI[[#This Row],[Current AQI]], tbl_AQI[Current AQI], 0)</f>
        <v>1197</v>
      </c>
    </row>
    <row r="3504" spans="1:8" x14ac:dyDescent="0.35">
      <c r="A3504" t="s">
        <v>3405</v>
      </c>
      <c r="B3504" t="s">
        <v>3527</v>
      </c>
      <c r="C3504">
        <v>153</v>
      </c>
      <c r="D3504">
        <v>151</v>
      </c>
      <c r="E3504" t="s">
        <v>21</v>
      </c>
      <c r="F3504">
        <f>tbl_AQI[[#This Row],[Most AQI Reached]]-tbl_AQI[[#This Row],[Current AQI]]</f>
        <v>2</v>
      </c>
      <c r="G35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04">
        <f>RANK(tbl_AQI[[#This Row],[Current AQI]], tbl_AQI[Current AQI], 0)</f>
        <v>2376</v>
      </c>
    </row>
    <row r="3505" spans="1:8" x14ac:dyDescent="0.35">
      <c r="A3505" t="s">
        <v>3405</v>
      </c>
      <c r="B3505" t="s">
        <v>3528</v>
      </c>
      <c r="C3505">
        <v>490</v>
      </c>
      <c r="D3505">
        <v>296</v>
      </c>
      <c r="E3505" t="s">
        <v>7</v>
      </c>
      <c r="F3505">
        <f>tbl_AQI[[#This Row],[Most AQI Reached]]-tbl_AQI[[#This Row],[Current AQI]]</f>
        <v>194</v>
      </c>
      <c r="G35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05">
        <f>RANK(tbl_AQI[[#This Row],[Current AQI]], tbl_AQI[Current AQI], 0)</f>
        <v>874</v>
      </c>
    </row>
    <row r="3506" spans="1:8" x14ac:dyDescent="0.35">
      <c r="A3506" t="s">
        <v>3405</v>
      </c>
      <c r="B3506" t="s">
        <v>3529</v>
      </c>
      <c r="C3506">
        <v>388</v>
      </c>
      <c r="D3506">
        <v>318</v>
      </c>
      <c r="E3506" t="s">
        <v>17</v>
      </c>
      <c r="F3506">
        <f>tbl_AQI[[#This Row],[Most AQI Reached]]-tbl_AQI[[#This Row],[Current AQI]]</f>
        <v>70</v>
      </c>
      <c r="G35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06">
        <f>RANK(tbl_AQI[[#This Row],[Current AQI]], tbl_AQI[Current AQI], 0)</f>
        <v>786</v>
      </c>
    </row>
    <row r="3507" spans="1:8" x14ac:dyDescent="0.35">
      <c r="A3507" t="s">
        <v>3405</v>
      </c>
      <c r="B3507" t="s">
        <v>3530</v>
      </c>
      <c r="C3507">
        <v>402</v>
      </c>
      <c r="D3507">
        <v>328</v>
      </c>
      <c r="E3507" t="s">
        <v>21</v>
      </c>
      <c r="F3507">
        <f>tbl_AQI[[#This Row],[Most AQI Reached]]-tbl_AQI[[#This Row],[Current AQI]]</f>
        <v>74</v>
      </c>
      <c r="G35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07">
        <f>RANK(tbl_AQI[[#This Row],[Current AQI]], tbl_AQI[Current AQI], 0)</f>
        <v>741</v>
      </c>
    </row>
    <row r="3508" spans="1:8" x14ac:dyDescent="0.35">
      <c r="A3508" t="s">
        <v>3405</v>
      </c>
      <c r="B3508" t="s">
        <v>3531</v>
      </c>
      <c r="C3508">
        <v>276</v>
      </c>
      <c r="D3508">
        <v>218</v>
      </c>
      <c r="E3508" t="s">
        <v>17</v>
      </c>
      <c r="F3508">
        <f>tbl_AQI[[#This Row],[Most AQI Reached]]-tbl_AQI[[#This Row],[Current AQI]]</f>
        <v>58</v>
      </c>
      <c r="G35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08">
        <f>RANK(tbl_AQI[[#This Row],[Current AQI]], tbl_AQI[Current AQI], 0)</f>
        <v>1238</v>
      </c>
    </row>
    <row r="3509" spans="1:8" x14ac:dyDescent="0.35">
      <c r="A3509" t="s">
        <v>3405</v>
      </c>
      <c r="B3509" t="s">
        <v>3532</v>
      </c>
      <c r="C3509">
        <v>472</v>
      </c>
      <c r="D3509">
        <v>416</v>
      </c>
      <c r="E3509" t="s">
        <v>21</v>
      </c>
      <c r="F3509">
        <f>tbl_AQI[[#This Row],[Most AQI Reached]]-tbl_AQI[[#This Row],[Current AQI]]</f>
        <v>56</v>
      </c>
      <c r="G35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09">
        <f>RANK(tbl_AQI[[#This Row],[Current AQI]], tbl_AQI[Current AQI], 0)</f>
        <v>322</v>
      </c>
    </row>
    <row r="3510" spans="1:8" x14ac:dyDescent="0.35">
      <c r="A3510" t="s">
        <v>3405</v>
      </c>
      <c r="B3510" t="s">
        <v>3533</v>
      </c>
      <c r="C3510">
        <v>461</v>
      </c>
      <c r="D3510">
        <v>352</v>
      </c>
      <c r="E3510" t="s">
        <v>7</v>
      </c>
      <c r="F3510">
        <f>tbl_AQI[[#This Row],[Most AQI Reached]]-tbl_AQI[[#This Row],[Current AQI]]</f>
        <v>109</v>
      </c>
      <c r="G35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10">
        <f>RANK(tbl_AQI[[#This Row],[Current AQI]], tbl_AQI[Current AQI], 0)</f>
        <v>614</v>
      </c>
    </row>
    <row r="3511" spans="1:8" x14ac:dyDescent="0.35">
      <c r="A3511" t="s">
        <v>3405</v>
      </c>
      <c r="B3511" t="s">
        <v>3534</v>
      </c>
      <c r="C3511">
        <v>420</v>
      </c>
      <c r="D3511">
        <v>258</v>
      </c>
      <c r="E3511" t="s">
        <v>17</v>
      </c>
      <c r="F3511">
        <f>tbl_AQI[[#This Row],[Most AQI Reached]]-tbl_AQI[[#This Row],[Current AQI]]</f>
        <v>162</v>
      </c>
      <c r="G35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11">
        <f>RANK(tbl_AQI[[#This Row],[Current AQI]], tbl_AQI[Current AQI], 0)</f>
        <v>1052</v>
      </c>
    </row>
    <row r="3512" spans="1:8" x14ac:dyDescent="0.35">
      <c r="A3512" t="s">
        <v>3405</v>
      </c>
      <c r="B3512" t="s">
        <v>3535</v>
      </c>
      <c r="C3512">
        <v>494</v>
      </c>
      <c r="D3512">
        <v>455</v>
      </c>
      <c r="E3512" t="s">
        <v>21</v>
      </c>
      <c r="F3512">
        <f>tbl_AQI[[#This Row],[Most AQI Reached]]-tbl_AQI[[#This Row],[Current AQI]]</f>
        <v>39</v>
      </c>
      <c r="G35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12">
        <f>RANK(tbl_AQI[[#This Row],[Current AQI]], tbl_AQI[Current AQI], 0)</f>
        <v>126</v>
      </c>
    </row>
    <row r="3513" spans="1:8" x14ac:dyDescent="0.35">
      <c r="A3513" t="s">
        <v>3405</v>
      </c>
      <c r="B3513" t="s">
        <v>3536</v>
      </c>
      <c r="C3513">
        <v>301</v>
      </c>
      <c r="D3513">
        <v>269</v>
      </c>
      <c r="E3513" t="s">
        <v>21</v>
      </c>
      <c r="F3513">
        <f>tbl_AQI[[#This Row],[Most AQI Reached]]-tbl_AQI[[#This Row],[Current AQI]]</f>
        <v>32</v>
      </c>
      <c r="G35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13">
        <f>RANK(tbl_AQI[[#This Row],[Current AQI]], tbl_AQI[Current AQI], 0)</f>
        <v>1004</v>
      </c>
    </row>
    <row r="3514" spans="1:8" x14ac:dyDescent="0.35">
      <c r="A3514" t="s">
        <v>3405</v>
      </c>
      <c r="B3514" t="s">
        <v>3537</v>
      </c>
      <c r="C3514">
        <v>488</v>
      </c>
      <c r="D3514">
        <v>432</v>
      </c>
      <c r="E3514" t="s">
        <v>9</v>
      </c>
      <c r="F3514">
        <f>tbl_AQI[[#This Row],[Most AQI Reached]]-tbl_AQI[[#This Row],[Current AQI]]</f>
        <v>56</v>
      </c>
      <c r="G35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14">
        <f>RANK(tbl_AQI[[#This Row],[Current AQI]], tbl_AQI[Current AQI], 0)</f>
        <v>254</v>
      </c>
    </row>
    <row r="3515" spans="1:8" x14ac:dyDescent="0.35">
      <c r="A3515" t="s">
        <v>3405</v>
      </c>
      <c r="B3515" t="s">
        <v>3538</v>
      </c>
      <c r="C3515">
        <v>363</v>
      </c>
      <c r="D3515">
        <v>321</v>
      </c>
      <c r="E3515" t="s">
        <v>9</v>
      </c>
      <c r="F3515">
        <f>tbl_AQI[[#This Row],[Most AQI Reached]]-tbl_AQI[[#This Row],[Current AQI]]</f>
        <v>42</v>
      </c>
      <c r="G35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15">
        <f>RANK(tbl_AQI[[#This Row],[Current AQI]], tbl_AQI[Current AQI], 0)</f>
        <v>770</v>
      </c>
    </row>
    <row r="3516" spans="1:8" x14ac:dyDescent="0.35">
      <c r="A3516" t="s">
        <v>3405</v>
      </c>
      <c r="B3516" t="s">
        <v>3539</v>
      </c>
      <c r="C3516">
        <v>462</v>
      </c>
      <c r="D3516">
        <v>426</v>
      </c>
      <c r="E3516" t="s">
        <v>21</v>
      </c>
      <c r="F3516">
        <f>tbl_AQI[[#This Row],[Most AQI Reached]]-tbl_AQI[[#This Row],[Current AQI]]</f>
        <v>36</v>
      </c>
      <c r="G35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16">
        <f>RANK(tbl_AQI[[#This Row],[Current AQI]], tbl_AQI[Current AQI], 0)</f>
        <v>288</v>
      </c>
    </row>
    <row r="3517" spans="1:8" x14ac:dyDescent="0.35">
      <c r="A3517" t="s">
        <v>3405</v>
      </c>
      <c r="B3517" t="s">
        <v>3540</v>
      </c>
      <c r="C3517">
        <v>383</v>
      </c>
      <c r="D3517">
        <v>364</v>
      </c>
      <c r="E3517" t="s">
        <v>9</v>
      </c>
      <c r="F3517">
        <f>tbl_AQI[[#This Row],[Most AQI Reached]]-tbl_AQI[[#This Row],[Current AQI]]</f>
        <v>19</v>
      </c>
      <c r="G35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17">
        <f>RANK(tbl_AQI[[#This Row],[Current AQI]], tbl_AQI[Current AQI], 0)</f>
        <v>561</v>
      </c>
    </row>
    <row r="3518" spans="1:8" x14ac:dyDescent="0.35">
      <c r="A3518" t="s">
        <v>3405</v>
      </c>
      <c r="B3518" t="s">
        <v>3541</v>
      </c>
      <c r="C3518">
        <v>413</v>
      </c>
      <c r="D3518">
        <v>258</v>
      </c>
      <c r="E3518" t="s">
        <v>21</v>
      </c>
      <c r="F3518">
        <f>tbl_AQI[[#This Row],[Most AQI Reached]]-tbl_AQI[[#This Row],[Current AQI]]</f>
        <v>155</v>
      </c>
      <c r="G35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18">
        <f>RANK(tbl_AQI[[#This Row],[Current AQI]], tbl_AQI[Current AQI], 0)</f>
        <v>1052</v>
      </c>
    </row>
    <row r="3519" spans="1:8" x14ac:dyDescent="0.35">
      <c r="A3519" t="s">
        <v>3405</v>
      </c>
      <c r="B3519" t="s">
        <v>3542</v>
      </c>
      <c r="C3519">
        <v>424</v>
      </c>
      <c r="D3519">
        <v>397</v>
      </c>
      <c r="E3519" t="s">
        <v>7</v>
      </c>
      <c r="F3519">
        <f>tbl_AQI[[#This Row],[Most AQI Reached]]-tbl_AQI[[#This Row],[Current AQI]]</f>
        <v>27</v>
      </c>
      <c r="G35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19">
        <f>RANK(tbl_AQI[[#This Row],[Current AQI]], tbl_AQI[Current AQI], 0)</f>
        <v>412</v>
      </c>
    </row>
    <row r="3520" spans="1:8" x14ac:dyDescent="0.35">
      <c r="A3520" t="s">
        <v>3405</v>
      </c>
      <c r="B3520" t="s">
        <v>3543</v>
      </c>
      <c r="C3520">
        <v>459</v>
      </c>
      <c r="D3520">
        <v>403</v>
      </c>
      <c r="E3520" t="s">
        <v>17</v>
      </c>
      <c r="F3520">
        <f>tbl_AQI[[#This Row],[Most AQI Reached]]-tbl_AQI[[#This Row],[Current AQI]]</f>
        <v>56</v>
      </c>
      <c r="G35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20">
        <f>RANK(tbl_AQI[[#This Row],[Current AQI]], tbl_AQI[Current AQI], 0)</f>
        <v>378</v>
      </c>
    </row>
    <row r="3521" spans="1:8" x14ac:dyDescent="0.35">
      <c r="A3521" t="s">
        <v>3405</v>
      </c>
      <c r="B3521" t="s">
        <v>3544</v>
      </c>
      <c r="C3521">
        <v>364</v>
      </c>
      <c r="D3521">
        <v>257</v>
      </c>
      <c r="E3521" t="s">
        <v>15</v>
      </c>
      <c r="F3521">
        <f>tbl_AQI[[#This Row],[Most AQI Reached]]-tbl_AQI[[#This Row],[Current AQI]]</f>
        <v>107</v>
      </c>
      <c r="G35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21">
        <f>RANK(tbl_AQI[[#This Row],[Current AQI]], tbl_AQI[Current AQI], 0)</f>
        <v>1058</v>
      </c>
    </row>
    <row r="3522" spans="1:8" x14ac:dyDescent="0.35">
      <c r="A3522" t="s">
        <v>3405</v>
      </c>
      <c r="B3522" t="s">
        <v>3545</v>
      </c>
      <c r="C3522">
        <v>414</v>
      </c>
      <c r="D3522">
        <v>346</v>
      </c>
      <c r="E3522" t="s">
        <v>17</v>
      </c>
      <c r="F3522">
        <f>tbl_AQI[[#This Row],[Most AQI Reached]]-tbl_AQI[[#This Row],[Current AQI]]</f>
        <v>68</v>
      </c>
      <c r="G35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22">
        <f>RANK(tbl_AQI[[#This Row],[Current AQI]], tbl_AQI[Current AQI], 0)</f>
        <v>646</v>
      </c>
    </row>
    <row r="3523" spans="1:8" x14ac:dyDescent="0.35">
      <c r="A3523" t="s">
        <v>3405</v>
      </c>
      <c r="B3523" t="s">
        <v>3546</v>
      </c>
      <c r="C3523">
        <v>457</v>
      </c>
      <c r="D3523">
        <v>448</v>
      </c>
      <c r="E3523" t="s">
        <v>9</v>
      </c>
      <c r="F3523">
        <f>tbl_AQI[[#This Row],[Most AQI Reached]]-tbl_AQI[[#This Row],[Current AQI]]</f>
        <v>9</v>
      </c>
      <c r="G35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23">
        <f>RANK(tbl_AQI[[#This Row],[Current AQI]], tbl_AQI[Current AQI], 0)</f>
        <v>166</v>
      </c>
    </row>
    <row r="3524" spans="1:8" x14ac:dyDescent="0.35">
      <c r="A3524" t="s">
        <v>3405</v>
      </c>
      <c r="B3524" t="s">
        <v>3547</v>
      </c>
      <c r="C3524">
        <v>439</v>
      </c>
      <c r="D3524">
        <v>375</v>
      </c>
      <c r="E3524" t="s">
        <v>17</v>
      </c>
      <c r="F3524">
        <f>tbl_AQI[[#This Row],[Most AQI Reached]]-tbl_AQI[[#This Row],[Current AQI]]</f>
        <v>64</v>
      </c>
      <c r="G35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24">
        <f>RANK(tbl_AQI[[#This Row],[Current AQI]], tbl_AQI[Current AQI], 0)</f>
        <v>514</v>
      </c>
    </row>
    <row r="3525" spans="1:8" x14ac:dyDescent="0.35">
      <c r="A3525" t="s">
        <v>3405</v>
      </c>
      <c r="B3525" t="s">
        <v>3548</v>
      </c>
      <c r="C3525">
        <v>414</v>
      </c>
      <c r="D3525">
        <v>247</v>
      </c>
      <c r="E3525" t="s">
        <v>17</v>
      </c>
      <c r="F3525">
        <f>tbl_AQI[[#This Row],[Most AQI Reached]]-tbl_AQI[[#This Row],[Current AQI]]</f>
        <v>167</v>
      </c>
      <c r="G35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25">
        <f>RANK(tbl_AQI[[#This Row],[Current AQI]], tbl_AQI[Current AQI], 0)</f>
        <v>1112</v>
      </c>
    </row>
    <row r="3526" spans="1:8" x14ac:dyDescent="0.35">
      <c r="A3526" t="s">
        <v>3405</v>
      </c>
      <c r="B3526" t="s">
        <v>3549</v>
      </c>
      <c r="C3526">
        <v>475</v>
      </c>
      <c r="D3526">
        <v>269</v>
      </c>
      <c r="E3526" t="s">
        <v>17</v>
      </c>
      <c r="F3526">
        <f>tbl_AQI[[#This Row],[Most AQI Reached]]-tbl_AQI[[#This Row],[Current AQI]]</f>
        <v>206</v>
      </c>
      <c r="G35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26">
        <f>RANK(tbl_AQI[[#This Row],[Current AQI]], tbl_AQI[Current AQI], 0)</f>
        <v>1004</v>
      </c>
    </row>
    <row r="3527" spans="1:8" x14ac:dyDescent="0.35">
      <c r="A3527" t="s">
        <v>3405</v>
      </c>
      <c r="B3527" t="s">
        <v>3550</v>
      </c>
      <c r="C3527">
        <v>277</v>
      </c>
      <c r="D3527">
        <v>213</v>
      </c>
      <c r="E3527" t="s">
        <v>17</v>
      </c>
      <c r="F3527">
        <f>tbl_AQI[[#This Row],[Most AQI Reached]]-tbl_AQI[[#This Row],[Current AQI]]</f>
        <v>64</v>
      </c>
      <c r="G35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27">
        <f>RANK(tbl_AQI[[#This Row],[Current AQI]], tbl_AQI[Current AQI], 0)</f>
        <v>1260</v>
      </c>
    </row>
    <row r="3528" spans="1:8" x14ac:dyDescent="0.35">
      <c r="A3528" t="s">
        <v>3405</v>
      </c>
      <c r="B3528" t="s">
        <v>3551</v>
      </c>
      <c r="C3528">
        <v>243</v>
      </c>
      <c r="D3528">
        <v>212</v>
      </c>
      <c r="E3528" t="s">
        <v>17</v>
      </c>
      <c r="F3528">
        <f>tbl_AQI[[#This Row],[Most AQI Reached]]-tbl_AQI[[#This Row],[Current AQI]]</f>
        <v>31</v>
      </c>
      <c r="G35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28">
        <f>RANK(tbl_AQI[[#This Row],[Current AQI]], tbl_AQI[Current AQI], 0)</f>
        <v>1265</v>
      </c>
    </row>
    <row r="3529" spans="1:8" x14ac:dyDescent="0.35">
      <c r="A3529" t="s">
        <v>3405</v>
      </c>
      <c r="B3529" t="s">
        <v>3552</v>
      </c>
      <c r="C3529">
        <v>437</v>
      </c>
      <c r="D3529">
        <v>316</v>
      </c>
      <c r="E3529" t="s">
        <v>17</v>
      </c>
      <c r="F3529">
        <f>tbl_AQI[[#This Row],[Most AQI Reached]]-tbl_AQI[[#This Row],[Current AQI]]</f>
        <v>121</v>
      </c>
      <c r="G35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29">
        <f>RANK(tbl_AQI[[#This Row],[Current AQI]], tbl_AQI[Current AQI], 0)</f>
        <v>799</v>
      </c>
    </row>
    <row r="3530" spans="1:8" x14ac:dyDescent="0.35">
      <c r="A3530" t="s">
        <v>3405</v>
      </c>
      <c r="B3530" t="s">
        <v>3553</v>
      </c>
      <c r="C3530">
        <v>318</v>
      </c>
      <c r="D3530">
        <v>151</v>
      </c>
      <c r="E3530" t="s">
        <v>11</v>
      </c>
      <c r="F3530">
        <f>tbl_AQI[[#This Row],[Most AQI Reached]]-tbl_AQI[[#This Row],[Current AQI]]</f>
        <v>167</v>
      </c>
      <c r="G35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30">
        <f>RANK(tbl_AQI[[#This Row],[Current AQI]], tbl_AQI[Current AQI], 0)</f>
        <v>2376</v>
      </c>
    </row>
    <row r="3531" spans="1:8" x14ac:dyDescent="0.35">
      <c r="A3531" t="s">
        <v>3405</v>
      </c>
      <c r="B3531" t="s">
        <v>3554</v>
      </c>
      <c r="C3531">
        <v>482</v>
      </c>
      <c r="D3531">
        <v>475</v>
      </c>
      <c r="E3531" t="s">
        <v>21</v>
      </c>
      <c r="F3531">
        <f>tbl_AQI[[#This Row],[Most AQI Reached]]-tbl_AQI[[#This Row],[Current AQI]]</f>
        <v>7</v>
      </c>
      <c r="G35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31">
        <f>RANK(tbl_AQI[[#This Row],[Current AQI]], tbl_AQI[Current AQI], 0)</f>
        <v>22</v>
      </c>
    </row>
    <row r="3532" spans="1:8" x14ac:dyDescent="0.35">
      <c r="A3532" t="s">
        <v>3405</v>
      </c>
      <c r="B3532" t="s">
        <v>3555</v>
      </c>
      <c r="C3532">
        <v>361</v>
      </c>
      <c r="D3532">
        <v>328</v>
      </c>
      <c r="E3532" t="s">
        <v>15</v>
      </c>
      <c r="F3532">
        <f>tbl_AQI[[#This Row],[Most AQI Reached]]-tbl_AQI[[#This Row],[Current AQI]]</f>
        <v>33</v>
      </c>
      <c r="G35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32">
        <f>RANK(tbl_AQI[[#This Row],[Current AQI]], tbl_AQI[Current AQI], 0)</f>
        <v>741</v>
      </c>
    </row>
    <row r="3533" spans="1:8" x14ac:dyDescent="0.35">
      <c r="A3533" t="s">
        <v>3405</v>
      </c>
      <c r="B3533" t="s">
        <v>3556</v>
      </c>
      <c r="C3533">
        <v>408</v>
      </c>
      <c r="D3533">
        <v>332</v>
      </c>
      <c r="E3533" t="s">
        <v>33</v>
      </c>
      <c r="F3533">
        <f>tbl_AQI[[#This Row],[Most AQI Reached]]-tbl_AQI[[#This Row],[Current AQI]]</f>
        <v>76</v>
      </c>
      <c r="G35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33">
        <f>RANK(tbl_AQI[[#This Row],[Current AQI]], tbl_AQI[Current AQI], 0)</f>
        <v>725</v>
      </c>
    </row>
    <row r="3534" spans="1:8" x14ac:dyDescent="0.35">
      <c r="A3534" t="s">
        <v>3405</v>
      </c>
      <c r="B3534" t="s">
        <v>3557</v>
      </c>
      <c r="C3534">
        <v>410</v>
      </c>
      <c r="D3534">
        <v>217</v>
      </c>
      <c r="E3534" t="s">
        <v>9</v>
      </c>
      <c r="F3534">
        <f>tbl_AQI[[#This Row],[Most AQI Reached]]-tbl_AQI[[#This Row],[Current AQI]]</f>
        <v>193</v>
      </c>
      <c r="G35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34">
        <f>RANK(tbl_AQI[[#This Row],[Current AQI]], tbl_AQI[Current AQI], 0)</f>
        <v>1242</v>
      </c>
    </row>
    <row r="3535" spans="1:8" x14ac:dyDescent="0.35">
      <c r="A3535" t="s">
        <v>3405</v>
      </c>
      <c r="B3535" t="s">
        <v>3558</v>
      </c>
      <c r="C3535">
        <v>350</v>
      </c>
      <c r="D3535">
        <v>250</v>
      </c>
      <c r="E3535" t="s">
        <v>21</v>
      </c>
      <c r="F3535">
        <f>tbl_AQI[[#This Row],[Most AQI Reached]]-tbl_AQI[[#This Row],[Current AQI]]</f>
        <v>100</v>
      </c>
      <c r="G35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35">
        <f>RANK(tbl_AQI[[#This Row],[Current AQI]], tbl_AQI[Current AQI], 0)</f>
        <v>1092</v>
      </c>
    </row>
    <row r="3536" spans="1:8" x14ac:dyDescent="0.35">
      <c r="A3536" t="s">
        <v>3405</v>
      </c>
      <c r="B3536" t="s">
        <v>3559</v>
      </c>
      <c r="C3536">
        <v>489</v>
      </c>
      <c r="D3536">
        <v>470</v>
      </c>
      <c r="E3536" t="s">
        <v>7</v>
      </c>
      <c r="F3536">
        <f>tbl_AQI[[#This Row],[Most AQI Reached]]-tbl_AQI[[#This Row],[Current AQI]]</f>
        <v>19</v>
      </c>
      <c r="G35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36">
        <f>RANK(tbl_AQI[[#This Row],[Current AQI]], tbl_AQI[Current AQI], 0)</f>
        <v>53</v>
      </c>
    </row>
    <row r="3537" spans="1:8" x14ac:dyDescent="0.35">
      <c r="A3537" t="s">
        <v>3560</v>
      </c>
      <c r="B3537" t="s">
        <v>3561</v>
      </c>
      <c r="C3537">
        <v>340</v>
      </c>
      <c r="D3537">
        <v>240</v>
      </c>
      <c r="E3537" t="s">
        <v>17</v>
      </c>
      <c r="F3537">
        <f>tbl_AQI[[#This Row],[Most AQI Reached]]-tbl_AQI[[#This Row],[Current AQI]]</f>
        <v>100</v>
      </c>
      <c r="G35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37">
        <f>RANK(tbl_AQI[[#This Row],[Current AQI]], tbl_AQI[Current AQI], 0)</f>
        <v>1143</v>
      </c>
    </row>
    <row r="3538" spans="1:8" x14ac:dyDescent="0.35">
      <c r="A3538" t="s">
        <v>3560</v>
      </c>
      <c r="B3538" t="s">
        <v>3562</v>
      </c>
      <c r="C3538">
        <v>283</v>
      </c>
      <c r="D3538">
        <v>270</v>
      </c>
      <c r="E3538" t="s">
        <v>11</v>
      </c>
      <c r="F3538">
        <f>tbl_AQI[[#This Row],[Most AQI Reached]]-tbl_AQI[[#This Row],[Current AQI]]</f>
        <v>13</v>
      </c>
      <c r="G35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38">
        <f>RANK(tbl_AQI[[#This Row],[Current AQI]], tbl_AQI[Current AQI], 0)</f>
        <v>999</v>
      </c>
    </row>
    <row r="3539" spans="1:8" x14ac:dyDescent="0.35">
      <c r="A3539" t="s">
        <v>3560</v>
      </c>
      <c r="B3539" t="s">
        <v>3563</v>
      </c>
      <c r="C3539">
        <v>276</v>
      </c>
      <c r="D3539">
        <v>237</v>
      </c>
      <c r="E3539" t="s">
        <v>33</v>
      </c>
      <c r="F3539">
        <f>tbl_AQI[[#This Row],[Most AQI Reached]]-tbl_AQI[[#This Row],[Current AQI]]</f>
        <v>39</v>
      </c>
      <c r="G35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39">
        <f>RANK(tbl_AQI[[#This Row],[Current AQI]], tbl_AQI[Current AQI], 0)</f>
        <v>1157</v>
      </c>
    </row>
    <row r="3540" spans="1:8" x14ac:dyDescent="0.35">
      <c r="A3540" t="s">
        <v>3560</v>
      </c>
      <c r="B3540" t="s">
        <v>3564</v>
      </c>
      <c r="C3540">
        <v>284</v>
      </c>
      <c r="D3540">
        <v>174</v>
      </c>
      <c r="E3540" t="s">
        <v>9</v>
      </c>
      <c r="F3540">
        <f>tbl_AQI[[#This Row],[Most AQI Reached]]-tbl_AQI[[#This Row],[Current AQI]]</f>
        <v>110</v>
      </c>
      <c r="G35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40">
        <f>RANK(tbl_AQI[[#This Row],[Current AQI]], tbl_AQI[Current AQI], 0)</f>
        <v>1803</v>
      </c>
    </row>
    <row r="3541" spans="1:8" x14ac:dyDescent="0.35">
      <c r="A3541" t="s">
        <v>3560</v>
      </c>
      <c r="B3541" t="s">
        <v>3565</v>
      </c>
      <c r="C3541">
        <v>266</v>
      </c>
      <c r="D3541">
        <v>225</v>
      </c>
      <c r="E3541" t="s">
        <v>11</v>
      </c>
      <c r="F3541">
        <f>tbl_AQI[[#This Row],[Most AQI Reached]]-tbl_AQI[[#This Row],[Current AQI]]</f>
        <v>41</v>
      </c>
      <c r="G35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41">
        <f>RANK(tbl_AQI[[#This Row],[Current AQI]], tbl_AQI[Current AQI], 0)</f>
        <v>1204</v>
      </c>
    </row>
    <row r="3542" spans="1:8" x14ac:dyDescent="0.35">
      <c r="A3542" t="s">
        <v>3560</v>
      </c>
      <c r="B3542" t="s">
        <v>3566</v>
      </c>
      <c r="C3542">
        <v>360</v>
      </c>
      <c r="D3542">
        <v>253</v>
      </c>
      <c r="E3542" t="s">
        <v>11</v>
      </c>
      <c r="F3542">
        <f>tbl_AQI[[#This Row],[Most AQI Reached]]-tbl_AQI[[#This Row],[Current AQI]]</f>
        <v>107</v>
      </c>
      <c r="G35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42">
        <f>RANK(tbl_AQI[[#This Row],[Current AQI]], tbl_AQI[Current AQI], 0)</f>
        <v>1080</v>
      </c>
    </row>
    <row r="3543" spans="1:8" x14ac:dyDescent="0.35">
      <c r="A3543" t="s">
        <v>3560</v>
      </c>
      <c r="B3543" t="s">
        <v>3567</v>
      </c>
      <c r="C3543">
        <v>490</v>
      </c>
      <c r="D3543">
        <v>288</v>
      </c>
      <c r="E3543" t="s">
        <v>33</v>
      </c>
      <c r="F3543">
        <f>tbl_AQI[[#This Row],[Most AQI Reached]]-tbl_AQI[[#This Row],[Current AQI]]</f>
        <v>202</v>
      </c>
      <c r="G35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43">
        <f>RANK(tbl_AQI[[#This Row],[Current AQI]], tbl_AQI[Current AQI], 0)</f>
        <v>916</v>
      </c>
    </row>
    <row r="3544" spans="1:8" x14ac:dyDescent="0.35">
      <c r="A3544" t="s">
        <v>3560</v>
      </c>
      <c r="B3544" t="s">
        <v>3568</v>
      </c>
      <c r="C3544">
        <v>435</v>
      </c>
      <c r="D3544">
        <v>402</v>
      </c>
      <c r="E3544" t="s">
        <v>21</v>
      </c>
      <c r="F3544">
        <f>tbl_AQI[[#This Row],[Most AQI Reached]]-tbl_AQI[[#This Row],[Current AQI]]</f>
        <v>33</v>
      </c>
      <c r="G35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44">
        <f>RANK(tbl_AQI[[#This Row],[Current AQI]], tbl_AQI[Current AQI], 0)</f>
        <v>386</v>
      </c>
    </row>
    <row r="3545" spans="1:8" x14ac:dyDescent="0.35">
      <c r="A3545" t="s">
        <v>3560</v>
      </c>
      <c r="B3545" t="s">
        <v>3569</v>
      </c>
      <c r="C3545">
        <v>474</v>
      </c>
      <c r="D3545">
        <v>350</v>
      </c>
      <c r="E3545" t="s">
        <v>21</v>
      </c>
      <c r="F3545">
        <f>tbl_AQI[[#This Row],[Most AQI Reached]]-tbl_AQI[[#This Row],[Current AQI]]</f>
        <v>124</v>
      </c>
      <c r="G35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45">
        <f>RANK(tbl_AQI[[#This Row],[Current AQI]], tbl_AQI[Current AQI], 0)</f>
        <v>621</v>
      </c>
    </row>
    <row r="3546" spans="1:8" x14ac:dyDescent="0.35">
      <c r="A3546" t="s">
        <v>3560</v>
      </c>
      <c r="B3546" t="s">
        <v>3570</v>
      </c>
      <c r="C3546">
        <v>320</v>
      </c>
      <c r="D3546">
        <v>221</v>
      </c>
      <c r="E3546" t="s">
        <v>15</v>
      </c>
      <c r="F3546">
        <f>tbl_AQI[[#This Row],[Most AQI Reached]]-tbl_AQI[[#This Row],[Current AQI]]</f>
        <v>99</v>
      </c>
      <c r="G35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46">
        <f>RANK(tbl_AQI[[#This Row],[Current AQI]], tbl_AQI[Current AQI], 0)</f>
        <v>1224</v>
      </c>
    </row>
    <row r="3547" spans="1:8" x14ac:dyDescent="0.35">
      <c r="A3547" t="s">
        <v>3560</v>
      </c>
      <c r="B3547" t="s">
        <v>3571</v>
      </c>
      <c r="C3547">
        <v>454</v>
      </c>
      <c r="D3547">
        <v>398</v>
      </c>
      <c r="E3547" t="s">
        <v>21</v>
      </c>
      <c r="F3547">
        <f>tbl_AQI[[#This Row],[Most AQI Reached]]-tbl_AQI[[#This Row],[Current AQI]]</f>
        <v>56</v>
      </c>
      <c r="G35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47">
        <f>RANK(tbl_AQI[[#This Row],[Current AQI]], tbl_AQI[Current AQI], 0)</f>
        <v>404</v>
      </c>
    </row>
    <row r="3548" spans="1:8" x14ac:dyDescent="0.35">
      <c r="A3548" t="s">
        <v>3560</v>
      </c>
      <c r="B3548" t="s">
        <v>3572</v>
      </c>
      <c r="C3548">
        <v>359</v>
      </c>
      <c r="D3548">
        <v>276</v>
      </c>
      <c r="E3548" t="s">
        <v>33</v>
      </c>
      <c r="F3548">
        <f>tbl_AQI[[#This Row],[Most AQI Reached]]-tbl_AQI[[#This Row],[Current AQI]]</f>
        <v>83</v>
      </c>
      <c r="G35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48">
        <f>RANK(tbl_AQI[[#This Row],[Current AQI]], tbl_AQI[Current AQI], 0)</f>
        <v>974</v>
      </c>
    </row>
    <row r="3549" spans="1:8" x14ac:dyDescent="0.35">
      <c r="A3549" t="s">
        <v>3560</v>
      </c>
      <c r="B3549" t="s">
        <v>3573</v>
      </c>
      <c r="C3549">
        <v>376</v>
      </c>
      <c r="D3549">
        <v>352</v>
      </c>
      <c r="E3549" t="s">
        <v>9</v>
      </c>
      <c r="F3549">
        <f>tbl_AQI[[#This Row],[Most AQI Reached]]-tbl_AQI[[#This Row],[Current AQI]]</f>
        <v>24</v>
      </c>
      <c r="G35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49">
        <f>RANK(tbl_AQI[[#This Row],[Current AQI]], tbl_AQI[Current AQI], 0)</f>
        <v>614</v>
      </c>
    </row>
    <row r="3550" spans="1:8" x14ac:dyDescent="0.35">
      <c r="A3550" t="s">
        <v>3560</v>
      </c>
      <c r="B3550" t="s">
        <v>3574</v>
      </c>
      <c r="C3550">
        <v>257</v>
      </c>
      <c r="D3550">
        <v>169</v>
      </c>
      <c r="E3550" t="s">
        <v>9</v>
      </c>
      <c r="F3550">
        <f>tbl_AQI[[#This Row],[Most AQI Reached]]-tbl_AQI[[#This Row],[Current AQI]]</f>
        <v>88</v>
      </c>
      <c r="G35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50">
        <f>RANK(tbl_AQI[[#This Row],[Current AQI]], tbl_AQI[Current AQI], 0)</f>
        <v>1925</v>
      </c>
    </row>
    <row r="3551" spans="1:8" x14ac:dyDescent="0.35">
      <c r="A3551" t="s">
        <v>3560</v>
      </c>
      <c r="B3551" t="s">
        <v>3575</v>
      </c>
      <c r="C3551">
        <v>307</v>
      </c>
      <c r="D3551">
        <v>255</v>
      </c>
      <c r="E3551" t="s">
        <v>15</v>
      </c>
      <c r="F3551">
        <f>tbl_AQI[[#This Row],[Most AQI Reached]]-tbl_AQI[[#This Row],[Current AQI]]</f>
        <v>52</v>
      </c>
      <c r="G35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51">
        <f>RANK(tbl_AQI[[#This Row],[Current AQI]], tbl_AQI[Current AQI], 0)</f>
        <v>1070</v>
      </c>
    </row>
    <row r="3552" spans="1:8" x14ac:dyDescent="0.35">
      <c r="A3552" t="s">
        <v>3560</v>
      </c>
      <c r="B3552" t="s">
        <v>3576</v>
      </c>
      <c r="C3552">
        <v>394</v>
      </c>
      <c r="D3552">
        <v>259</v>
      </c>
      <c r="E3552" t="s">
        <v>33</v>
      </c>
      <c r="F3552">
        <f>tbl_AQI[[#This Row],[Most AQI Reached]]-tbl_AQI[[#This Row],[Current AQI]]</f>
        <v>135</v>
      </c>
      <c r="G35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52">
        <f>RANK(tbl_AQI[[#This Row],[Current AQI]], tbl_AQI[Current AQI], 0)</f>
        <v>1046</v>
      </c>
    </row>
    <row r="3553" spans="1:8" x14ac:dyDescent="0.35">
      <c r="A3553" t="s">
        <v>3560</v>
      </c>
      <c r="B3553" t="s">
        <v>3577</v>
      </c>
      <c r="C3553">
        <v>314</v>
      </c>
      <c r="D3553">
        <v>299</v>
      </c>
      <c r="E3553" t="s">
        <v>33</v>
      </c>
      <c r="F3553">
        <f>tbl_AQI[[#This Row],[Most AQI Reached]]-tbl_AQI[[#This Row],[Current AQI]]</f>
        <v>15</v>
      </c>
      <c r="G35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53">
        <f>RANK(tbl_AQI[[#This Row],[Current AQI]], tbl_AQI[Current AQI], 0)</f>
        <v>860</v>
      </c>
    </row>
    <row r="3554" spans="1:8" x14ac:dyDescent="0.35">
      <c r="A3554" t="s">
        <v>3560</v>
      </c>
      <c r="B3554" t="s">
        <v>3578</v>
      </c>
      <c r="C3554">
        <v>449</v>
      </c>
      <c r="D3554">
        <v>338</v>
      </c>
      <c r="E3554" t="s">
        <v>7</v>
      </c>
      <c r="F3554">
        <f>tbl_AQI[[#This Row],[Most AQI Reached]]-tbl_AQI[[#This Row],[Current AQI]]</f>
        <v>111</v>
      </c>
      <c r="G35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54">
        <f>RANK(tbl_AQI[[#This Row],[Current AQI]], tbl_AQI[Current AQI], 0)</f>
        <v>687</v>
      </c>
    </row>
    <row r="3555" spans="1:8" x14ac:dyDescent="0.35">
      <c r="A3555" t="s">
        <v>3560</v>
      </c>
      <c r="B3555" t="s">
        <v>3579</v>
      </c>
      <c r="C3555">
        <v>500</v>
      </c>
      <c r="D3555">
        <v>458</v>
      </c>
      <c r="E3555" t="s">
        <v>9</v>
      </c>
      <c r="F3555">
        <f>tbl_AQI[[#This Row],[Most AQI Reached]]-tbl_AQI[[#This Row],[Current AQI]]</f>
        <v>42</v>
      </c>
      <c r="G35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55">
        <f>RANK(tbl_AQI[[#This Row],[Current AQI]], tbl_AQI[Current AQI], 0)</f>
        <v>115</v>
      </c>
    </row>
    <row r="3556" spans="1:8" x14ac:dyDescent="0.35">
      <c r="A3556" t="s">
        <v>3560</v>
      </c>
      <c r="B3556" t="s">
        <v>3580</v>
      </c>
      <c r="C3556">
        <v>467</v>
      </c>
      <c r="D3556">
        <v>460</v>
      </c>
      <c r="E3556" t="s">
        <v>7</v>
      </c>
      <c r="F3556">
        <f>tbl_AQI[[#This Row],[Most AQI Reached]]-tbl_AQI[[#This Row],[Current AQI]]</f>
        <v>7</v>
      </c>
      <c r="G35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56">
        <f>RANK(tbl_AQI[[#This Row],[Current AQI]], tbl_AQI[Current AQI], 0)</f>
        <v>107</v>
      </c>
    </row>
    <row r="3557" spans="1:8" x14ac:dyDescent="0.35">
      <c r="A3557" t="s">
        <v>3560</v>
      </c>
      <c r="B3557" t="s">
        <v>3581</v>
      </c>
      <c r="C3557">
        <v>329</v>
      </c>
      <c r="D3557">
        <v>191</v>
      </c>
      <c r="E3557" t="s">
        <v>21</v>
      </c>
      <c r="F3557">
        <f>tbl_AQI[[#This Row],[Most AQI Reached]]-tbl_AQI[[#This Row],[Current AQI]]</f>
        <v>138</v>
      </c>
      <c r="G35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57">
        <f>RANK(tbl_AQI[[#This Row],[Current AQI]], tbl_AQI[Current AQI], 0)</f>
        <v>1351</v>
      </c>
    </row>
    <row r="3558" spans="1:8" x14ac:dyDescent="0.35">
      <c r="A3558" t="s">
        <v>3560</v>
      </c>
      <c r="B3558" t="s">
        <v>3582</v>
      </c>
      <c r="C3558">
        <v>240</v>
      </c>
      <c r="D3558">
        <v>214</v>
      </c>
      <c r="E3558" t="s">
        <v>17</v>
      </c>
      <c r="F3558">
        <f>tbl_AQI[[#This Row],[Most AQI Reached]]-tbl_AQI[[#This Row],[Current AQI]]</f>
        <v>26</v>
      </c>
      <c r="G35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58">
        <f>RANK(tbl_AQI[[#This Row],[Current AQI]], tbl_AQI[Current AQI], 0)</f>
        <v>1257</v>
      </c>
    </row>
    <row r="3559" spans="1:8" x14ac:dyDescent="0.35">
      <c r="A3559" t="s">
        <v>3560</v>
      </c>
      <c r="B3559" t="s">
        <v>3583</v>
      </c>
      <c r="C3559">
        <v>160</v>
      </c>
      <c r="D3559">
        <v>152</v>
      </c>
      <c r="E3559" t="s">
        <v>17</v>
      </c>
      <c r="F3559">
        <f>tbl_AQI[[#This Row],[Most AQI Reached]]-tbl_AQI[[#This Row],[Current AQI]]</f>
        <v>8</v>
      </c>
      <c r="G35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59">
        <f>RANK(tbl_AQI[[#This Row],[Current AQI]], tbl_AQI[Current AQI], 0)</f>
        <v>2349</v>
      </c>
    </row>
    <row r="3560" spans="1:8" x14ac:dyDescent="0.35">
      <c r="A3560" t="s">
        <v>3560</v>
      </c>
      <c r="B3560" t="s">
        <v>3584</v>
      </c>
      <c r="C3560">
        <v>300</v>
      </c>
      <c r="D3560">
        <v>281</v>
      </c>
      <c r="E3560" t="s">
        <v>15</v>
      </c>
      <c r="F3560">
        <f>tbl_AQI[[#This Row],[Most AQI Reached]]-tbl_AQI[[#This Row],[Current AQI]]</f>
        <v>19</v>
      </c>
      <c r="G35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60">
        <f>RANK(tbl_AQI[[#This Row],[Current AQI]], tbl_AQI[Current AQI], 0)</f>
        <v>946</v>
      </c>
    </row>
    <row r="3561" spans="1:8" x14ac:dyDescent="0.35">
      <c r="A3561" t="s">
        <v>3560</v>
      </c>
      <c r="B3561" t="s">
        <v>3585</v>
      </c>
      <c r="C3561">
        <v>422</v>
      </c>
      <c r="D3561">
        <v>368</v>
      </c>
      <c r="E3561" t="s">
        <v>9</v>
      </c>
      <c r="F3561">
        <f>tbl_AQI[[#This Row],[Most AQI Reached]]-tbl_AQI[[#This Row],[Current AQI]]</f>
        <v>54</v>
      </c>
      <c r="G35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61">
        <f>RANK(tbl_AQI[[#This Row],[Current AQI]], tbl_AQI[Current AQI], 0)</f>
        <v>550</v>
      </c>
    </row>
    <row r="3562" spans="1:8" x14ac:dyDescent="0.35">
      <c r="A3562" t="s">
        <v>3560</v>
      </c>
      <c r="B3562" t="s">
        <v>3586</v>
      </c>
      <c r="C3562">
        <v>422</v>
      </c>
      <c r="D3562">
        <v>248</v>
      </c>
      <c r="E3562" t="s">
        <v>17</v>
      </c>
      <c r="F3562">
        <f>tbl_AQI[[#This Row],[Most AQI Reached]]-tbl_AQI[[#This Row],[Current AQI]]</f>
        <v>174</v>
      </c>
      <c r="G35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62">
        <f>RANK(tbl_AQI[[#This Row],[Current AQI]], tbl_AQI[Current AQI], 0)</f>
        <v>1104</v>
      </c>
    </row>
    <row r="3563" spans="1:8" x14ac:dyDescent="0.35">
      <c r="A3563" t="s">
        <v>3560</v>
      </c>
      <c r="B3563" t="s">
        <v>3587</v>
      </c>
      <c r="C3563">
        <v>388</v>
      </c>
      <c r="D3563">
        <v>254</v>
      </c>
      <c r="E3563" t="s">
        <v>33</v>
      </c>
      <c r="F3563">
        <f>tbl_AQI[[#This Row],[Most AQI Reached]]-tbl_AQI[[#This Row],[Current AQI]]</f>
        <v>134</v>
      </c>
      <c r="G35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63">
        <f>RANK(tbl_AQI[[#This Row],[Current AQI]], tbl_AQI[Current AQI], 0)</f>
        <v>1073</v>
      </c>
    </row>
    <row r="3564" spans="1:8" x14ac:dyDescent="0.35">
      <c r="A3564" t="s">
        <v>3560</v>
      </c>
      <c r="B3564" t="s">
        <v>3588</v>
      </c>
      <c r="C3564">
        <v>421</v>
      </c>
      <c r="D3564">
        <v>165</v>
      </c>
      <c r="E3564" t="s">
        <v>15</v>
      </c>
      <c r="F3564">
        <f>tbl_AQI[[#This Row],[Most AQI Reached]]-tbl_AQI[[#This Row],[Current AQI]]</f>
        <v>256</v>
      </c>
      <c r="G35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64">
        <f>RANK(tbl_AQI[[#This Row],[Current AQI]], tbl_AQI[Current AQI], 0)</f>
        <v>2028</v>
      </c>
    </row>
    <row r="3565" spans="1:8" x14ac:dyDescent="0.35">
      <c r="A3565" t="s">
        <v>3560</v>
      </c>
      <c r="B3565" t="s">
        <v>3589</v>
      </c>
      <c r="C3565">
        <v>310</v>
      </c>
      <c r="D3565">
        <v>150</v>
      </c>
      <c r="E3565" t="s">
        <v>21</v>
      </c>
      <c r="F3565">
        <f>tbl_AQI[[#This Row],[Most AQI Reached]]-tbl_AQI[[#This Row],[Current AQI]]</f>
        <v>160</v>
      </c>
      <c r="G35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65">
        <f>RANK(tbl_AQI[[#This Row],[Current AQI]], tbl_AQI[Current AQI], 0)</f>
        <v>2400</v>
      </c>
    </row>
    <row r="3566" spans="1:8" x14ac:dyDescent="0.35">
      <c r="A3566" t="s">
        <v>3560</v>
      </c>
      <c r="B3566" t="s">
        <v>3590</v>
      </c>
      <c r="C3566">
        <v>441</v>
      </c>
      <c r="D3566">
        <v>411</v>
      </c>
      <c r="E3566" t="s">
        <v>7</v>
      </c>
      <c r="F3566">
        <f>tbl_AQI[[#This Row],[Most AQI Reached]]-tbl_AQI[[#This Row],[Current AQI]]</f>
        <v>30</v>
      </c>
      <c r="G35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66">
        <f>RANK(tbl_AQI[[#This Row],[Current AQI]], tbl_AQI[Current AQI], 0)</f>
        <v>340</v>
      </c>
    </row>
    <row r="3567" spans="1:8" x14ac:dyDescent="0.35">
      <c r="A3567" t="s">
        <v>3560</v>
      </c>
      <c r="B3567" t="s">
        <v>3591</v>
      </c>
      <c r="C3567">
        <v>461</v>
      </c>
      <c r="D3567">
        <v>430</v>
      </c>
      <c r="E3567" t="s">
        <v>9</v>
      </c>
      <c r="F3567">
        <f>tbl_AQI[[#This Row],[Most AQI Reached]]-tbl_AQI[[#This Row],[Current AQI]]</f>
        <v>31</v>
      </c>
      <c r="G35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67">
        <f>RANK(tbl_AQI[[#This Row],[Current AQI]], tbl_AQI[Current AQI], 0)</f>
        <v>263</v>
      </c>
    </row>
    <row r="3568" spans="1:8" x14ac:dyDescent="0.35">
      <c r="A3568" t="s">
        <v>3560</v>
      </c>
      <c r="B3568" t="s">
        <v>3592</v>
      </c>
      <c r="C3568">
        <v>471</v>
      </c>
      <c r="D3568">
        <v>371</v>
      </c>
      <c r="E3568" t="s">
        <v>7</v>
      </c>
      <c r="F3568">
        <f>tbl_AQI[[#This Row],[Most AQI Reached]]-tbl_AQI[[#This Row],[Current AQI]]</f>
        <v>100</v>
      </c>
      <c r="G35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68">
        <f>RANK(tbl_AQI[[#This Row],[Current AQI]], tbl_AQI[Current AQI], 0)</f>
        <v>533</v>
      </c>
    </row>
    <row r="3569" spans="1:8" x14ac:dyDescent="0.35">
      <c r="A3569" t="s">
        <v>3560</v>
      </c>
      <c r="B3569" t="s">
        <v>3593</v>
      </c>
      <c r="C3569">
        <v>490</v>
      </c>
      <c r="D3569">
        <v>231</v>
      </c>
      <c r="E3569" t="s">
        <v>11</v>
      </c>
      <c r="F3569">
        <f>tbl_AQI[[#This Row],[Most AQI Reached]]-tbl_AQI[[#This Row],[Current AQI]]</f>
        <v>259</v>
      </c>
      <c r="G35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69">
        <f>RANK(tbl_AQI[[#This Row],[Current AQI]], tbl_AQI[Current AQI], 0)</f>
        <v>1179</v>
      </c>
    </row>
    <row r="3570" spans="1:8" x14ac:dyDescent="0.35">
      <c r="A3570" t="s">
        <v>3560</v>
      </c>
      <c r="B3570" t="s">
        <v>3594</v>
      </c>
      <c r="C3570">
        <v>482</v>
      </c>
      <c r="D3570">
        <v>474</v>
      </c>
      <c r="E3570" t="s">
        <v>21</v>
      </c>
      <c r="F3570">
        <f>tbl_AQI[[#This Row],[Most AQI Reached]]-tbl_AQI[[#This Row],[Current AQI]]</f>
        <v>8</v>
      </c>
      <c r="G35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70">
        <f>RANK(tbl_AQI[[#This Row],[Current AQI]], tbl_AQI[Current AQI], 0)</f>
        <v>28</v>
      </c>
    </row>
    <row r="3571" spans="1:8" x14ac:dyDescent="0.35">
      <c r="A3571" t="s">
        <v>3560</v>
      </c>
      <c r="B3571" t="s">
        <v>3595</v>
      </c>
      <c r="C3571">
        <v>498</v>
      </c>
      <c r="D3571">
        <v>410</v>
      </c>
      <c r="E3571" t="s">
        <v>9</v>
      </c>
      <c r="F3571">
        <f>tbl_AQI[[#This Row],[Most AQI Reached]]-tbl_AQI[[#This Row],[Current AQI]]</f>
        <v>88</v>
      </c>
      <c r="G35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71">
        <f>RANK(tbl_AQI[[#This Row],[Current AQI]], tbl_AQI[Current AQI], 0)</f>
        <v>341</v>
      </c>
    </row>
    <row r="3572" spans="1:8" x14ac:dyDescent="0.35">
      <c r="A3572" t="s">
        <v>3560</v>
      </c>
      <c r="B3572" t="s">
        <v>3596</v>
      </c>
      <c r="C3572">
        <v>435</v>
      </c>
      <c r="D3572">
        <v>379</v>
      </c>
      <c r="E3572" t="s">
        <v>7</v>
      </c>
      <c r="F3572">
        <f>tbl_AQI[[#This Row],[Most AQI Reached]]-tbl_AQI[[#This Row],[Current AQI]]</f>
        <v>56</v>
      </c>
      <c r="G35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72">
        <f>RANK(tbl_AQI[[#This Row],[Current AQI]], tbl_AQI[Current AQI], 0)</f>
        <v>485</v>
      </c>
    </row>
    <row r="3573" spans="1:8" x14ac:dyDescent="0.35">
      <c r="A3573" t="s">
        <v>3560</v>
      </c>
      <c r="B3573" t="s">
        <v>3597</v>
      </c>
      <c r="C3573">
        <v>358</v>
      </c>
      <c r="D3573">
        <v>358</v>
      </c>
      <c r="E3573" t="s">
        <v>7</v>
      </c>
      <c r="F3573">
        <f>tbl_AQI[[#This Row],[Most AQI Reached]]-tbl_AQI[[#This Row],[Current AQI]]</f>
        <v>0</v>
      </c>
      <c r="G35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73">
        <f>RANK(tbl_AQI[[#This Row],[Current AQI]], tbl_AQI[Current AQI], 0)</f>
        <v>586</v>
      </c>
    </row>
    <row r="3574" spans="1:8" x14ac:dyDescent="0.35">
      <c r="A3574" t="s">
        <v>3560</v>
      </c>
      <c r="B3574" t="s">
        <v>3598</v>
      </c>
      <c r="C3574">
        <v>422</v>
      </c>
      <c r="D3574">
        <v>339</v>
      </c>
      <c r="E3574" t="s">
        <v>11</v>
      </c>
      <c r="F3574">
        <f>tbl_AQI[[#This Row],[Most AQI Reached]]-tbl_AQI[[#This Row],[Current AQI]]</f>
        <v>83</v>
      </c>
      <c r="G35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74">
        <f>RANK(tbl_AQI[[#This Row],[Current AQI]], tbl_AQI[Current AQI], 0)</f>
        <v>681</v>
      </c>
    </row>
    <row r="3575" spans="1:8" x14ac:dyDescent="0.35">
      <c r="A3575" t="s">
        <v>3560</v>
      </c>
      <c r="B3575" t="s">
        <v>3599</v>
      </c>
      <c r="C3575">
        <v>486</v>
      </c>
      <c r="D3575">
        <v>421</v>
      </c>
      <c r="E3575" t="s">
        <v>7</v>
      </c>
      <c r="F3575">
        <f>tbl_AQI[[#This Row],[Most AQI Reached]]-tbl_AQI[[#This Row],[Current AQI]]</f>
        <v>65</v>
      </c>
      <c r="G35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75">
        <f>RANK(tbl_AQI[[#This Row],[Current AQI]], tbl_AQI[Current AQI], 0)</f>
        <v>301</v>
      </c>
    </row>
    <row r="3576" spans="1:8" x14ac:dyDescent="0.35">
      <c r="A3576" t="s">
        <v>3560</v>
      </c>
      <c r="B3576" t="s">
        <v>3600</v>
      </c>
      <c r="C3576">
        <v>488</v>
      </c>
      <c r="D3576">
        <v>168</v>
      </c>
      <c r="E3576" t="s">
        <v>9</v>
      </c>
      <c r="F3576">
        <f>tbl_AQI[[#This Row],[Most AQI Reached]]-tbl_AQI[[#This Row],[Current AQI]]</f>
        <v>320</v>
      </c>
      <c r="G35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76">
        <f>RANK(tbl_AQI[[#This Row],[Current AQI]], tbl_AQI[Current AQI], 0)</f>
        <v>1954</v>
      </c>
    </row>
    <row r="3577" spans="1:8" x14ac:dyDescent="0.35">
      <c r="A3577" t="s">
        <v>3560</v>
      </c>
      <c r="B3577" t="s">
        <v>3601</v>
      </c>
      <c r="C3577">
        <v>458</v>
      </c>
      <c r="D3577">
        <v>452</v>
      </c>
      <c r="E3577" t="s">
        <v>21</v>
      </c>
      <c r="F3577">
        <f>tbl_AQI[[#This Row],[Most AQI Reached]]-tbl_AQI[[#This Row],[Current AQI]]</f>
        <v>6</v>
      </c>
      <c r="G35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77">
        <f>RANK(tbl_AQI[[#This Row],[Current AQI]], tbl_AQI[Current AQI], 0)</f>
        <v>150</v>
      </c>
    </row>
    <row r="3578" spans="1:8" x14ac:dyDescent="0.35">
      <c r="A3578" t="s">
        <v>3560</v>
      </c>
      <c r="B3578" t="s">
        <v>3602</v>
      </c>
      <c r="C3578">
        <v>475</v>
      </c>
      <c r="D3578">
        <v>473</v>
      </c>
      <c r="E3578" t="s">
        <v>7</v>
      </c>
      <c r="F3578">
        <f>tbl_AQI[[#This Row],[Most AQI Reached]]-tbl_AQI[[#This Row],[Current AQI]]</f>
        <v>2</v>
      </c>
      <c r="G35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78">
        <f>RANK(tbl_AQI[[#This Row],[Current AQI]], tbl_AQI[Current AQI], 0)</f>
        <v>33</v>
      </c>
    </row>
    <row r="3579" spans="1:8" x14ac:dyDescent="0.35">
      <c r="A3579" t="s">
        <v>3560</v>
      </c>
      <c r="B3579" t="s">
        <v>3603</v>
      </c>
      <c r="C3579">
        <v>497</v>
      </c>
      <c r="D3579">
        <v>432</v>
      </c>
      <c r="E3579" t="s">
        <v>9</v>
      </c>
      <c r="F3579">
        <f>tbl_AQI[[#This Row],[Most AQI Reached]]-tbl_AQI[[#This Row],[Current AQI]]</f>
        <v>65</v>
      </c>
      <c r="G35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79">
        <f>RANK(tbl_AQI[[#This Row],[Current AQI]], tbl_AQI[Current AQI], 0)</f>
        <v>254</v>
      </c>
    </row>
    <row r="3580" spans="1:8" x14ac:dyDescent="0.35">
      <c r="A3580" t="s">
        <v>3560</v>
      </c>
      <c r="B3580" t="s">
        <v>3604</v>
      </c>
      <c r="C3580">
        <v>422</v>
      </c>
      <c r="D3580">
        <v>398</v>
      </c>
      <c r="E3580" t="s">
        <v>7</v>
      </c>
      <c r="F3580">
        <f>tbl_AQI[[#This Row],[Most AQI Reached]]-tbl_AQI[[#This Row],[Current AQI]]</f>
        <v>24</v>
      </c>
      <c r="G35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80">
        <f>RANK(tbl_AQI[[#This Row],[Current AQI]], tbl_AQI[Current AQI], 0)</f>
        <v>404</v>
      </c>
    </row>
    <row r="3581" spans="1:8" x14ac:dyDescent="0.35">
      <c r="A3581" t="s">
        <v>3560</v>
      </c>
      <c r="B3581" t="s">
        <v>3605</v>
      </c>
      <c r="C3581">
        <v>480</v>
      </c>
      <c r="D3581">
        <v>275</v>
      </c>
      <c r="E3581" t="s">
        <v>15</v>
      </c>
      <c r="F3581">
        <f>tbl_AQI[[#This Row],[Most AQI Reached]]-tbl_AQI[[#This Row],[Current AQI]]</f>
        <v>205</v>
      </c>
      <c r="G35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81">
        <f>RANK(tbl_AQI[[#This Row],[Current AQI]], tbl_AQI[Current AQI], 0)</f>
        <v>980</v>
      </c>
    </row>
    <row r="3582" spans="1:8" x14ac:dyDescent="0.35">
      <c r="A3582" t="s">
        <v>3560</v>
      </c>
      <c r="B3582" t="s">
        <v>3606</v>
      </c>
      <c r="C3582">
        <v>498</v>
      </c>
      <c r="D3582">
        <v>432</v>
      </c>
      <c r="E3582" t="s">
        <v>7</v>
      </c>
      <c r="F3582">
        <f>tbl_AQI[[#This Row],[Most AQI Reached]]-tbl_AQI[[#This Row],[Current AQI]]</f>
        <v>66</v>
      </c>
      <c r="G35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82">
        <f>RANK(tbl_AQI[[#This Row],[Current AQI]], tbl_AQI[Current AQI], 0)</f>
        <v>254</v>
      </c>
    </row>
    <row r="3583" spans="1:8" x14ac:dyDescent="0.35">
      <c r="A3583" t="s">
        <v>3560</v>
      </c>
      <c r="B3583" t="s">
        <v>3607</v>
      </c>
      <c r="C3583">
        <v>392</v>
      </c>
      <c r="D3583">
        <v>367</v>
      </c>
      <c r="E3583" t="s">
        <v>7</v>
      </c>
      <c r="F3583">
        <f>tbl_AQI[[#This Row],[Most AQI Reached]]-tbl_AQI[[#This Row],[Current AQI]]</f>
        <v>25</v>
      </c>
      <c r="G35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83">
        <f>RANK(tbl_AQI[[#This Row],[Current AQI]], tbl_AQI[Current AQI], 0)</f>
        <v>551</v>
      </c>
    </row>
    <row r="3584" spans="1:8" x14ac:dyDescent="0.35">
      <c r="A3584" t="s">
        <v>3560</v>
      </c>
      <c r="B3584" t="s">
        <v>3608</v>
      </c>
      <c r="C3584">
        <v>487</v>
      </c>
      <c r="D3584">
        <v>464</v>
      </c>
      <c r="E3584" t="s">
        <v>21</v>
      </c>
      <c r="F3584">
        <f>tbl_AQI[[#This Row],[Most AQI Reached]]-tbl_AQI[[#This Row],[Current AQI]]</f>
        <v>23</v>
      </c>
      <c r="G35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584">
        <f>RANK(tbl_AQI[[#This Row],[Current AQI]], tbl_AQI[Current AQI], 0)</f>
        <v>86</v>
      </c>
    </row>
    <row r="3585" spans="1:8" x14ac:dyDescent="0.35">
      <c r="A3585" t="s">
        <v>3560</v>
      </c>
      <c r="B3585" t="s">
        <v>3609</v>
      </c>
      <c r="C3585">
        <v>477</v>
      </c>
      <c r="D3585">
        <v>381</v>
      </c>
      <c r="E3585" t="s">
        <v>21</v>
      </c>
      <c r="F3585">
        <f>tbl_AQI[[#This Row],[Most AQI Reached]]-tbl_AQI[[#This Row],[Current AQI]]</f>
        <v>96</v>
      </c>
      <c r="G35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85">
        <f>RANK(tbl_AQI[[#This Row],[Current AQI]], tbl_AQI[Current AQI], 0)</f>
        <v>478</v>
      </c>
    </row>
    <row r="3586" spans="1:8" x14ac:dyDescent="0.35">
      <c r="A3586" t="s">
        <v>3560</v>
      </c>
      <c r="B3586" t="s">
        <v>3610</v>
      </c>
      <c r="C3586">
        <v>350</v>
      </c>
      <c r="D3586">
        <v>196</v>
      </c>
      <c r="E3586" t="s">
        <v>7</v>
      </c>
      <c r="F3586">
        <f>tbl_AQI[[#This Row],[Most AQI Reached]]-tbl_AQI[[#This Row],[Current AQI]]</f>
        <v>154</v>
      </c>
      <c r="G35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86">
        <f>RANK(tbl_AQI[[#This Row],[Current AQI]], tbl_AQI[Current AQI], 0)</f>
        <v>1329</v>
      </c>
    </row>
    <row r="3587" spans="1:8" x14ac:dyDescent="0.35">
      <c r="A3587" t="s">
        <v>3560</v>
      </c>
      <c r="B3587" t="s">
        <v>3611</v>
      </c>
      <c r="C3587">
        <v>404</v>
      </c>
      <c r="D3587">
        <v>313</v>
      </c>
      <c r="E3587" t="s">
        <v>15</v>
      </c>
      <c r="F3587">
        <f>tbl_AQI[[#This Row],[Most AQI Reached]]-tbl_AQI[[#This Row],[Current AQI]]</f>
        <v>91</v>
      </c>
      <c r="G35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87">
        <f>RANK(tbl_AQI[[#This Row],[Current AQI]], tbl_AQI[Current AQI], 0)</f>
        <v>809</v>
      </c>
    </row>
    <row r="3588" spans="1:8" x14ac:dyDescent="0.35">
      <c r="A3588" t="s">
        <v>3560</v>
      </c>
      <c r="B3588" t="s">
        <v>3612</v>
      </c>
      <c r="C3588">
        <v>379</v>
      </c>
      <c r="D3588">
        <v>315</v>
      </c>
      <c r="E3588" t="s">
        <v>17</v>
      </c>
      <c r="F3588">
        <f>tbl_AQI[[#This Row],[Most AQI Reached]]-tbl_AQI[[#This Row],[Current AQI]]</f>
        <v>64</v>
      </c>
      <c r="G35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88">
        <f>RANK(tbl_AQI[[#This Row],[Current AQI]], tbl_AQI[Current AQI], 0)</f>
        <v>804</v>
      </c>
    </row>
    <row r="3589" spans="1:8" x14ac:dyDescent="0.35">
      <c r="A3589" t="s">
        <v>3560</v>
      </c>
      <c r="B3589" t="s">
        <v>3613</v>
      </c>
      <c r="C3589">
        <v>407</v>
      </c>
      <c r="D3589">
        <v>200</v>
      </c>
      <c r="E3589" t="s">
        <v>11</v>
      </c>
      <c r="F3589">
        <f>tbl_AQI[[#This Row],[Most AQI Reached]]-tbl_AQI[[#This Row],[Current AQI]]</f>
        <v>207</v>
      </c>
      <c r="G35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89">
        <f>RANK(tbl_AQI[[#This Row],[Current AQI]], tbl_AQI[Current AQI], 0)</f>
        <v>1311</v>
      </c>
    </row>
    <row r="3590" spans="1:8" x14ac:dyDescent="0.35">
      <c r="A3590" t="s">
        <v>3560</v>
      </c>
      <c r="B3590" t="s">
        <v>3614</v>
      </c>
      <c r="C3590">
        <v>445</v>
      </c>
      <c r="D3590">
        <v>374</v>
      </c>
      <c r="E3590" t="s">
        <v>9</v>
      </c>
      <c r="F3590">
        <f>tbl_AQI[[#This Row],[Most AQI Reached]]-tbl_AQI[[#This Row],[Current AQI]]</f>
        <v>71</v>
      </c>
      <c r="G35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90">
        <f>RANK(tbl_AQI[[#This Row],[Current AQI]], tbl_AQI[Current AQI], 0)</f>
        <v>521</v>
      </c>
    </row>
    <row r="3591" spans="1:8" x14ac:dyDescent="0.35">
      <c r="A3591" t="s">
        <v>3560</v>
      </c>
      <c r="B3591" t="s">
        <v>3615</v>
      </c>
      <c r="C3591">
        <v>294</v>
      </c>
      <c r="D3591">
        <v>153</v>
      </c>
      <c r="E3591" t="s">
        <v>9</v>
      </c>
      <c r="F3591">
        <f>tbl_AQI[[#This Row],[Most AQI Reached]]-tbl_AQI[[#This Row],[Current AQI]]</f>
        <v>141</v>
      </c>
      <c r="G35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91">
        <f>RANK(tbl_AQI[[#This Row],[Current AQI]], tbl_AQI[Current AQI], 0)</f>
        <v>2329</v>
      </c>
    </row>
    <row r="3592" spans="1:8" x14ac:dyDescent="0.35">
      <c r="A3592" t="s">
        <v>3560</v>
      </c>
      <c r="B3592" t="s">
        <v>3616</v>
      </c>
      <c r="C3592">
        <v>476</v>
      </c>
      <c r="D3592">
        <v>189</v>
      </c>
      <c r="E3592" t="s">
        <v>15</v>
      </c>
      <c r="F3592">
        <f>tbl_AQI[[#This Row],[Most AQI Reached]]-tbl_AQI[[#This Row],[Current AQI]]</f>
        <v>287</v>
      </c>
      <c r="G35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92">
        <f>RANK(tbl_AQI[[#This Row],[Current AQI]], tbl_AQI[Current AQI], 0)</f>
        <v>1395</v>
      </c>
    </row>
    <row r="3593" spans="1:8" x14ac:dyDescent="0.35">
      <c r="A3593" t="s">
        <v>3560</v>
      </c>
      <c r="B3593" t="s">
        <v>3617</v>
      </c>
      <c r="C3593">
        <v>446</v>
      </c>
      <c r="D3593">
        <v>229</v>
      </c>
      <c r="E3593" t="s">
        <v>15</v>
      </c>
      <c r="F3593">
        <f>tbl_AQI[[#This Row],[Most AQI Reached]]-tbl_AQI[[#This Row],[Current AQI]]</f>
        <v>217</v>
      </c>
      <c r="G35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93">
        <f>RANK(tbl_AQI[[#This Row],[Current AQI]], tbl_AQI[Current AQI], 0)</f>
        <v>1190</v>
      </c>
    </row>
    <row r="3594" spans="1:8" x14ac:dyDescent="0.35">
      <c r="A3594" t="s">
        <v>3560</v>
      </c>
      <c r="B3594" t="s">
        <v>3618</v>
      </c>
      <c r="C3594">
        <v>401</v>
      </c>
      <c r="D3594">
        <v>343</v>
      </c>
      <c r="E3594" t="s">
        <v>21</v>
      </c>
      <c r="F3594">
        <f>tbl_AQI[[#This Row],[Most AQI Reached]]-tbl_AQI[[#This Row],[Current AQI]]</f>
        <v>58</v>
      </c>
      <c r="G35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94">
        <f>RANK(tbl_AQI[[#This Row],[Current AQI]], tbl_AQI[Current AQI], 0)</f>
        <v>662</v>
      </c>
    </row>
    <row r="3595" spans="1:8" x14ac:dyDescent="0.35">
      <c r="A3595" t="s">
        <v>3560</v>
      </c>
      <c r="B3595" t="s">
        <v>3619</v>
      </c>
      <c r="C3595">
        <v>406</v>
      </c>
      <c r="D3595">
        <v>338</v>
      </c>
      <c r="E3595" t="s">
        <v>9</v>
      </c>
      <c r="F3595">
        <f>tbl_AQI[[#This Row],[Most AQI Reached]]-tbl_AQI[[#This Row],[Current AQI]]</f>
        <v>68</v>
      </c>
      <c r="G35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95">
        <f>RANK(tbl_AQI[[#This Row],[Current AQI]], tbl_AQI[Current AQI], 0)</f>
        <v>687</v>
      </c>
    </row>
    <row r="3596" spans="1:8" x14ac:dyDescent="0.35">
      <c r="A3596" t="s">
        <v>3560</v>
      </c>
      <c r="B3596" t="s">
        <v>3620</v>
      </c>
      <c r="C3596">
        <v>461</v>
      </c>
      <c r="D3596">
        <v>394</v>
      </c>
      <c r="E3596" t="s">
        <v>21</v>
      </c>
      <c r="F3596">
        <f>tbl_AQI[[#This Row],[Most AQI Reached]]-tbl_AQI[[#This Row],[Current AQI]]</f>
        <v>67</v>
      </c>
      <c r="G35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96">
        <f>RANK(tbl_AQI[[#This Row],[Current AQI]], tbl_AQI[Current AQI], 0)</f>
        <v>425</v>
      </c>
    </row>
    <row r="3597" spans="1:8" x14ac:dyDescent="0.35">
      <c r="A3597" t="s">
        <v>3560</v>
      </c>
      <c r="B3597" t="s">
        <v>3621</v>
      </c>
      <c r="C3597">
        <v>229</v>
      </c>
      <c r="D3597">
        <v>178</v>
      </c>
      <c r="E3597" t="s">
        <v>9</v>
      </c>
      <c r="F3597">
        <f>tbl_AQI[[#This Row],[Most AQI Reached]]-tbl_AQI[[#This Row],[Current AQI]]</f>
        <v>51</v>
      </c>
      <c r="G35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597">
        <f>RANK(tbl_AQI[[#This Row],[Current AQI]], tbl_AQI[Current AQI], 0)</f>
        <v>1702</v>
      </c>
    </row>
    <row r="3598" spans="1:8" x14ac:dyDescent="0.35">
      <c r="A3598" t="s">
        <v>3560</v>
      </c>
      <c r="B3598" t="s">
        <v>3622</v>
      </c>
      <c r="C3598">
        <v>381</v>
      </c>
      <c r="D3598">
        <v>339</v>
      </c>
      <c r="E3598" t="s">
        <v>9</v>
      </c>
      <c r="F3598">
        <f>tbl_AQI[[#This Row],[Most AQI Reached]]-tbl_AQI[[#This Row],[Current AQI]]</f>
        <v>42</v>
      </c>
      <c r="G35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598">
        <f>RANK(tbl_AQI[[#This Row],[Current AQI]], tbl_AQI[Current AQI], 0)</f>
        <v>681</v>
      </c>
    </row>
    <row r="3599" spans="1:8" x14ac:dyDescent="0.35">
      <c r="A3599" t="s">
        <v>3560</v>
      </c>
      <c r="B3599" t="s">
        <v>3623</v>
      </c>
      <c r="C3599">
        <v>332</v>
      </c>
      <c r="D3599">
        <v>256</v>
      </c>
      <c r="E3599" t="s">
        <v>15</v>
      </c>
      <c r="F3599">
        <f>tbl_AQI[[#This Row],[Most AQI Reached]]-tbl_AQI[[#This Row],[Current AQI]]</f>
        <v>76</v>
      </c>
      <c r="G35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599">
        <f>RANK(tbl_AQI[[#This Row],[Current AQI]], tbl_AQI[Current AQI], 0)</f>
        <v>1063</v>
      </c>
    </row>
    <row r="3600" spans="1:8" x14ac:dyDescent="0.35">
      <c r="A3600" t="s">
        <v>3560</v>
      </c>
      <c r="B3600" t="s">
        <v>3624</v>
      </c>
      <c r="C3600">
        <v>382</v>
      </c>
      <c r="D3600">
        <v>325</v>
      </c>
      <c r="E3600" t="s">
        <v>17</v>
      </c>
      <c r="F3600">
        <f>tbl_AQI[[#This Row],[Most AQI Reached]]-tbl_AQI[[#This Row],[Current AQI]]</f>
        <v>57</v>
      </c>
      <c r="G36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00">
        <f>RANK(tbl_AQI[[#This Row],[Current AQI]], tbl_AQI[Current AQI], 0)</f>
        <v>755</v>
      </c>
    </row>
    <row r="3601" spans="1:8" x14ac:dyDescent="0.35">
      <c r="A3601" t="s">
        <v>3560</v>
      </c>
      <c r="B3601" t="s">
        <v>3625</v>
      </c>
      <c r="C3601">
        <v>367</v>
      </c>
      <c r="D3601">
        <v>249</v>
      </c>
      <c r="E3601" t="s">
        <v>21</v>
      </c>
      <c r="F3601">
        <f>tbl_AQI[[#This Row],[Most AQI Reached]]-tbl_AQI[[#This Row],[Current AQI]]</f>
        <v>118</v>
      </c>
      <c r="G36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01">
        <f>RANK(tbl_AQI[[#This Row],[Current AQI]], tbl_AQI[Current AQI], 0)</f>
        <v>1096</v>
      </c>
    </row>
    <row r="3602" spans="1:8" x14ac:dyDescent="0.35">
      <c r="A3602" t="s">
        <v>3560</v>
      </c>
      <c r="B3602" t="s">
        <v>3626</v>
      </c>
      <c r="C3602">
        <v>385</v>
      </c>
      <c r="D3602">
        <v>237</v>
      </c>
      <c r="E3602" t="s">
        <v>33</v>
      </c>
      <c r="F3602">
        <f>tbl_AQI[[#This Row],[Most AQI Reached]]-tbl_AQI[[#This Row],[Current AQI]]</f>
        <v>148</v>
      </c>
      <c r="G36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02">
        <f>RANK(tbl_AQI[[#This Row],[Current AQI]], tbl_AQI[Current AQI], 0)</f>
        <v>1157</v>
      </c>
    </row>
    <row r="3603" spans="1:8" x14ac:dyDescent="0.35">
      <c r="A3603" t="s">
        <v>3560</v>
      </c>
      <c r="B3603" t="s">
        <v>3627</v>
      </c>
      <c r="C3603">
        <v>462</v>
      </c>
      <c r="D3603">
        <v>317</v>
      </c>
      <c r="E3603" t="s">
        <v>7</v>
      </c>
      <c r="F3603">
        <f>tbl_AQI[[#This Row],[Most AQI Reached]]-tbl_AQI[[#This Row],[Current AQI]]</f>
        <v>145</v>
      </c>
      <c r="G36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03">
        <f>RANK(tbl_AQI[[#This Row],[Current AQI]], tbl_AQI[Current AQI], 0)</f>
        <v>791</v>
      </c>
    </row>
    <row r="3604" spans="1:8" x14ac:dyDescent="0.35">
      <c r="A3604" t="s">
        <v>3560</v>
      </c>
      <c r="B3604" t="s">
        <v>3628</v>
      </c>
      <c r="C3604">
        <v>241</v>
      </c>
      <c r="D3604">
        <v>196</v>
      </c>
      <c r="E3604" t="s">
        <v>15</v>
      </c>
      <c r="F3604">
        <f>tbl_AQI[[#This Row],[Most AQI Reached]]-tbl_AQI[[#This Row],[Current AQI]]</f>
        <v>45</v>
      </c>
      <c r="G36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04">
        <f>RANK(tbl_AQI[[#This Row],[Current AQI]], tbl_AQI[Current AQI], 0)</f>
        <v>1329</v>
      </c>
    </row>
    <row r="3605" spans="1:8" x14ac:dyDescent="0.35">
      <c r="A3605" t="s">
        <v>3560</v>
      </c>
      <c r="B3605" t="s">
        <v>3629</v>
      </c>
      <c r="C3605">
        <v>493</v>
      </c>
      <c r="D3605">
        <v>198</v>
      </c>
      <c r="E3605" t="s">
        <v>9</v>
      </c>
      <c r="F3605">
        <f>tbl_AQI[[#This Row],[Most AQI Reached]]-tbl_AQI[[#This Row],[Current AQI]]</f>
        <v>295</v>
      </c>
      <c r="G36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05">
        <f>RANK(tbl_AQI[[#This Row],[Current AQI]], tbl_AQI[Current AQI], 0)</f>
        <v>1319</v>
      </c>
    </row>
    <row r="3606" spans="1:8" x14ac:dyDescent="0.35">
      <c r="A3606" t="s">
        <v>3560</v>
      </c>
      <c r="B3606" t="s">
        <v>3630</v>
      </c>
      <c r="C3606">
        <v>397</v>
      </c>
      <c r="D3606">
        <v>175</v>
      </c>
      <c r="E3606" t="s">
        <v>15</v>
      </c>
      <c r="F3606">
        <f>tbl_AQI[[#This Row],[Most AQI Reached]]-tbl_AQI[[#This Row],[Current AQI]]</f>
        <v>222</v>
      </c>
      <c r="G36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06">
        <f>RANK(tbl_AQI[[#This Row],[Current AQI]], tbl_AQI[Current AQI], 0)</f>
        <v>1780</v>
      </c>
    </row>
    <row r="3607" spans="1:8" x14ac:dyDescent="0.35">
      <c r="A3607" t="s">
        <v>3560</v>
      </c>
      <c r="B3607" t="s">
        <v>3631</v>
      </c>
      <c r="C3607">
        <v>407</v>
      </c>
      <c r="D3607">
        <v>376</v>
      </c>
      <c r="E3607" t="s">
        <v>7</v>
      </c>
      <c r="F3607">
        <f>tbl_AQI[[#This Row],[Most AQI Reached]]-tbl_AQI[[#This Row],[Current AQI]]</f>
        <v>31</v>
      </c>
      <c r="G36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07">
        <f>RANK(tbl_AQI[[#This Row],[Current AQI]], tbl_AQI[Current AQI], 0)</f>
        <v>507</v>
      </c>
    </row>
    <row r="3608" spans="1:8" x14ac:dyDescent="0.35">
      <c r="A3608" t="s">
        <v>3560</v>
      </c>
      <c r="B3608" t="s">
        <v>3632</v>
      </c>
      <c r="C3608">
        <v>253</v>
      </c>
      <c r="D3608">
        <v>154</v>
      </c>
      <c r="E3608" t="s">
        <v>7</v>
      </c>
      <c r="F3608">
        <f>tbl_AQI[[#This Row],[Most AQI Reached]]-tbl_AQI[[#This Row],[Current AQI]]</f>
        <v>99</v>
      </c>
      <c r="G36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08">
        <f>RANK(tbl_AQI[[#This Row],[Current AQI]], tbl_AQI[Current AQI], 0)</f>
        <v>2307</v>
      </c>
    </row>
    <row r="3609" spans="1:8" x14ac:dyDescent="0.35">
      <c r="A3609" t="s">
        <v>3560</v>
      </c>
      <c r="B3609" t="s">
        <v>3633</v>
      </c>
      <c r="C3609">
        <v>446</v>
      </c>
      <c r="D3609">
        <v>207</v>
      </c>
      <c r="E3609" t="s">
        <v>21</v>
      </c>
      <c r="F3609">
        <f>tbl_AQI[[#This Row],[Most AQI Reached]]-tbl_AQI[[#This Row],[Current AQI]]</f>
        <v>239</v>
      </c>
      <c r="G36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09">
        <f>RANK(tbl_AQI[[#This Row],[Current AQI]], tbl_AQI[Current AQI], 0)</f>
        <v>1287</v>
      </c>
    </row>
    <row r="3610" spans="1:8" x14ac:dyDescent="0.35">
      <c r="A3610" t="s">
        <v>3560</v>
      </c>
      <c r="B3610" t="s">
        <v>3634</v>
      </c>
      <c r="C3610">
        <v>360</v>
      </c>
      <c r="D3610">
        <v>205</v>
      </c>
      <c r="E3610" t="s">
        <v>17</v>
      </c>
      <c r="F3610">
        <f>tbl_AQI[[#This Row],[Most AQI Reached]]-tbl_AQI[[#This Row],[Current AQI]]</f>
        <v>155</v>
      </c>
      <c r="G36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10">
        <f>RANK(tbl_AQI[[#This Row],[Current AQI]], tbl_AQI[Current AQI], 0)</f>
        <v>1298</v>
      </c>
    </row>
    <row r="3611" spans="1:8" x14ac:dyDescent="0.35">
      <c r="A3611" t="s">
        <v>3560</v>
      </c>
      <c r="B3611" t="s">
        <v>3635</v>
      </c>
      <c r="C3611">
        <v>487</v>
      </c>
      <c r="D3611">
        <v>456</v>
      </c>
      <c r="E3611" t="s">
        <v>7</v>
      </c>
      <c r="F3611">
        <f>tbl_AQI[[#This Row],[Most AQI Reached]]-tbl_AQI[[#This Row],[Current AQI]]</f>
        <v>31</v>
      </c>
      <c r="G36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11">
        <f>RANK(tbl_AQI[[#This Row],[Current AQI]], tbl_AQI[Current AQI], 0)</f>
        <v>122</v>
      </c>
    </row>
    <row r="3612" spans="1:8" x14ac:dyDescent="0.35">
      <c r="A3612" t="s">
        <v>3560</v>
      </c>
      <c r="B3612" t="s">
        <v>3636</v>
      </c>
      <c r="C3612">
        <v>304</v>
      </c>
      <c r="D3612">
        <v>217</v>
      </c>
      <c r="E3612" t="s">
        <v>11</v>
      </c>
      <c r="F3612">
        <f>tbl_AQI[[#This Row],[Most AQI Reached]]-tbl_AQI[[#This Row],[Current AQI]]</f>
        <v>87</v>
      </c>
      <c r="G36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12">
        <f>RANK(tbl_AQI[[#This Row],[Current AQI]], tbl_AQI[Current AQI], 0)</f>
        <v>1242</v>
      </c>
    </row>
    <row r="3613" spans="1:8" x14ac:dyDescent="0.35">
      <c r="A3613" t="s">
        <v>3560</v>
      </c>
      <c r="B3613" t="s">
        <v>3637</v>
      </c>
      <c r="C3613">
        <v>497</v>
      </c>
      <c r="D3613">
        <v>267</v>
      </c>
      <c r="E3613" t="s">
        <v>9</v>
      </c>
      <c r="F3613">
        <f>tbl_AQI[[#This Row],[Most AQI Reached]]-tbl_AQI[[#This Row],[Current AQI]]</f>
        <v>230</v>
      </c>
      <c r="G36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13">
        <f>RANK(tbl_AQI[[#This Row],[Current AQI]], tbl_AQI[Current AQI], 0)</f>
        <v>1011</v>
      </c>
    </row>
    <row r="3614" spans="1:8" x14ac:dyDescent="0.35">
      <c r="A3614" t="s">
        <v>3560</v>
      </c>
      <c r="B3614" t="s">
        <v>3638</v>
      </c>
      <c r="C3614">
        <v>446</v>
      </c>
      <c r="D3614">
        <v>349</v>
      </c>
      <c r="E3614" t="s">
        <v>33</v>
      </c>
      <c r="F3614">
        <f>tbl_AQI[[#This Row],[Most AQI Reached]]-tbl_AQI[[#This Row],[Current AQI]]</f>
        <v>97</v>
      </c>
      <c r="G36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14">
        <f>RANK(tbl_AQI[[#This Row],[Current AQI]], tbl_AQI[Current AQI], 0)</f>
        <v>631</v>
      </c>
    </row>
    <row r="3615" spans="1:8" x14ac:dyDescent="0.35">
      <c r="A3615" t="s">
        <v>3560</v>
      </c>
      <c r="B3615" t="s">
        <v>3639</v>
      </c>
      <c r="C3615">
        <v>483</v>
      </c>
      <c r="D3615">
        <v>433</v>
      </c>
      <c r="E3615" t="s">
        <v>9</v>
      </c>
      <c r="F3615">
        <f>tbl_AQI[[#This Row],[Most AQI Reached]]-tbl_AQI[[#This Row],[Current AQI]]</f>
        <v>50</v>
      </c>
      <c r="G36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15">
        <f>RANK(tbl_AQI[[#This Row],[Current AQI]], tbl_AQI[Current AQI], 0)</f>
        <v>250</v>
      </c>
    </row>
    <row r="3616" spans="1:8" x14ac:dyDescent="0.35">
      <c r="A3616" t="s">
        <v>3560</v>
      </c>
      <c r="B3616" t="s">
        <v>3640</v>
      </c>
      <c r="C3616">
        <v>398</v>
      </c>
      <c r="D3616">
        <v>164</v>
      </c>
      <c r="E3616" t="s">
        <v>7</v>
      </c>
      <c r="F3616">
        <f>tbl_AQI[[#This Row],[Most AQI Reached]]-tbl_AQI[[#This Row],[Current AQI]]</f>
        <v>234</v>
      </c>
      <c r="G36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16">
        <f>RANK(tbl_AQI[[#This Row],[Current AQI]], tbl_AQI[Current AQI], 0)</f>
        <v>2049</v>
      </c>
    </row>
    <row r="3617" spans="1:8" x14ac:dyDescent="0.35">
      <c r="A3617" t="s">
        <v>3560</v>
      </c>
      <c r="B3617" t="s">
        <v>3641</v>
      </c>
      <c r="C3617">
        <v>481</v>
      </c>
      <c r="D3617">
        <v>398</v>
      </c>
      <c r="E3617" t="s">
        <v>9</v>
      </c>
      <c r="F3617">
        <f>tbl_AQI[[#This Row],[Most AQI Reached]]-tbl_AQI[[#This Row],[Current AQI]]</f>
        <v>83</v>
      </c>
      <c r="G36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17">
        <f>RANK(tbl_AQI[[#This Row],[Current AQI]], tbl_AQI[Current AQI], 0)</f>
        <v>404</v>
      </c>
    </row>
    <row r="3618" spans="1:8" x14ac:dyDescent="0.35">
      <c r="A3618" t="s">
        <v>3560</v>
      </c>
      <c r="B3618" t="s">
        <v>3642</v>
      </c>
      <c r="C3618">
        <v>484</v>
      </c>
      <c r="D3618">
        <v>274</v>
      </c>
      <c r="E3618" t="s">
        <v>33</v>
      </c>
      <c r="F3618">
        <f>tbl_AQI[[#This Row],[Most AQI Reached]]-tbl_AQI[[#This Row],[Current AQI]]</f>
        <v>210</v>
      </c>
      <c r="G36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18">
        <f>RANK(tbl_AQI[[#This Row],[Current AQI]], tbl_AQI[Current AQI], 0)</f>
        <v>984</v>
      </c>
    </row>
    <row r="3619" spans="1:8" x14ac:dyDescent="0.35">
      <c r="A3619" t="s">
        <v>3560</v>
      </c>
      <c r="B3619" t="s">
        <v>3643</v>
      </c>
      <c r="C3619">
        <v>414</v>
      </c>
      <c r="D3619">
        <v>225</v>
      </c>
      <c r="E3619" t="s">
        <v>9</v>
      </c>
      <c r="F3619">
        <f>tbl_AQI[[#This Row],[Most AQI Reached]]-tbl_AQI[[#This Row],[Current AQI]]</f>
        <v>189</v>
      </c>
      <c r="G36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19">
        <f>RANK(tbl_AQI[[#This Row],[Current AQI]], tbl_AQI[Current AQI], 0)</f>
        <v>1204</v>
      </c>
    </row>
    <row r="3620" spans="1:8" x14ac:dyDescent="0.35">
      <c r="A3620" t="s">
        <v>3560</v>
      </c>
      <c r="B3620" t="s">
        <v>3644</v>
      </c>
      <c r="C3620">
        <v>414</v>
      </c>
      <c r="D3620">
        <v>371</v>
      </c>
      <c r="E3620" t="s">
        <v>9</v>
      </c>
      <c r="F3620">
        <f>tbl_AQI[[#This Row],[Most AQI Reached]]-tbl_AQI[[#This Row],[Current AQI]]</f>
        <v>43</v>
      </c>
      <c r="G36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20">
        <f>RANK(tbl_AQI[[#This Row],[Current AQI]], tbl_AQI[Current AQI], 0)</f>
        <v>533</v>
      </c>
    </row>
    <row r="3621" spans="1:8" x14ac:dyDescent="0.35">
      <c r="A3621" t="s">
        <v>3560</v>
      </c>
      <c r="B3621" t="s">
        <v>3645</v>
      </c>
      <c r="C3621">
        <v>458</v>
      </c>
      <c r="D3621">
        <v>164</v>
      </c>
      <c r="E3621" t="s">
        <v>9</v>
      </c>
      <c r="F3621">
        <f>tbl_AQI[[#This Row],[Most AQI Reached]]-tbl_AQI[[#This Row],[Current AQI]]</f>
        <v>294</v>
      </c>
      <c r="G36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21">
        <f>RANK(tbl_AQI[[#This Row],[Current AQI]], tbl_AQI[Current AQI], 0)</f>
        <v>2049</v>
      </c>
    </row>
    <row r="3622" spans="1:8" x14ac:dyDescent="0.35">
      <c r="A3622" t="s">
        <v>3560</v>
      </c>
      <c r="B3622" t="s">
        <v>3646</v>
      </c>
      <c r="C3622">
        <v>374</v>
      </c>
      <c r="D3622">
        <v>241</v>
      </c>
      <c r="E3622" t="s">
        <v>11</v>
      </c>
      <c r="F3622">
        <f>tbl_AQI[[#This Row],[Most AQI Reached]]-tbl_AQI[[#This Row],[Current AQI]]</f>
        <v>133</v>
      </c>
      <c r="G36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22">
        <f>RANK(tbl_AQI[[#This Row],[Current AQI]], tbl_AQI[Current AQI], 0)</f>
        <v>1139</v>
      </c>
    </row>
    <row r="3623" spans="1:8" x14ac:dyDescent="0.35">
      <c r="A3623" t="s">
        <v>3560</v>
      </c>
      <c r="B3623" t="s">
        <v>3647</v>
      </c>
      <c r="C3623">
        <v>470</v>
      </c>
      <c r="D3623">
        <v>469</v>
      </c>
      <c r="E3623" t="s">
        <v>9</v>
      </c>
      <c r="F3623">
        <f>tbl_AQI[[#This Row],[Most AQI Reached]]-tbl_AQI[[#This Row],[Current AQI]]</f>
        <v>1</v>
      </c>
      <c r="G36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23">
        <f>RANK(tbl_AQI[[#This Row],[Current AQI]], tbl_AQI[Current AQI], 0)</f>
        <v>59</v>
      </c>
    </row>
    <row r="3624" spans="1:8" x14ac:dyDescent="0.35">
      <c r="A3624" t="s">
        <v>3560</v>
      </c>
      <c r="B3624" t="s">
        <v>3648</v>
      </c>
      <c r="C3624">
        <v>288</v>
      </c>
      <c r="D3624">
        <v>233</v>
      </c>
      <c r="E3624" t="s">
        <v>21</v>
      </c>
      <c r="F3624">
        <f>tbl_AQI[[#This Row],[Most AQI Reached]]-tbl_AQI[[#This Row],[Current AQI]]</f>
        <v>55</v>
      </c>
      <c r="G36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24">
        <f>RANK(tbl_AQI[[#This Row],[Current AQI]], tbl_AQI[Current AQI], 0)</f>
        <v>1175</v>
      </c>
    </row>
    <row r="3625" spans="1:8" x14ac:dyDescent="0.35">
      <c r="A3625" t="s">
        <v>3560</v>
      </c>
      <c r="B3625" t="s">
        <v>3649</v>
      </c>
      <c r="C3625">
        <v>322</v>
      </c>
      <c r="D3625">
        <v>277</v>
      </c>
      <c r="E3625" t="s">
        <v>21</v>
      </c>
      <c r="F3625">
        <f>tbl_AQI[[#This Row],[Most AQI Reached]]-tbl_AQI[[#This Row],[Current AQI]]</f>
        <v>45</v>
      </c>
      <c r="G36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25">
        <f>RANK(tbl_AQI[[#This Row],[Current AQI]], tbl_AQI[Current AQI], 0)</f>
        <v>968</v>
      </c>
    </row>
    <row r="3626" spans="1:8" x14ac:dyDescent="0.35">
      <c r="A3626" t="s">
        <v>3560</v>
      </c>
      <c r="B3626" t="s">
        <v>3650</v>
      </c>
      <c r="C3626">
        <v>500</v>
      </c>
      <c r="D3626">
        <v>431</v>
      </c>
      <c r="E3626" t="s">
        <v>21</v>
      </c>
      <c r="F3626">
        <f>tbl_AQI[[#This Row],[Most AQI Reached]]-tbl_AQI[[#This Row],[Current AQI]]</f>
        <v>69</v>
      </c>
      <c r="G36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26">
        <f>RANK(tbl_AQI[[#This Row],[Current AQI]], tbl_AQI[Current AQI], 0)</f>
        <v>260</v>
      </c>
    </row>
    <row r="3627" spans="1:8" x14ac:dyDescent="0.35">
      <c r="A3627" t="s">
        <v>3560</v>
      </c>
      <c r="B3627" t="s">
        <v>3651</v>
      </c>
      <c r="C3627">
        <v>401</v>
      </c>
      <c r="D3627">
        <v>400</v>
      </c>
      <c r="E3627" t="s">
        <v>9</v>
      </c>
      <c r="F3627">
        <f>tbl_AQI[[#This Row],[Most AQI Reached]]-tbl_AQI[[#This Row],[Current AQI]]</f>
        <v>1</v>
      </c>
      <c r="G36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27">
        <f>RANK(tbl_AQI[[#This Row],[Current AQI]], tbl_AQI[Current AQI], 0)</f>
        <v>392</v>
      </c>
    </row>
    <row r="3628" spans="1:8" x14ac:dyDescent="0.35">
      <c r="A3628" t="s">
        <v>3560</v>
      </c>
      <c r="B3628" t="s">
        <v>3652</v>
      </c>
      <c r="C3628">
        <v>446</v>
      </c>
      <c r="D3628">
        <v>439</v>
      </c>
      <c r="E3628" t="s">
        <v>21</v>
      </c>
      <c r="F3628">
        <f>tbl_AQI[[#This Row],[Most AQI Reached]]-tbl_AQI[[#This Row],[Current AQI]]</f>
        <v>7</v>
      </c>
      <c r="G36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28">
        <f>RANK(tbl_AQI[[#This Row],[Current AQI]], tbl_AQI[Current AQI], 0)</f>
        <v>215</v>
      </c>
    </row>
    <row r="3629" spans="1:8" x14ac:dyDescent="0.35">
      <c r="A3629" t="s">
        <v>3560</v>
      </c>
      <c r="B3629" t="s">
        <v>3653</v>
      </c>
      <c r="C3629">
        <v>289</v>
      </c>
      <c r="D3629">
        <v>271</v>
      </c>
      <c r="E3629" t="s">
        <v>21</v>
      </c>
      <c r="F3629">
        <f>tbl_AQI[[#This Row],[Most AQI Reached]]-tbl_AQI[[#This Row],[Current AQI]]</f>
        <v>18</v>
      </c>
      <c r="G36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29">
        <f>RANK(tbl_AQI[[#This Row],[Current AQI]], tbl_AQI[Current AQI], 0)</f>
        <v>995</v>
      </c>
    </row>
    <row r="3630" spans="1:8" x14ac:dyDescent="0.35">
      <c r="A3630" t="s">
        <v>3560</v>
      </c>
      <c r="B3630" t="s">
        <v>3654</v>
      </c>
      <c r="C3630">
        <v>393</v>
      </c>
      <c r="D3630">
        <v>267</v>
      </c>
      <c r="E3630" t="s">
        <v>11</v>
      </c>
      <c r="F3630">
        <f>tbl_AQI[[#This Row],[Most AQI Reached]]-tbl_AQI[[#This Row],[Current AQI]]</f>
        <v>126</v>
      </c>
      <c r="G36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30">
        <f>RANK(tbl_AQI[[#This Row],[Current AQI]], tbl_AQI[Current AQI], 0)</f>
        <v>1011</v>
      </c>
    </row>
    <row r="3631" spans="1:8" x14ac:dyDescent="0.35">
      <c r="A3631" t="s">
        <v>3560</v>
      </c>
      <c r="B3631" t="s">
        <v>3655</v>
      </c>
      <c r="C3631">
        <v>396</v>
      </c>
      <c r="D3631">
        <v>309</v>
      </c>
      <c r="E3631" t="s">
        <v>33</v>
      </c>
      <c r="F3631">
        <f>tbl_AQI[[#This Row],[Most AQI Reached]]-tbl_AQI[[#This Row],[Current AQI]]</f>
        <v>87</v>
      </c>
      <c r="G36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31">
        <f>RANK(tbl_AQI[[#This Row],[Current AQI]], tbl_AQI[Current AQI], 0)</f>
        <v>822</v>
      </c>
    </row>
    <row r="3632" spans="1:8" x14ac:dyDescent="0.35">
      <c r="A3632" t="s">
        <v>3560</v>
      </c>
      <c r="B3632" t="s">
        <v>3656</v>
      </c>
      <c r="C3632">
        <v>390</v>
      </c>
      <c r="D3632">
        <v>180</v>
      </c>
      <c r="E3632" t="s">
        <v>21</v>
      </c>
      <c r="F3632">
        <f>tbl_AQI[[#This Row],[Most AQI Reached]]-tbl_AQI[[#This Row],[Current AQI]]</f>
        <v>210</v>
      </c>
      <c r="G36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32">
        <f>RANK(tbl_AQI[[#This Row],[Current AQI]], tbl_AQI[Current AQI], 0)</f>
        <v>1635</v>
      </c>
    </row>
    <row r="3633" spans="1:8" x14ac:dyDescent="0.35">
      <c r="A3633" t="s">
        <v>3560</v>
      </c>
      <c r="B3633" t="s">
        <v>3657</v>
      </c>
      <c r="C3633">
        <v>346</v>
      </c>
      <c r="D3633">
        <v>216</v>
      </c>
      <c r="E3633" t="s">
        <v>9</v>
      </c>
      <c r="F3633">
        <f>tbl_AQI[[#This Row],[Most AQI Reached]]-tbl_AQI[[#This Row],[Current AQI]]</f>
        <v>130</v>
      </c>
      <c r="G36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33">
        <f>RANK(tbl_AQI[[#This Row],[Current AQI]], tbl_AQI[Current AQI], 0)</f>
        <v>1246</v>
      </c>
    </row>
    <row r="3634" spans="1:8" x14ac:dyDescent="0.35">
      <c r="A3634" t="s">
        <v>3560</v>
      </c>
      <c r="B3634" t="s">
        <v>3658</v>
      </c>
      <c r="C3634">
        <v>400</v>
      </c>
      <c r="D3634">
        <v>382</v>
      </c>
      <c r="E3634" t="s">
        <v>21</v>
      </c>
      <c r="F3634">
        <f>tbl_AQI[[#This Row],[Most AQI Reached]]-tbl_AQI[[#This Row],[Current AQI]]</f>
        <v>18</v>
      </c>
      <c r="G36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34">
        <f>RANK(tbl_AQI[[#This Row],[Current AQI]], tbl_AQI[Current AQI], 0)</f>
        <v>471</v>
      </c>
    </row>
    <row r="3635" spans="1:8" x14ac:dyDescent="0.35">
      <c r="A3635" t="s">
        <v>3560</v>
      </c>
      <c r="B3635" t="s">
        <v>3659</v>
      </c>
      <c r="C3635">
        <v>379</v>
      </c>
      <c r="D3635">
        <v>348</v>
      </c>
      <c r="E3635" t="s">
        <v>7</v>
      </c>
      <c r="F3635">
        <f>tbl_AQI[[#This Row],[Most AQI Reached]]-tbl_AQI[[#This Row],[Current AQI]]</f>
        <v>31</v>
      </c>
      <c r="G36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35">
        <f>RANK(tbl_AQI[[#This Row],[Current AQI]], tbl_AQI[Current AQI], 0)</f>
        <v>641</v>
      </c>
    </row>
    <row r="3636" spans="1:8" x14ac:dyDescent="0.35">
      <c r="A3636" t="s">
        <v>3560</v>
      </c>
      <c r="B3636" t="s">
        <v>3660</v>
      </c>
      <c r="C3636">
        <v>462</v>
      </c>
      <c r="D3636">
        <v>405</v>
      </c>
      <c r="E3636" t="s">
        <v>9</v>
      </c>
      <c r="F3636">
        <f>tbl_AQI[[#This Row],[Most AQI Reached]]-tbl_AQI[[#This Row],[Current AQI]]</f>
        <v>57</v>
      </c>
      <c r="G36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36">
        <f>RANK(tbl_AQI[[#This Row],[Current AQI]], tbl_AQI[Current AQI], 0)</f>
        <v>370</v>
      </c>
    </row>
    <row r="3637" spans="1:8" x14ac:dyDescent="0.35">
      <c r="A3637" t="s">
        <v>3560</v>
      </c>
      <c r="B3637" t="s">
        <v>3661</v>
      </c>
      <c r="C3637">
        <v>410</v>
      </c>
      <c r="D3637">
        <v>173</v>
      </c>
      <c r="E3637" t="s">
        <v>15</v>
      </c>
      <c r="F3637">
        <f>tbl_AQI[[#This Row],[Most AQI Reached]]-tbl_AQI[[#This Row],[Current AQI]]</f>
        <v>237</v>
      </c>
      <c r="G36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37">
        <f>RANK(tbl_AQI[[#This Row],[Current AQI]], tbl_AQI[Current AQI], 0)</f>
        <v>1826</v>
      </c>
    </row>
    <row r="3638" spans="1:8" x14ac:dyDescent="0.35">
      <c r="A3638" t="s">
        <v>3560</v>
      </c>
      <c r="B3638" t="s">
        <v>3662</v>
      </c>
      <c r="C3638">
        <v>413</v>
      </c>
      <c r="D3638">
        <v>209</v>
      </c>
      <c r="E3638" t="s">
        <v>33</v>
      </c>
      <c r="F3638">
        <f>tbl_AQI[[#This Row],[Most AQI Reached]]-tbl_AQI[[#This Row],[Current AQI]]</f>
        <v>204</v>
      </c>
      <c r="G36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38">
        <f>RANK(tbl_AQI[[#This Row],[Current AQI]], tbl_AQI[Current AQI], 0)</f>
        <v>1277</v>
      </c>
    </row>
    <row r="3639" spans="1:8" x14ac:dyDescent="0.35">
      <c r="A3639" t="s">
        <v>3560</v>
      </c>
      <c r="B3639" t="s">
        <v>3663</v>
      </c>
      <c r="C3639">
        <v>289</v>
      </c>
      <c r="D3639">
        <v>256</v>
      </c>
      <c r="E3639" t="s">
        <v>17</v>
      </c>
      <c r="F3639">
        <f>tbl_AQI[[#This Row],[Most AQI Reached]]-tbl_AQI[[#This Row],[Current AQI]]</f>
        <v>33</v>
      </c>
      <c r="G36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39">
        <f>RANK(tbl_AQI[[#This Row],[Current AQI]], tbl_AQI[Current AQI], 0)</f>
        <v>1063</v>
      </c>
    </row>
    <row r="3640" spans="1:8" x14ac:dyDescent="0.35">
      <c r="A3640" t="s">
        <v>3560</v>
      </c>
      <c r="B3640" t="s">
        <v>3664</v>
      </c>
      <c r="C3640">
        <v>390</v>
      </c>
      <c r="D3640">
        <v>372</v>
      </c>
      <c r="E3640" t="s">
        <v>9</v>
      </c>
      <c r="F3640">
        <f>tbl_AQI[[#This Row],[Most AQI Reached]]-tbl_AQI[[#This Row],[Current AQI]]</f>
        <v>18</v>
      </c>
      <c r="G36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40">
        <f>RANK(tbl_AQI[[#This Row],[Current AQI]], tbl_AQI[Current AQI], 0)</f>
        <v>529</v>
      </c>
    </row>
    <row r="3641" spans="1:8" x14ac:dyDescent="0.35">
      <c r="A3641" t="s">
        <v>3560</v>
      </c>
      <c r="B3641" t="s">
        <v>3665</v>
      </c>
      <c r="C3641">
        <v>481</v>
      </c>
      <c r="D3641">
        <v>339</v>
      </c>
      <c r="E3641" t="s">
        <v>9</v>
      </c>
      <c r="F3641">
        <f>tbl_AQI[[#This Row],[Most AQI Reached]]-tbl_AQI[[#This Row],[Current AQI]]</f>
        <v>142</v>
      </c>
      <c r="G36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41">
        <f>RANK(tbl_AQI[[#This Row],[Current AQI]], tbl_AQI[Current AQI], 0)</f>
        <v>681</v>
      </c>
    </row>
    <row r="3642" spans="1:8" x14ac:dyDescent="0.35">
      <c r="A3642" t="s">
        <v>3560</v>
      </c>
      <c r="B3642" t="s">
        <v>3666</v>
      </c>
      <c r="C3642">
        <v>384</v>
      </c>
      <c r="D3642">
        <v>180</v>
      </c>
      <c r="E3642" t="s">
        <v>11</v>
      </c>
      <c r="F3642">
        <f>tbl_AQI[[#This Row],[Most AQI Reached]]-tbl_AQI[[#This Row],[Current AQI]]</f>
        <v>204</v>
      </c>
      <c r="G36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42">
        <f>RANK(tbl_AQI[[#This Row],[Current AQI]], tbl_AQI[Current AQI], 0)</f>
        <v>1635</v>
      </c>
    </row>
    <row r="3643" spans="1:8" x14ac:dyDescent="0.35">
      <c r="A3643" t="s">
        <v>3560</v>
      </c>
      <c r="B3643" t="s">
        <v>3667</v>
      </c>
      <c r="C3643">
        <v>446</v>
      </c>
      <c r="D3643">
        <v>441</v>
      </c>
      <c r="E3643" t="s">
        <v>7</v>
      </c>
      <c r="F3643">
        <f>tbl_AQI[[#This Row],[Most AQI Reached]]-tbl_AQI[[#This Row],[Current AQI]]</f>
        <v>5</v>
      </c>
      <c r="G36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43">
        <f>RANK(tbl_AQI[[#This Row],[Current AQI]], tbl_AQI[Current AQI], 0)</f>
        <v>203</v>
      </c>
    </row>
    <row r="3644" spans="1:8" x14ac:dyDescent="0.35">
      <c r="A3644" t="s">
        <v>3560</v>
      </c>
      <c r="B3644" t="s">
        <v>3668</v>
      </c>
      <c r="C3644">
        <v>474</v>
      </c>
      <c r="D3644">
        <v>432</v>
      </c>
      <c r="E3644" t="s">
        <v>9</v>
      </c>
      <c r="F3644">
        <f>tbl_AQI[[#This Row],[Most AQI Reached]]-tbl_AQI[[#This Row],[Current AQI]]</f>
        <v>42</v>
      </c>
      <c r="G36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44">
        <f>RANK(tbl_AQI[[#This Row],[Current AQI]], tbl_AQI[Current AQI], 0)</f>
        <v>254</v>
      </c>
    </row>
    <row r="3645" spans="1:8" x14ac:dyDescent="0.35">
      <c r="A3645" t="s">
        <v>3560</v>
      </c>
      <c r="B3645" t="s">
        <v>3669</v>
      </c>
      <c r="C3645">
        <v>389</v>
      </c>
      <c r="D3645">
        <v>224</v>
      </c>
      <c r="E3645" t="s">
        <v>11</v>
      </c>
      <c r="F3645">
        <f>tbl_AQI[[#This Row],[Most AQI Reached]]-tbl_AQI[[#This Row],[Current AQI]]</f>
        <v>165</v>
      </c>
      <c r="G36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45">
        <f>RANK(tbl_AQI[[#This Row],[Current AQI]], tbl_AQI[Current AQI], 0)</f>
        <v>1211</v>
      </c>
    </row>
    <row r="3646" spans="1:8" x14ac:dyDescent="0.35">
      <c r="A3646" t="s">
        <v>3560</v>
      </c>
      <c r="B3646" t="s">
        <v>3670</v>
      </c>
      <c r="C3646">
        <v>286</v>
      </c>
      <c r="D3646">
        <v>266</v>
      </c>
      <c r="E3646" t="s">
        <v>11</v>
      </c>
      <c r="F3646">
        <f>tbl_AQI[[#This Row],[Most AQI Reached]]-tbl_AQI[[#This Row],[Current AQI]]</f>
        <v>20</v>
      </c>
      <c r="G36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46">
        <f>RANK(tbl_AQI[[#This Row],[Current AQI]], tbl_AQI[Current AQI], 0)</f>
        <v>1018</v>
      </c>
    </row>
    <row r="3647" spans="1:8" x14ac:dyDescent="0.35">
      <c r="A3647" t="s">
        <v>3560</v>
      </c>
      <c r="B3647" t="s">
        <v>3671</v>
      </c>
      <c r="C3647">
        <v>474</v>
      </c>
      <c r="D3647">
        <v>337</v>
      </c>
      <c r="E3647" t="s">
        <v>11</v>
      </c>
      <c r="F3647">
        <f>tbl_AQI[[#This Row],[Most AQI Reached]]-tbl_AQI[[#This Row],[Current AQI]]</f>
        <v>137</v>
      </c>
      <c r="G36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47">
        <f>RANK(tbl_AQI[[#This Row],[Current AQI]], tbl_AQI[Current AQI], 0)</f>
        <v>694</v>
      </c>
    </row>
    <row r="3648" spans="1:8" x14ac:dyDescent="0.35">
      <c r="A3648" t="s">
        <v>3560</v>
      </c>
      <c r="B3648" t="s">
        <v>3672</v>
      </c>
      <c r="C3648">
        <v>427</v>
      </c>
      <c r="D3648">
        <v>274</v>
      </c>
      <c r="E3648" t="s">
        <v>17</v>
      </c>
      <c r="F3648">
        <f>tbl_AQI[[#This Row],[Most AQI Reached]]-tbl_AQI[[#This Row],[Current AQI]]</f>
        <v>153</v>
      </c>
      <c r="G36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48">
        <f>RANK(tbl_AQI[[#This Row],[Current AQI]], tbl_AQI[Current AQI], 0)</f>
        <v>984</v>
      </c>
    </row>
    <row r="3649" spans="1:8" x14ac:dyDescent="0.35">
      <c r="A3649" t="s">
        <v>3560</v>
      </c>
      <c r="B3649" t="s">
        <v>3673</v>
      </c>
      <c r="C3649">
        <v>313</v>
      </c>
      <c r="D3649">
        <v>270</v>
      </c>
      <c r="E3649" t="s">
        <v>17</v>
      </c>
      <c r="F3649">
        <f>tbl_AQI[[#This Row],[Most AQI Reached]]-tbl_AQI[[#This Row],[Current AQI]]</f>
        <v>43</v>
      </c>
      <c r="G36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49">
        <f>RANK(tbl_AQI[[#This Row],[Current AQI]], tbl_AQI[Current AQI], 0)</f>
        <v>999</v>
      </c>
    </row>
    <row r="3650" spans="1:8" x14ac:dyDescent="0.35">
      <c r="A3650" t="s">
        <v>3560</v>
      </c>
      <c r="B3650" t="s">
        <v>3674</v>
      </c>
      <c r="C3650">
        <v>450</v>
      </c>
      <c r="D3650">
        <v>387</v>
      </c>
      <c r="E3650" t="s">
        <v>21</v>
      </c>
      <c r="F3650">
        <f>tbl_AQI[[#This Row],[Most AQI Reached]]-tbl_AQI[[#This Row],[Current AQI]]</f>
        <v>63</v>
      </c>
      <c r="G36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50">
        <f>RANK(tbl_AQI[[#This Row],[Current AQI]], tbl_AQI[Current AQI], 0)</f>
        <v>451</v>
      </c>
    </row>
    <row r="3651" spans="1:8" x14ac:dyDescent="0.35">
      <c r="A3651" t="s">
        <v>3560</v>
      </c>
      <c r="B3651" t="s">
        <v>3675</v>
      </c>
      <c r="C3651">
        <v>463</v>
      </c>
      <c r="D3651">
        <v>455</v>
      </c>
      <c r="E3651" t="s">
        <v>21</v>
      </c>
      <c r="F3651">
        <f>tbl_AQI[[#This Row],[Most AQI Reached]]-tbl_AQI[[#This Row],[Current AQI]]</f>
        <v>8</v>
      </c>
      <c r="G36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51">
        <f>RANK(tbl_AQI[[#This Row],[Current AQI]], tbl_AQI[Current AQI], 0)</f>
        <v>126</v>
      </c>
    </row>
    <row r="3652" spans="1:8" x14ac:dyDescent="0.35">
      <c r="A3652" t="s">
        <v>3560</v>
      </c>
      <c r="B3652" t="s">
        <v>3676</v>
      </c>
      <c r="C3652">
        <v>435</v>
      </c>
      <c r="D3652">
        <v>256</v>
      </c>
      <c r="E3652" t="s">
        <v>7</v>
      </c>
      <c r="F3652">
        <f>tbl_AQI[[#This Row],[Most AQI Reached]]-tbl_AQI[[#This Row],[Current AQI]]</f>
        <v>179</v>
      </c>
      <c r="G36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52">
        <f>RANK(tbl_AQI[[#This Row],[Current AQI]], tbl_AQI[Current AQI], 0)</f>
        <v>1063</v>
      </c>
    </row>
    <row r="3653" spans="1:8" x14ac:dyDescent="0.35">
      <c r="A3653" t="s">
        <v>3560</v>
      </c>
      <c r="B3653" t="s">
        <v>3677</v>
      </c>
      <c r="C3653">
        <v>459</v>
      </c>
      <c r="D3653">
        <v>414</v>
      </c>
      <c r="E3653" t="s">
        <v>7</v>
      </c>
      <c r="F3653">
        <f>tbl_AQI[[#This Row],[Most AQI Reached]]-tbl_AQI[[#This Row],[Current AQI]]</f>
        <v>45</v>
      </c>
      <c r="G36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53">
        <f>RANK(tbl_AQI[[#This Row],[Current AQI]], tbl_AQI[Current AQI], 0)</f>
        <v>329</v>
      </c>
    </row>
    <row r="3654" spans="1:8" x14ac:dyDescent="0.35">
      <c r="A3654" t="s">
        <v>3560</v>
      </c>
      <c r="B3654" t="s">
        <v>3678</v>
      </c>
      <c r="C3654">
        <v>487</v>
      </c>
      <c r="D3654">
        <v>479</v>
      </c>
      <c r="E3654" t="s">
        <v>7</v>
      </c>
      <c r="F3654">
        <f>tbl_AQI[[#This Row],[Most AQI Reached]]-tbl_AQI[[#This Row],[Current AQI]]</f>
        <v>8</v>
      </c>
      <c r="G36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54">
        <f>RANK(tbl_AQI[[#This Row],[Current AQI]], tbl_AQI[Current AQI], 0)</f>
        <v>6</v>
      </c>
    </row>
    <row r="3655" spans="1:8" x14ac:dyDescent="0.35">
      <c r="A3655" t="s">
        <v>3560</v>
      </c>
      <c r="B3655" t="s">
        <v>3679</v>
      </c>
      <c r="C3655">
        <v>365</v>
      </c>
      <c r="D3655">
        <v>354</v>
      </c>
      <c r="E3655" t="s">
        <v>9</v>
      </c>
      <c r="F3655">
        <f>tbl_AQI[[#This Row],[Most AQI Reached]]-tbl_AQI[[#This Row],[Current AQI]]</f>
        <v>11</v>
      </c>
      <c r="G36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55">
        <f>RANK(tbl_AQI[[#This Row],[Current AQI]], tbl_AQI[Current AQI], 0)</f>
        <v>602</v>
      </c>
    </row>
    <row r="3656" spans="1:8" x14ac:dyDescent="0.35">
      <c r="A3656" t="s">
        <v>3560</v>
      </c>
      <c r="B3656" t="s">
        <v>3680</v>
      </c>
      <c r="C3656">
        <v>494</v>
      </c>
      <c r="D3656">
        <v>338</v>
      </c>
      <c r="E3656" t="s">
        <v>21</v>
      </c>
      <c r="F3656">
        <f>tbl_AQI[[#This Row],[Most AQI Reached]]-tbl_AQI[[#This Row],[Current AQI]]</f>
        <v>156</v>
      </c>
      <c r="G36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56">
        <f>RANK(tbl_AQI[[#This Row],[Current AQI]], tbl_AQI[Current AQI], 0)</f>
        <v>687</v>
      </c>
    </row>
    <row r="3657" spans="1:8" x14ac:dyDescent="0.35">
      <c r="A3657" t="s">
        <v>3560</v>
      </c>
      <c r="B3657" t="s">
        <v>3681</v>
      </c>
      <c r="C3657">
        <v>440</v>
      </c>
      <c r="D3657">
        <v>426</v>
      </c>
      <c r="E3657" t="s">
        <v>7</v>
      </c>
      <c r="F3657">
        <f>tbl_AQI[[#This Row],[Most AQI Reached]]-tbl_AQI[[#This Row],[Current AQI]]</f>
        <v>14</v>
      </c>
      <c r="G36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57">
        <f>RANK(tbl_AQI[[#This Row],[Current AQI]], tbl_AQI[Current AQI], 0)</f>
        <v>288</v>
      </c>
    </row>
    <row r="3658" spans="1:8" x14ac:dyDescent="0.35">
      <c r="A3658" t="s">
        <v>3560</v>
      </c>
      <c r="B3658" t="s">
        <v>3682</v>
      </c>
      <c r="C3658">
        <v>448</v>
      </c>
      <c r="D3658">
        <v>271</v>
      </c>
      <c r="E3658" t="s">
        <v>7</v>
      </c>
      <c r="F3658">
        <f>tbl_AQI[[#This Row],[Most AQI Reached]]-tbl_AQI[[#This Row],[Current AQI]]</f>
        <v>177</v>
      </c>
      <c r="G36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58">
        <f>RANK(tbl_AQI[[#This Row],[Current AQI]], tbl_AQI[Current AQI], 0)</f>
        <v>995</v>
      </c>
    </row>
    <row r="3659" spans="1:8" x14ac:dyDescent="0.35">
      <c r="A3659" t="s">
        <v>3560</v>
      </c>
      <c r="B3659" t="s">
        <v>3683</v>
      </c>
      <c r="C3659">
        <v>496</v>
      </c>
      <c r="D3659">
        <v>265</v>
      </c>
      <c r="E3659" t="s">
        <v>33</v>
      </c>
      <c r="F3659">
        <f>tbl_AQI[[#This Row],[Most AQI Reached]]-tbl_AQI[[#This Row],[Current AQI]]</f>
        <v>231</v>
      </c>
      <c r="G36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59">
        <f>RANK(tbl_AQI[[#This Row],[Current AQI]], tbl_AQI[Current AQI], 0)</f>
        <v>1022</v>
      </c>
    </row>
    <row r="3660" spans="1:8" x14ac:dyDescent="0.35">
      <c r="A3660" t="s">
        <v>3560</v>
      </c>
      <c r="B3660" t="s">
        <v>3684</v>
      </c>
      <c r="C3660">
        <v>493</v>
      </c>
      <c r="D3660">
        <v>298</v>
      </c>
      <c r="E3660" t="s">
        <v>33</v>
      </c>
      <c r="F3660">
        <f>tbl_AQI[[#This Row],[Most AQI Reached]]-tbl_AQI[[#This Row],[Current AQI]]</f>
        <v>195</v>
      </c>
      <c r="G36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60">
        <f>RANK(tbl_AQI[[#This Row],[Current AQI]], tbl_AQI[Current AQI], 0)</f>
        <v>866</v>
      </c>
    </row>
    <row r="3661" spans="1:8" x14ac:dyDescent="0.35">
      <c r="A3661" t="s">
        <v>3560</v>
      </c>
      <c r="B3661" t="s">
        <v>3685</v>
      </c>
      <c r="C3661">
        <v>418</v>
      </c>
      <c r="D3661">
        <v>345</v>
      </c>
      <c r="E3661" t="s">
        <v>7</v>
      </c>
      <c r="F3661">
        <f>tbl_AQI[[#This Row],[Most AQI Reached]]-tbl_AQI[[#This Row],[Current AQI]]</f>
        <v>73</v>
      </c>
      <c r="G36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61">
        <f>RANK(tbl_AQI[[#This Row],[Current AQI]], tbl_AQI[Current AQI], 0)</f>
        <v>651</v>
      </c>
    </row>
    <row r="3662" spans="1:8" x14ac:dyDescent="0.35">
      <c r="A3662" t="s">
        <v>3560</v>
      </c>
      <c r="B3662" t="s">
        <v>3686</v>
      </c>
      <c r="C3662">
        <v>298</v>
      </c>
      <c r="D3662">
        <v>190</v>
      </c>
      <c r="E3662" t="s">
        <v>11</v>
      </c>
      <c r="F3662">
        <f>tbl_AQI[[#This Row],[Most AQI Reached]]-tbl_AQI[[#This Row],[Current AQI]]</f>
        <v>108</v>
      </c>
      <c r="G36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62">
        <f>RANK(tbl_AQI[[#This Row],[Current AQI]], tbl_AQI[Current AQI], 0)</f>
        <v>1355</v>
      </c>
    </row>
    <row r="3663" spans="1:8" x14ac:dyDescent="0.35">
      <c r="A3663" t="s">
        <v>3560</v>
      </c>
      <c r="B3663" t="s">
        <v>3687</v>
      </c>
      <c r="C3663">
        <v>493</v>
      </c>
      <c r="D3663">
        <v>194</v>
      </c>
      <c r="E3663" t="s">
        <v>15</v>
      </c>
      <c r="F3663">
        <f>tbl_AQI[[#This Row],[Most AQI Reached]]-tbl_AQI[[#This Row],[Current AQI]]</f>
        <v>299</v>
      </c>
      <c r="G36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63">
        <f>RANK(tbl_AQI[[#This Row],[Current AQI]], tbl_AQI[Current AQI], 0)</f>
        <v>1334</v>
      </c>
    </row>
    <row r="3664" spans="1:8" x14ac:dyDescent="0.35">
      <c r="A3664" t="s">
        <v>3560</v>
      </c>
      <c r="B3664" t="s">
        <v>3688</v>
      </c>
      <c r="C3664">
        <v>353</v>
      </c>
      <c r="D3664">
        <v>187</v>
      </c>
      <c r="E3664" t="s">
        <v>17</v>
      </c>
      <c r="F3664">
        <f>tbl_AQI[[#This Row],[Most AQI Reached]]-tbl_AQI[[#This Row],[Current AQI]]</f>
        <v>166</v>
      </c>
      <c r="G36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64">
        <f>RANK(tbl_AQI[[#This Row],[Current AQI]], tbl_AQI[Current AQI], 0)</f>
        <v>1455</v>
      </c>
    </row>
    <row r="3665" spans="1:8" x14ac:dyDescent="0.35">
      <c r="A3665" t="s">
        <v>3560</v>
      </c>
      <c r="B3665" t="s">
        <v>3689</v>
      </c>
      <c r="C3665">
        <v>419</v>
      </c>
      <c r="D3665">
        <v>150</v>
      </c>
      <c r="E3665" t="s">
        <v>15</v>
      </c>
      <c r="F3665">
        <f>tbl_AQI[[#This Row],[Most AQI Reached]]-tbl_AQI[[#This Row],[Current AQI]]</f>
        <v>269</v>
      </c>
      <c r="G36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65">
        <f>RANK(tbl_AQI[[#This Row],[Current AQI]], tbl_AQI[Current AQI], 0)</f>
        <v>2400</v>
      </c>
    </row>
    <row r="3666" spans="1:8" x14ac:dyDescent="0.35">
      <c r="A3666" t="s">
        <v>3560</v>
      </c>
      <c r="B3666" t="s">
        <v>3690</v>
      </c>
      <c r="C3666">
        <v>474</v>
      </c>
      <c r="D3666">
        <v>292</v>
      </c>
      <c r="E3666" t="s">
        <v>33</v>
      </c>
      <c r="F3666">
        <f>tbl_AQI[[#This Row],[Most AQI Reached]]-tbl_AQI[[#This Row],[Current AQI]]</f>
        <v>182</v>
      </c>
      <c r="G36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66">
        <f>RANK(tbl_AQI[[#This Row],[Current AQI]], tbl_AQI[Current AQI], 0)</f>
        <v>892</v>
      </c>
    </row>
    <row r="3667" spans="1:8" x14ac:dyDescent="0.35">
      <c r="A3667" t="s">
        <v>3560</v>
      </c>
      <c r="B3667" t="s">
        <v>3691</v>
      </c>
      <c r="C3667">
        <v>349</v>
      </c>
      <c r="D3667">
        <v>271</v>
      </c>
      <c r="E3667" t="s">
        <v>21</v>
      </c>
      <c r="F3667">
        <f>tbl_AQI[[#This Row],[Most AQI Reached]]-tbl_AQI[[#This Row],[Current AQI]]</f>
        <v>78</v>
      </c>
      <c r="G36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67">
        <f>RANK(tbl_AQI[[#This Row],[Current AQI]], tbl_AQI[Current AQI], 0)</f>
        <v>995</v>
      </c>
    </row>
    <row r="3668" spans="1:8" x14ac:dyDescent="0.35">
      <c r="A3668" t="s">
        <v>3560</v>
      </c>
      <c r="B3668" t="s">
        <v>3692</v>
      </c>
      <c r="C3668">
        <v>267</v>
      </c>
      <c r="D3668">
        <v>257</v>
      </c>
      <c r="E3668" t="s">
        <v>7</v>
      </c>
      <c r="F3668">
        <f>tbl_AQI[[#This Row],[Most AQI Reached]]-tbl_AQI[[#This Row],[Current AQI]]</f>
        <v>10</v>
      </c>
      <c r="G36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68">
        <f>RANK(tbl_AQI[[#This Row],[Current AQI]], tbl_AQI[Current AQI], 0)</f>
        <v>1058</v>
      </c>
    </row>
    <row r="3669" spans="1:8" x14ac:dyDescent="0.35">
      <c r="A3669" t="s">
        <v>3560</v>
      </c>
      <c r="B3669" t="s">
        <v>3693</v>
      </c>
      <c r="C3669">
        <v>454</v>
      </c>
      <c r="D3669">
        <v>446</v>
      </c>
      <c r="E3669" t="s">
        <v>9</v>
      </c>
      <c r="F3669">
        <f>tbl_AQI[[#This Row],[Most AQI Reached]]-tbl_AQI[[#This Row],[Current AQI]]</f>
        <v>8</v>
      </c>
      <c r="G36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69">
        <f>RANK(tbl_AQI[[#This Row],[Current AQI]], tbl_AQI[Current AQI], 0)</f>
        <v>180</v>
      </c>
    </row>
    <row r="3670" spans="1:8" x14ac:dyDescent="0.35">
      <c r="A3670" t="s">
        <v>3560</v>
      </c>
      <c r="B3670" t="s">
        <v>3694</v>
      </c>
      <c r="C3670">
        <v>469</v>
      </c>
      <c r="D3670">
        <v>454</v>
      </c>
      <c r="E3670" t="s">
        <v>9</v>
      </c>
      <c r="F3670">
        <f>tbl_AQI[[#This Row],[Most AQI Reached]]-tbl_AQI[[#This Row],[Current AQI]]</f>
        <v>15</v>
      </c>
      <c r="G36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70">
        <f>RANK(tbl_AQI[[#This Row],[Current AQI]], tbl_AQI[Current AQI], 0)</f>
        <v>131</v>
      </c>
    </row>
    <row r="3671" spans="1:8" x14ac:dyDescent="0.35">
      <c r="A3671" t="s">
        <v>3560</v>
      </c>
      <c r="B3671" t="s">
        <v>3695</v>
      </c>
      <c r="C3671">
        <v>480</v>
      </c>
      <c r="D3671">
        <v>455</v>
      </c>
      <c r="E3671" t="s">
        <v>9</v>
      </c>
      <c r="F3671">
        <f>tbl_AQI[[#This Row],[Most AQI Reached]]-tbl_AQI[[#This Row],[Current AQI]]</f>
        <v>25</v>
      </c>
      <c r="G36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71">
        <f>RANK(tbl_AQI[[#This Row],[Current AQI]], tbl_AQI[Current AQI], 0)</f>
        <v>126</v>
      </c>
    </row>
    <row r="3672" spans="1:8" x14ac:dyDescent="0.35">
      <c r="A3672" t="s">
        <v>3560</v>
      </c>
      <c r="B3672" t="s">
        <v>3696</v>
      </c>
      <c r="C3672">
        <v>283</v>
      </c>
      <c r="D3672">
        <v>156</v>
      </c>
      <c r="E3672" t="s">
        <v>7</v>
      </c>
      <c r="F3672">
        <f>tbl_AQI[[#This Row],[Most AQI Reached]]-tbl_AQI[[#This Row],[Current AQI]]</f>
        <v>127</v>
      </c>
      <c r="G36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72">
        <f>RANK(tbl_AQI[[#This Row],[Current AQI]], tbl_AQI[Current AQI], 0)</f>
        <v>2251</v>
      </c>
    </row>
    <row r="3673" spans="1:8" x14ac:dyDescent="0.35">
      <c r="A3673" t="s">
        <v>3560</v>
      </c>
      <c r="B3673" t="s">
        <v>3697</v>
      </c>
      <c r="C3673">
        <v>329</v>
      </c>
      <c r="D3673">
        <v>155</v>
      </c>
      <c r="E3673" t="s">
        <v>17</v>
      </c>
      <c r="F3673">
        <f>tbl_AQI[[#This Row],[Most AQI Reached]]-tbl_AQI[[#This Row],[Current AQI]]</f>
        <v>174</v>
      </c>
      <c r="G36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73">
        <f>RANK(tbl_AQI[[#This Row],[Current AQI]], tbl_AQI[Current AQI], 0)</f>
        <v>2275</v>
      </c>
    </row>
    <row r="3674" spans="1:8" x14ac:dyDescent="0.35">
      <c r="A3674" t="s">
        <v>3560</v>
      </c>
      <c r="B3674" t="s">
        <v>3698</v>
      </c>
      <c r="C3674">
        <v>495</v>
      </c>
      <c r="D3674">
        <v>473</v>
      </c>
      <c r="E3674" t="s">
        <v>7</v>
      </c>
      <c r="F3674">
        <f>tbl_AQI[[#This Row],[Most AQI Reached]]-tbl_AQI[[#This Row],[Current AQI]]</f>
        <v>22</v>
      </c>
      <c r="G36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74">
        <f>RANK(tbl_AQI[[#This Row],[Current AQI]], tbl_AQI[Current AQI], 0)</f>
        <v>33</v>
      </c>
    </row>
    <row r="3675" spans="1:8" x14ac:dyDescent="0.35">
      <c r="A3675" t="s">
        <v>3560</v>
      </c>
      <c r="B3675" t="s">
        <v>3699</v>
      </c>
      <c r="C3675">
        <v>442</v>
      </c>
      <c r="D3675">
        <v>175</v>
      </c>
      <c r="E3675" t="s">
        <v>11</v>
      </c>
      <c r="F3675">
        <f>tbl_AQI[[#This Row],[Most AQI Reached]]-tbl_AQI[[#This Row],[Current AQI]]</f>
        <v>267</v>
      </c>
      <c r="G36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75">
        <f>RANK(tbl_AQI[[#This Row],[Current AQI]], tbl_AQI[Current AQI], 0)</f>
        <v>1780</v>
      </c>
    </row>
    <row r="3676" spans="1:8" x14ac:dyDescent="0.35">
      <c r="A3676" t="s">
        <v>3560</v>
      </c>
      <c r="B3676" t="s">
        <v>3700</v>
      </c>
      <c r="C3676">
        <v>441</v>
      </c>
      <c r="D3676">
        <v>428</v>
      </c>
      <c r="E3676" t="s">
        <v>21</v>
      </c>
      <c r="F3676">
        <f>tbl_AQI[[#This Row],[Most AQI Reached]]-tbl_AQI[[#This Row],[Current AQI]]</f>
        <v>13</v>
      </c>
      <c r="G36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76">
        <f>RANK(tbl_AQI[[#This Row],[Current AQI]], tbl_AQI[Current AQI], 0)</f>
        <v>273</v>
      </c>
    </row>
    <row r="3677" spans="1:8" x14ac:dyDescent="0.35">
      <c r="A3677" t="s">
        <v>3560</v>
      </c>
      <c r="B3677" t="s">
        <v>3701</v>
      </c>
      <c r="C3677">
        <v>460</v>
      </c>
      <c r="D3677">
        <v>415</v>
      </c>
      <c r="E3677" t="s">
        <v>7</v>
      </c>
      <c r="F3677">
        <f>tbl_AQI[[#This Row],[Most AQI Reached]]-tbl_AQI[[#This Row],[Current AQI]]</f>
        <v>45</v>
      </c>
      <c r="G36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77">
        <f>RANK(tbl_AQI[[#This Row],[Current AQI]], tbl_AQI[Current AQI], 0)</f>
        <v>325</v>
      </c>
    </row>
    <row r="3678" spans="1:8" x14ac:dyDescent="0.35">
      <c r="A3678" t="s">
        <v>3560</v>
      </c>
      <c r="B3678" t="s">
        <v>3702</v>
      </c>
      <c r="C3678">
        <v>465</v>
      </c>
      <c r="D3678">
        <v>429</v>
      </c>
      <c r="E3678" t="s">
        <v>9</v>
      </c>
      <c r="F3678">
        <f>tbl_AQI[[#This Row],[Most AQI Reached]]-tbl_AQI[[#This Row],[Current AQI]]</f>
        <v>36</v>
      </c>
      <c r="G36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78">
        <f>RANK(tbl_AQI[[#This Row],[Current AQI]], tbl_AQI[Current AQI], 0)</f>
        <v>270</v>
      </c>
    </row>
    <row r="3679" spans="1:8" x14ac:dyDescent="0.35">
      <c r="A3679" t="s">
        <v>3560</v>
      </c>
      <c r="B3679" t="s">
        <v>3703</v>
      </c>
      <c r="C3679">
        <v>352</v>
      </c>
      <c r="D3679">
        <v>293</v>
      </c>
      <c r="E3679" t="s">
        <v>11</v>
      </c>
      <c r="F3679">
        <f>tbl_AQI[[#This Row],[Most AQI Reached]]-tbl_AQI[[#This Row],[Current AQI]]</f>
        <v>59</v>
      </c>
      <c r="G36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79">
        <f>RANK(tbl_AQI[[#This Row],[Current AQI]], tbl_AQI[Current AQI], 0)</f>
        <v>888</v>
      </c>
    </row>
    <row r="3680" spans="1:8" x14ac:dyDescent="0.35">
      <c r="A3680" t="s">
        <v>3560</v>
      </c>
      <c r="B3680" t="s">
        <v>3704</v>
      </c>
      <c r="C3680">
        <v>341</v>
      </c>
      <c r="D3680">
        <v>247</v>
      </c>
      <c r="E3680" t="s">
        <v>21</v>
      </c>
      <c r="F3680">
        <f>tbl_AQI[[#This Row],[Most AQI Reached]]-tbl_AQI[[#This Row],[Current AQI]]</f>
        <v>94</v>
      </c>
      <c r="G36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80">
        <f>RANK(tbl_AQI[[#This Row],[Current AQI]], tbl_AQI[Current AQI], 0)</f>
        <v>1112</v>
      </c>
    </row>
    <row r="3681" spans="1:8" x14ac:dyDescent="0.35">
      <c r="A3681" t="s">
        <v>3560</v>
      </c>
      <c r="B3681" t="s">
        <v>3705</v>
      </c>
      <c r="C3681">
        <v>353</v>
      </c>
      <c r="D3681">
        <v>334</v>
      </c>
      <c r="E3681" t="s">
        <v>11</v>
      </c>
      <c r="F3681">
        <f>tbl_AQI[[#This Row],[Most AQI Reached]]-tbl_AQI[[#This Row],[Current AQI]]</f>
        <v>19</v>
      </c>
      <c r="G36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81">
        <f>RANK(tbl_AQI[[#This Row],[Current AQI]], tbl_AQI[Current AQI], 0)</f>
        <v>717</v>
      </c>
    </row>
    <row r="3682" spans="1:8" x14ac:dyDescent="0.35">
      <c r="A3682" t="s">
        <v>3560</v>
      </c>
      <c r="B3682" t="s">
        <v>3706</v>
      </c>
      <c r="C3682">
        <v>423</v>
      </c>
      <c r="D3682">
        <v>400</v>
      </c>
      <c r="E3682" t="s">
        <v>21</v>
      </c>
      <c r="F3682">
        <f>tbl_AQI[[#This Row],[Most AQI Reached]]-tbl_AQI[[#This Row],[Current AQI]]</f>
        <v>23</v>
      </c>
      <c r="G36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82">
        <f>RANK(tbl_AQI[[#This Row],[Current AQI]], tbl_AQI[Current AQI], 0)</f>
        <v>392</v>
      </c>
    </row>
    <row r="3683" spans="1:8" x14ac:dyDescent="0.35">
      <c r="A3683" t="s">
        <v>3560</v>
      </c>
      <c r="B3683" t="s">
        <v>3707</v>
      </c>
      <c r="C3683">
        <v>476</v>
      </c>
      <c r="D3683">
        <v>296</v>
      </c>
      <c r="E3683" t="s">
        <v>9</v>
      </c>
      <c r="F3683">
        <f>tbl_AQI[[#This Row],[Most AQI Reached]]-tbl_AQI[[#This Row],[Current AQI]]</f>
        <v>180</v>
      </c>
      <c r="G36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83">
        <f>RANK(tbl_AQI[[#This Row],[Current AQI]], tbl_AQI[Current AQI], 0)</f>
        <v>874</v>
      </c>
    </row>
    <row r="3684" spans="1:8" x14ac:dyDescent="0.35">
      <c r="A3684" t="s">
        <v>3560</v>
      </c>
      <c r="B3684" t="s">
        <v>3708</v>
      </c>
      <c r="C3684">
        <v>459</v>
      </c>
      <c r="D3684">
        <v>207</v>
      </c>
      <c r="E3684" t="s">
        <v>21</v>
      </c>
      <c r="F3684">
        <f>tbl_AQI[[#This Row],[Most AQI Reached]]-tbl_AQI[[#This Row],[Current AQI]]</f>
        <v>252</v>
      </c>
      <c r="G36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84">
        <f>RANK(tbl_AQI[[#This Row],[Current AQI]], tbl_AQI[Current AQI], 0)</f>
        <v>1287</v>
      </c>
    </row>
    <row r="3685" spans="1:8" x14ac:dyDescent="0.35">
      <c r="A3685" t="s">
        <v>3560</v>
      </c>
      <c r="B3685" t="s">
        <v>3709</v>
      </c>
      <c r="C3685">
        <v>436</v>
      </c>
      <c r="D3685">
        <v>296</v>
      </c>
      <c r="E3685" t="s">
        <v>9</v>
      </c>
      <c r="F3685">
        <f>tbl_AQI[[#This Row],[Most AQI Reached]]-tbl_AQI[[#This Row],[Current AQI]]</f>
        <v>140</v>
      </c>
      <c r="G36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85">
        <f>RANK(tbl_AQI[[#This Row],[Current AQI]], tbl_AQI[Current AQI], 0)</f>
        <v>874</v>
      </c>
    </row>
    <row r="3686" spans="1:8" x14ac:dyDescent="0.35">
      <c r="A3686" t="s">
        <v>3560</v>
      </c>
      <c r="B3686" t="s">
        <v>3710</v>
      </c>
      <c r="C3686">
        <v>464</v>
      </c>
      <c r="D3686">
        <v>445</v>
      </c>
      <c r="E3686" t="s">
        <v>9</v>
      </c>
      <c r="F3686">
        <f>tbl_AQI[[#This Row],[Most AQI Reached]]-tbl_AQI[[#This Row],[Current AQI]]</f>
        <v>19</v>
      </c>
      <c r="G36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86">
        <f>RANK(tbl_AQI[[#This Row],[Current AQI]], tbl_AQI[Current AQI], 0)</f>
        <v>185</v>
      </c>
    </row>
    <row r="3687" spans="1:8" x14ac:dyDescent="0.35">
      <c r="A3687" t="s">
        <v>3560</v>
      </c>
      <c r="B3687" t="s">
        <v>3711</v>
      </c>
      <c r="C3687">
        <v>342</v>
      </c>
      <c r="D3687">
        <v>197</v>
      </c>
      <c r="E3687" t="s">
        <v>33</v>
      </c>
      <c r="F3687">
        <f>tbl_AQI[[#This Row],[Most AQI Reached]]-tbl_AQI[[#This Row],[Current AQI]]</f>
        <v>145</v>
      </c>
      <c r="G36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87">
        <f>RANK(tbl_AQI[[#This Row],[Current AQI]], tbl_AQI[Current AQI], 0)</f>
        <v>1323</v>
      </c>
    </row>
    <row r="3688" spans="1:8" x14ac:dyDescent="0.35">
      <c r="A3688" t="s">
        <v>3560</v>
      </c>
      <c r="B3688" t="s">
        <v>3712</v>
      </c>
      <c r="C3688">
        <v>318</v>
      </c>
      <c r="D3688">
        <v>265</v>
      </c>
      <c r="E3688" t="s">
        <v>33</v>
      </c>
      <c r="F3688">
        <f>tbl_AQI[[#This Row],[Most AQI Reached]]-tbl_AQI[[#This Row],[Current AQI]]</f>
        <v>53</v>
      </c>
      <c r="G36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88">
        <f>RANK(tbl_AQI[[#This Row],[Current AQI]], tbl_AQI[Current AQI], 0)</f>
        <v>1022</v>
      </c>
    </row>
    <row r="3689" spans="1:8" x14ac:dyDescent="0.35">
      <c r="A3689" t="s">
        <v>3560</v>
      </c>
      <c r="B3689" t="s">
        <v>3713</v>
      </c>
      <c r="C3689">
        <v>431</v>
      </c>
      <c r="D3689">
        <v>326</v>
      </c>
      <c r="E3689" t="s">
        <v>9</v>
      </c>
      <c r="F3689">
        <f>tbl_AQI[[#This Row],[Most AQI Reached]]-tbl_AQI[[#This Row],[Current AQI]]</f>
        <v>105</v>
      </c>
      <c r="G36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89">
        <f>RANK(tbl_AQI[[#This Row],[Current AQI]], tbl_AQI[Current AQI], 0)</f>
        <v>747</v>
      </c>
    </row>
    <row r="3690" spans="1:8" x14ac:dyDescent="0.35">
      <c r="A3690" t="s">
        <v>3560</v>
      </c>
      <c r="B3690" t="s">
        <v>3714</v>
      </c>
      <c r="C3690">
        <v>437</v>
      </c>
      <c r="D3690">
        <v>188</v>
      </c>
      <c r="E3690" t="s">
        <v>7</v>
      </c>
      <c r="F3690">
        <f>tbl_AQI[[#This Row],[Most AQI Reached]]-tbl_AQI[[#This Row],[Current AQI]]</f>
        <v>249</v>
      </c>
      <c r="G36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90">
        <f>RANK(tbl_AQI[[#This Row],[Current AQI]], tbl_AQI[Current AQI], 0)</f>
        <v>1423</v>
      </c>
    </row>
    <row r="3691" spans="1:8" x14ac:dyDescent="0.35">
      <c r="A3691" t="s">
        <v>3560</v>
      </c>
      <c r="B3691" t="s">
        <v>3715</v>
      </c>
      <c r="C3691">
        <v>392</v>
      </c>
      <c r="D3691">
        <v>280</v>
      </c>
      <c r="E3691" t="s">
        <v>17</v>
      </c>
      <c r="F3691">
        <f>tbl_AQI[[#This Row],[Most AQI Reached]]-tbl_AQI[[#This Row],[Current AQI]]</f>
        <v>112</v>
      </c>
      <c r="G36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91">
        <f>RANK(tbl_AQI[[#This Row],[Current AQI]], tbl_AQI[Current AQI], 0)</f>
        <v>954</v>
      </c>
    </row>
    <row r="3692" spans="1:8" x14ac:dyDescent="0.35">
      <c r="A3692" t="s">
        <v>3560</v>
      </c>
      <c r="B3692" t="s">
        <v>3716</v>
      </c>
      <c r="C3692">
        <v>495</v>
      </c>
      <c r="D3692">
        <v>380</v>
      </c>
      <c r="E3692" t="s">
        <v>9</v>
      </c>
      <c r="F3692">
        <f>tbl_AQI[[#This Row],[Most AQI Reached]]-tbl_AQI[[#This Row],[Current AQI]]</f>
        <v>115</v>
      </c>
      <c r="G36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92">
        <f>RANK(tbl_AQI[[#This Row],[Current AQI]], tbl_AQI[Current AQI], 0)</f>
        <v>482</v>
      </c>
    </row>
    <row r="3693" spans="1:8" x14ac:dyDescent="0.35">
      <c r="A3693" t="s">
        <v>3560</v>
      </c>
      <c r="B3693" t="s">
        <v>3717</v>
      </c>
      <c r="C3693">
        <v>221</v>
      </c>
      <c r="D3693">
        <v>218</v>
      </c>
      <c r="E3693" t="s">
        <v>11</v>
      </c>
      <c r="F3693">
        <f>tbl_AQI[[#This Row],[Most AQI Reached]]-tbl_AQI[[#This Row],[Current AQI]]</f>
        <v>3</v>
      </c>
      <c r="G36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93">
        <f>RANK(tbl_AQI[[#This Row],[Current AQI]], tbl_AQI[Current AQI], 0)</f>
        <v>1238</v>
      </c>
    </row>
    <row r="3694" spans="1:8" x14ac:dyDescent="0.35">
      <c r="A3694" t="s">
        <v>3560</v>
      </c>
      <c r="B3694" t="s">
        <v>3718</v>
      </c>
      <c r="C3694">
        <v>380</v>
      </c>
      <c r="D3694">
        <v>195</v>
      </c>
      <c r="E3694" t="s">
        <v>15</v>
      </c>
      <c r="F3694">
        <f>tbl_AQI[[#This Row],[Most AQI Reached]]-tbl_AQI[[#This Row],[Current AQI]]</f>
        <v>185</v>
      </c>
      <c r="G36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94">
        <f>RANK(tbl_AQI[[#This Row],[Current AQI]], tbl_AQI[Current AQI], 0)</f>
        <v>1332</v>
      </c>
    </row>
    <row r="3695" spans="1:8" x14ac:dyDescent="0.35">
      <c r="A3695" t="s">
        <v>3560</v>
      </c>
      <c r="B3695" t="s">
        <v>3719</v>
      </c>
      <c r="C3695">
        <v>385</v>
      </c>
      <c r="D3695">
        <v>335</v>
      </c>
      <c r="E3695" t="s">
        <v>17</v>
      </c>
      <c r="F3695">
        <f>tbl_AQI[[#This Row],[Most AQI Reached]]-tbl_AQI[[#This Row],[Current AQI]]</f>
        <v>50</v>
      </c>
      <c r="G36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695">
        <f>RANK(tbl_AQI[[#This Row],[Current AQI]], tbl_AQI[Current AQI], 0)</f>
        <v>712</v>
      </c>
    </row>
    <row r="3696" spans="1:8" x14ac:dyDescent="0.35">
      <c r="A3696" t="s">
        <v>3560</v>
      </c>
      <c r="B3696" t="s">
        <v>3720</v>
      </c>
      <c r="C3696">
        <v>440</v>
      </c>
      <c r="D3696">
        <v>437</v>
      </c>
      <c r="E3696" t="s">
        <v>21</v>
      </c>
      <c r="F3696">
        <f>tbl_AQI[[#This Row],[Most AQI Reached]]-tbl_AQI[[#This Row],[Current AQI]]</f>
        <v>3</v>
      </c>
      <c r="G36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696">
        <f>RANK(tbl_AQI[[#This Row],[Current AQI]], tbl_AQI[Current AQI], 0)</f>
        <v>225</v>
      </c>
    </row>
    <row r="3697" spans="1:8" x14ac:dyDescent="0.35">
      <c r="A3697" t="s">
        <v>3560</v>
      </c>
      <c r="B3697" t="s">
        <v>3721</v>
      </c>
      <c r="C3697">
        <v>208</v>
      </c>
      <c r="D3697">
        <v>163</v>
      </c>
      <c r="E3697" t="s">
        <v>11</v>
      </c>
      <c r="F3697">
        <f>tbl_AQI[[#This Row],[Most AQI Reached]]-tbl_AQI[[#This Row],[Current AQI]]</f>
        <v>45</v>
      </c>
      <c r="G36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697">
        <f>RANK(tbl_AQI[[#This Row],[Current AQI]], tbl_AQI[Current AQI], 0)</f>
        <v>2075</v>
      </c>
    </row>
    <row r="3698" spans="1:8" x14ac:dyDescent="0.35">
      <c r="A3698" t="s">
        <v>3560</v>
      </c>
      <c r="B3698" t="s">
        <v>3722</v>
      </c>
      <c r="C3698">
        <v>355</v>
      </c>
      <c r="D3698">
        <v>291</v>
      </c>
      <c r="E3698" t="s">
        <v>9</v>
      </c>
      <c r="F3698">
        <f>tbl_AQI[[#This Row],[Most AQI Reached]]-tbl_AQI[[#This Row],[Current AQI]]</f>
        <v>64</v>
      </c>
      <c r="G36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98">
        <f>RANK(tbl_AQI[[#This Row],[Current AQI]], tbl_AQI[Current AQI], 0)</f>
        <v>898</v>
      </c>
    </row>
    <row r="3699" spans="1:8" x14ac:dyDescent="0.35">
      <c r="A3699" t="s">
        <v>3560</v>
      </c>
      <c r="B3699" t="s">
        <v>3723</v>
      </c>
      <c r="C3699">
        <v>346</v>
      </c>
      <c r="D3699">
        <v>215</v>
      </c>
      <c r="E3699" t="s">
        <v>33</v>
      </c>
      <c r="F3699">
        <f>tbl_AQI[[#This Row],[Most AQI Reached]]-tbl_AQI[[#This Row],[Current AQI]]</f>
        <v>131</v>
      </c>
      <c r="G36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699">
        <f>RANK(tbl_AQI[[#This Row],[Current AQI]], tbl_AQI[Current AQI], 0)</f>
        <v>1251</v>
      </c>
    </row>
    <row r="3700" spans="1:8" x14ac:dyDescent="0.35">
      <c r="A3700" t="s">
        <v>3560</v>
      </c>
      <c r="B3700" t="s">
        <v>3724</v>
      </c>
      <c r="C3700">
        <v>365</v>
      </c>
      <c r="D3700">
        <v>181</v>
      </c>
      <c r="E3700" t="s">
        <v>7</v>
      </c>
      <c r="F3700">
        <f>tbl_AQI[[#This Row],[Most AQI Reached]]-tbl_AQI[[#This Row],[Current AQI]]</f>
        <v>184</v>
      </c>
      <c r="G37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00">
        <f>RANK(tbl_AQI[[#This Row],[Current AQI]], tbl_AQI[Current AQI], 0)</f>
        <v>1609</v>
      </c>
    </row>
    <row r="3701" spans="1:8" x14ac:dyDescent="0.35">
      <c r="A3701" t="s">
        <v>3560</v>
      </c>
      <c r="B3701" t="s">
        <v>3725</v>
      </c>
      <c r="C3701">
        <v>455</v>
      </c>
      <c r="D3701">
        <v>198</v>
      </c>
      <c r="E3701" t="s">
        <v>9</v>
      </c>
      <c r="F3701">
        <f>tbl_AQI[[#This Row],[Most AQI Reached]]-tbl_AQI[[#This Row],[Current AQI]]</f>
        <v>257</v>
      </c>
      <c r="G37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01">
        <f>RANK(tbl_AQI[[#This Row],[Current AQI]], tbl_AQI[Current AQI], 0)</f>
        <v>1319</v>
      </c>
    </row>
    <row r="3702" spans="1:8" x14ac:dyDescent="0.35">
      <c r="A3702" t="s">
        <v>3560</v>
      </c>
      <c r="B3702" t="s">
        <v>3726</v>
      </c>
      <c r="C3702">
        <v>494</v>
      </c>
      <c r="D3702">
        <v>187</v>
      </c>
      <c r="E3702" t="s">
        <v>7</v>
      </c>
      <c r="F3702">
        <f>tbl_AQI[[#This Row],[Most AQI Reached]]-tbl_AQI[[#This Row],[Current AQI]]</f>
        <v>307</v>
      </c>
      <c r="G37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02">
        <f>RANK(tbl_AQI[[#This Row],[Current AQI]], tbl_AQI[Current AQI], 0)</f>
        <v>1455</v>
      </c>
    </row>
    <row r="3703" spans="1:8" x14ac:dyDescent="0.35">
      <c r="A3703" t="s">
        <v>3560</v>
      </c>
      <c r="B3703" t="s">
        <v>3727</v>
      </c>
      <c r="C3703">
        <v>455</v>
      </c>
      <c r="D3703">
        <v>422</v>
      </c>
      <c r="E3703" t="s">
        <v>21</v>
      </c>
      <c r="F3703">
        <f>tbl_AQI[[#This Row],[Most AQI Reached]]-tbl_AQI[[#This Row],[Current AQI]]</f>
        <v>33</v>
      </c>
      <c r="G37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03">
        <f>RANK(tbl_AQI[[#This Row],[Current AQI]], tbl_AQI[Current AQI], 0)</f>
        <v>299</v>
      </c>
    </row>
    <row r="3704" spans="1:8" x14ac:dyDescent="0.35">
      <c r="A3704" t="s">
        <v>3560</v>
      </c>
      <c r="B3704" t="s">
        <v>3728</v>
      </c>
      <c r="C3704">
        <v>494</v>
      </c>
      <c r="D3704">
        <v>410</v>
      </c>
      <c r="E3704" t="s">
        <v>7</v>
      </c>
      <c r="F3704">
        <f>tbl_AQI[[#This Row],[Most AQI Reached]]-tbl_AQI[[#This Row],[Current AQI]]</f>
        <v>84</v>
      </c>
      <c r="G37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04">
        <f>RANK(tbl_AQI[[#This Row],[Current AQI]], tbl_AQI[Current AQI], 0)</f>
        <v>341</v>
      </c>
    </row>
    <row r="3705" spans="1:8" x14ac:dyDescent="0.35">
      <c r="A3705" t="s">
        <v>3560</v>
      </c>
      <c r="B3705" t="s">
        <v>3729</v>
      </c>
      <c r="C3705">
        <v>483</v>
      </c>
      <c r="D3705">
        <v>448</v>
      </c>
      <c r="E3705" t="s">
        <v>21</v>
      </c>
      <c r="F3705">
        <f>tbl_AQI[[#This Row],[Most AQI Reached]]-tbl_AQI[[#This Row],[Current AQI]]</f>
        <v>35</v>
      </c>
      <c r="G37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05">
        <f>RANK(tbl_AQI[[#This Row],[Current AQI]], tbl_AQI[Current AQI], 0)</f>
        <v>166</v>
      </c>
    </row>
    <row r="3706" spans="1:8" x14ac:dyDescent="0.35">
      <c r="A3706" t="s">
        <v>3560</v>
      </c>
      <c r="B3706" t="s">
        <v>3730</v>
      </c>
      <c r="C3706">
        <v>479</v>
      </c>
      <c r="D3706">
        <v>441</v>
      </c>
      <c r="E3706" t="s">
        <v>9</v>
      </c>
      <c r="F3706">
        <f>tbl_AQI[[#This Row],[Most AQI Reached]]-tbl_AQI[[#This Row],[Current AQI]]</f>
        <v>38</v>
      </c>
      <c r="G37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06">
        <f>RANK(tbl_AQI[[#This Row],[Current AQI]], tbl_AQI[Current AQI], 0)</f>
        <v>203</v>
      </c>
    </row>
    <row r="3707" spans="1:8" x14ac:dyDescent="0.35">
      <c r="A3707" t="s">
        <v>3560</v>
      </c>
      <c r="B3707" t="s">
        <v>3731</v>
      </c>
      <c r="C3707">
        <v>403</v>
      </c>
      <c r="D3707">
        <v>370</v>
      </c>
      <c r="E3707" t="s">
        <v>9</v>
      </c>
      <c r="F3707">
        <f>tbl_AQI[[#This Row],[Most AQI Reached]]-tbl_AQI[[#This Row],[Current AQI]]</f>
        <v>33</v>
      </c>
      <c r="G37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07">
        <f>RANK(tbl_AQI[[#This Row],[Current AQI]], tbl_AQI[Current AQI], 0)</f>
        <v>538</v>
      </c>
    </row>
    <row r="3708" spans="1:8" x14ac:dyDescent="0.35">
      <c r="A3708" t="s">
        <v>3560</v>
      </c>
      <c r="B3708" t="s">
        <v>3732</v>
      </c>
      <c r="C3708">
        <v>460</v>
      </c>
      <c r="D3708">
        <v>326</v>
      </c>
      <c r="E3708" t="s">
        <v>17</v>
      </c>
      <c r="F3708">
        <f>tbl_AQI[[#This Row],[Most AQI Reached]]-tbl_AQI[[#This Row],[Current AQI]]</f>
        <v>134</v>
      </c>
      <c r="G37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08">
        <f>RANK(tbl_AQI[[#This Row],[Current AQI]], tbl_AQI[Current AQI], 0)</f>
        <v>747</v>
      </c>
    </row>
    <row r="3709" spans="1:8" x14ac:dyDescent="0.35">
      <c r="A3709" t="s">
        <v>3560</v>
      </c>
      <c r="B3709" t="s">
        <v>3733</v>
      </c>
      <c r="C3709">
        <v>425</v>
      </c>
      <c r="D3709">
        <v>364</v>
      </c>
      <c r="E3709" t="s">
        <v>21</v>
      </c>
      <c r="F3709">
        <f>tbl_AQI[[#This Row],[Most AQI Reached]]-tbl_AQI[[#This Row],[Current AQI]]</f>
        <v>61</v>
      </c>
      <c r="G37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09">
        <f>RANK(tbl_AQI[[#This Row],[Current AQI]], tbl_AQI[Current AQI], 0)</f>
        <v>561</v>
      </c>
    </row>
    <row r="3710" spans="1:8" x14ac:dyDescent="0.35">
      <c r="A3710" t="s">
        <v>3560</v>
      </c>
      <c r="B3710" t="s">
        <v>3734</v>
      </c>
      <c r="C3710">
        <v>497</v>
      </c>
      <c r="D3710">
        <v>473</v>
      </c>
      <c r="E3710" t="s">
        <v>21</v>
      </c>
      <c r="F3710">
        <f>tbl_AQI[[#This Row],[Most AQI Reached]]-tbl_AQI[[#This Row],[Current AQI]]</f>
        <v>24</v>
      </c>
      <c r="G37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10">
        <f>RANK(tbl_AQI[[#This Row],[Current AQI]], tbl_AQI[Current AQI], 0)</f>
        <v>33</v>
      </c>
    </row>
    <row r="3711" spans="1:8" x14ac:dyDescent="0.35">
      <c r="A3711" t="s">
        <v>3560</v>
      </c>
      <c r="B3711" t="s">
        <v>3735</v>
      </c>
      <c r="C3711">
        <v>473</v>
      </c>
      <c r="D3711">
        <v>420</v>
      </c>
      <c r="E3711" t="s">
        <v>21</v>
      </c>
      <c r="F3711">
        <f>tbl_AQI[[#This Row],[Most AQI Reached]]-tbl_AQI[[#This Row],[Current AQI]]</f>
        <v>53</v>
      </c>
      <c r="G37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11">
        <f>RANK(tbl_AQI[[#This Row],[Current AQI]], tbl_AQI[Current AQI], 0)</f>
        <v>307</v>
      </c>
    </row>
    <row r="3712" spans="1:8" x14ac:dyDescent="0.35">
      <c r="A3712" t="s">
        <v>3560</v>
      </c>
      <c r="B3712" t="s">
        <v>3736</v>
      </c>
      <c r="C3712">
        <v>439</v>
      </c>
      <c r="D3712">
        <v>428</v>
      </c>
      <c r="E3712" t="s">
        <v>21</v>
      </c>
      <c r="F3712">
        <f>tbl_AQI[[#This Row],[Most AQI Reached]]-tbl_AQI[[#This Row],[Current AQI]]</f>
        <v>11</v>
      </c>
      <c r="G37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12">
        <f>RANK(tbl_AQI[[#This Row],[Current AQI]], tbl_AQI[Current AQI], 0)</f>
        <v>273</v>
      </c>
    </row>
    <row r="3713" spans="1:8" x14ac:dyDescent="0.35">
      <c r="A3713" t="s">
        <v>3560</v>
      </c>
      <c r="B3713" t="s">
        <v>3737</v>
      </c>
      <c r="C3713">
        <v>479</v>
      </c>
      <c r="D3713">
        <v>440</v>
      </c>
      <c r="E3713" t="s">
        <v>21</v>
      </c>
      <c r="F3713">
        <f>tbl_AQI[[#This Row],[Most AQI Reached]]-tbl_AQI[[#This Row],[Current AQI]]</f>
        <v>39</v>
      </c>
      <c r="G37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13">
        <f>RANK(tbl_AQI[[#This Row],[Current AQI]], tbl_AQI[Current AQI], 0)</f>
        <v>208</v>
      </c>
    </row>
    <row r="3714" spans="1:8" x14ac:dyDescent="0.35">
      <c r="A3714" t="s">
        <v>3560</v>
      </c>
      <c r="B3714" t="s">
        <v>3738</v>
      </c>
      <c r="C3714">
        <v>397</v>
      </c>
      <c r="D3714">
        <v>151</v>
      </c>
      <c r="E3714" t="s">
        <v>21</v>
      </c>
      <c r="F3714">
        <f>tbl_AQI[[#This Row],[Most AQI Reached]]-tbl_AQI[[#This Row],[Current AQI]]</f>
        <v>246</v>
      </c>
      <c r="G37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14">
        <f>RANK(tbl_AQI[[#This Row],[Current AQI]], tbl_AQI[Current AQI], 0)</f>
        <v>2376</v>
      </c>
    </row>
    <row r="3715" spans="1:8" x14ac:dyDescent="0.35">
      <c r="A3715" t="s">
        <v>3560</v>
      </c>
      <c r="B3715" t="s">
        <v>3739</v>
      </c>
      <c r="C3715">
        <v>441</v>
      </c>
      <c r="D3715">
        <v>302</v>
      </c>
      <c r="E3715" t="s">
        <v>15</v>
      </c>
      <c r="F3715">
        <f>tbl_AQI[[#This Row],[Most AQI Reached]]-tbl_AQI[[#This Row],[Current AQI]]</f>
        <v>139</v>
      </c>
      <c r="G37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15">
        <f>RANK(tbl_AQI[[#This Row],[Current AQI]], tbl_AQI[Current AQI], 0)</f>
        <v>839</v>
      </c>
    </row>
    <row r="3716" spans="1:8" x14ac:dyDescent="0.35">
      <c r="A3716" t="s">
        <v>3560</v>
      </c>
      <c r="B3716" t="s">
        <v>3740</v>
      </c>
      <c r="C3716">
        <v>451</v>
      </c>
      <c r="D3716">
        <v>446</v>
      </c>
      <c r="E3716" t="s">
        <v>7</v>
      </c>
      <c r="F3716">
        <f>tbl_AQI[[#This Row],[Most AQI Reached]]-tbl_AQI[[#This Row],[Current AQI]]</f>
        <v>5</v>
      </c>
      <c r="G37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16">
        <f>RANK(tbl_AQI[[#This Row],[Current AQI]], tbl_AQI[Current AQI], 0)</f>
        <v>180</v>
      </c>
    </row>
    <row r="3717" spans="1:8" x14ac:dyDescent="0.35">
      <c r="A3717" t="s">
        <v>3560</v>
      </c>
      <c r="B3717" t="s">
        <v>3741</v>
      </c>
      <c r="C3717">
        <v>439</v>
      </c>
      <c r="D3717">
        <v>255</v>
      </c>
      <c r="E3717" t="s">
        <v>11</v>
      </c>
      <c r="F3717">
        <f>tbl_AQI[[#This Row],[Most AQI Reached]]-tbl_AQI[[#This Row],[Current AQI]]</f>
        <v>184</v>
      </c>
      <c r="G37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17">
        <f>RANK(tbl_AQI[[#This Row],[Current AQI]], tbl_AQI[Current AQI], 0)</f>
        <v>1070</v>
      </c>
    </row>
    <row r="3718" spans="1:8" x14ac:dyDescent="0.35">
      <c r="A3718" t="s">
        <v>3560</v>
      </c>
      <c r="B3718" t="s">
        <v>3742</v>
      </c>
      <c r="C3718">
        <v>497</v>
      </c>
      <c r="D3718">
        <v>475</v>
      </c>
      <c r="E3718" t="s">
        <v>21</v>
      </c>
      <c r="F3718">
        <f>tbl_AQI[[#This Row],[Most AQI Reached]]-tbl_AQI[[#This Row],[Current AQI]]</f>
        <v>22</v>
      </c>
      <c r="G37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18">
        <f>RANK(tbl_AQI[[#This Row],[Current AQI]], tbl_AQI[Current AQI], 0)</f>
        <v>22</v>
      </c>
    </row>
    <row r="3719" spans="1:8" x14ac:dyDescent="0.35">
      <c r="A3719" t="s">
        <v>3560</v>
      </c>
      <c r="B3719" t="s">
        <v>3743</v>
      </c>
      <c r="C3719">
        <v>481</v>
      </c>
      <c r="D3719">
        <v>462</v>
      </c>
      <c r="E3719" t="s">
        <v>7</v>
      </c>
      <c r="F3719">
        <f>tbl_AQI[[#This Row],[Most AQI Reached]]-tbl_AQI[[#This Row],[Current AQI]]</f>
        <v>19</v>
      </c>
      <c r="G37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19">
        <f>RANK(tbl_AQI[[#This Row],[Current AQI]], tbl_AQI[Current AQI], 0)</f>
        <v>92</v>
      </c>
    </row>
    <row r="3720" spans="1:8" x14ac:dyDescent="0.35">
      <c r="A3720" t="s">
        <v>3560</v>
      </c>
      <c r="B3720" t="s">
        <v>3744</v>
      </c>
      <c r="C3720">
        <v>412</v>
      </c>
      <c r="D3720">
        <v>150</v>
      </c>
      <c r="E3720" t="s">
        <v>17</v>
      </c>
      <c r="F3720">
        <f>tbl_AQI[[#This Row],[Most AQI Reached]]-tbl_AQI[[#This Row],[Current AQI]]</f>
        <v>262</v>
      </c>
      <c r="G37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20">
        <f>RANK(tbl_AQI[[#This Row],[Current AQI]], tbl_AQI[Current AQI], 0)</f>
        <v>2400</v>
      </c>
    </row>
    <row r="3721" spans="1:8" x14ac:dyDescent="0.35">
      <c r="A3721" t="s">
        <v>3560</v>
      </c>
      <c r="B3721" t="s">
        <v>3745</v>
      </c>
      <c r="C3721">
        <v>424</v>
      </c>
      <c r="D3721">
        <v>413</v>
      </c>
      <c r="E3721" t="s">
        <v>7</v>
      </c>
      <c r="F3721">
        <f>tbl_AQI[[#This Row],[Most AQI Reached]]-tbl_AQI[[#This Row],[Current AQI]]</f>
        <v>11</v>
      </c>
      <c r="G37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21">
        <f>RANK(tbl_AQI[[#This Row],[Current AQI]], tbl_AQI[Current AQI], 0)</f>
        <v>332</v>
      </c>
    </row>
    <row r="3722" spans="1:8" x14ac:dyDescent="0.35">
      <c r="A3722" t="s">
        <v>3560</v>
      </c>
      <c r="B3722" t="s">
        <v>3746</v>
      </c>
      <c r="C3722">
        <v>487</v>
      </c>
      <c r="D3722">
        <v>418</v>
      </c>
      <c r="E3722" t="s">
        <v>21</v>
      </c>
      <c r="F3722">
        <f>tbl_AQI[[#This Row],[Most AQI Reached]]-tbl_AQI[[#This Row],[Current AQI]]</f>
        <v>69</v>
      </c>
      <c r="G37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22">
        <f>RANK(tbl_AQI[[#This Row],[Current AQI]], tbl_AQI[Current AQI], 0)</f>
        <v>312</v>
      </c>
    </row>
    <row r="3723" spans="1:8" x14ac:dyDescent="0.35">
      <c r="A3723" t="s">
        <v>3560</v>
      </c>
      <c r="B3723" t="s">
        <v>3747</v>
      </c>
      <c r="C3723">
        <v>432</v>
      </c>
      <c r="D3723">
        <v>182</v>
      </c>
      <c r="E3723" t="s">
        <v>33</v>
      </c>
      <c r="F3723">
        <f>tbl_AQI[[#This Row],[Most AQI Reached]]-tbl_AQI[[#This Row],[Current AQI]]</f>
        <v>250</v>
      </c>
      <c r="G37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23">
        <f>RANK(tbl_AQI[[#This Row],[Current AQI]], tbl_AQI[Current AQI], 0)</f>
        <v>1593</v>
      </c>
    </row>
    <row r="3724" spans="1:8" x14ac:dyDescent="0.35">
      <c r="A3724" t="s">
        <v>3560</v>
      </c>
      <c r="B3724" t="s">
        <v>3748</v>
      </c>
      <c r="C3724">
        <v>484</v>
      </c>
      <c r="D3724">
        <v>434</v>
      </c>
      <c r="E3724" t="s">
        <v>21</v>
      </c>
      <c r="F3724">
        <f>tbl_AQI[[#This Row],[Most AQI Reached]]-tbl_AQI[[#This Row],[Current AQI]]</f>
        <v>50</v>
      </c>
      <c r="G37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24">
        <f>RANK(tbl_AQI[[#This Row],[Current AQI]], tbl_AQI[Current AQI], 0)</f>
        <v>242</v>
      </c>
    </row>
    <row r="3725" spans="1:8" x14ac:dyDescent="0.35">
      <c r="A3725" t="s">
        <v>3560</v>
      </c>
      <c r="B3725" t="s">
        <v>3749</v>
      </c>
      <c r="C3725">
        <v>259</v>
      </c>
      <c r="D3725">
        <v>216</v>
      </c>
      <c r="E3725" t="s">
        <v>21</v>
      </c>
      <c r="F3725">
        <f>tbl_AQI[[#This Row],[Most AQI Reached]]-tbl_AQI[[#This Row],[Current AQI]]</f>
        <v>43</v>
      </c>
      <c r="G37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25">
        <f>RANK(tbl_AQI[[#This Row],[Current AQI]], tbl_AQI[Current AQI], 0)</f>
        <v>1246</v>
      </c>
    </row>
    <row r="3726" spans="1:8" x14ac:dyDescent="0.35">
      <c r="A3726" t="s">
        <v>3560</v>
      </c>
      <c r="B3726" t="s">
        <v>3750</v>
      </c>
      <c r="C3726">
        <v>452</v>
      </c>
      <c r="D3726">
        <v>260</v>
      </c>
      <c r="E3726" t="s">
        <v>15</v>
      </c>
      <c r="F3726">
        <f>tbl_AQI[[#This Row],[Most AQI Reached]]-tbl_AQI[[#This Row],[Current AQI]]</f>
        <v>192</v>
      </c>
      <c r="G37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26">
        <f>RANK(tbl_AQI[[#This Row],[Current AQI]], tbl_AQI[Current AQI], 0)</f>
        <v>1040</v>
      </c>
    </row>
    <row r="3727" spans="1:8" x14ac:dyDescent="0.35">
      <c r="A3727" t="s">
        <v>3560</v>
      </c>
      <c r="B3727" t="s">
        <v>3751</v>
      </c>
      <c r="C3727">
        <v>343</v>
      </c>
      <c r="D3727">
        <v>252</v>
      </c>
      <c r="E3727" t="s">
        <v>17</v>
      </c>
      <c r="F3727">
        <f>tbl_AQI[[#This Row],[Most AQI Reached]]-tbl_AQI[[#This Row],[Current AQI]]</f>
        <v>91</v>
      </c>
      <c r="G37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27">
        <f>RANK(tbl_AQI[[#This Row],[Current AQI]], tbl_AQI[Current AQI], 0)</f>
        <v>1084</v>
      </c>
    </row>
    <row r="3728" spans="1:8" x14ac:dyDescent="0.35">
      <c r="A3728" t="s">
        <v>3560</v>
      </c>
      <c r="B3728" t="s">
        <v>3752</v>
      </c>
      <c r="C3728">
        <v>484</v>
      </c>
      <c r="D3728">
        <v>434</v>
      </c>
      <c r="E3728" t="s">
        <v>9</v>
      </c>
      <c r="F3728">
        <f>tbl_AQI[[#This Row],[Most AQI Reached]]-tbl_AQI[[#This Row],[Current AQI]]</f>
        <v>50</v>
      </c>
      <c r="G37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28">
        <f>RANK(tbl_AQI[[#This Row],[Current AQI]], tbl_AQI[Current AQI], 0)</f>
        <v>242</v>
      </c>
    </row>
    <row r="3729" spans="1:8" x14ac:dyDescent="0.35">
      <c r="A3729" t="s">
        <v>3560</v>
      </c>
      <c r="B3729" t="s">
        <v>3753</v>
      </c>
      <c r="C3729">
        <v>381</v>
      </c>
      <c r="D3729">
        <v>375</v>
      </c>
      <c r="E3729" t="s">
        <v>7</v>
      </c>
      <c r="F3729">
        <f>tbl_AQI[[#This Row],[Most AQI Reached]]-tbl_AQI[[#This Row],[Current AQI]]</f>
        <v>6</v>
      </c>
      <c r="G37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29">
        <f>RANK(tbl_AQI[[#This Row],[Current AQI]], tbl_AQI[Current AQI], 0)</f>
        <v>514</v>
      </c>
    </row>
    <row r="3730" spans="1:8" x14ac:dyDescent="0.35">
      <c r="A3730" t="s">
        <v>3560</v>
      </c>
      <c r="B3730" t="s">
        <v>3754</v>
      </c>
      <c r="C3730">
        <v>491</v>
      </c>
      <c r="D3730">
        <v>308</v>
      </c>
      <c r="E3730" t="s">
        <v>7</v>
      </c>
      <c r="F3730">
        <f>tbl_AQI[[#This Row],[Most AQI Reached]]-tbl_AQI[[#This Row],[Current AQI]]</f>
        <v>183</v>
      </c>
      <c r="G37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30">
        <f>RANK(tbl_AQI[[#This Row],[Current AQI]], tbl_AQI[Current AQI], 0)</f>
        <v>824</v>
      </c>
    </row>
    <row r="3731" spans="1:8" x14ac:dyDescent="0.35">
      <c r="A3731" t="s">
        <v>3560</v>
      </c>
      <c r="B3731" t="s">
        <v>3755</v>
      </c>
      <c r="C3731">
        <v>267</v>
      </c>
      <c r="D3731">
        <v>219</v>
      </c>
      <c r="E3731" t="s">
        <v>11</v>
      </c>
      <c r="F3731">
        <f>tbl_AQI[[#This Row],[Most AQI Reached]]-tbl_AQI[[#This Row],[Current AQI]]</f>
        <v>48</v>
      </c>
      <c r="G37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31">
        <f>RANK(tbl_AQI[[#This Row],[Current AQI]], tbl_AQI[Current AQI], 0)</f>
        <v>1232</v>
      </c>
    </row>
    <row r="3732" spans="1:8" x14ac:dyDescent="0.35">
      <c r="A3732" t="s">
        <v>3560</v>
      </c>
      <c r="B3732" t="s">
        <v>3756</v>
      </c>
      <c r="C3732">
        <v>469</v>
      </c>
      <c r="D3732">
        <v>423</v>
      </c>
      <c r="E3732" t="s">
        <v>21</v>
      </c>
      <c r="F3732">
        <f>tbl_AQI[[#This Row],[Most AQI Reached]]-tbl_AQI[[#This Row],[Current AQI]]</f>
        <v>46</v>
      </c>
      <c r="G37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32">
        <f>RANK(tbl_AQI[[#This Row],[Current AQI]], tbl_AQI[Current AQI], 0)</f>
        <v>295</v>
      </c>
    </row>
    <row r="3733" spans="1:8" x14ac:dyDescent="0.35">
      <c r="A3733" t="s">
        <v>3560</v>
      </c>
      <c r="B3733" t="s">
        <v>3757</v>
      </c>
      <c r="C3733">
        <v>167</v>
      </c>
      <c r="D3733">
        <v>159</v>
      </c>
      <c r="E3733" t="s">
        <v>11</v>
      </c>
      <c r="F3733">
        <f>tbl_AQI[[#This Row],[Most AQI Reached]]-tbl_AQI[[#This Row],[Current AQI]]</f>
        <v>8</v>
      </c>
      <c r="G37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33">
        <f>RANK(tbl_AQI[[#This Row],[Current AQI]], tbl_AQI[Current AQI], 0)</f>
        <v>2183</v>
      </c>
    </row>
    <row r="3734" spans="1:8" x14ac:dyDescent="0.35">
      <c r="A3734" t="s">
        <v>3560</v>
      </c>
      <c r="B3734" t="s">
        <v>3758</v>
      </c>
      <c r="C3734">
        <v>470</v>
      </c>
      <c r="D3734">
        <v>187</v>
      </c>
      <c r="E3734" t="s">
        <v>9</v>
      </c>
      <c r="F3734">
        <f>tbl_AQI[[#This Row],[Most AQI Reached]]-tbl_AQI[[#This Row],[Current AQI]]</f>
        <v>283</v>
      </c>
      <c r="G37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34">
        <f>RANK(tbl_AQI[[#This Row],[Current AQI]], tbl_AQI[Current AQI], 0)</f>
        <v>1455</v>
      </c>
    </row>
    <row r="3735" spans="1:8" x14ac:dyDescent="0.35">
      <c r="A3735" t="s">
        <v>3560</v>
      </c>
      <c r="B3735" t="s">
        <v>3759</v>
      </c>
      <c r="C3735">
        <v>490</v>
      </c>
      <c r="D3735">
        <v>473</v>
      </c>
      <c r="E3735" t="s">
        <v>9</v>
      </c>
      <c r="F3735">
        <f>tbl_AQI[[#This Row],[Most AQI Reached]]-tbl_AQI[[#This Row],[Current AQI]]</f>
        <v>17</v>
      </c>
      <c r="G37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35">
        <f>RANK(tbl_AQI[[#This Row],[Current AQI]], tbl_AQI[Current AQI], 0)</f>
        <v>33</v>
      </c>
    </row>
    <row r="3736" spans="1:8" x14ac:dyDescent="0.35">
      <c r="A3736" t="s">
        <v>3560</v>
      </c>
      <c r="B3736" t="s">
        <v>3760</v>
      </c>
      <c r="C3736">
        <v>463</v>
      </c>
      <c r="D3736">
        <v>369</v>
      </c>
      <c r="E3736" t="s">
        <v>21</v>
      </c>
      <c r="F3736">
        <f>tbl_AQI[[#This Row],[Most AQI Reached]]-tbl_AQI[[#This Row],[Current AQI]]</f>
        <v>94</v>
      </c>
      <c r="G37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36">
        <f>RANK(tbl_AQI[[#This Row],[Current AQI]], tbl_AQI[Current AQI], 0)</f>
        <v>543</v>
      </c>
    </row>
    <row r="3737" spans="1:8" x14ac:dyDescent="0.35">
      <c r="A3737" t="s">
        <v>3560</v>
      </c>
      <c r="B3737" t="s">
        <v>3761</v>
      </c>
      <c r="C3737">
        <v>314</v>
      </c>
      <c r="D3737">
        <v>161</v>
      </c>
      <c r="E3737" t="s">
        <v>7</v>
      </c>
      <c r="F3737">
        <f>tbl_AQI[[#This Row],[Most AQI Reached]]-tbl_AQI[[#This Row],[Current AQI]]</f>
        <v>153</v>
      </c>
      <c r="G37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37">
        <f>RANK(tbl_AQI[[#This Row],[Current AQI]], tbl_AQI[Current AQI], 0)</f>
        <v>2129</v>
      </c>
    </row>
    <row r="3738" spans="1:8" x14ac:dyDescent="0.35">
      <c r="A3738" t="s">
        <v>3560</v>
      </c>
      <c r="B3738" t="s">
        <v>3762</v>
      </c>
      <c r="C3738">
        <v>500</v>
      </c>
      <c r="D3738">
        <v>407</v>
      </c>
      <c r="E3738" t="s">
        <v>7</v>
      </c>
      <c r="F3738">
        <f>tbl_AQI[[#This Row],[Most AQI Reached]]-tbl_AQI[[#This Row],[Current AQI]]</f>
        <v>93</v>
      </c>
      <c r="G37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38">
        <f>RANK(tbl_AQI[[#This Row],[Current AQI]], tbl_AQI[Current AQI], 0)</f>
        <v>354</v>
      </c>
    </row>
    <row r="3739" spans="1:8" x14ac:dyDescent="0.35">
      <c r="A3739" t="s">
        <v>3560</v>
      </c>
      <c r="B3739" t="s">
        <v>3763</v>
      </c>
      <c r="C3739">
        <v>455</v>
      </c>
      <c r="D3739">
        <v>181</v>
      </c>
      <c r="E3739" t="s">
        <v>33</v>
      </c>
      <c r="F3739">
        <f>tbl_AQI[[#This Row],[Most AQI Reached]]-tbl_AQI[[#This Row],[Current AQI]]</f>
        <v>274</v>
      </c>
      <c r="G37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39">
        <f>RANK(tbl_AQI[[#This Row],[Current AQI]], tbl_AQI[Current AQI], 0)</f>
        <v>1609</v>
      </c>
    </row>
    <row r="3740" spans="1:8" x14ac:dyDescent="0.35">
      <c r="A3740" t="s">
        <v>3560</v>
      </c>
      <c r="B3740" t="s">
        <v>3764</v>
      </c>
      <c r="C3740">
        <v>400</v>
      </c>
      <c r="D3740">
        <v>358</v>
      </c>
      <c r="E3740" t="s">
        <v>9</v>
      </c>
      <c r="F3740">
        <f>tbl_AQI[[#This Row],[Most AQI Reached]]-tbl_AQI[[#This Row],[Current AQI]]</f>
        <v>42</v>
      </c>
      <c r="G37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40">
        <f>RANK(tbl_AQI[[#This Row],[Current AQI]], tbl_AQI[Current AQI], 0)</f>
        <v>586</v>
      </c>
    </row>
    <row r="3741" spans="1:8" x14ac:dyDescent="0.35">
      <c r="A3741" t="s">
        <v>3560</v>
      </c>
      <c r="B3741" t="s">
        <v>3765</v>
      </c>
      <c r="C3741">
        <v>314</v>
      </c>
      <c r="D3741">
        <v>247</v>
      </c>
      <c r="E3741" t="s">
        <v>17</v>
      </c>
      <c r="F3741">
        <f>tbl_AQI[[#This Row],[Most AQI Reached]]-tbl_AQI[[#This Row],[Current AQI]]</f>
        <v>67</v>
      </c>
      <c r="G37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41">
        <f>RANK(tbl_AQI[[#This Row],[Current AQI]], tbl_AQI[Current AQI], 0)</f>
        <v>1112</v>
      </c>
    </row>
    <row r="3742" spans="1:8" x14ac:dyDescent="0.35">
      <c r="A3742" t="s">
        <v>3560</v>
      </c>
      <c r="B3742" t="s">
        <v>3766</v>
      </c>
      <c r="C3742">
        <v>325</v>
      </c>
      <c r="D3742">
        <v>230</v>
      </c>
      <c r="E3742" t="s">
        <v>9</v>
      </c>
      <c r="F3742">
        <f>tbl_AQI[[#This Row],[Most AQI Reached]]-tbl_AQI[[#This Row],[Current AQI]]</f>
        <v>95</v>
      </c>
      <c r="G37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42">
        <f>RANK(tbl_AQI[[#This Row],[Current AQI]], tbl_AQI[Current AQI], 0)</f>
        <v>1184</v>
      </c>
    </row>
    <row r="3743" spans="1:8" x14ac:dyDescent="0.35">
      <c r="A3743" t="s">
        <v>3560</v>
      </c>
      <c r="B3743" t="s">
        <v>3767</v>
      </c>
      <c r="C3743">
        <v>482</v>
      </c>
      <c r="D3743">
        <v>365</v>
      </c>
      <c r="E3743" t="s">
        <v>9</v>
      </c>
      <c r="F3743">
        <f>tbl_AQI[[#This Row],[Most AQI Reached]]-tbl_AQI[[#This Row],[Current AQI]]</f>
        <v>117</v>
      </c>
      <c r="G37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43">
        <f>RANK(tbl_AQI[[#This Row],[Current AQI]], tbl_AQI[Current AQI], 0)</f>
        <v>556</v>
      </c>
    </row>
    <row r="3744" spans="1:8" x14ac:dyDescent="0.35">
      <c r="A3744" t="s">
        <v>3560</v>
      </c>
      <c r="B3744" t="s">
        <v>3768</v>
      </c>
      <c r="C3744">
        <v>467</v>
      </c>
      <c r="D3744">
        <v>317</v>
      </c>
      <c r="E3744" t="s">
        <v>33</v>
      </c>
      <c r="F3744">
        <f>tbl_AQI[[#This Row],[Most AQI Reached]]-tbl_AQI[[#This Row],[Current AQI]]</f>
        <v>150</v>
      </c>
      <c r="G37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44">
        <f>RANK(tbl_AQI[[#This Row],[Current AQI]], tbl_AQI[Current AQI], 0)</f>
        <v>791</v>
      </c>
    </row>
    <row r="3745" spans="1:8" x14ac:dyDescent="0.35">
      <c r="A3745" t="s">
        <v>3560</v>
      </c>
      <c r="B3745" t="s">
        <v>3769</v>
      </c>
      <c r="C3745">
        <v>383</v>
      </c>
      <c r="D3745">
        <v>305</v>
      </c>
      <c r="E3745" t="s">
        <v>33</v>
      </c>
      <c r="F3745">
        <f>tbl_AQI[[#This Row],[Most AQI Reached]]-tbl_AQI[[#This Row],[Current AQI]]</f>
        <v>78</v>
      </c>
      <c r="G37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45">
        <f>RANK(tbl_AQI[[#This Row],[Current AQI]], tbl_AQI[Current AQI], 0)</f>
        <v>833</v>
      </c>
    </row>
    <row r="3746" spans="1:8" x14ac:dyDescent="0.35">
      <c r="A3746" t="s">
        <v>3560</v>
      </c>
      <c r="B3746" t="s">
        <v>3770</v>
      </c>
      <c r="C3746">
        <v>264</v>
      </c>
      <c r="D3746">
        <v>209</v>
      </c>
      <c r="E3746" t="s">
        <v>21</v>
      </c>
      <c r="F3746">
        <f>tbl_AQI[[#This Row],[Most AQI Reached]]-tbl_AQI[[#This Row],[Current AQI]]</f>
        <v>55</v>
      </c>
      <c r="G37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46">
        <f>RANK(tbl_AQI[[#This Row],[Current AQI]], tbl_AQI[Current AQI], 0)</f>
        <v>1277</v>
      </c>
    </row>
    <row r="3747" spans="1:8" x14ac:dyDescent="0.35">
      <c r="A3747" t="s">
        <v>3560</v>
      </c>
      <c r="B3747" t="s">
        <v>3771</v>
      </c>
      <c r="C3747">
        <v>487</v>
      </c>
      <c r="D3747">
        <v>457</v>
      </c>
      <c r="E3747" t="s">
        <v>9</v>
      </c>
      <c r="F3747">
        <f>tbl_AQI[[#This Row],[Most AQI Reached]]-tbl_AQI[[#This Row],[Current AQI]]</f>
        <v>30</v>
      </c>
      <c r="G37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47">
        <f>RANK(tbl_AQI[[#This Row],[Current AQI]], tbl_AQI[Current AQI], 0)</f>
        <v>120</v>
      </c>
    </row>
    <row r="3748" spans="1:8" x14ac:dyDescent="0.35">
      <c r="A3748" t="s">
        <v>3560</v>
      </c>
      <c r="B3748" t="s">
        <v>3772</v>
      </c>
      <c r="C3748">
        <v>447</v>
      </c>
      <c r="D3748">
        <v>321</v>
      </c>
      <c r="E3748" t="s">
        <v>21</v>
      </c>
      <c r="F3748">
        <f>tbl_AQI[[#This Row],[Most AQI Reached]]-tbl_AQI[[#This Row],[Current AQI]]</f>
        <v>126</v>
      </c>
      <c r="G37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48">
        <f>RANK(tbl_AQI[[#This Row],[Current AQI]], tbl_AQI[Current AQI], 0)</f>
        <v>770</v>
      </c>
    </row>
    <row r="3749" spans="1:8" x14ac:dyDescent="0.35">
      <c r="A3749" t="s">
        <v>3560</v>
      </c>
      <c r="B3749" t="s">
        <v>3773</v>
      </c>
      <c r="C3749">
        <v>489</v>
      </c>
      <c r="D3749">
        <v>239</v>
      </c>
      <c r="E3749" t="s">
        <v>17</v>
      </c>
      <c r="F3749">
        <f>tbl_AQI[[#This Row],[Most AQI Reached]]-tbl_AQI[[#This Row],[Current AQI]]</f>
        <v>250</v>
      </c>
      <c r="G37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49">
        <f>RANK(tbl_AQI[[#This Row],[Current AQI]], tbl_AQI[Current AQI], 0)</f>
        <v>1145</v>
      </c>
    </row>
    <row r="3750" spans="1:8" x14ac:dyDescent="0.35">
      <c r="A3750" t="s">
        <v>3560</v>
      </c>
      <c r="B3750" t="s">
        <v>3774</v>
      </c>
      <c r="C3750">
        <v>404</v>
      </c>
      <c r="D3750">
        <v>316</v>
      </c>
      <c r="E3750" t="s">
        <v>15</v>
      </c>
      <c r="F3750">
        <f>tbl_AQI[[#This Row],[Most AQI Reached]]-tbl_AQI[[#This Row],[Current AQI]]</f>
        <v>88</v>
      </c>
      <c r="G37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50">
        <f>RANK(tbl_AQI[[#This Row],[Current AQI]], tbl_AQI[Current AQI], 0)</f>
        <v>799</v>
      </c>
    </row>
    <row r="3751" spans="1:8" x14ac:dyDescent="0.35">
      <c r="A3751" t="s">
        <v>3560</v>
      </c>
      <c r="B3751" t="s">
        <v>3775</v>
      </c>
      <c r="C3751">
        <v>441</v>
      </c>
      <c r="D3751">
        <v>407</v>
      </c>
      <c r="E3751" t="s">
        <v>7</v>
      </c>
      <c r="F3751">
        <f>tbl_AQI[[#This Row],[Most AQI Reached]]-tbl_AQI[[#This Row],[Current AQI]]</f>
        <v>34</v>
      </c>
      <c r="G37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51">
        <f>RANK(tbl_AQI[[#This Row],[Current AQI]], tbl_AQI[Current AQI], 0)</f>
        <v>354</v>
      </c>
    </row>
    <row r="3752" spans="1:8" x14ac:dyDescent="0.35">
      <c r="A3752" t="s">
        <v>3560</v>
      </c>
      <c r="B3752" t="s">
        <v>3776</v>
      </c>
      <c r="C3752">
        <v>461</v>
      </c>
      <c r="D3752">
        <v>417</v>
      </c>
      <c r="E3752" t="s">
        <v>7</v>
      </c>
      <c r="F3752">
        <f>tbl_AQI[[#This Row],[Most AQI Reached]]-tbl_AQI[[#This Row],[Current AQI]]</f>
        <v>44</v>
      </c>
      <c r="G37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52">
        <f>RANK(tbl_AQI[[#This Row],[Current AQI]], tbl_AQI[Current AQI], 0)</f>
        <v>316</v>
      </c>
    </row>
    <row r="3753" spans="1:8" x14ac:dyDescent="0.35">
      <c r="A3753" t="s">
        <v>3560</v>
      </c>
      <c r="B3753" t="s">
        <v>3777</v>
      </c>
      <c r="C3753">
        <v>379</v>
      </c>
      <c r="D3753">
        <v>197</v>
      </c>
      <c r="E3753" t="s">
        <v>17</v>
      </c>
      <c r="F3753">
        <f>tbl_AQI[[#This Row],[Most AQI Reached]]-tbl_AQI[[#This Row],[Current AQI]]</f>
        <v>182</v>
      </c>
      <c r="G37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53">
        <f>RANK(tbl_AQI[[#This Row],[Current AQI]], tbl_AQI[Current AQI], 0)</f>
        <v>1323</v>
      </c>
    </row>
    <row r="3754" spans="1:8" x14ac:dyDescent="0.35">
      <c r="A3754" t="s">
        <v>3560</v>
      </c>
      <c r="B3754" t="s">
        <v>3778</v>
      </c>
      <c r="C3754">
        <v>391</v>
      </c>
      <c r="D3754">
        <v>336</v>
      </c>
      <c r="E3754" t="s">
        <v>33</v>
      </c>
      <c r="F3754">
        <f>tbl_AQI[[#This Row],[Most AQI Reached]]-tbl_AQI[[#This Row],[Current AQI]]</f>
        <v>55</v>
      </c>
      <c r="G37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54">
        <f>RANK(tbl_AQI[[#This Row],[Current AQI]], tbl_AQI[Current AQI], 0)</f>
        <v>700</v>
      </c>
    </row>
    <row r="3755" spans="1:8" x14ac:dyDescent="0.35">
      <c r="A3755" t="s">
        <v>3560</v>
      </c>
      <c r="B3755" t="s">
        <v>3779</v>
      </c>
      <c r="C3755">
        <v>471</v>
      </c>
      <c r="D3755">
        <v>332</v>
      </c>
      <c r="E3755" t="s">
        <v>9</v>
      </c>
      <c r="F3755">
        <f>tbl_AQI[[#This Row],[Most AQI Reached]]-tbl_AQI[[#This Row],[Current AQI]]</f>
        <v>139</v>
      </c>
      <c r="G37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55">
        <f>RANK(tbl_AQI[[#This Row],[Current AQI]], tbl_AQI[Current AQI], 0)</f>
        <v>725</v>
      </c>
    </row>
    <row r="3756" spans="1:8" x14ac:dyDescent="0.35">
      <c r="A3756" t="s">
        <v>3560</v>
      </c>
      <c r="B3756" t="s">
        <v>3780</v>
      </c>
      <c r="C3756">
        <v>328</v>
      </c>
      <c r="D3756">
        <v>311</v>
      </c>
      <c r="E3756" t="s">
        <v>11</v>
      </c>
      <c r="F3756">
        <f>tbl_AQI[[#This Row],[Most AQI Reached]]-tbl_AQI[[#This Row],[Current AQI]]</f>
        <v>17</v>
      </c>
      <c r="G37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56">
        <f>RANK(tbl_AQI[[#This Row],[Current AQI]], tbl_AQI[Current AQI], 0)</f>
        <v>815</v>
      </c>
    </row>
    <row r="3757" spans="1:8" x14ac:dyDescent="0.35">
      <c r="A3757" t="s">
        <v>3560</v>
      </c>
      <c r="B3757" t="s">
        <v>3781</v>
      </c>
      <c r="C3757">
        <v>472</v>
      </c>
      <c r="D3757">
        <v>396</v>
      </c>
      <c r="E3757" t="s">
        <v>7</v>
      </c>
      <c r="F3757">
        <f>tbl_AQI[[#This Row],[Most AQI Reached]]-tbl_AQI[[#This Row],[Current AQI]]</f>
        <v>76</v>
      </c>
      <c r="G37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57">
        <f>RANK(tbl_AQI[[#This Row],[Current AQI]], tbl_AQI[Current AQI], 0)</f>
        <v>415</v>
      </c>
    </row>
    <row r="3758" spans="1:8" x14ac:dyDescent="0.35">
      <c r="A3758" t="s">
        <v>3560</v>
      </c>
      <c r="B3758" t="s">
        <v>3782</v>
      </c>
      <c r="C3758">
        <v>494</v>
      </c>
      <c r="D3758">
        <v>400</v>
      </c>
      <c r="E3758" t="s">
        <v>9</v>
      </c>
      <c r="F3758">
        <f>tbl_AQI[[#This Row],[Most AQI Reached]]-tbl_AQI[[#This Row],[Current AQI]]</f>
        <v>94</v>
      </c>
      <c r="G37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58">
        <f>RANK(tbl_AQI[[#This Row],[Current AQI]], tbl_AQI[Current AQI], 0)</f>
        <v>392</v>
      </c>
    </row>
    <row r="3759" spans="1:8" x14ac:dyDescent="0.35">
      <c r="A3759" t="s">
        <v>3560</v>
      </c>
      <c r="B3759" t="s">
        <v>3783</v>
      </c>
      <c r="C3759">
        <v>450</v>
      </c>
      <c r="D3759">
        <v>338</v>
      </c>
      <c r="E3759" t="s">
        <v>33</v>
      </c>
      <c r="F3759">
        <f>tbl_AQI[[#This Row],[Most AQI Reached]]-tbl_AQI[[#This Row],[Current AQI]]</f>
        <v>112</v>
      </c>
      <c r="G37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59">
        <f>RANK(tbl_AQI[[#This Row],[Current AQI]], tbl_AQI[Current AQI], 0)</f>
        <v>687</v>
      </c>
    </row>
    <row r="3760" spans="1:8" x14ac:dyDescent="0.35">
      <c r="A3760" t="s">
        <v>3560</v>
      </c>
      <c r="B3760" t="s">
        <v>3784</v>
      </c>
      <c r="C3760">
        <v>477</v>
      </c>
      <c r="D3760">
        <v>331</v>
      </c>
      <c r="E3760" t="s">
        <v>15</v>
      </c>
      <c r="F3760">
        <f>tbl_AQI[[#This Row],[Most AQI Reached]]-tbl_AQI[[#This Row],[Current AQI]]</f>
        <v>146</v>
      </c>
      <c r="G37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60">
        <f>RANK(tbl_AQI[[#This Row],[Current AQI]], tbl_AQI[Current AQI], 0)</f>
        <v>731</v>
      </c>
    </row>
    <row r="3761" spans="1:8" x14ac:dyDescent="0.35">
      <c r="A3761" t="s">
        <v>3560</v>
      </c>
      <c r="B3761" t="s">
        <v>3785</v>
      </c>
      <c r="C3761">
        <v>256</v>
      </c>
      <c r="D3761">
        <v>224</v>
      </c>
      <c r="E3761" t="s">
        <v>21</v>
      </c>
      <c r="F3761">
        <f>tbl_AQI[[#This Row],[Most AQI Reached]]-tbl_AQI[[#This Row],[Current AQI]]</f>
        <v>32</v>
      </c>
      <c r="G37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61">
        <f>RANK(tbl_AQI[[#This Row],[Current AQI]], tbl_AQI[Current AQI], 0)</f>
        <v>1211</v>
      </c>
    </row>
    <row r="3762" spans="1:8" x14ac:dyDescent="0.35">
      <c r="A3762" t="s">
        <v>3560</v>
      </c>
      <c r="B3762" t="s">
        <v>3786</v>
      </c>
      <c r="C3762">
        <v>448</v>
      </c>
      <c r="D3762">
        <v>407</v>
      </c>
      <c r="E3762" t="s">
        <v>9</v>
      </c>
      <c r="F3762">
        <f>tbl_AQI[[#This Row],[Most AQI Reached]]-tbl_AQI[[#This Row],[Current AQI]]</f>
        <v>41</v>
      </c>
      <c r="G37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62">
        <f>RANK(tbl_AQI[[#This Row],[Current AQI]], tbl_AQI[Current AQI], 0)</f>
        <v>354</v>
      </c>
    </row>
    <row r="3763" spans="1:8" x14ac:dyDescent="0.35">
      <c r="A3763" t="s">
        <v>3560</v>
      </c>
      <c r="B3763" t="s">
        <v>3787</v>
      </c>
      <c r="C3763">
        <v>278</v>
      </c>
      <c r="D3763">
        <v>251</v>
      </c>
      <c r="E3763" t="s">
        <v>21</v>
      </c>
      <c r="F3763">
        <f>tbl_AQI[[#This Row],[Most AQI Reached]]-tbl_AQI[[#This Row],[Current AQI]]</f>
        <v>27</v>
      </c>
      <c r="G37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63">
        <f>RANK(tbl_AQI[[#This Row],[Current AQI]], tbl_AQI[Current AQI], 0)</f>
        <v>1087</v>
      </c>
    </row>
    <row r="3764" spans="1:8" x14ac:dyDescent="0.35">
      <c r="A3764" t="s">
        <v>3560</v>
      </c>
      <c r="B3764" t="s">
        <v>3788</v>
      </c>
      <c r="C3764">
        <v>463</v>
      </c>
      <c r="D3764">
        <v>454</v>
      </c>
      <c r="E3764" t="s">
        <v>21</v>
      </c>
      <c r="F3764">
        <f>tbl_AQI[[#This Row],[Most AQI Reached]]-tbl_AQI[[#This Row],[Current AQI]]</f>
        <v>9</v>
      </c>
      <c r="G37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3764">
        <f>RANK(tbl_AQI[[#This Row],[Current AQI]], tbl_AQI[Current AQI], 0)</f>
        <v>131</v>
      </c>
    </row>
    <row r="3765" spans="1:8" x14ac:dyDescent="0.35">
      <c r="A3765" t="s">
        <v>3560</v>
      </c>
      <c r="B3765" t="s">
        <v>3789</v>
      </c>
      <c r="C3765">
        <v>366</v>
      </c>
      <c r="D3765">
        <v>349</v>
      </c>
      <c r="E3765" t="s">
        <v>9</v>
      </c>
      <c r="F3765">
        <f>tbl_AQI[[#This Row],[Most AQI Reached]]-tbl_AQI[[#This Row],[Current AQI]]</f>
        <v>17</v>
      </c>
      <c r="G37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65">
        <f>RANK(tbl_AQI[[#This Row],[Current AQI]], tbl_AQI[Current AQI], 0)</f>
        <v>631</v>
      </c>
    </row>
    <row r="3766" spans="1:8" x14ac:dyDescent="0.35">
      <c r="A3766" t="s">
        <v>3560</v>
      </c>
      <c r="B3766" t="s">
        <v>3790</v>
      </c>
      <c r="C3766">
        <v>363</v>
      </c>
      <c r="D3766">
        <v>280</v>
      </c>
      <c r="E3766" t="s">
        <v>9</v>
      </c>
      <c r="F3766">
        <f>tbl_AQI[[#This Row],[Most AQI Reached]]-tbl_AQI[[#This Row],[Current AQI]]</f>
        <v>83</v>
      </c>
      <c r="G37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3766">
        <f>RANK(tbl_AQI[[#This Row],[Current AQI]], tbl_AQI[Current AQI], 0)</f>
        <v>954</v>
      </c>
    </row>
    <row r="3767" spans="1:8" x14ac:dyDescent="0.35">
      <c r="A3767" t="s">
        <v>3560</v>
      </c>
      <c r="B3767" t="s">
        <v>3791</v>
      </c>
      <c r="C3767">
        <v>496</v>
      </c>
      <c r="D3767">
        <v>349</v>
      </c>
      <c r="E3767" t="s">
        <v>21</v>
      </c>
      <c r="F3767">
        <f>tbl_AQI[[#This Row],[Most AQI Reached]]-tbl_AQI[[#This Row],[Current AQI]]</f>
        <v>147</v>
      </c>
      <c r="G37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3767">
        <f>RANK(tbl_AQI[[#This Row],[Current AQI]], tbl_AQI[Current AQI], 0)</f>
        <v>631</v>
      </c>
    </row>
    <row r="3768" spans="1:8" x14ac:dyDescent="0.35">
      <c r="A3768" t="s">
        <v>3792</v>
      </c>
      <c r="B3768" t="s">
        <v>3793</v>
      </c>
      <c r="C3768">
        <v>228</v>
      </c>
      <c r="D3768">
        <v>90</v>
      </c>
      <c r="E3768" t="s">
        <v>33</v>
      </c>
      <c r="F3768">
        <f>tbl_AQI[[#This Row],[Most AQI Reached]]-tbl_AQI[[#This Row],[Current AQI]]</f>
        <v>138</v>
      </c>
      <c r="G37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68">
        <f>RANK(tbl_AQI[[#This Row],[Current AQI]], tbl_AQI[Current AQI], 0)</f>
        <v>3750</v>
      </c>
    </row>
    <row r="3769" spans="1:8" x14ac:dyDescent="0.35">
      <c r="A3769" t="s">
        <v>3792</v>
      </c>
      <c r="B3769" t="s">
        <v>3794</v>
      </c>
      <c r="C3769">
        <v>189</v>
      </c>
      <c r="D3769">
        <v>138</v>
      </c>
      <c r="E3769" t="s">
        <v>17</v>
      </c>
      <c r="F3769">
        <f>tbl_AQI[[#This Row],[Most AQI Reached]]-tbl_AQI[[#This Row],[Current AQI]]</f>
        <v>51</v>
      </c>
      <c r="G37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69">
        <f>RANK(tbl_AQI[[#This Row],[Current AQI]], tbl_AQI[Current AQI], 0)</f>
        <v>2660</v>
      </c>
    </row>
    <row r="3770" spans="1:8" x14ac:dyDescent="0.35">
      <c r="A3770" t="s">
        <v>3792</v>
      </c>
      <c r="B3770" t="s">
        <v>3795</v>
      </c>
      <c r="C3770">
        <v>303</v>
      </c>
      <c r="D3770">
        <v>184</v>
      </c>
      <c r="E3770" t="s">
        <v>15</v>
      </c>
      <c r="F3770">
        <f>tbl_AQI[[#This Row],[Most AQI Reached]]-tbl_AQI[[#This Row],[Current AQI]]</f>
        <v>119</v>
      </c>
      <c r="G37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70">
        <f>RANK(tbl_AQI[[#This Row],[Current AQI]], tbl_AQI[Current AQI], 0)</f>
        <v>1544</v>
      </c>
    </row>
    <row r="3771" spans="1:8" x14ac:dyDescent="0.35">
      <c r="A3771" t="s">
        <v>3792</v>
      </c>
      <c r="B3771" t="s">
        <v>3796</v>
      </c>
      <c r="C3771">
        <v>258</v>
      </c>
      <c r="D3771">
        <v>168</v>
      </c>
      <c r="E3771" t="s">
        <v>9</v>
      </c>
      <c r="F3771">
        <f>tbl_AQI[[#This Row],[Most AQI Reached]]-tbl_AQI[[#This Row],[Current AQI]]</f>
        <v>90</v>
      </c>
      <c r="G37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71">
        <f>RANK(tbl_AQI[[#This Row],[Current AQI]], tbl_AQI[Current AQI], 0)</f>
        <v>1954</v>
      </c>
    </row>
    <row r="3772" spans="1:8" x14ac:dyDescent="0.35">
      <c r="A3772" t="s">
        <v>3792</v>
      </c>
      <c r="B3772" t="s">
        <v>3797</v>
      </c>
      <c r="C3772">
        <v>278</v>
      </c>
      <c r="D3772">
        <v>143</v>
      </c>
      <c r="E3772" t="s">
        <v>33</v>
      </c>
      <c r="F3772">
        <f>tbl_AQI[[#This Row],[Most AQI Reached]]-tbl_AQI[[#This Row],[Current AQI]]</f>
        <v>135</v>
      </c>
      <c r="G37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72">
        <f>RANK(tbl_AQI[[#This Row],[Current AQI]], tbl_AQI[Current AQI], 0)</f>
        <v>2567</v>
      </c>
    </row>
    <row r="3773" spans="1:8" x14ac:dyDescent="0.35">
      <c r="A3773" t="s">
        <v>3792</v>
      </c>
      <c r="B3773" t="s">
        <v>3798</v>
      </c>
      <c r="C3773">
        <v>197</v>
      </c>
      <c r="D3773">
        <v>72</v>
      </c>
      <c r="E3773" t="s">
        <v>15</v>
      </c>
      <c r="F3773">
        <f>tbl_AQI[[#This Row],[Most AQI Reached]]-tbl_AQI[[#This Row],[Current AQI]]</f>
        <v>125</v>
      </c>
      <c r="G37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73">
        <f>RANK(tbl_AQI[[#This Row],[Current AQI]], tbl_AQI[Current AQI], 0)</f>
        <v>4100</v>
      </c>
    </row>
    <row r="3774" spans="1:8" x14ac:dyDescent="0.35">
      <c r="A3774" t="s">
        <v>3792</v>
      </c>
      <c r="B3774" t="s">
        <v>3799</v>
      </c>
      <c r="C3774">
        <v>132</v>
      </c>
      <c r="D3774">
        <v>115</v>
      </c>
      <c r="E3774" t="s">
        <v>33</v>
      </c>
      <c r="F3774">
        <f>tbl_AQI[[#This Row],[Most AQI Reached]]-tbl_AQI[[#This Row],[Current AQI]]</f>
        <v>17</v>
      </c>
      <c r="G37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74">
        <f>RANK(tbl_AQI[[#This Row],[Current AQI]], tbl_AQI[Current AQI], 0)</f>
        <v>3206</v>
      </c>
    </row>
    <row r="3775" spans="1:8" x14ac:dyDescent="0.35">
      <c r="A3775" t="s">
        <v>3792</v>
      </c>
      <c r="B3775" t="s">
        <v>3800</v>
      </c>
      <c r="C3775">
        <v>209</v>
      </c>
      <c r="D3775">
        <v>79</v>
      </c>
      <c r="E3775" t="s">
        <v>15</v>
      </c>
      <c r="F3775">
        <f>tbl_AQI[[#This Row],[Most AQI Reached]]-tbl_AQI[[#This Row],[Current AQI]]</f>
        <v>130</v>
      </c>
      <c r="G37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75">
        <f>RANK(tbl_AQI[[#This Row],[Current AQI]], tbl_AQI[Current AQI], 0)</f>
        <v>3967</v>
      </c>
    </row>
    <row r="3776" spans="1:8" x14ac:dyDescent="0.35">
      <c r="A3776" t="s">
        <v>3792</v>
      </c>
      <c r="B3776" t="s">
        <v>3801</v>
      </c>
      <c r="C3776">
        <v>320</v>
      </c>
      <c r="D3776">
        <v>139</v>
      </c>
      <c r="E3776" t="s">
        <v>21</v>
      </c>
      <c r="F3776">
        <f>tbl_AQI[[#This Row],[Most AQI Reached]]-tbl_AQI[[#This Row],[Current AQI]]</f>
        <v>181</v>
      </c>
      <c r="G37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76">
        <f>RANK(tbl_AQI[[#This Row],[Current AQI]], tbl_AQI[Current AQI], 0)</f>
        <v>2647</v>
      </c>
    </row>
    <row r="3777" spans="1:8" x14ac:dyDescent="0.35">
      <c r="A3777" t="s">
        <v>3792</v>
      </c>
      <c r="B3777" t="s">
        <v>3802</v>
      </c>
      <c r="C3777">
        <v>218</v>
      </c>
      <c r="D3777">
        <v>133</v>
      </c>
      <c r="E3777" t="s">
        <v>17</v>
      </c>
      <c r="F3777">
        <f>tbl_AQI[[#This Row],[Most AQI Reached]]-tbl_AQI[[#This Row],[Current AQI]]</f>
        <v>85</v>
      </c>
      <c r="G37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77">
        <f>RANK(tbl_AQI[[#This Row],[Current AQI]], tbl_AQI[Current AQI], 0)</f>
        <v>2758</v>
      </c>
    </row>
    <row r="3778" spans="1:8" x14ac:dyDescent="0.35">
      <c r="A3778" t="s">
        <v>3792</v>
      </c>
      <c r="B3778" t="s">
        <v>3803</v>
      </c>
      <c r="C3778">
        <v>99</v>
      </c>
      <c r="D3778">
        <v>36</v>
      </c>
      <c r="E3778" t="s">
        <v>11</v>
      </c>
      <c r="F3778">
        <f>tbl_AQI[[#This Row],[Most AQI Reached]]-tbl_AQI[[#This Row],[Current AQI]]</f>
        <v>63</v>
      </c>
      <c r="G37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778">
        <f>RANK(tbl_AQI[[#This Row],[Current AQI]], tbl_AQI[Current AQI], 0)</f>
        <v>4893</v>
      </c>
    </row>
    <row r="3779" spans="1:8" x14ac:dyDescent="0.35">
      <c r="A3779" t="s">
        <v>3792</v>
      </c>
      <c r="B3779" t="s">
        <v>3804</v>
      </c>
      <c r="C3779">
        <v>273</v>
      </c>
      <c r="D3779">
        <v>58</v>
      </c>
      <c r="E3779" t="s">
        <v>7</v>
      </c>
      <c r="F3779">
        <f>tbl_AQI[[#This Row],[Most AQI Reached]]-tbl_AQI[[#This Row],[Current AQI]]</f>
        <v>215</v>
      </c>
      <c r="G37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79">
        <f>RANK(tbl_AQI[[#This Row],[Current AQI]], tbl_AQI[Current AQI], 0)</f>
        <v>4431</v>
      </c>
    </row>
    <row r="3780" spans="1:8" x14ac:dyDescent="0.35">
      <c r="A3780" t="s">
        <v>3792</v>
      </c>
      <c r="B3780" t="s">
        <v>3805</v>
      </c>
      <c r="C3780">
        <v>315</v>
      </c>
      <c r="D3780">
        <v>68</v>
      </c>
      <c r="E3780" t="s">
        <v>33</v>
      </c>
      <c r="F3780">
        <f>tbl_AQI[[#This Row],[Most AQI Reached]]-tbl_AQI[[#This Row],[Current AQI]]</f>
        <v>247</v>
      </c>
      <c r="G37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80">
        <f>RANK(tbl_AQI[[#This Row],[Current AQI]], tbl_AQI[Current AQI], 0)</f>
        <v>4204</v>
      </c>
    </row>
    <row r="3781" spans="1:8" x14ac:dyDescent="0.35">
      <c r="A3781" t="s">
        <v>3792</v>
      </c>
      <c r="B3781" t="s">
        <v>3806</v>
      </c>
      <c r="C3781">
        <v>285</v>
      </c>
      <c r="D3781">
        <v>78</v>
      </c>
      <c r="E3781" t="s">
        <v>17</v>
      </c>
      <c r="F3781">
        <f>tbl_AQI[[#This Row],[Most AQI Reached]]-tbl_AQI[[#This Row],[Current AQI]]</f>
        <v>207</v>
      </c>
      <c r="G37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81">
        <f>RANK(tbl_AQI[[#This Row],[Current AQI]], tbl_AQI[Current AQI], 0)</f>
        <v>3989</v>
      </c>
    </row>
    <row r="3782" spans="1:8" x14ac:dyDescent="0.35">
      <c r="A3782" t="s">
        <v>3792</v>
      </c>
      <c r="B3782" t="s">
        <v>3807</v>
      </c>
      <c r="C3782">
        <v>145</v>
      </c>
      <c r="D3782">
        <v>131</v>
      </c>
      <c r="E3782" t="s">
        <v>17</v>
      </c>
      <c r="F3782">
        <f>tbl_AQI[[#This Row],[Most AQI Reached]]-tbl_AQI[[#This Row],[Current AQI]]</f>
        <v>14</v>
      </c>
      <c r="G37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82">
        <f>RANK(tbl_AQI[[#This Row],[Current AQI]], tbl_AQI[Current AQI], 0)</f>
        <v>2815</v>
      </c>
    </row>
    <row r="3783" spans="1:8" x14ac:dyDescent="0.35">
      <c r="A3783" t="s">
        <v>3792</v>
      </c>
      <c r="B3783" t="s">
        <v>3808</v>
      </c>
      <c r="C3783">
        <v>228</v>
      </c>
      <c r="D3783">
        <v>164</v>
      </c>
      <c r="E3783" t="s">
        <v>17</v>
      </c>
      <c r="F3783">
        <f>tbl_AQI[[#This Row],[Most AQI Reached]]-tbl_AQI[[#This Row],[Current AQI]]</f>
        <v>64</v>
      </c>
      <c r="G37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83">
        <f>RANK(tbl_AQI[[#This Row],[Current AQI]], tbl_AQI[Current AQI], 0)</f>
        <v>2049</v>
      </c>
    </row>
    <row r="3784" spans="1:8" x14ac:dyDescent="0.35">
      <c r="A3784" t="s">
        <v>3792</v>
      </c>
      <c r="B3784" t="s">
        <v>3809</v>
      </c>
      <c r="C3784">
        <v>280</v>
      </c>
      <c r="D3784">
        <v>147</v>
      </c>
      <c r="E3784" t="s">
        <v>15</v>
      </c>
      <c r="F3784">
        <f>tbl_AQI[[#This Row],[Most AQI Reached]]-tbl_AQI[[#This Row],[Current AQI]]</f>
        <v>133</v>
      </c>
      <c r="G37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84">
        <f>RANK(tbl_AQI[[#This Row],[Current AQI]], tbl_AQI[Current AQI], 0)</f>
        <v>2478</v>
      </c>
    </row>
    <row r="3785" spans="1:8" x14ac:dyDescent="0.35">
      <c r="A3785" t="s">
        <v>3792</v>
      </c>
      <c r="B3785" t="s">
        <v>3810</v>
      </c>
      <c r="C3785">
        <v>298</v>
      </c>
      <c r="D3785">
        <v>190</v>
      </c>
      <c r="E3785" t="s">
        <v>9</v>
      </c>
      <c r="F3785">
        <f>tbl_AQI[[#This Row],[Most AQI Reached]]-tbl_AQI[[#This Row],[Current AQI]]</f>
        <v>108</v>
      </c>
      <c r="G37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85">
        <f>RANK(tbl_AQI[[#This Row],[Current AQI]], tbl_AQI[Current AQI], 0)</f>
        <v>1355</v>
      </c>
    </row>
    <row r="3786" spans="1:8" x14ac:dyDescent="0.35">
      <c r="A3786" t="s">
        <v>3792</v>
      </c>
      <c r="B3786" t="s">
        <v>3811</v>
      </c>
      <c r="C3786">
        <v>267</v>
      </c>
      <c r="D3786">
        <v>43</v>
      </c>
      <c r="E3786" t="s">
        <v>15</v>
      </c>
      <c r="F3786">
        <f>tbl_AQI[[#This Row],[Most AQI Reached]]-tbl_AQI[[#This Row],[Current AQI]]</f>
        <v>224</v>
      </c>
      <c r="G37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786">
        <f>RANK(tbl_AQI[[#This Row],[Current AQI]], tbl_AQI[Current AQI], 0)</f>
        <v>4752</v>
      </c>
    </row>
    <row r="3787" spans="1:8" x14ac:dyDescent="0.35">
      <c r="A3787" t="s">
        <v>3792</v>
      </c>
      <c r="B3787" t="s">
        <v>3812</v>
      </c>
      <c r="C3787">
        <v>106</v>
      </c>
      <c r="D3787">
        <v>30</v>
      </c>
      <c r="E3787" t="s">
        <v>9</v>
      </c>
      <c r="F3787">
        <f>tbl_AQI[[#This Row],[Most AQI Reached]]-tbl_AQI[[#This Row],[Current AQI]]</f>
        <v>76</v>
      </c>
      <c r="G37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787">
        <f>RANK(tbl_AQI[[#This Row],[Current AQI]], tbl_AQI[Current AQI], 0)</f>
        <v>5042</v>
      </c>
    </row>
    <row r="3788" spans="1:8" x14ac:dyDescent="0.35">
      <c r="A3788" t="s">
        <v>3792</v>
      </c>
      <c r="B3788" t="s">
        <v>3813</v>
      </c>
      <c r="C3788">
        <v>191</v>
      </c>
      <c r="D3788">
        <v>141</v>
      </c>
      <c r="E3788" t="s">
        <v>9</v>
      </c>
      <c r="F3788">
        <f>tbl_AQI[[#This Row],[Most AQI Reached]]-tbl_AQI[[#This Row],[Current AQI]]</f>
        <v>50</v>
      </c>
      <c r="G37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88">
        <f>RANK(tbl_AQI[[#This Row],[Current AQI]], tbl_AQI[Current AQI], 0)</f>
        <v>2609</v>
      </c>
    </row>
    <row r="3789" spans="1:8" x14ac:dyDescent="0.35">
      <c r="A3789" t="s">
        <v>3792</v>
      </c>
      <c r="B3789" t="s">
        <v>3814</v>
      </c>
      <c r="C3789">
        <v>105</v>
      </c>
      <c r="D3789">
        <v>49</v>
      </c>
      <c r="E3789" t="s">
        <v>33</v>
      </c>
      <c r="F3789">
        <f>tbl_AQI[[#This Row],[Most AQI Reached]]-tbl_AQI[[#This Row],[Current AQI]]</f>
        <v>56</v>
      </c>
      <c r="G37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789">
        <f>RANK(tbl_AQI[[#This Row],[Current AQI]], tbl_AQI[Current AQI], 0)</f>
        <v>4614</v>
      </c>
    </row>
    <row r="3790" spans="1:8" x14ac:dyDescent="0.35">
      <c r="A3790" t="s">
        <v>3792</v>
      </c>
      <c r="B3790" t="s">
        <v>3815</v>
      </c>
      <c r="C3790">
        <v>251</v>
      </c>
      <c r="D3790">
        <v>111</v>
      </c>
      <c r="E3790" t="s">
        <v>9</v>
      </c>
      <c r="F3790">
        <f>tbl_AQI[[#This Row],[Most AQI Reached]]-tbl_AQI[[#This Row],[Current AQI]]</f>
        <v>140</v>
      </c>
      <c r="G37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90">
        <f>RANK(tbl_AQI[[#This Row],[Current AQI]], tbl_AQI[Current AQI], 0)</f>
        <v>3285</v>
      </c>
    </row>
    <row r="3791" spans="1:8" x14ac:dyDescent="0.35">
      <c r="A3791" t="s">
        <v>3792</v>
      </c>
      <c r="B3791" t="s">
        <v>3816</v>
      </c>
      <c r="C3791">
        <v>236</v>
      </c>
      <c r="D3791">
        <v>111</v>
      </c>
      <c r="E3791" t="s">
        <v>7</v>
      </c>
      <c r="F3791">
        <f>tbl_AQI[[#This Row],[Most AQI Reached]]-tbl_AQI[[#This Row],[Current AQI]]</f>
        <v>125</v>
      </c>
      <c r="G37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91">
        <f>RANK(tbl_AQI[[#This Row],[Current AQI]], tbl_AQI[Current AQI], 0)</f>
        <v>3285</v>
      </c>
    </row>
    <row r="3792" spans="1:8" x14ac:dyDescent="0.35">
      <c r="A3792" t="s">
        <v>3792</v>
      </c>
      <c r="B3792" t="s">
        <v>3817</v>
      </c>
      <c r="C3792">
        <v>166</v>
      </c>
      <c r="D3792">
        <v>32</v>
      </c>
      <c r="E3792" t="s">
        <v>17</v>
      </c>
      <c r="F3792">
        <f>tbl_AQI[[#This Row],[Most AQI Reached]]-tbl_AQI[[#This Row],[Current AQI]]</f>
        <v>134</v>
      </c>
      <c r="G37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792">
        <f>RANK(tbl_AQI[[#This Row],[Current AQI]], tbl_AQI[Current AQI], 0)</f>
        <v>4983</v>
      </c>
    </row>
    <row r="3793" spans="1:8" x14ac:dyDescent="0.35">
      <c r="A3793" t="s">
        <v>3792</v>
      </c>
      <c r="B3793" t="s">
        <v>3818</v>
      </c>
      <c r="C3793">
        <v>172</v>
      </c>
      <c r="D3793">
        <v>69</v>
      </c>
      <c r="E3793" t="s">
        <v>33</v>
      </c>
      <c r="F3793">
        <f>tbl_AQI[[#This Row],[Most AQI Reached]]-tbl_AQI[[#This Row],[Current AQI]]</f>
        <v>103</v>
      </c>
      <c r="G37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93">
        <f>RANK(tbl_AQI[[#This Row],[Current AQI]], tbl_AQI[Current AQI], 0)</f>
        <v>4186</v>
      </c>
    </row>
    <row r="3794" spans="1:8" x14ac:dyDescent="0.35">
      <c r="A3794" t="s">
        <v>3792</v>
      </c>
      <c r="B3794" t="s">
        <v>3819</v>
      </c>
      <c r="C3794">
        <v>152</v>
      </c>
      <c r="D3794">
        <v>41</v>
      </c>
      <c r="E3794" t="s">
        <v>33</v>
      </c>
      <c r="F3794">
        <f>tbl_AQI[[#This Row],[Most AQI Reached]]-tbl_AQI[[#This Row],[Current AQI]]</f>
        <v>111</v>
      </c>
      <c r="G37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794">
        <f>RANK(tbl_AQI[[#This Row],[Current AQI]], tbl_AQI[Current AQI], 0)</f>
        <v>4789</v>
      </c>
    </row>
    <row r="3795" spans="1:8" x14ac:dyDescent="0.35">
      <c r="A3795" t="s">
        <v>3792</v>
      </c>
      <c r="B3795" t="s">
        <v>3820</v>
      </c>
      <c r="C3795">
        <v>180</v>
      </c>
      <c r="D3795">
        <v>123</v>
      </c>
      <c r="E3795" t="s">
        <v>33</v>
      </c>
      <c r="F3795">
        <f>tbl_AQI[[#This Row],[Most AQI Reached]]-tbl_AQI[[#This Row],[Current AQI]]</f>
        <v>57</v>
      </c>
      <c r="G37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95">
        <f>RANK(tbl_AQI[[#This Row],[Current AQI]], tbl_AQI[Current AQI], 0)</f>
        <v>2983</v>
      </c>
    </row>
    <row r="3796" spans="1:8" x14ac:dyDescent="0.35">
      <c r="A3796" t="s">
        <v>3821</v>
      </c>
      <c r="B3796" t="s">
        <v>3822</v>
      </c>
      <c r="C3796">
        <v>294</v>
      </c>
      <c r="D3796">
        <v>172</v>
      </c>
      <c r="E3796" t="s">
        <v>9</v>
      </c>
      <c r="F3796">
        <f>tbl_AQI[[#This Row],[Most AQI Reached]]-tbl_AQI[[#This Row],[Current AQI]]</f>
        <v>122</v>
      </c>
      <c r="G37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96">
        <f>RANK(tbl_AQI[[#This Row],[Current AQI]], tbl_AQI[Current AQI], 0)</f>
        <v>1852</v>
      </c>
    </row>
    <row r="3797" spans="1:8" x14ac:dyDescent="0.35">
      <c r="A3797" t="s">
        <v>3821</v>
      </c>
      <c r="B3797" t="s">
        <v>3823</v>
      </c>
      <c r="C3797">
        <v>315</v>
      </c>
      <c r="D3797">
        <v>123</v>
      </c>
      <c r="E3797" t="s">
        <v>15</v>
      </c>
      <c r="F3797">
        <f>tbl_AQI[[#This Row],[Most AQI Reached]]-tbl_AQI[[#This Row],[Current AQI]]</f>
        <v>192</v>
      </c>
      <c r="G37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97">
        <f>RANK(tbl_AQI[[#This Row],[Current AQI]], tbl_AQI[Current AQI], 0)</f>
        <v>2983</v>
      </c>
    </row>
    <row r="3798" spans="1:8" x14ac:dyDescent="0.35">
      <c r="A3798" t="s">
        <v>3821</v>
      </c>
      <c r="B3798" t="s">
        <v>3824</v>
      </c>
      <c r="C3798">
        <v>220</v>
      </c>
      <c r="D3798">
        <v>64</v>
      </c>
      <c r="E3798" t="s">
        <v>15</v>
      </c>
      <c r="F3798">
        <f>tbl_AQI[[#This Row],[Most AQI Reached]]-tbl_AQI[[#This Row],[Current AQI]]</f>
        <v>156</v>
      </c>
      <c r="G37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798">
        <f>RANK(tbl_AQI[[#This Row],[Current AQI]], tbl_AQI[Current AQI], 0)</f>
        <v>4293</v>
      </c>
    </row>
    <row r="3799" spans="1:8" x14ac:dyDescent="0.35">
      <c r="A3799" t="s">
        <v>3821</v>
      </c>
      <c r="B3799" t="s">
        <v>3825</v>
      </c>
      <c r="C3799">
        <v>155</v>
      </c>
      <c r="D3799">
        <v>150</v>
      </c>
      <c r="E3799" t="s">
        <v>21</v>
      </c>
      <c r="F3799">
        <f>tbl_AQI[[#This Row],[Most AQI Reached]]-tbl_AQI[[#This Row],[Current AQI]]</f>
        <v>5</v>
      </c>
      <c r="G37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799">
        <f>RANK(tbl_AQI[[#This Row],[Current AQI]], tbl_AQI[Current AQI], 0)</f>
        <v>2400</v>
      </c>
    </row>
    <row r="3800" spans="1:8" x14ac:dyDescent="0.35">
      <c r="A3800" t="s">
        <v>3821</v>
      </c>
      <c r="B3800" t="s">
        <v>3826</v>
      </c>
      <c r="C3800">
        <v>68</v>
      </c>
      <c r="D3800">
        <v>41</v>
      </c>
      <c r="E3800" t="s">
        <v>33</v>
      </c>
      <c r="F3800">
        <f>tbl_AQI[[#This Row],[Most AQI Reached]]-tbl_AQI[[#This Row],[Current AQI]]</f>
        <v>27</v>
      </c>
      <c r="G38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00">
        <f>RANK(tbl_AQI[[#This Row],[Current AQI]], tbl_AQI[Current AQI], 0)</f>
        <v>4789</v>
      </c>
    </row>
    <row r="3801" spans="1:8" x14ac:dyDescent="0.35">
      <c r="A3801" t="s">
        <v>3821</v>
      </c>
      <c r="B3801" t="s">
        <v>3827</v>
      </c>
      <c r="C3801">
        <v>312</v>
      </c>
      <c r="D3801">
        <v>176</v>
      </c>
      <c r="E3801" t="s">
        <v>9</v>
      </c>
      <c r="F3801">
        <f>tbl_AQI[[#This Row],[Most AQI Reached]]-tbl_AQI[[#This Row],[Current AQI]]</f>
        <v>136</v>
      </c>
      <c r="G38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01">
        <f>RANK(tbl_AQI[[#This Row],[Current AQI]], tbl_AQI[Current AQI], 0)</f>
        <v>1754</v>
      </c>
    </row>
    <row r="3802" spans="1:8" x14ac:dyDescent="0.35">
      <c r="A3802" t="s">
        <v>3821</v>
      </c>
      <c r="B3802" t="s">
        <v>3828</v>
      </c>
      <c r="C3802">
        <v>188</v>
      </c>
      <c r="D3802">
        <v>66</v>
      </c>
      <c r="E3802" t="s">
        <v>9</v>
      </c>
      <c r="F3802">
        <f>tbl_AQI[[#This Row],[Most AQI Reached]]-tbl_AQI[[#This Row],[Current AQI]]</f>
        <v>122</v>
      </c>
      <c r="G38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02">
        <f>RANK(tbl_AQI[[#This Row],[Current AQI]], tbl_AQI[Current AQI], 0)</f>
        <v>4247</v>
      </c>
    </row>
    <row r="3803" spans="1:8" x14ac:dyDescent="0.35">
      <c r="A3803" t="s">
        <v>3821</v>
      </c>
      <c r="B3803" t="s">
        <v>3829</v>
      </c>
      <c r="C3803">
        <v>70</v>
      </c>
      <c r="D3803">
        <v>67</v>
      </c>
      <c r="E3803" t="s">
        <v>15</v>
      </c>
      <c r="F3803">
        <f>tbl_AQI[[#This Row],[Most AQI Reached]]-tbl_AQI[[#This Row],[Current AQI]]</f>
        <v>3</v>
      </c>
      <c r="G38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03">
        <f>RANK(tbl_AQI[[#This Row],[Current AQI]], tbl_AQI[Current AQI], 0)</f>
        <v>4225</v>
      </c>
    </row>
    <row r="3804" spans="1:8" x14ac:dyDescent="0.35">
      <c r="A3804" t="s">
        <v>3821</v>
      </c>
      <c r="B3804" t="s">
        <v>3830</v>
      </c>
      <c r="C3804">
        <v>298</v>
      </c>
      <c r="D3804">
        <v>141</v>
      </c>
      <c r="E3804" t="s">
        <v>9</v>
      </c>
      <c r="F3804">
        <f>tbl_AQI[[#This Row],[Most AQI Reached]]-tbl_AQI[[#This Row],[Current AQI]]</f>
        <v>157</v>
      </c>
      <c r="G38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04">
        <f>RANK(tbl_AQI[[#This Row],[Current AQI]], tbl_AQI[Current AQI], 0)</f>
        <v>2609</v>
      </c>
    </row>
    <row r="3805" spans="1:8" x14ac:dyDescent="0.35">
      <c r="A3805" t="s">
        <v>3821</v>
      </c>
      <c r="B3805" t="s">
        <v>3831</v>
      </c>
      <c r="C3805">
        <v>210</v>
      </c>
      <c r="D3805">
        <v>78</v>
      </c>
      <c r="E3805" t="s">
        <v>7</v>
      </c>
      <c r="F3805">
        <f>tbl_AQI[[#This Row],[Most AQI Reached]]-tbl_AQI[[#This Row],[Current AQI]]</f>
        <v>132</v>
      </c>
      <c r="G38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05">
        <f>RANK(tbl_AQI[[#This Row],[Current AQI]], tbl_AQI[Current AQI], 0)</f>
        <v>3989</v>
      </c>
    </row>
    <row r="3806" spans="1:8" x14ac:dyDescent="0.35">
      <c r="A3806" t="s">
        <v>3821</v>
      </c>
      <c r="B3806" t="s">
        <v>3832</v>
      </c>
      <c r="C3806">
        <v>176</v>
      </c>
      <c r="D3806">
        <v>167</v>
      </c>
      <c r="E3806" t="s">
        <v>21</v>
      </c>
      <c r="F3806">
        <f>tbl_AQI[[#This Row],[Most AQI Reached]]-tbl_AQI[[#This Row],[Current AQI]]</f>
        <v>9</v>
      </c>
      <c r="G38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06">
        <f>RANK(tbl_AQI[[#This Row],[Current AQI]], tbl_AQI[Current AQI], 0)</f>
        <v>1979</v>
      </c>
    </row>
    <row r="3807" spans="1:8" x14ac:dyDescent="0.35">
      <c r="A3807" t="s">
        <v>3821</v>
      </c>
      <c r="B3807" t="s">
        <v>3833</v>
      </c>
      <c r="C3807">
        <v>150</v>
      </c>
      <c r="D3807">
        <v>96</v>
      </c>
      <c r="E3807" t="s">
        <v>9</v>
      </c>
      <c r="F3807">
        <f>tbl_AQI[[#This Row],[Most AQI Reached]]-tbl_AQI[[#This Row],[Current AQI]]</f>
        <v>54</v>
      </c>
      <c r="G38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07">
        <f>RANK(tbl_AQI[[#This Row],[Current AQI]], tbl_AQI[Current AQI], 0)</f>
        <v>3616</v>
      </c>
    </row>
    <row r="3808" spans="1:8" x14ac:dyDescent="0.35">
      <c r="A3808" t="s">
        <v>3821</v>
      </c>
      <c r="B3808" t="s">
        <v>3834</v>
      </c>
      <c r="C3808">
        <v>234</v>
      </c>
      <c r="D3808">
        <v>94</v>
      </c>
      <c r="E3808" t="s">
        <v>7</v>
      </c>
      <c r="F3808">
        <f>tbl_AQI[[#This Row],[Most AQI Reached]]-tbl_AQI[[#This Row],[Current AQI]]</f>
        <v>140</v>
      </c>
      <c r="G38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08">
        <f>RANK(tbl_AQI[[#This Row],[Current AQI]], tbl_AQI[Current AQI], 0)</f>
        <v>3654</v>
      </c>
    </row>
    <row r="3809" spans="1:8" x14ac:dyDescent="0.35">
      <c r="A3809" t="s">
        <v>3821</v>
      </c>
      <c r="B3809" t="s">
        <v>3835</v>
      </c>
      <c r="C3809">
        <v>105</v>
      </c>
      <c r="D3809">
        <v>65</v>
      </c>
      <c r="E3809" t="s">
        <v>17</v>
      </c>
      <c r="F3809">
        <f>tbl_AQI[[#This Row],[Most AQI Reached]]-tbl_AQI[[#This Row],[Current AQI]]</f>
        <v>40</v>
      </c>
      <c r="G38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09">
        <f>RANK(tbl_AQI[[#This Row],[Current AQI]], tbl_AQI[Current AQI], 0)</f>
        <v>4267</v>
      </c>
    </row>
    <row r="3810" spans="1:8" x14ac:dyDescent="0.35">
      <c r="A3810" t="s">
        <v>3821</v>
      </c>
      <c r="B3810" t="s">
        <v>3836</v>
      </c>
      <c r="C3810">
        <v>203</v>
      </c>
      <c r="D3810">
        <v>52</v>
      </c>
      <c r="E3810" t="s">
        <v>11</v>
      </c>
      <c r="F3810">
        <f>tbl_AQI[[#This Row],[Most AQI Reached]]-tbl_AQI[[#This Row],[Current AQI]]</f>
        <v>151</v>
      </c>
      <c r="G38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10">
        <f>RANK(tbl_AQI[[#This Row],[Current AQI]], tbl_AQI[Current AQI], 0)</f>
        <v>4564</v>
      </c>
    </row>
    <row r="3811" spans="1:8" x14ac:dyDescent="0.35">
      <c r="A3811" t="s">
        <v>3821</v>
      </c>
      <c r="B3811" t="s">
        <v>3837</v>
      </c>
      <c r="C3811">
        <v>68</v>
      </c>
      <c r="D3811">
        <v>49</v>
      </c>
      <c r="E3811" t="s">
        <v>11</v>
      </c>
      <c r="F3811">
        <f>tbl_AQI[[#This Row],[Most AQI Reached]]-tbl_AQI[[#This Row],[Current AQI]]</f>
        <v>19</v>
      </c>
      <c r="G38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11">
        <f>RANK(tbl_AQI[[#This Row],[Current AQI]], tbl_AQI[Current AQI], 0)</f>
        <v>4614</v>
      </c>
    </row>
    <row r="3812" spans="1:8" x14ac:dyDescent="0.35">
      <c r="A3812" t="s">
        <v>3821</v>
      </c>
      <c r="B3812" t="s">
        <v>3838</v>
      </c>
      <c r="C3812">
        <v>318</v>
      </c>
      <c r="D3812">
        <v>180</v>
      </c>
      <c r="E3812" t="s">
        <v>33</v>
      </c>
      <c r="F3812">
        <f>tbl_AQI[[#This Row],[Most AQI Reached]]-tbl_AQI[[#This Row],[Current AQI]]</f>
        <v>138</v>
      </c>
      <c r="G38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12">
        <f>RANK(tbl_AQI[[#This Row],[Current AQI]], tbl_AQI[Current AQI], 0)</f>
        <v>1635</v>
      </c>
    </row>
    <row r="3813" spans="1:8" x14ac:dyDescent="0.35">
      <c r="A3813" t="s">
        <v>3821</v>
      </c>
      <c r="B3813" t="s">
        <v>3839</v>
      </c>
      <c r="C3813">
        <v>221</v>
      </c>
      <c r="D3813">
        <v>148</v>
      </c>
      <c r="E3813" t="s">
        <v>11</v>
      </c>
      <c r="F3813">
        <f>tbl_AQI[[#This Row],[Most AQI Reached]]-tbl_AQI[[#This Row],[Current AQI]]</f>
        <v>73</v>
      </c>
      <c r="G38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13">
        <f>RANK(tbl_AQI[[#This Row],[Current AQI]], tbl_AQI[Current AQI], 0)</f>
        <v>2446</v>
      </c>
    </row>
    <row r="3814" spans="1:8" x14ac:dyDescent="0.35">
      <c r="A3814" t="s">
        <v>3821</v>
      </c>
      <c r="B3814" t="s">
        <v>3840</v>
      </c>
      <c r="C3814">
        <v>197</v>
      </c>
      <c r="D3814">
        <v>158</v>
      </c>
      <c r="E3814" t="s">
        <v>7</v>
      </c>
      <c r="F3814">
        <f>tbl_AQI[[#This Row],[Most AQI Reached]]-tbl_AQI[[#This Row],[Current AQI]]</f>
        <v>39</v>
      </c>
      <c r="G38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14">
        <f>RANK(tbl_AQI[[#This Row],[Current AQI]], tbl_AQI[Current AQI], 0)</f>
        <v>2207</v>
      </c>
    </row>
    <row r="3815" spans="1:8" x14ac:dyDescent="0.35">
      <c r="A3815" t="s">
        <v>3821</v>
      </c>
      <c r="B3815" t="s">
        <v>3841</v>
      </c>
      <c r="C3815">
        <v>201</v>
      </c>
      <c r="D3815">
        <v>72</v>
      </c>
      <c r="E3815" t="s">
        <v>11</v>
      </c>
      <c r="F3815">
        <f>tbl_AQI[[#This Row],[Most AQI Reached]]-tbl_AQI[[#This Row],[Current AQI]]</f>
        <v>129</v>
      </c>
      <c r="G38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15">
        <f>RANK(tbl_AQI[[#This Row],[Current AQI]], tbl_AQI[Current AQI], 0)</f>
        <v>4100</v>
      </c>
    </row>
    <row r="3816" spans="1:8" x14ac:dyDescent="0.35">
      <c r="A3816" t="s">
        <v>3821</v>
      </c>
      <c r="B3816" t="s">
        <v>3842</v>
      </c>
      <c r="C3816">
        <v>211</v>
      </c>
      <c r="D3816">
        <v>160</v>
      </c>
      <c r="E3816" t="s">
        <v>15</v>
      </c>
      <c r="F3816">
        <f>tbl_AQI[[#This Row],[Most AQI Reached]]-tbl_AQI[[#This Row],[Current AQI]]</f>
        <v>51</v>
      </c>
      <c r="G38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16">
        <f>RANK(tbl_AQI[[#This Row],[Current AQI]], tbl_AQI[Current AQI], 0)</f>
        <v>2154</v>
      </c>
    </row>
    <row r="3817" spans="1:8" x14ac:dyDescent="0.35">
      <c r="A3817" t="s">
        <v>3821</v>
      </c>
      <c r="B3817" t="s">
        <v>3843</v>
      </c>
      <c r="C3817">
        <v>232</v>
      </c>
      <c r="D3817">
        <v>155</v>
      </c>
      <c r="E3817" t="s">
        <v>7</v>
      </c>
      <c r="F3817">
        <f>tbl_AQI[[#This Row],[Most AQI Reached]]-tbl_AQI[[#This Row],[Current AQI]]</f>
        <v>77</v>
      </c>
      <c r="G38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17">
        <f>RANK(tbl_AQI[[#This Row],[Current AQI]], tbl_AQI[Current AQI], 0)</f>
        <v>2275</v>
      </c>
    </row>
    <row r="3818" spans="1:8" x14ac:dyDescent="0.35">
      <c r="A3818" t="s">
        <v>3821</v>
      </c>
      <c r="B3818" t="s">
        <v>3844</v>
      </c>
      <c r="C3818">
        <v>254</v>
      </c>
      <c r="D3818">
        <v>119</v>
      </c>
      <c r="E3818" t="s">
        <v>7</v>
      </c>
      <c r="F3818">
        <f>tbl_AQI[[#This Row],[Most AQI Reached]]-tbl_AQI[[#This Row],[Current AQI]]</f>
        <v>135</v>
      </c>
      <c r="G38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18">
        <f>RANK(tbl_AQI[[#This Row],[Current AQI]], tbl_AQI[Current AQI], 0)</f>
        <v>3093</v>
      </c>
    </row>
    <row r="3819" spans="1:8" x14ac:dyDescent="0.35">
      <c r="A3819" t="s">
        <v>3821</v>
      </c>
      <c r="B3819" t="s">
        <v>3845</v>
      </c>
      <c r="C3819">
        <v>113</v>
      </c>
      <c r="D3819">
        <v>77</v>
      </c>
      <c r="E3819" t="s">
        <v>15</v>
      </c>
      <c r="F3819">
        <f>tbl_AQI[[#This Row],[Most AQI Reached]]-tbl_AQI[[#This Row],[Current AQI]]</f>
        <v>36</v>
      </c>
      <c r="G38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19">
        <f>RANK(tbl_AQI[[#This Row],[Current AQI]], tbl_AQI[Current AQI], 0)</f>
        <v>4006</v>
      </c>
    </row>
    <row r="3820" spans="1:8" x14ac:dyDescent="0.35">
      <c r="A3820" t="s">
        <v>3821</v>
      </c>
      <c r="B3820" t="s">
        <v>3846</v>
      </c>
      <c r="C3820">
        <v>240</v>
      </c>
      <c r="D3820">
        <v>140</v>
      </c>
      <c r="E3820" t="s">
        <v>15</v>
      </c>
      <c r="F3820">
        <f>tbl_AQI[[#This Row],[Most AQI Reached]]-tbl_AQI[[#This Row],[Current AQI]]</f>
        <v>100</v>
      </c>
      <c r="G38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20">
        <f>RANK(tbl_AQI[[#This Row],[Current AQI]], tbl_AQI[Current AQI], 0)</f>
        <v>2627</v>
      </c>
    </row>
    <row r="3821" spans="1:8" x14ac:dyDescent="0.35">
      <c r="A3821" t="s">
        <v>3821</v>
      </c>
      <c r="B3821" t="s">
        <v>3847</v>
      </c>
      <c r="C3821">
        <v>165</v>
      </c>
      <c r="D3821">
        <v>66</v>
      </c>
      <c r="E3821" t="s">
        <v>21</v>
      </c>
      <c r="F3821">
        <f>tbl_AQI[[#This Row],[Most AQI Reached]]-tbl_AQI[[#This Row],[Current AQI]]</f>
        <v>99</v>
      </c>
      <c r="G38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21">
        <f>RANK(tbl_AQI[[#This Row],[Current AQI]], tbl_AQI[Current AQI], 0)</f>
        <v>4247</v>
      </c>
    </row>
    <row r="3822" spans="1:8" x14ac:dyDescent="0.35">
      <c r="A3822" t="s">
        <v>3821</v>
      </c>
      <c r="B3822" t="s">
        <v>3848</v>
      </c>
      <c r="C3822">
        <v>160</v>
      </c>
      <c r="D3822">
        <v>30</v>
      </c>
      <c r="E3822" t="s">
        <v>21</v>
      </c>
      <c r="F3822">
        <f>tbl_AQI[[#This Row],[Most AQI Reached]]-tbl_AQI[[#This Row],[Current AQI]]</f>
        <v>130</v>
      </c>
      <c r="G38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22">
        <f>RANK(tbl_AQI[[#This Row],[Current AQI]], tbl_AQI[Current AQI], 0)</f>
        <v>5042</v>
      </c>
    </row>
    <row r="3823" spans="1:8" x14ac:dyDescent="0.35">
      <c r="A3823" t="s">
        <v>3821</v>
      </c>
      <c r="B3823" t="s">
        <v>3849</v>
      </c>
      <c r="C3823">
        <v>143</v>
      </c>
      <c r="D3823">
        <v>62</v>
      </c>
      <c r="E3823" t="s">
        <v>17</v>
      </c>
      <c r="F3823">
        <f>tbl_AQI[[#This Row],[Most AQI Reached]]-tbl_AQI[[#This Row],[Current AQI]]</f>
        <v>81</v>
      </c>
      <c r="G38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23">
        <f>RANK(tbl_AQI[[#This Row],[Current AQI]], tbl_AQI[Current AQI], 0)</f>
        <v>4343</v>
      </c>
    </row>
    <row r="3824" spans="1:8" x14ac:dyDescent="0.35">
      <c r="A3824" t="s">
        <v>3821</v>
      </c>
      <c r="B3824" t="s">
        <v>3850</v>
      </c>
      <c r="C3824">
        <v>206</v>
      </c>
      <c r="D3824">
        <v>141</v>
      </c>
      <c r="E3824" t="s">
        <v>15</v>
      </c>
      <c r="F3824">
        <f>tbl_AQI[[#This Row],[Most AQI Reached]]-tbl_AQI[[#This Row],[Current AQI]]</f>
        <v>65</v>
      </c>
      <c r="G38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24">
        <f>RANK(tbl_AQI[[#This Row],[Current AQI]], tbl_AQI[Current AQI], 0)</f>
        <v>2609</v>
      </c>
    </row>
    <row r="3825" spans="1:8" x14ac:dyDescent="0.35">
      <c r="A3825" t="s">
        <v>3821</v>
      </c>
      <c r="B3825" t="s">
        <v>3851</v>
      </c>
      <c r="C3825">
        <v>231</v>
      </c>
      <c r="D3825">
        <v>34</v>
      </c>
      <c r="E3825" t="s">
        <v>11</v>
      </c>
      <c r="F3825">
        <f>tbl_AQI[[#This Row],[Most AQI Reached]]-tbl_AQI[[#This Row],[Current AQI]]</f>
        <v>197</v>
      </c>
      <c r="G38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25">
        <f>RANK(tbl_AQI[[#This Row],[Current AQI]], tbl_AQI[Current AQI], 0)</f>
        <v>4944</v>
      </c>
    </row>
    <row r="3826" spans="1:8" x14ac:dyDescent="0.35">
      <c r="A3826" t="s">
        <v>3821</v>
      </c>
      <c r="B3826" t="s">
        <v>3852</v>
      </c>
      <c r="C3826">
        <v>283</v>
      </c>
      <c r="D3826">
        <v>92</v>
      </c>
      <c r="E3826" t="s">
        <v>21</v>
      </c>
      <c r="F3826">
        <f>tbl_AQI[[#This Row],[Most AQI Reached]]-tbl_AQI[[#This Row],[Current AQI]]</f>
        <v>191</v>
      </c>
      <c r="G38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26">
        <f>RANK(tbl_AQI[[#This Row],[Current AQI]], tbl_AQI[Current AQI], 0)</f>
        <v>3706</v>
      </c>
    </row>
    <row r="3827" spans="1:8" x14ac:dyDescent="0.35">
      <c r="A3827" t="s">
        <v>3821</v>
      </c>
      <c r="B3827" t="s">
        <v>3853</v>
      </c>
      <c r="C3827">
        <v>261</v>
      </c>
      <c r="D3827">
        <v>129</v>
      </c>
      <c r="E3827" t="s">
        <v>11</v>
      </c>
      <c r="F3827">
        <f>tbl_AQI[[#This Row],[Most AQI Reached]]-tbl_AQI[[#This Row],[Current AQI]]</f>
        <v>132</v>
      </c>
      <c r="G38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27">
        <f>RANK(tbl_AQI[[#This Row],[Current AQI]], tbl_AQI[Current AQI], 0)</f>
        <v>2852</v>
      </c>
    </row>
    <row r="3828" spans="1:8" x14ac:dyDescent="0.35">
      <c r="A3828" t="s">
        <v>3821</v>
      </c>
      <c r="B3828" t="s">
        <v>3854</v>
      </c>
      <c r="C3828">
        <v>136</v>
      </c>
      <c r="D3828">
        <v>135</v>
      </c>
      <c r="E3828" t="s">
        <v>9</v>
      </c>
      <c r="F3828">
        <f>tbl_AQI[[#This Row],[Most AQI Reached]]-tbl_AQI[[#This Row],[Current AQI]]</f>
        <v>1</v>
      </c>
      <c r="G38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28">
        <f>RANK(tbl_AQI[[#This Row],[Current AQI]], tbl_AQI[Current AQI], 0)</f>
        <v>2714</v>
      </c>
    </row>
    <row r="3829" spans="1:8" x14ac:dyDescent="0.35">
      <c r="A3829" t="s">
        <v>3821</v>
      </c>
      <c r="B3829" t="s">
        <v>3855</v>
      </c>
      <c r="C3829">
        <v>190</v>
      </c>
      <c r="D3829">
        <v>120</v>
      </c>
      <c r="E3829" t="s">
        <v>11</v>
      </c>
      <c r="F3829">
        <f>tbl_AQI[[#This Row],[Most AQI Reached]]-tbl_AQI[[#This Row],[Current AQI]]</f>
        <v>70</v>
      </c>
      <c r="G38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29">
        <f>RANK(tbl_AQI[[#This Row],[Current AQI]], tbl_AQI[Current AQI], 0)</f>
        <v>3066</v>
      </c>
    </row>
    <row r="3830" spans="1:8" x14ac:dyDescent="0.35">
      <c r="A3830" t="s">
        <v>3821</v>
      </c>
      <c r="B3830" t="s">
        <v>3856</v>
      </c>
      <c r="C3830">
        <v>274</v>
      </c>
      <c r="D3830">
        <v>167</v>
      </c>
      <c r="E3830" t="s">
        <v>15</v>
      </c>
      <c r="F3830">
        <f>tbl_AQI[[#This Row],[Most AQI Reached]]-tbl_AQI[[#This Row],[Current AQI]]</f>
        <v>107</v>
      </c>
      <c r="G38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0">
        <f>RANK(tbl_AQI[[#This Row],[Current AQI]], tbl_AQI[Current AQI], 0)</f>
        <v>1979</v>
      </c>
    </row>
    <row r="3831" spans="1:8" x14ac:dyDescent="0.35">
      <c r="A3831" t="s">
        <v>3821</v>
      </c>
      <c r="B3831" t="s">
        <v>3857</v>
      </c>
      <c r="C3831">
        <v>255</v>
      </c>
      <c r="D3831">
        <v>177</v>
      </c>
      <c r="E3831" t="s">
        <v>21</v>
      </c>
      <c r="F3831">
        <f>tbl_AQI[[#This Row],[Most AQI Reached]]-tbl_AQI[[#This Row],[Current AQI]]</f>
        <v>78</v>
      </c>
      <c r="G38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1">
        <f>RANK(tbl_AQI[[#This Row],[Current AQI]], tbl_AQI[Current AQI], 0)</f>
        <v>1733</v>
      </c>
    </row>
    <row r="3832" spans="1:8" x14ac:dyDescent="0.35">
      <c r="A3832" t="s">
        <v>3821</v>
      </c>
      <c r="B3832" t="s">
        <v>3858</v>
      </c>
      <c r="C3832">
        <v>183</v>
      </c>
      <c r="D3832">
        <v>101</v>
      </c>
      <c r="E3832" t="s">
        <v>11</v>
      </c>
      <c r="F3832">
        <f>tbl_AQI[[#This Row],[Most AQI Reached]]-tbl_AQI[[#This Row],[Current AQI]]</f>
        <v>82</v>
      </c>
      <c r="G38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2">
        <f>RANK(tbl_AQI[[#This Row],[Current AQI]], tbl_AQI[Current AQI], 0)</f>
        <v>3515</v>
      </c>
    </row>
    <row r="3833" spans="1:8" x14ac:dyDescent="0.35">
      <c r="A3833" t="s">
        <v>3821</v>
      </c>
      <c r="B3833" t="s">
        <v>3859</v>
      </c>
      <c r="C3833">
        <v>169</v>
      </c>
      <c r="D3833">
        <v>118</v>
      </c>
      <c r="E3833" t="s">
        <v>15</v>
      </c>
      <c r="F3833">
        <f>tbl_AQI[[#This Row],[Most AQI Reached]]-tbl_AQI[[#This Row],[Current AQI]]</f>
        <v>51</v>
      </c>
      <c r="G38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3">
        <f>RANK(tbl_AQI[[#This Row],[Current AQI]], tbl_AQI[Current AQI], 0)</f>
        <v>3122</v>
      </c>
    </row>
    <row r="3834" spans="1:8" x14ac:dyDescent="0.35">
      <c r="A3834" t="s">
        <v>3821</v>
      </c>
      <c r="B3834" t="s">
        <v>3860</v>
      </c>
      <c r="C3834">
        <v>288</v>
      </c>
      <c r="D3834">
        <v>121</v>
      </c>
      <c r="E3834" t="s">
        <v>9</v>
      </c>
      <c r="F3834">
        <f>tbl_AQI[[#This Row],[Most AQI Reached]]-tbl_AQI[[#This Row],[Current AQI]]</f>
        <v>167</v>
      </c>
      <c r="G38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4">
        <f>RANK(tbl_AQI[[#This Row],[Current AQI]], tbl_AQI[Current AQI], 0)</f>
        <v>3037</v>
      </c>
    </row>
    <row r="3835" spans="1:8" x14ac:dyDescent="0.35">
      <c r="A3835" t="s">
        <v>3821</v>
      </c>
      <c r="B3835" t="s">
        <v>3861</v>
      </c>
      <c r="C3835">
        <v>245</v>
      </c>
      <c r="D3835">
        <v>100</v>
      </c>
      <c r="E3835" t="s">
        <v>7</v>
      </c>
      <c r="F3835">
        <f>tbl_AQI[[#This Row],[Most AQI Reached]]-tbl_AQI[[#This Row],[Current AQI]]</f>
        <v>145</v>
      </c>
      <c r="G38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35">
        <f>RANK(tbl_AQI[[#This Row],[Current AQI]], tbl_AQI[Current AQI], 0)</f>
        <v>3535</v>
      </c>
    </row>
    <row r="3836" spans="1:8" x14ac:dyDescent="0.35">
      <c r="A3836" t="s">
        <v>3821</v>
      </c>
      <c r="B3836" t="s">
        <v>3862</v>
      </c>
      <c r="C3836">
        <v>301</v>
      </c>
      <c r="D3836">
        <v>147</v>
      </c>
      <c r="E3836" t="s">
        <v>7</v>
      </c>
      <c r="F3836">
        <f>tbl_AQI[[#This Row],[Most AQI Reached]]-tbl_AQI[[#This Row],[Current AQI]]</f>
        <v>154</v>
      </c>
      <c r="G38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6">
        <f>RANK(tbl_AQI[[#This Row],[Current AQI]], tbl_AQI[Current AQI], 0)</f>
        <v>2478</v>
      </c>
    </row>
    <row r="3837" spans="1:8" x14ac:dyDescent="0.35">
      <c r="A3837" t="s">
        <v>3821</v>
      </c>
      <c r="B3837" t="s">
        <v>3863</v>
      </c>
      <c r="C3837">
        <v>189</v>
      </c>
      <c r="D3837">
        <v>183</v>
      </c>
      <c r="E3837" t="s">
        <v>17</v>
      </c>
      <c r="F3837">
        <f>tbl_AQI[[#This Row],[Most AQI Reached]]-tbl_AQI[[#This Row],[Current AQI]]</f>
        <v>6</v>
      </c>
      <c r="G38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7">
        <f>RANK(tbl_AQI[[#This Row],[Current AQI]], tbl_AQI[Current AQI], 0)</f>
        <v>1572</v>
      </c>
    </row>
    <row r="3838" spans="1:8" x14ac:dyDescent="0.35">
      <c r="A3838" t="s">
        <v>3821</v>
      </c>
      <c r="B3838" t="s">
        <v>3864</v>
      </c>
      <c r="C3838">
        <v>266</v>
      </c>
      <c r="D3838">
        <v>178</v>
      </c>
      <c r="E3838" t="s">
        <v>17</v>
      </c>
      <c r="F3838">
        <f>tbl_AQI[[#This Row],[Most AQI Reached]]-tbl_AQI[[#This Row],[Current AQI]]</f>
        <v>88</v>
      </c>
      <c r="G38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8">
        <f>RANK(tbl_AQI[[#This Row],[Current AQI]], tbl_AQI[Current AQI], 0)</f>
        <v>1702</v>
      </c>
    </row>
    <row r="3839" spans="1:8" x14ac:dyDescent="0.35">
      <c r="A3839" t="s">
        <v>3821</v>
      </c>
      <c r="B3839" t="s">
        <v>3865</v>
      </c>
      <c r="C3839">
        <v>227</v>
      </c>
      <c r="D3839">
        <v>150</v>
      </c>
      <c r="E3839" t="s">
        <v>11</v>
      </c>
      <c r="F3839">
        <f>tbl_AQI[[#This Row],[Most AQI Reached]]-tbl_AQI[[#This Row],[Current AQI]]</f>
        <v>77</v>
      </c>
      <c r="G38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39">
        <f>RANK(tbl_AQI[[#This Row],[Current AQI]], tbl_AQI[Current AQI], 0)</f>
        <v>2400</v>
      </c>
    </row>
    <row r="3840" spans="1:8" x14ac:dyDescent="0.35">
      <c r="A3840" t="s">
        <v>3821</v>
      </c>
      <c r="B3840" t="s">
        <v>3866</v>
      </c>
      <c r="C3840">
        <v>250</v>
      </c>
      <c r="D3840">
        <v>179</v>
      </c>
      <c r="E3840" t="s">
        <v>15</v>
      </c>
      <c r="F3840">
        <f>tbl_AQI[[#This Row],[Most AQI Reached]]-tbl_AQI[[#This Row],[Current AQI]]</f>
        <v>71</v>
      </c>
      <c r="G38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40">
        <f>RANK(tbl_AQI[[#This Row],[Current AQI]], tbl_AQI[Current AQI], 0)</f>
        <v>1667</v>
      </c>
    </row>
    <row r="3841" spans="1:8" x14ac:dyDescent="0.35">
      <c r="A3841" t="s">
        <v>3821</v>
      </c>
      <c r="B3841" t="s">
        <v>3867</v>
      </c>
      <c r="C3841">
        <v>200</v>
      </c>
      <c r="D3841">
        <v>66</v>
      </c>
      <c r="E3841" t="s">
        <v>21</v>
      </c>
      <c r="F3841">
        <f>tbl_AQI[[#This Row],[Most AQI Reached]]-tbl_AQI[[#This Row],[Current AQI]]</f>
        <v>134</v>
      </c>
      <c r="G38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41">
        <f>RANK(tbl_AQI[[#This Row],[Current AQI]], tbl_AQI[Current AQI], 0)</f>
        <v>4247</v>
      </c>
    </row>
    <row r="3842" spans="1:8" x14ac:dyDescent="0.35">
      <c r="A3842" t="s">
        <v>3821</v>
      </c>
      <c r="B3842" t="s">
        <v>3868</v>
      </c>
      <c r="C3842">
        <v>308</v>
      </c>
      <c r="D3842">
        <v>72</v>
      </c>
      <c r="E3842" t="s">
        <v>11</v>
      </c>
      <c r="F3842">
        <f>tbl_AQI[[#This Row],[Most AQI Reached]]-tbl_AQI[[#This Row],[Current AQI]]</f>
        <v>236</v>
      </c>
      <c r="G38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42">
        <f>RANK(tbl_AQI[[#This Row],[Current AQI]], tbl_AQI[Current AQI], 0)</f>
        <v>4100</v>
      </c>
    </row>
    <row r="3843" spans="1:8" x14ac:dyDescent="0.35">
      <c r="A3843" t="s">
        <v>3821</v>
      </c>
      <c r="B3843" t="s">
        <v>3869</v>
      </c>
      <c r="C3843">
        <v>81</v>
      </c>
      <c r="D3843">
        <v>46</v>
      </c>
      <c r="E3843" t="s">
        <v>9</v>
      </c>
      <c r="F3843">
        <f>tbl_AQI[[#This Row],[Most AQI Reached]]-tbl_AQI[[#This Row],[Current AQI]]</f>
        <v>35</v>
      </c>
      <c r="G38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43">
        <f>RANK(tbl_AQI[[#This Row],[Current AQI]], tbl_AQI[Current AQI], 0)</f>
        <v>4680</v>
      </c>
    </row>
    <row r="3844" spans="1:8" x14ac:dyDescent="0.35">
      <c r="A3844" t="s">
        <v>3821</v>
      </c>
      <c r="B3844" t="s">
        <v>3870</v>
      </c>
      <c r="C3844">
        <v>296</v>
      </c>
      <c r="D3844">
        <v>66</v>
      </c>
      <c r="E3844" t="s">
        <v>11</v>
      </c>
      <c r="F3844">
        <f>tbl_AQI[[#This Row],[Most AQI Reached]]-tbl_AQI[[#This Row],[Current AQI]]</f>
        <v>230</v>
      </c>
      <c r="G38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44">
        <f>RANK(tbl_AQI[[#This Row],[Current AQI]], tbl_AQI[Current AQI], 0)</f>
        <v>4247</v>
      </c>
    </row>
    <row r="3845" spans="1:8" x14ac:dyDescent="0.35">
      <c r="A3845" t="s">
        <v>3821</v>
      </c>
      <c r="B3845" t="s">
        <v>3871</v>
      </c>
      <c r="C3845">
        <v>99</v>
      </c>
      <c r="D3845">
        <v>64</v>
      </c>
      <c r="E3845" t="s">
        <v>21</v>
      </c>
      <c r="F3845">
        <f>tbl_AQI[[#This Row],[Most AQI Reached]]-tbl_AQI[[#This Row],[Current AQI]]</f>
        <v>35</v>
      </c>
      <c r="G38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45">
        <f>RANK(tbl_AQI[[#This Row],[Current AQI]], tbl_AQI[Current AQI], 0)</f>
        <v>4293</v>
      </c>
    </row>
    <row r="3846" spans="1:8" x14ac:dyDescent="0.35">
      <c r="A3846" t="s">
        <v>3821</v>
      </c>
      <c r="B3846" t="s">
        <v>3872</v>
      </c>
      <c r="C3846">
        <v>216</v>
      </c>
      <c r="D3846">
        <v>34</v>
      </c>
      <c r="E3846" t="s">
        <v>15</v>
      </c>
      <c r="F3846">
        <f>tbl_AQI[[#This Row],[Most AQI Reached]]-tbl_AQI[[#This Row],[Current AQI]]</f>
        <v>182</v>
      </c>
      <c r="G38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46">
        <f>RANK(tbl_AQI[[#This Row],[Current AQI]], tbl_AQI[Current AQI], 0)</f>
        <v>4944</v>
      </c>
    </row>
    <row r="3847" spans="1:8" x14ac:dyDescent="0.35">
      <c r="A3847" t="s">
        <v>3821</v>
      </c>
      <c r="B3847" t="s">
        <v>3873</v>
      </c>
      <c r="C3847">
        <v>156</v>
      </c>
      <c r="D3847">
        <v>150</v>
      </c>
      <c r="E3847" t="s">
        <v>21</v>
      </c>
      <c r="F3847">
        <f>tbl_AQI[[#This Row],[Most AQI Reached]]-tbl_AQI[[#This Row],[Current AQI]]</f>
        <v>6</v>
      </c>
      <c r="G38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47">
        <f>RANK(tbl_AQI[[#This Row],[Current AQI]], tbl_AQI[Current AQI], 0)</f>
        <v>2400</v>
      </c>
    </row>
    <row r="3848" spans="1:8" x14ac:dyDescent="0.35">
      <c r="A3848" t="s">
        <v>3821</v>
      </c>
      <c r="B3848" t="s">
        <v>3874</v>
      </c>
      <c r="C3848">
        <v>227</v>
      </c>
      <c r="D3848">
        <v>108</v>
      </c>
      <c r="E3848" t="s">
        <v>15</v>
      </c>
      <c r="F3848">
        <f>tbl_AQI[[#This Row],[Most AQI Reached]]-tbl_AQI[[#This Row],[Current AQI]]</f>
        <v>119</v>
      </c>
      <c r="G38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48">
        <f>RANK(tbl_AQI[[#This Row],[Current AQI]], tbl_AQI[Current AQI], 0)</f>
        <v>3362</v>
      </c>
    </row>
    <row r="3849" spans="1:8" x14ac:dyDescent="0.35">
      <c r="A3849" t="s">
        <v>3821</v>
      </c>
      <c r="B3849" t="s">
        <v>3875</v>
      </c>
      <c r="C3849">
        <v>208</v>
      </c>
      <c r="D3849">
        <v>171</v>
      </c>
      <c r="E3849" t="s">
        <v>15</v>
      </c>
      <c r="F3849">
        <f>tbl_AQI[[#This Row],[Most AQI Reached]]-tbl_AQI[[#This Row],[Current AQI]]</f>
        <v>37</v>
      </c>
      <c r="G38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49">
        <f>RANK(tbl_AQI[[#This Row],[Current AQI]], tbl_AQI[Current AQI], 0)</f>
        <v>1866</v>
      </c>
    </row>
    <row r="3850" spans="1:8" x14ac:dyDescent="0.35">
      <c r="A3850" t="s">
        <v>3821</v>
      </c>
      <c r="B3850" t="s">
        <v>3876</v>
      </c>
      <c r="C3850">
        <v>288</v>
      </c>
      <c r="D3850">
        <v>114</v>
      </c>
      <c r="E3850" t="s">
        <v>7</v>
      </c>
      <c r="F3850">
        <f>tbl_AQI[[#This Row],[Most AQI Reached]]-tbl_AQI[[#This Row],[Current AQI]]</f>
        <v>174</v>
      </c>
      <c r="G38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50">
        <f>RANK(tbl_AQI[[#This Row],[Current AQI]], tbl_AQI[Current AQI], 0)</f>
        <v>3226</v>
      </c>
    </row>
    <row r="3851" spans="1:8" x14ac:dyDescent="0.35">
      <c r="A3851" t="s">
        <v>3821</v>
      </c>
      <c r="B3851" t="s">
        <v>3877</v>
      </c>
      <c r="C3851">
        <v>308</v>
      </c>
      <c r="D3851">
        <v>113</v>
      </c>
      <c r="E3851" t="s">
        <v>9</v>
      </c>
      <c r="F3851">
        <f>tbl_AQI[[#This Row],[Most AQI Reached]]-tbl_AQI[[#This Row],[Current AQI]]</f>
        <v>195</v>
      </c>
      <c r="G38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51">
        <f>RANK(tbl_AQI[[#This Row],[Current AQI]], tbl_AQI[Current AQI], 0)</f>
        <v>3243</v>
      </c>
    </row>
    <row r="3852" spans="1:8" x14ac:dyDescent="0.35">
      <c r="A3852" t="s">
        <v>3821</v>
      </c>
      <c r="B3852" t="s">
        <v>3878</v>
      </c>
      <c r="C3852">
        <v>285</v>
      </c>
      <c r="D3852">
        <v>90</v>
      </c>
      <c r="E3852" t="s">
        <v>7</v>
      </c>
      <c r="F3852">
        <f>tbl_AQI[[#This Row],[Most AQI Reached]]-tbl_AQI[[#This Row],[Current AQI]]</f>
        <v>195</v>
      </c>
      <c r="G38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52">
        <f>RANK(tbl_AQI[[#This Row],[Current AQI]], tbl_AQI[Current AQI], 0)</f>
        <v>3750</v>
      </c>
    </row>
    <row r="3853" spans="1:8" x14ac:dyDescent="0.35">
      <c r="A3853" t="s">
        <v>3821</v>
      </c>
      <c r="B3853" t="s">
        <v>3879</v>
      </c>
      <c r="C3853">
        <v>245</v>
      </c>
      <c r="D3853">
        <v>46</v>
      </c>
      <c r="E3853" t="s">
        <v>33</v>
      </c>
      <c r="F3853">
        <f>tbl_AQI[[#This Row],[Most AQI Reached]]-tbl_AQI[[#This Row],[Current AQI]]</f>
        <v>199</v>
      </c>
      <c r="G38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53">
        <f>RANK(tbl_AQI[[#This Row],[Current AQI]], tbl_AQI[Current AQI], 0)</f>
        <v>4680</v>
      </c>
    </row>
    <row r="3854" spans="1:8" x14ac:dyDescent="0.35">
      <c r="A3854" t="s">
        <v>3821</v>
      </c>
      <c r="B3854" t="s">
        <v>3880</v>
      </c>
      <c r="C3854">
        <v>302</v>
      </c>
      <c r="D3854">
        <v>150</v>
      </c>
      <c r="E3854" t="s">
        <v>21</v>
      </c>
      <c r="F3854">
        <f>tbl_AQI[[#This Row],[Most AQI Reached]]-tbl_AQI[[#This Row],[Current AQI]]</f>
        <v>152</v>
      </c>
      <c r="G38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54">
        <f>RANK(tbl_AQI[[#This Row],[Current AQI]], tbl_AQI[Current AQI], 0)</f>
        <v>2400</v>
      </c>
    </row>
    <row r="3855" spans="1:8" x14ac:dyDescent="0.35">
      <c r="A3855" t="s">
        <v>3821</v>
      </c>
      <c r="B3855" t="s">
        <v>3881</v>
      </c>
      <c r="C3855">
        <v>312</v>
      </c>
      <c r="D3855">
        <v>49</v>
      </c>
      <c r="E3855" t="s">
        <v>7</v>
      </c>
      <c r="F3855">
        <f>tbl_AQI[[#This Row],[Most AQI Reached]]-tbl_AQI[[#This Row],[Current AQI]]</f>
        <v>263</v>
      </c>
      <c r="G38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55">
        <f>RANK(tbl_AQI[[#This Row],[Current AQI]], tbl_AQI[Current AQI], 0)</f>
        <v>4614</v>
      </c>
    </row>
    <row r="3856" spans="1:8" x14ac:dyDescent="0.35">
      <c r="A3856" t="s">
        <v>3821</v>
      </c>
      <c r="B3856" t="s">
        <v>3882</v>
      </c>
      <c r="C3856">
        <v>275</v>
      </c>
      <c r="D3856">
        <v>182</v>
      </c>
      <c r="E3856" t="s">
        <v>7</v>
      </c>
      <c r="F3856">
        <f>tbl_AQI[[#This Row],[Most AQI Reached]]-tbl_AQI[[#This Row],[Current AQI]]</f>
        <v>93</v>
      </c>
      <c r="G38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56">
        <f>RANK(tbl_AQI[[#This Row],[Current AQI]], tbl_AQI[Current AQI], 0)</f>
        <v>1593</v>
      </c>
    </row>
    <row r="3857" spans="1:8" x14ac:dyDescent="0.35">
      <c r="A3857" t="s">
        <v>3821</v>
      </c>
      <c r="B3857" t="s">
        <v>3883</v>
      </c>
      <c r="C3857">
        <v>245</v>
      </c>
      <c r="D3857">
        <v>188</v>
      </c>
      <c r="E3857" t="s">
        <v>33</v>
      </c>
      <c r="F3857">
        <f>tbl_AQI[[#This Row],[Most AQI Reached]]-tbl_AQI[[#This Row],[Current AQI]]</f>
        <v>57</v>
      </c>
      <c r="G38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57">
        <f>RANK(tbl_AQI[[#This Row],[Current AQI]], tbl_AQI[Current AQI], 0)</f>
        <v>1423</v>
      </c>
    </row>
    <row r="3858" spans="1:8" x14ac:dyDescent="0.35">
      <c r="A3858" t="s">
        <v>3821</v>
      </c>
      <c r="B3858" t="s">
        <v>3884</v>
      </c>
      <c r="C3858">
        <v>244</v>
      </c>
      <c r="D3858">
        <v>83</v>
      </c>
      <c r="E3858" t="s">
        <v>7</v>
      </c>
      <c r="F3858">
        <f>tbl_AQI[[#This Row],[Most AQI Reached]]-tbl_AQI[[#This Row],[Current AQI]]</f>
        <v>161</v>
      </c>
      <c r="G38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58">
        <f>RANK(tbl_AQI[[#This Row],[Current AQI]], tbl_AQI[Current AQI], 0)</f>
        <v>3892</v>
      </c>
    </row>
    <row r="3859" spans="1:8" x14ac:dyDescent="0.35">
      <c r="A3859" t="s">
        <v>3821</v>
      </c>
      <c r="B3859" t="s">
        <v>3885</v>
      </c>
      <c r="C3859">
        <v>58</v>
      </c>
      <c r="D3859">
        <v>55</v>
      </c>
      <c r="E3859" t="s">
        <v>15</v>
      </c>
      <c r="F3859">
        <f>tbl_AQI[[#This Row],[Most AQI Reached]]-tbl_AQI[[#This Row],[Current AQI]]</f>
        <v>3</v>
      </c>
      <c r="G38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59">
        <f>RANK(tbl_AQI[[#This Row],[Current AQI]], tbl_AQI[Current AQI], 0)</f>
        <v>4497</v>
      </c>
    </row>
    <row r="3860" spans="1:8" x14ac:dyDescent="0.35">
      <c r="A3860" t="s">
        <v>3821</v>
      </c>
      <c r="B3860" t="s">
        <v>3886</v>
      </c>
      <c r="C3860">
        <v>272</v>
      </c>
      <c r="D3860">
        <v>84</v>
      </c>
      <c r="E3860" t="s">
        <v>33</v>
      </c>
      <c r="F3860">
        <f>tbl_AQI[[#This Row],[Most AQI Reached]]-tbl_AQI[[#This Row],[Current AQI]]</f>
        <v>188</v>
      </c>
      <c r="G38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60">
        <f>RANK(tbl_AQI[[#This Row],[Current AQI]], tbl_AQI[Current AQI], 0)</f>
        <v>3872</v>
      </c>
    </row>
    <row r="3861" spans="1:8" x14ac:dyDescent="0.35">
      <c r="A3861" t="s">
        <v>3821</v>
      </c>
      <c r="B3861" t="s">
        <v>3887</v>
      </c>
      <c r="C3861">
        <v>100</v>
      </c>
      <c r="D3861">
        <v>65</v>
      </c>
      <c r="E3861" t="s">
        <v>21</v>
      </c>
      <c r="F3861">
        <f>tbl_AQI[[#This Row],[Most AQI Reached]]-tbl_AQI[[#This Row],[Current AQI]]</f>
        <v>35</v>
      </c>
      <c r="G38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61">
        <f>RANK(tbl_AQI[[#This Row],[Current AQI]], tbl_AQI[Current AQI], 0)</f>
        <v>4267</v>
      </c>
    </row>
    <row r="3862" spans="1:8" x14ac:dyDescent="0.35">
      <c r="A3862" t="s">
        <v>3821</v>
      </c>
      <c r="B3862" t="s">
        <v>3888</v>
      </c>
      <c r="C3862">
        <v>313</v>
      </c>
      <c r="D3862">
        <v>72</v>
      </c>
      <c r="E3862" t="s">
        <v>33</v>
      </c>
      <c r="F3862">
        <f>tbl_AQI[[#This Row],[Most AQI Reached]]-tbl_AQI[[#This Row],[Current AQI]]</f>
        <v>241</v>
      </c>
      <c r="G38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62">
        <f>RANK(tbl_AQI[[#This Row],[Current AQI]], tbl_AQI[Current AQI], 0)</f>
        <v>4100</v>
      </c>
    </row>
    <row r="3863" spans="1:8" x14ac:dyDescent="0.35">
      <c r="A3863" t="s">
        <v>3821</v>
      </c>
      <c r="B3863" t="s">
        <v>3889</v>
      </c>
      <c r="C3863">
        <v>246</v>
      </c>
      <c r="D3863">
        <v>97</v>
      </c>
      <c r="E3863" t="s">
        <v>9</v>
      </c>
      <c r="F3863">
        <f>tbl_AQI[[#This Row],[Most AQI Reached]]-tbl_AQI[[#This Row],[Current AQI]]</f>
        <v>149</v>
      </c>
      <c r="G38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63">
        <f>RANK(tbl_AQI[[#This Row],[Current AQI]], tbl_AQI[Current AQI], 0)</f>
        <v>3593</v>
      </c>
    </row>
    <row r="3864" spans="1:8" x14ac:dyDescent="0.35">
      <c r="A3864" t="s">
        <v>3821</v>
      </c>
      <c r="B3864" t="s">
        <v>3890</v>
      </c>
      <c r="C3864">
        <v>273</v>
      </c>
      <c r="D3864">
        <v>109</v>
      </c>
      <c r="E3864" t="s">
        <v>9</v>
      </c>
      <c r="F3864">
        <f>tbl_AQI[[#This Row],[Most AQI Reached]]-tbl_AQI[[#This Row],[Current AQI]]</f>
        <v>164</v>
      </c>
      <c r="G38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64">
        <f>RANK(tbl_AQI[[#This Row],[Current AQI]], tbl_AQI[Current AQI], 0)</f>
        <v>3338</v>
      </c>
    </row>
    <row r="3865" spans="1:8" x14ac:dyDescent="0.35">
      <c r="A3865" t="s">
        <v>3821</v>
      </c>
      <c r="B3865" t="s">
        <v>3891</v>
      </c>
      <c r="C3865">
        <v>313</v>
      </c>
      <c r="D3865">
        <v>70</v>
      </c>
      <c r="E3865" t="s">
        <v>9</v>
      </c>
      <c r="F3865">
        <f>tbl_AQI[[#This Row],[Most AQI Reached]]-tbl_AQI[[#This Row],[Current AQI]]</f>
        <v>243</v>
      </c>
      <c r="G38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65">
        <f>RANK(tbl_AQI[[#This Row],[Current AQI]], tbl_AQI[Current AQI], 0)</f>
        <v>4153</v>
      </c>
    </row>
    <row r="3866" spans="1:8" x14ac:dyDescent="0.35">
      <c r="A3866" t="s">
        <v>3821</v>
      </c>
      <c r="B3866" t="s">
        <v>3892</v>
      </c>
      <c r="C3866">
        <v>249</v>
      </c>
      <c r="D3866">
        <v>165</v>
      </c>
      <c r="E3866" t="s">
        <v>17</v>
      </c>
      <c r="F3866">
        <f>tbl_AQI[[#This Row],[Most AQI Reached]]-tbl_AQI[[#This Row],[Current AQI]]</f>
        <v>84</v>
      </c>
      <c r="G38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66">
        <f>RANK(tbl_AQI[[#This Row],[Current AQI]], tbl_AQI[Current AQI], 0)</f>
        <v>2028</v>
      </c>
    </row>
    <row r="3867" spans="1:8" x14ac:dyDescent="0.35">
      <c r="A3867" t="s">
        <v>3821</v>
      </c>
      <c r="B3867" t="s">
        <v>3893</v>
      </c>
      <c r="C3867">
        <v>305</v>
      </c>
      <c r="D3867">
        <v>174</v>
      </c>
      <c r="E3867" t="s">
        <v>33</v>
      </c>
      <c r="F3867">
        <f>tbl_AQI[[#This Row],[Most AQI Reached]]-tbl_AQI[[#This Row],[Current AQI]]</f>
        <v>131</v>
      </c>
      <c r="G38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67">
        <f>RANK(tbl_AQI[[#This Row],[Current AQI]], tbl_AQI[Current AQI], 0)</f>
        <v>1803</v>
      </c>
    </row>
    <row r="3868" spans="1:8" x14ac:dyDescent="0.35">
      <c r="A3868" t="s">
        <v>3821</v>
      </c>
      <c r="B3868" t="s">
        <v>3894</v>
      </c>
      <c r="C3868">
        <v>120</v>
      </c>
      <c r="D3868">
        <v>74</v>
      </c>
      <c r="E3868" t="s">
        <v>21</v>
      </c>
      <c r="F3868">
        <f>tbl_AQI[[#This Row],[Most AQI Reached]]-tbl_AQI[[#This Row],[Current AQI]]</f>
        <v>46</v>
      </c>
      <c r="G38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68">
        <f>RANK(tbl_AQI[[#This Row],[Current AQI]], tbl_AQI[Current AQI], 0)</f>
        <v>4064</v>
      </c>
    </row>
    <row r="3869" spans="1:8" x14ac:dyDescent="0.35">
      <c r="A3869" t="s">
        <v>3821</v>
      </c>
      <c r="B3869" t="s">
        <v>3895</v>
      </c>
      <c r="C3869">
        <v>153</v>
      </c>
      <c r="D3869">
        <v>79</v>
      </c>
      <c r="E3869" t="s">
        <v>33</v>
      </c>
      <c r="F3869">
        <f>tbl_AQI[[#This Row],[Most AQI Reached]]-tbl_AQI[[#This Row],[Current AQI]]</f>
        <v>74</v>
      </c>
      <c r="G38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69">
        <f>RANK(tbl_AQI[[#This Row],[Current AQI]], tbl_AQI[Current AQI], 0)</f>
        <v>3967</v>
      </c>
    </row>
    <row r="3870" spans="1:8" x14ac:dyDescent="0.35">
      <c r="A3870" t="s">
        <v>3821</v>
      </c>
      <c r="B3870" t="s">
        <v>3896</v>
      </c>
      <c r="C3870">
        <v>253</v>
      </c>
      <c r="D3870">
        <v>179</v>
      </c>
      <c r="E3870" t="s">
        <v>9</v>
      </c>
      <c r="F3870">
        <f>tbl_AQI[[#This Row],[Most AQI Reached]]-tbl_AQI[[#This Row],[Current AQI]]</f>
        <v>74</v>
      </c>
      <c r="G38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70">
        <f>RANK(tbl_AQI[[#This Row],[Current AQI]], tbl_AQI[Current AQI], 0)</f>
        <v>1667</v>
      </c>
    </row>
    <row r="3871" spans="1:8" x14ac:dyDescent="0.35">
      <c r="A3871" t="s">
        <v>3821</v>
      </c>
      <c r="B3871" t="s">
        <v>3897</v>
      </c>
      <c r="C3871">
        <v>169</v>
      </c>
      <c r="D3871">
        <v>39</v>
      </c>
      <c r="E3871" t="s">
        <v>15</v>
      </c>
      <c r="F3871">
        <f>tbl_AQI[[#This Row],[Most AQI Reached]]-tbl_AQI[[#This Row],[Current AQI]]</f>
        <v>130</v>
      </c>
      <c r="G38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71">
        <f>RANK(tbl_AQI[[#This Row],[Current AQI]], tbl_AQI[Current AQI], 0)</f>
        <v>4829</v>
      </c>
    </row>
    <row r="3872" spans="1:8" x14ac:dyDescent="0.35">
      <c r="A3872" t="s">
        <v>3821</v>
      </c>
      <c r="B3872" t="s">
        <v>3898</v>
      </c>
      <c r="C3872">
        <v>307</v>
      </c>
      <c r="D3872">
        <v>97</v>
      </c>
      <c r="E3872" t="s">
        <v>17</v>
      </c>
      <c r="F3872">
        <f>tbl_AQI[[#This Row],[Most AQI Reached]]-tbl_AQI[[#This Row],[Current AQI]]</f>
        <v>210</v>
      </c>
      <c r="G38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72">
        <f>RANK(tbl_AQI[[#This Row],[Current AQI]], tbl_AQI[Current AQI], 0)</f>
        <v>3593</v>
      </c>
    </row>
    <row r="3873" spans="1:8" x14ac:dyDescent="0.35">
      <c r="A3873" t="s">
        <v>3821</v>
      </c>
      <c r="B3873" t="s">
        <v>3899</v>
      </c>
      <c r="C3873">
        <v>294</v>
      </c>
      <c r="D3873">
        <v>76</v>
      </c>
      <c r="E3873" t="s">
        <v>9</v>
      </c>
      <c r="F3873">
        <f>tbl_AQI[[#This Row],[Most AQI Reached]]-tbl_AQI[[#This Row],[Current AQI]]</f>
        <v>218</v>
      </c>
      <c r="G38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73">
        <f>RANK(tbl_AQI[[#This Row],[Current AQI]], tbl_AQI[Current AQI], 0)</f>
        <v>4023</v>
      </c>
    </row>
    <row r="3874" spans="1:8" x14ac:dyDescent="0.35">
      <c r="A3874" t="s">
        <v>3821</v>
      </c>
      <c r="B3874" t="s">
        <v>3900</v>
      </c>
      <c r="C3874">
        <v>257</v>
      </c>
      <c r="D3874">
        <v>176</v>
      </c>
      <c r="E3874" t="s">
        <v>17</v>
      </c>
      <c r="F3874">
        <f>tbl_AQI[[#This Row],[Most AQI Reached]]-tbl_AQI[[#This Row],[Current AQI]]</f>
        <v>81</v>
      </c>
      <c r="G38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74">
        <f>RANK(tbl_AQI[[#This Row],[Current AQI]], tbl_AQI[Current AQI], 0)</f>
        <v>1754</v>
      </c>
    </row>
    <row r="3875" spans="1:8" x14ac:dyDescent="0.35">
      <c r="A3875" t="s">
        <v>3821</v>
      </c>
      <c r="B3875" t="s">
        <v>3901</v>
      </c>
      <c r="C3875">
        <v>195</v>
      </c>
      <c r="D3875">
        <v>32</v>
      </c>
      <c r="E3875" t="s">
        <v>33</v>
      </c>
      <c r="F3875">
        <f>tbl_AQI[[#This Row],[Most AQI Reached]]-tbl_AQI[[#This Row],[Current AQI]]</f>
        <v>163</v>
      </c>
      <c r="G38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75">
        <f>RANK(tbl_AQI[[#This Row],[Current AQI]], tbl_AQI[Current AQI], 0)</f>
        <v>4983</v>
      </c>
    </row>
    <row r="3876" spans="1:8" x14ac:dyDescent="0.35">
      <c r="A3876" t="s">
        <v>3821</v>
      </c>
      <c r="B3876" t="s">
        <v>3902</v>
      </c>
      <c r="C3876">
        <v>115</v>
      </c>
      <c r="D3876">
        <v>111</v>
      </c>
      <c r="E3876" t="s">
        <v>9</v>
      </c>
      <c r="F3876">
        <f>tbl_AQI[[#This Row],[Most AQI Reached]]-tbl_AQI[[#This Row],[Current AQI]]</f>
        <v>4</v>
      </c>
      <c r="G38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76">
        <f>RANK(tbl_AQI[[#This Row],[Current AQI]], tbl_AQI[Current AQI], 0)</f>
        <v>3285</v>
      </c>
    </row>
    <row r="3877" spans="1:8" x14ac:dyDescent="0.35">
      <c r="A3877" t="s">
        <v>3821</v>
      </c>
      <c r="B3877" t="s">
        <v>3903</v>
      </c>
      <c r="C3877">
        <v>134</v>
      </c>
      <c r="D3877">
        <v>70</v>
      </c>
      <c r="E3877" t="s">
        <v>9</v>
      </c>
      <c r="F3877">
        <f>tbl_AQI[[#This Row],[Most AQI Reached]]-tbl_AQI[[#This Row],[Current AQI]]</f>
        <v>64</v>
      </c>
      <c r="G38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77">
        <f>RANK(tbl_AQI[[#This Row],[Current AQI]], tbl_AQI[Current AQI], 0)</f>
        <v>4153</v>
      </c>
    </row>
    <row r="3878" spans="1:8" x14ac:dyDescent="0.35">
      <c r="A3878" t="s">
        <v>3821</v>
      </c>
      <c r="B3878" t="s">
        <v>3904</v>
      </c>
      <c r="C3878">
        <v>166</v>
      </c>
      <c r="D3878">
        <v>136</v>
      </c>
      <c r="E3878" t="s">
        <v>11</v>
      </c>
      <c r="F3878">
        <f>tbl_AQI[[#This Row],[Most AQI Reached]]-tbl_AQI[[#This Row],[Current AQI]]</f>
        <v>30</v>
      </c>
      <c r="G38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78">
        <f>RANK(tbl_AQI[[#This Row],[Current AQI]], tbl_AQI[Current AQI], 0)</f>
        <v>2692</v>
      </c>
    </row>
    <row r="3879" spans="1:8" x14ac:dyDescent="0.35">
      <c r="A3879" t="s">
        <v>3821</v>
      </c>
      <c r="B3879" t="s">
        <v>3905</v>
      </c>
      <c r="C3879">
        <v>183</v>
      </c>
      <c r="D3879">
        <v>81</v>
      </c>
      <c r="E3879" t="s">
        <v>7</v>
      </c>
      <c r="F3879">
        <f>tbl_AQI[[#This Row],[Most AQI Reached]]-tbl_AQI[[#This Row],[Current AQI]]</f>
        <v>102</v>
      </c>
      <c r="G38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79">
        <f>RANK(tbl_AQI[[#This Row],[Current AQI]], tbl_AQI[Current AQI], 0)</f>
        <v>3923</v>
      </c>
    </row>
    <row r="3880" spans="1:8" x14ac:dyDescent="0.35">
      <c r="A3880" t="s">
        <v>3821</v>
      </c>
      <c r="B3880" t="s">
        <v>3906</v>
      </c>
      <c r="C3880">
        <v>296</v>
      </c>
      <c r="D3880">
        <v>35</v>
      </c>
      <c r="E3880" t="s">
        <v>21</v>
      </c>
      <c r="F3880">
        <f>tbl_AQI[[#This Row],[Most AQI Reached]]-tbl_AQI[[#This Row],[Current AQI]]</f>
        <v>261</v>
      </c>
      <c r="G38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80">
        <f>RANK(tbl_AQI[[#This Row],[Current AQI]], tbl_AQI[Current AQI], 0)</f>
        <v>4916</v>
      </c>
    </row>
    <row r="3881" spans="1:8" x14ac:dyDescent="0.35">
      <c r="A3881" t="s">
        <v>3821</v>
      </c>
      <c r="B3881" t="s">
        <v>3907</v>
      </c>
      <c r="C3881">
        <v>278</v>
      </c>
      <c r="D3881">
        <v>30</v>
      </c>
      <c r="E3881" t="s">
        <v>9</v>
      </c>
      <c r="F3881">
        <f>tbl_AQI[[#This Row],[Most AQI Reached]]-tbl_AQI[[#This Row],[Current AQI]]</f>
        <v>248</v>
      </c>
      <c r="G38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81">
        <f>RANK(tbl_AQI[[#This Row],[Current AQI]], tbl_AQI[Current AQI], 0)</f>
        <v>5042</v>
      </c>
    </row>
    <row r="3882" spans="1:8" x14ac:dyDescent="0.35">
      <c r="A3882" t="s">
        <v>3821</v>
      </c>
      <c r="B3882" t="s">
        <v>3908</v>
      </c>
      <c r="C3882">
        <v>233</v>
      </c>
      <c r="D3882">
        <v>181</v>
      </c>
      <c r="E3882" t="s">
        <v>7</v>
      </c>
      <c r="F3882">
        <f>tbl_AQI[[#This Row],[Most AQI Reached]]-tbl_AQI[[#This Row],[Current AQI]]</f>
        <v>52</v>
      </c>
      <c r="G38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82">
        <f>RANK(tbl_AQI[[#This Row],[Current AQI]], tbl_AQI[Current AQI], 0)</f>
        <v>1609</v>
      </c>
    </row>
    <row r="3883" spans="1:8" x14ac:dyDescent="0.35">
      <c r="A3883" t="s">
        <v>3821</v>
      </c>
      <c r="B3883" t="s">
        <v>3909</v>
      </c>
      <c r="C3883">
        <v>251</v>
      </c>
      <c r="D3883">
        <v>178</v>
      </c>
      <c r="E3883" t="s">
        <v>17</v>
      </c>
      <c r="F3883">
        <f>tbl_AQI[[#This Row],[Most AQI Reached]]-tbl_AQI[[#This Row],[Current AQI]]</f>
        <v>73</v>
      </c>
      <c r="G38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83">
        <f>RANK(tbl_AQI[[#This Row],[Current AQI]], tbl_AQI[Current AQI], 0)</f>
        <v>1702</v>
      </c>
    </row>
    <row r="3884" spans="1:8" x14ac:dyDescent="0.35">
      <c r="A3884" t="s">
        <v>3821</v>
      </c>
      <c r="B3884" t="s">
        <v>3910</v>
      </c>
      <c r="C3884">
        <v>225</v>
      </c>
      <c r="D3884">
        <v>30</v>
      </c>
      <c r="E3884" t="s">
        <v>33</v>
      </c>
      <c r="F3884">
        <f>tbl_AQI[[#This Row],[Most AQI Reached]]-tbl_AQI[[#This Row],[Current AQI]]</f>
        <v>195</v>
      </c>
      <c r="G38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84">
        <f>RANK(tbl_AQI[[#This Row],[Current AQI]], tbl_AQI[Current AQI], 0)</f>
        <v>5042</v>
      </c>
    </row>
    <row r="3885" spans="1:8" x14ac:dyDescent="0.35">
      <c r="A3885" t="s">
        <v>3821</v>
      </c>
      <c r="B3885" t="s">
        <v>3911</v>
      </c>
      <c r="C3885">
        <v>291</v>
      </c>
      <c r="D3885">
        <v>81</v>
      </c>
      <c r="E3885" t="s">
        <v>15</v>
      </c>
      <c r="F3885">
        <f>tbl_AQI[[#This Row],[Most AQI Reached]]-tbl_AQI[[#This Row],[Current AQI]]</f>
        <v>210</v>
      </c>
      <c r="G38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85">
        <f>RANK(tbl_AQI[[#This Row],[Current AQI]], tbl_AQI[Current AQI], 0)</f>
        <v>3923</v>
      </c>
    </row>
    <row r="3886" spans="1:8" x14ac:dyDescent="0.35">
      <c r="A3886" t="s">
        <v>3821</v>
      </c>
      <c r="B3886" t="s">
        <v>3912</v>
      </c>
      <c r="C3886">
        <v>133</v>
      </c>
      <c r="D3886">
        <v>125</v>
      </c>
      <c r="E3886" t="s">
        <v>33</v>
      </c>
      <c r="F3886">
        <f>tbl_AQI[[#This Row],[Most AQI Reached]]-tbl_AQI[[#This Row],[Current AQI]]</f>
        <v>8</v>
      </c>
      <c r="G38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86">
        <f>RANK(tbl_AQI[[#This Row],[Current AQI]], tbl_AQI[Current AQI], 0)</f>
        <v>2951</v>
      </c>
    </row>
    <row r="3887" spans="1:8" x14ac:dyDescent="0.35">
      <c r="A3887" t="s">
        <v>3821</v>
      </c>
      <c r="B3887" t="s">
        <v>3913</v>
      </c>
      <c r="C3887">
        <v>176</v>
      </c>
      <c r="D3887">
        <v>93</v>
      </c>
      <c r="E3887" t="s">
        <v>9</v>
      </c>
      <c r="F3887">
        <f>tbl_AQI[[#This Row],[Most AQI Reached]]-tbl_AQI[[#This Row],[Current AQI]]</f>
        <v>83</v>
      </c>
      <c r="G38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87">
        <f>RANK(tbl_AQI[[#This Row],[Current AQI]], tbl_AQI[Current AQI], 0)</f>
        <v>3678</v>
      </c>
    </row>
    <row r="3888" spans="1:8" x14ac:dyDescent="0.35">
      <c r="A3888" t="s">
        <v>3821</v>
      </c>
      <c r="B3888" t="s">
        <v>3914</v>
      </c>
      <c r="C3888">
        <v>247</v>
      </c>
      <c r="D3888">
        <v>140</v>
      </c>
      <c r="E3888" t="s">
        <v>15</v>
      </c>
      <c r="F3888">
        <f>tbl_AQI[[#This Row],[Most AQI Reached]]-tbl_AQI[[#This Row],[Current AQI]]</f>
        <v>107</v>
      </c>
      <c r="G38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88">
        <f>RANK(tbl_AQI[[#This Row],[Current AQI]], tbl_AQI[Current AQI], 0)</f>
        <v>2627</v>
      </c>
    </row>
    <row r="3889" spans="1:8" x14ac:dyDescent="0.35">
      <c r="A3889" t="s">
        <v>3821</v>
      </c>
      <c r="B3889" t="s">
        <v>3915</v>
      </c>
      <c r="C3889">
        <v>304</v>
      </c>
      <c r="D3889">
        <v>107</v>
      </c>
      <c r="E3889" t="s">
        <v>17</v>
      </c>
      <c r="F3889">
        <f>tbl_AQI[[#This Row],[Most AQI Reached]]-tbl_AQI[[#This Row],[Current AQI]]</f>
        <v>197</v>
      </c>
      <c r="G38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89">
        <f>RANK(tbl_AQI[[#This Row],[Current AQI]], tbl_AQI[Current AQI], 0)</f>
        <v>3387</v>
      </c>
    </row>
    <row r="3890" spans="1:8" x14ac:dyDescent="0.35">
      <c r="A3890" t="s">
        <v>3821</v>
      </c>
      <c r="B3890" t="s">
        <v>3916</v>
      </c>
      <c r="C3890">
        <v>191</v>
      </c>
      <c r="D3890">
        <v>89</v>
      </c>
      <c r="E3890" t="s">
        <v>11</v>
      </c>
      <c r="F3890">
        <f>tbl_AQI[[#This Row],[Most AQI Reached]]-tbl_AQI[[#This Row],[Current AQI]]</f>
        <v>102</v>
      </c>
      <c r="G38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90">
        <f>RANK(tbl_AQI[[#This Row],[Current AQI]], tbl_AQI[Current AQI], 0)</f>
        <v>3772</v>
      </c>
    </row>
    <row r="3891" spans="1:8" x14ac:dyDescent="0.35">
      <c r="A3891" t="s">
        <v>3821</v>
      </c>
      <c r="B3891" t="s">
        <v>3917</v>
      </c>
      <c r="C3891">
        <v>316</v>
      </c>
      <c r="D3891">
        <v>148</v>
      </c>
      <c r="E3891" t="s">
        <v>11</v>
      </c>
      <c r="F3891">
        <f>tbl_AQI[[#This Row],[Most AQI Reached]]-tbl_AQI[[#This Row],[Current AQI]]</f>
        <v>168</v>
      </c>
      <c r="G38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91">
        <f>RANK(tbl_AQI[[#This Row],[Current AQI]], tbl_AQI[Current AQI], 0)</f>
        <v>2446</v>
      </c>
    </row>
    <row r="3892" spans="1:8" x14ac:dyDescent="0.35">
      <c r="A3892" t="s">
        <v>3821</v>
      </c>
      <c r="B3892" t="s">
        <v>3918</v>
      </c>
      <c r="C3892">
        <v>283</v>
      </c>
      <c r="D3892">
        <v>117</v>
      </c>
      <c r="E3892" t="s">
        <v>7</v>
      </c>
      <c r="F3892">
        <f>tbl_AQI[[#This Row],[Most AQI Reached]]-tbl_AQI[[#This Row],[Current AQI]]</f>
        <v>166</v>
      </c>
      <c r="G38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92">
        <f>RANK(tbl_AQI[[#This Row],[Current AQI]], tbl_AQI[Current AQI], 0)</f>
        <v>3144</v>
      </c>
    </row>
    <row r="3893" spans="1:8" x14ac:dyDescent="0.35">
      <c r="A3893" t="s">
        <v>3821</v>
      </c>
      <c r="B3893" t="s">
        <v>3919</v>
      </c>
      <c r="C3893">
        <v>208</v>
      </c>
      <c r="D3893">
        <v>179</v>
      </c>
      <c r="E3893" t="s">
        <v>11</v>
      </c>
      <c r="F3893">
        <f>tbl_AQI[[#This Row],[Most AQI Reached]]-tbl_AQI[[#This Row],[Current AQI]]</f>
        <v>29</v>
      </c>
      <c r="G38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93">
        <f>RANK(tbl_AQI[[#This Row],[Current AQI]], tbl_AQI[Current AQI], 0)</f>
        <v>1667</v>
      </c>
    </row>
    <row r="3894" spans="1:8" x14ac:dyDescent="0.35">
      <c r="A3894" t="s">
        <v>3821</v>
      </c>
      <c r="B3894" t="s">
        <v>3920</v>
      </c>
      <c r="C3894">
        <v>131</v>
      </c>
      <c r="D3894">
        <v>52</v>
      </c>
      <c r="E3894" t="s">
        <v>7</v>
      </c>
      <c r="F3894">
        <f>tbl_AQI[[#This Row],[Most AQI Reached]]-tbl_AQI[[#This Row],[Current AQI]]</f>
        <v>79</v>
      </c>
      <c r="G38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94">
        <f>RANK(tbl_AQI[[#This Row],[Current AQI]], tbl_AQI[Current AQI], 0)</f>
        <v>4564</v>
      </c>
    </row>
    <row r="3895" spans="1:8" x14ac:dyDescent="0.35">
      <c r="A3895" t="s">
        <v>3821</v>
      </c>
      <c r="B3895" t="s">
        <v>3921</v>
      </c>
      <c r="C3895">
        <v>120</v>
      </c>
      <c r="D3895">
        <v>36</v>
      </c>
      <c r="E3895" t="s">
        <v>33</v>
      </c>
      <c r="F3895">
        <f>tbl_AQI[[#This Row],[Most AQI Reached]]-tbl_AQI[[#This Row],[Current AQI]]</f>
        <v>84</v>
      </c>
      <c r="G38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895">
        <f>RANK(tbl_AQI[[#This Row],[Current AQI]], tbl_AQI[Current AQI], 0)</f>
        <v>4893</v>
      </c>
    </row>
    <row r="3896" spans="1:8" x14ac:dyDescent="0.35">
      <c r="A3896" t="s">
        <v>3821</v>
      </c>
      <c r="B3896" t="s">
        <v>3922</v>
      </c>
      <c r="C3896">
        <v>258</v>
      </c>
      <c r="D3896">
        <v>119</v>
      </c>
      <c r="E3896" t="s">
        <v>33</v>
      </c>
      <c r="F3896">
        <f>tbl_AQI[[#This Row],[Most AQI Reached]]-tbl_AQI[[#This Row],[Current AQI]]</f>
        <v>139</v>
      </c>
      <c r="G38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96">
        <f>RANK(tbl_AQI[[#This Row],[Current AQI]], tbl_AQI[Current AQI], 0)</f>
        <v>3093</v>
      </c>
    </row>
    <row r="3897" spans="1:8" x14ac:dyDescent="0.35">
      <c r="A3897" t="s">
        <v>3821</v>
      </c>
      <c r="B3897" t="s">
        <v>3923</v>
      </c>
      <c r="C3897">
        <v>243</v>
      </c>
      <c r="D3897">
        <v>158</v>
      </c>
      <c r="E3897" t="s">
        <v>7</v>
      </c>
      <c r="F3897">
        <f>tbl_AQI[[#This Row],[Most AQI Reached]]-tbl_AQI[[#This Row],[Current AQI]]</f>
        <v>85</v>
      </c>
      <c r="G38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97">
        <f>RANK(tbl_AQI[[#This Row],[Current AQI]], tbl_AQI[Current AQI], 0)</f>
        <v>2207</v>
      </c>
    </row>
    <row r="3898" spans="1:8" x14ac:dyDescent="0.35">
      <c r="A3898" t="s">
        <v>3821</v>
      </c>
      <c r="B3898" t="s">
        <v>3924</v>
      </c>
      <c r="C3898">
        <v>243</v>
      </c>
      <c r="D3898">
        <v>148</v>
      </c>
      <c r="E3898" t="s">
        <v>7</v>
      </c>
      <c r="F3898">
        <f>tbl_AQI[[#This Row],[Most AQI Reached]]-tbl_AQI[[#This Row],[Current AQI]]</f>
        <v>95</v>
      </c>
      <c r="G38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898">
        <f>RANK(tbl_AQI[[#This Row],[Current AQI]], tbl_AQI[Current AQI], 0)</f>
        <v>2446</v>
      </c>
    </row>
    <row r="3899" spans="1:8" x14ac:dyDescent="0.35">
      <c r="A3899" t="s">
        <v>3821</v>
      </c>
      <c r="B3899" t="s">
        <v>3925</v>
      </c>
      <c r="C3899">
        <v>79</v>
      </c>
      <c r="D3899">
        <v>76</v>
      </c>
      <c r="E3899" t="s">
        <v>15</v>
      </c>
      <c r="F3899">
        <f>tbl_AQI[[#This Row],[Most AQI Reached]]-tbl_AQI[[#This Row],[Current AQI]]</f>
        <v>3</v>
      </c>
      <c r="G38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899">
        <f>RANK(tbl_AQI[[#This Row],[Current AQI]], tbl_AQI[Current AQI], 0)</f>
        <v>4023</v>
      </c>
    </row>
    <row r="3900" spans="1:8" x14ac:dyDescent="0.35">
      <c r="A3900" t="s">
        <v>3821</v>
      </c>
      <c r="B3900" t="s">
        <v>3926</v>
      </c>
      <c r="C3900">
        <v>241</v>
      </c>
      <c r="D3900">
        <v>157</v>
      </c>
      <c r="E3900" t="s">
        <v>11</v>
      </c>
      <c r="F3900">
        <f>tbl_AQI[[#This Row],[Most AQI Reached]]-tbl_AQI[[#This Row],[Current AQI]]</f>
        <v>84</v>
      </c>
      <c r="G39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00">
        <f>RANK(tbl_AQI[[#This Row],[Current AQI]], tbl_AQI[Current AQI], 0)</f>
        <v>2239</v>
      </c>
    </row>
    <row r="3901" spans="1:8" x14ac:dyDescent="0.35">
      <c r="A3901" t="s">
        <v>3821</v>
      </c>
      <c r="B3901" t="s">
        <v>3927</v>
      </c>
      <c r="C3901">
        <v>142</v>
      </c>
      <c r="D3901">
        <v>45</v>
      </c>
      <c r="E3901" t="s">
        <v>15</v>
      </c>
      <c r="F3901">
        <f>tbl_AQI[[#This Row],[Most AQI Reached]]-tbl_AQI[[#This Row],[Current AQI]]</f>
        <v>97</v>
      </c>
      <c r="G39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01">
        <f>RANK(tbl_AQI[[#This Row],[Current AQI]], tbl_AQI[Current AQI], 0)</f>
        <v>4702</v>
      </c>
    </row>
    <row r="3902" spans="1:8" x14ac:dyDescent="0.35">
      <c r="A3902" t="s">
        <v>3821</v>
      </c>
      <c r="B3902" t="s">
        <v>3928</v>
      </c>
      <c r="C3902">
        <v>228</v>
      </c>
      <c r="D3902">
        <v>127</v>
      </c>
      <c r="E3902" t="s">
        <v>21</v>
      </c>
      <c r="F3902">
        <f>tbl_AQI[[#This Row],[Most AQI Reached]]-tbl_AQI[[#This Row],[Current AQI]]</f>
        <v>101</v>
      </c>
      <c r="G39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02">
        <f>RANK(tbl_AQI[[#This Row],[Current AQI]], tbl_AQI[Current AQI], 0)</f>
        <v>2909</v>
      </c>
    </row>
    <row r="3903" spans="1:8" x14ac:dyDescent="0.35">
      <c r="A3903" t="s">
        <v>3821</v>
      </c>
      <c r="B3903" t="s">
        <v>3929</v>
      </c>
      <c r="C3903">
        <v>208</v>
      </c>
      <c r="D3903">
        <v>112</v>
      </c>
      <c r="E3903" t="s">
        <v>7</v>
      </c>
      <c r="F3903">
        <f>tbl_AQI[[#This Row],[Most AQI Reached]]-tbl_AQI[[#This Row],[Current AQI]]</f>
        <v>96</v>
      </c>
      <c r="G39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03">
        <f>RANK(tbl_AQI[[#This Row],[Current AQI]], tbl_AQI[Current AQI], 0)</f>
        <v>3267</v>
      </c>
    </row>
    <row r="3904" spans="1:8" x14ac:dyDescent="0.35">
      <c r="A3904" t="s">
        <v>3821</v>
      </c>
      <c r="B3904" t="s">
        <v>3930</v>
      </c>
      <c r="C3904">
        <v>292</v>
      </c>
      <c r="D3904">
        <v>97</v>
      </c>
      <c r="E3904" t="s">
        <v>9</v>
      </c>
      <c r="F3904">
        <f>tbl_AQI[[#This Row],[Most AQI Reached]]-tbl_AQI[[#This Row],[Current AQI]]</f>
        <v>195</v>
      </c>
      <c r="G39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04">
        <f>RANK(tbl_AQI[[#This Row],[Current AQI]], tbl_AQI[Current AQI], 0)</f>
        <v>3593</v>
      </c>
    </row>
    <row r="3905" spans="1:8" x14ac:dyDescent="0.35">
      <c r="A3905" t="s">
        <v>3821</v>
      </c>
      <c r="B3905" t="s">
        <v>3931</v>
      </c>
      <c r="C3905">
        <v>199</v>
      </c>
      <c r="D3905">
        <v>149</v>
      </c>
      <c r="E3905" t="s">
        <v>11</v>
      </c>
      <c r="F3905">
        <f>tbl_AQI[[#This Row],[Most AQI Reached]]-tbl_AQI[[#This Row],[Current AQI]]</f>
        <v>50</v>
      </c>
      <c r="G39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05">
        <f>RANK(tbl_AQI[[#This Row],[Current AQI]], tbl_AQI[Current AQI], 0)</f>
        <v>2426</v>
      </c>
    </row>
    <row r="3906" spans="1:8" x14ac:dyDescent="0.35">
      <c r="A3906" t="s">
        <v>3821</v>
      </c>
      <c r="B3906" t="s">
        <v>3932</v>
      </c>
      <c r="C3906">
        <v>124</v>
      </c>
      <c r="D3906">
        <v>83</v>
      </c>
      <c r="E3906" t="s">
        <v>7</v>
      </c>
      <c r="F3906">
        <f>tbl_AQI[[#This Row],[Most AQI Reached]]-tbl_AQI[[#This Row],[Current AQI]]</f>
        <v>41</v>
      </c>
      <c r="G39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06">
        <f>RANK(tbl_AQI[[#This Row],[Current AQI]], tbl_AQI[Current AQI], 0)</f>
        <v>3892</v>
      </c>
    </row>
    <row r="3907" spans="1:8" x14ac:dyDescent="0.35">
      <c r="A3907" t="s">
        <v>3821</v>
      </c>
      <c r="B3907" t="s">
        <v>3933</v>
      </c>
      <c r="C3907">
        <v>265</v>
      </c>
      <c r="D3907">
        <v>45</v>
      </c>
      <c r="E3907" t="s">
        <v>15</v>
      </c>
      <c r="F3907">
        <f>tbl_AQI[[#This Row],[Most AQI Reached]]-tbl_AQI[[#This Row],[Current AQI]]</f>
        <v>220</v>
      </c>
      <c r="G39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07">
        <f>RANK(tbl_AQI[[#This Row],[Current AQI]], tbl_AQI[Current AQI], 0)</f>
        <v>4702</v>
      </c>
    </row>
    <row r="3908" spans="1:8" x14ac:dyDescent="0.35">
      <c r="A3908" t="s">
        <v>3821</v>
      </c>
      <c r="B3908" t="s">
        <v>3934</v>
      </c>
      <c r="C3908">
        <v>225</v>
      </c>
      <c r="D3908">
        <v>59</v>
      </c>
      <c r="E3908" t="s">
        <v>33</v>
      </c>
      <c r="F3908">
        <f>tbl_AQI[[#This Row],[Most AQI Reached]]-tbl_AQI[[#This Row],[Current AQI]]</f>
        <v>166</v>
      </c>
      <c r="G39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08">
        <f>RANK(tbl_AQI[[#This Row],[Current AQI]], tbl_AQI[Current AQI], 0)</f>
        <v>4416</v>
      </c>
    </row>
    <row r="3909" spans="1:8" x14ac:dyDescent="0.35">
      <c r="A3909" t="s">
        <v>3821</v>
      </c>
      <c r="B3909" t="s">
        <v>3935</v>
      </c>
      <c r="C3909">
        <v>208</v>
      </c>
      <c r="D3909">
        <v>152</v>
      </c>
      <c r="E3909" t="s">
        <v>15</v>
      </c>
      <c r="F3909">
        <f>tbl_AQI[[#This Row],[Most AQI Reached]]-tbl_AQI[[#This Row],[Current AQI]]</f>
        <v>56</v>
      </c>
      <c r="G39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09">
        <f>RANK(tbl_AQI[[#This Row],[Current AQI]], tbl_AQI[Current AQI], 0)</f>
        <v>2349</v>
      </c>
    </row>
    <row r="3910" spans="1:8" x14ac:dyDescent="0.35">
      <c r="A3910" t="s">
        <v>3821</v>
      </c>
      <c r="B3910" t="s">
        <v>3936</v>
      </c>
      <c r="C3910">
        <v>156</v>
      </c>
      <c r="D3910">
        <v>106</v>
      </c>
      <c r="E3910" t="s">
        <v>15</v>
      </c>
      <c r="F3910">
        <f>tbl_AQI[[#This Row],[Most AQI Reached]]-tbl_AQI[[#This Row],[Current AQI]]</f>
        <v>50</v>
      </c>
      <c r="G39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0">
        <f>RANK(tbl_AQI[[#This Row],[Current AQI]], tbl_AQI[Current AQI], 0)</f>
        <v>3413</v>
      </c>
    </row>
    <row r="3911" spans="1:8" x14ac:dyDescent="0.35">
      <c r="A3911" t="s">
        <v>3821</v>
      </c>
      <c r="B3911" t="s">
        <v>3937</v>
      </c>
      <c r="C3911">
        <v>184</v>
      </c>
      <c r="D3911">
        <v>49</v>
      </c>
      <c r="E3911" t="s">
        <v>21</v>
      </c>
      <c r="F3911">
        <f>tbl_AQI[[#This Row],[Most AQI Reached]]-tbl_AQI[[#This Row],[Current AQI]]</f>
        <v>135</v>
      </c>
      <c r="G39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11">
        <f>RANK(tbl_AQI[[#This Row],[Current AQI]], tbl_AQI[Current AQI], 0)</f>
        <v>4614</v>
      </c>
    </row>
    <row r="3912" spans="1:8" x14ac:dyDescent="0.35">
      <c r="A3912" t="s">
        <v>3821</v>
      </c>
      <c r="B3912" t="s">
        <v>3938</v>
      </c>
      <c r="C3912">
        <v>226</v>
      </c>
      <c r="D3912">
        <v>184</v>
      </c>
      <c r="E3912" t="s">
        <v>17</v>
      </c>
      <c r="F3912">
        <f>tbl_AQI[[#This Row],[Most AQI Reached]]-tbl_AQI[[#This Row],[Current AQI]]</f>
        <v>42</v>
      </c>
      <c r="G39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2">
        <f>RANK(tbl_AQI[[#This Row],[Current AQI]], tbl_AQI[Current AQI], 0)</f>
        <v>1544</v>
      </c>
    </row>
    <row r="3913" spans="1:8" x14ac:dyDescent="0.35">
      <c r="A3913" t="s">
        <v>3821</v>
      </c>
      <c r="B3913" t="s">
        <v>3939</v>
      </c>
      <c r="C3913">
        <v>240</v>
      </c>
      <c r="D3913">
        <v>53</v>
      </c>
      <c r="E3913" t="s">
        <v>15</v>
      </c>
      <c r="F3913">
        <f>tbl_AQI[[#This Row],[Most AQI Reached]]-tbl_AQI[[#This Row],[Current AQI]]</f>
        <v>187</v>
      </c>
      <c r="G39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13">
        <f>RANK(tbl_AQI[[#This Row],[Current AQI]], tbl_AQI[Current AQI], 0)</f>
        <v>4544</v>
      </c>
    </row>
    <row r="3914" spans="1:8" x14ac:dyDescent="0.35">
      <c r="A3914" t="s">
        <v>3821</v>
      </c>
      <c r="B3914" t="s">
        <v>3940</v>
      </c>
      <c r="C3914">
        <v>255</v>
      </c>
      <c r="D3914">
        <v>152</v>
      </c>
      <c r="E3914" t="s">
        <v>21</v>
      </c>
      <c r="F3914">
        <f>tbl_AQI[[#This Row],[Most AQI Reached]]-tbl_AQI[[#This Row],[Current AQI]]</f>
        <v>103</v>
      </c>
      <c r="G39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4">
        <f>RANK(tbl_AQI[[#This Row],[Current AQI]], tbl_AQI[Current AQI], 0)</f>
        <v>2349</v>
      </c>
    </row>
    <row r="3915" spans="1:8" x14ac:dyDescent="0.35">
      <c r="A3915" t="s">
        <v>3821</v>
      </c>
      <c r="B3915" t="s">
        <v>3941</v>
      </c>
      <c r="C3915">
        <v>295</v>
      </c>
      <c r="D3915">
        <v>124</v>
      </c>
      <c r="E3915" t="s">
        <v>15</v>
      </c>
      <c r="F3915">
        <f>tbl_AQI[[#This Row],[Most AQI Reached]]-tbl_AQI[[#This Row],[Current AQI]]</f>
        <v>171</v>
      </c>
      <c r="G39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5">
        <f>RANK(tbl_AQI[[#This Row],[Current AQI]], tbl_AQI[Current AQI], 0)</f>
        <v>2971</v>
      </c>
    </row>
    <row r="3916" spans="1:8" x14ac:dyDescent="0.35">
      <c r="A3916" t="s">
        <v>3821</v>
      </c>
      <c r="B3916" t="s">
        <v>3942</v>
      </c>
      <c r="C3916">
        <v>230</v>
      </c>
      <c r="D3916">
        <v>165</v>
      </c>
      <c r="E3916" t="s">
        <v>17</v>
      </c>
      <c r="F3916">
        <f>tbl_AQI[[#This Row],[Most AQI Reached]]-tbl_AQI[[#This Row],[Current AQI]]</f>
        <v>65</v>
      </c>
      <c r="G39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6">
        <f>RANK(tbl_AQI[[#This Row],[Current AQI]], tbl_AQI[Current AQI], 0)</f>
        <v>2028</v>
      </c>
    </row>
    <row r="3917" spans="1:8" x14ac:dyDescent="0.35">
      <c r="A3917" t="s">
        <v>3821</v>
      </c>
      <c r="B3917" t="s">
        <v>3943</v>
      </c>
      <c r="C3917">
        <v>223</v>
      </c>
      <c r="D3917">
        <v>142</v>
      </c>
      <c r="E3917" t="s">
        <v>9</v>
      </c>
      <c r="F3917">
        <f>tbl_AQI[[#This Row],[Most AQI Reached]]-tbl_AQI[[#This Row],[Current AQI]]</f>
        <v>81</v>
      </c>
      <c r="G39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7">
        <f>RANK(tbl_AQI[[#This Row],[Current AQI]], tbl_AQI[Current AQI], 0)</f>
        <v>2585</v>
      </c>
    </row>
    <row r="3918" spans="1:8" x14ac:dyDescent="0.35">
      <c r="A3918" t="s">
        <v>3821</v>
      </c>
      <c r="B3918" t="s">
        <v>3944</v>
      </c>
      <c r="C3918">
        <v>240</v>
      </c>
      <c r="D3918">
        <v>48</v>
      </c>
      <c r="E3918" t="s">
        <v>21</v>
      </c>
      <c r="F3918">
        <f>tbl_AQI[[#This Row],[Most AQI Reached]]-tbl_AQI[[#This Row],[Current AQI]]</f>
        <v>192</v>
      </c>
      <c r="G39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18">
        <f>RANK(tbl_AQI[[#This Row],[Current AQI]], tbl_AQI[Current AQI], 0)</f>
        <v>4638</v>
      </c>
    </row>
    <row r="3919" spans="1:8" x14ac:dyDescent="0.35">
      <c r="A3919" t="s">
        <v>3821</v>
      </c>
      <c r="B3919" t="s">
        <v>3945</v>
      </c>
      <c r="C3919">
        <v>319</v>
      </c>
      <c r="D3919">
        <v>107</v>
      </c>
      <c r="E3919" t="s">
        <v>9</v>
      </c>
      <c r="F3919">
        <f>tbl_AQI[[#This Row],[Most AQI Reached]]-tbl_AQI[[#This Row],[Current AQI]]</f>
        <v>212</v>
      </c>
      <c r="G39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19">
        <f>RANK(tbl_AQI[[#This Row],[Current AQI]], tbl_AQI[Current AQI], 0)</f>
        <v>3387</v>
      </c>
    </row>
    <row r="3920" spans="1:8" x14ac:dyDescent="0.35">
      <c r="A3920" t="s">
        <v>3821</v>
      </c>
      <c r="B3920" t="s">
        <v>3946</v>
      </c>
      <c r="C3920">
        <v>299</v>
      </c>
      <c r="D3920">
        <v>59</v>
      </c>
      <c r="E3920" t="s">
        <v>17</v>
      </c>
      <c r="F3920">
        <f>tbl_AQI[[#This Row],[Most AQI Reached]]-tbl_AQI[[#This Row],[Current AQI]]</f>
        <v>240</v>
      </c>
      <c r="G39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20">
        <f>RANK(tbl_AQI[[#This Row],[Current AQI]], tbl_AQI[Current AQI], 0)</f>
        <v>4416</v>
      </c>
    </row>
    <row r="3921" spans="1:8" x14ac:dyDescent="0.35">
      <c r="A3921" t="s">
        <v>3821</v>
      </c>
      <c r="B3921" t="s">
        <v>3947</v>
      </c>
      <c r="C3921">
        <v>90</v>
      </c>
      <c r="D3921">
        <v>40</v>
      </c>
      <c r="E3921" t="s">
        <v>17</v>
      </c>
      <c r="F3921">
        <f>tbl_AQI[[#This Row],[Most AQI Reached]]-tbl_AQI[[#This Row],[Current AQI]]</f>
        <v>50</v>
      </c>
      <c r="G39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21">
        <f>RANK(tbl_AQI[[#This Row],[Current AQI]], tbl_AQI[Current AQI], 0)</f>
        <v>4808</v>
      </c>
    </row>
    <row r="3922" spans="1:8" x14ac:dyDescent="0.35">
      <c r="A3922" t="s">
        <v>3821</v>
      </c>
      <c r="B3922" t="s">
        <v>3948</v>
      </c>
      <c r="C3922">
        <v>302</v>
      </c>
      <c r="D3922">
        <v>73</v>
      </c>
      <c r="E3922" t="s">
        <v>7</v>
      </c>
      <c r="F3922">
        <f>tbl_AQI[[#This Row],[Most AQI Reached]]-tbl_AQI[[#This Row],[Current AQI]]</f>
        <v>229</v>
      </c>
      <c r="G39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22">
        <f>RANK(tbl_AQI[[#This Row],[Current AQI]], tbl_AQI[Current AQI], 0)</f>
        <v>4083</v>
      </c>
    </row>
    <row r="3923" spans="1:8" x14ac:dyDescent="0.35">
      <c r="A3923" t="s">
        <v>3821</v>
      </c>
      <c r="B3923" t="s">
        <v>3949</v>
      </c>
      <c r="C3923">
        <v>195</v>
      </c>
      <c r="D3923">
        <v>183</v>
      </c>
      <c r="E3923" t="s">
        <v>17</v>
      </c>
      <c r="F3923">
        <f>tbl_AQI[[#This Row],[Most AQI Reached]]-tbl_AQI[[#This Row],[Current AQI]]</f>
        <v>12</v>
      </c>
      <c r="G39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23">
        <f>RANK(tbl_AQI[[#This Row],[Current AQI]], tbl_AQI[Current AQI], 0)</f>
        <v>1572</v>
      </c>
    </row>
    <row r="3924" spans="1:8" x14ac:dyDescent="0.35">
      <c r="A3924" t="s">
        <v>3821</v>
      </c>
      <c r="B3924" t="s">
        <v>3950</v>
      </c>
      <c r="C3924">
        <v>307</v>
      </c>
      <c r="D3924">
        <v>166</v>
      </c>
      <c r="E3924" t="s">
        <v>11</v>
      </c>
      <c r="F3924">
        <f>tbl_AQI[[#This Row],[Most AQI Reached]]-tbl_AQI[[#This Row],[Current AQI]]</f>
        <v>141</v>
      </c>
      <c r="G39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24">
        <f>RANK(tbl_AQI[[#This Row],[Current AQI]], tbl_AQI[Current AQI], 0)</f>
        <v>2007</v>
      </c>
    </row>
    <row r="3925" spans="1:8" x14ac:dyDescent="0.35">
      <c r="A3925" t="s">
        <v>3821</v>
      </c>
      <c r="B3925" t="s">
        <v>3951</v>
      </c>
      <c r="C3925">
        <v>171</v>
      </c>
      <c r="D3925">
        <v>140</v>
      </c>
      <c r="E3925" t="s">
        <v>7</v>
      </c>
      <c r="F3925">
        <f>tbl_AQI[[#This Row],[Most AQI Reached]]-tbl_AQI[[#This Row],[Current AQI]]</f>
        <v>31</v>
      </c>
      <c r="G39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25">
        <f>RANK(tbl_AQI[[#This Row],[Current AQI]], tbl_AQI[Current AQI], 0)</f>
        <v>2627</v>
      </c>
    </row>
    <row r="3926" spans="1:8" x14ac:dyDescent="0.35">
      <c r="A3926" t="s">
        <v>3821</v>
      </c>
      <c r="B3926" t="s">
        <v>3952</v>
      </c>
      <c r="C3926">
        <v>274</v>
      </c>
      <c r="D3926">
        <v>179</v>
      </c>
      <c r="E3926" t="s">
        <v>21</v>
      </c>
      <c r="F3926">
        <f>tbl_AQI[[#This Row],[Most AQI Reached]]-tbl_AQI[[#This Row],[Current AQI]]</f>
        <v>95</v>
      </c>
      <c r="G39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26">
        <f>RANK(tbl_AQI[[#This Row],[Current AQI]], tbl_AQI[Current AQI], 0)</f>
        <v>1667</v>
      </c>
    </row>
    <row r="3927" spans="1:8" x14ac:dyDescent="0.35">
      <c r="A3927" t="s">
        <v>3821</v>
      </c>
      <c r="B3927" t="s">
        <v>3953</v>
      </c>
      <c r="C3927">
        <v>67</v>
      </c>
      <c r="D3927">
        <v>30</v>
      </c>
      <c r="E3927" t="s">
        <v>21</v>
      </c>
      <c r="F3927">
        <f>tbl_AQI[[#This Row],[Most AQI Reached]]-tbl_AQI[[#This Row],[Current AQI]]</f>
        <v>37</v>
      </c>
      <c r="G39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27">
        <f>RANK(tbl_AQI[[#This Row],[Current AQI]], tbl_AQI[Current AQI], 0)</f>
        <v>5042</v>
      </c>
    </row>
    <row r="3928" spans="1:8" x14ac:dyDescent="0.35">
      <c r="A3928" t="s">
        <v>3821</v>
      </c>
      <c r="B3928" t="s">
        <v>3954</v>
      </c>
      <c r="C3928">
        <v>124</v>
      </c>
      <c r="D3928">
        <v>63</v>
      </c>
      <c r="E3928" t="s">
        <v>33</v>
      </c>
      <c r="F3928">
        <f>tbl_AQI[[#This Row],[Most AQI Reached]]-tbl_AQI[[#This Row],[Current AQI]]</f>
        <v>61</v>
      </c>
      <c r="G39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28">
        <f>RANK(tbl_AQI[[#This Row],[Current AQI]], tbl_AQI[Current AQI], 0)</f>
        <v>4322</v>
      </c>
    </row>
    <row r="3929" spans="1:8" x14ac:dyDescent="0.35">
      <c r="A3929" t="s">
        <v>3821</v>
      </c>
      <c r="B3929" t="s">
        <v>3955</v>
      </c>
      <c r="C3929">
        <v>214</v>
      </c>
      <c r="D3929">
        <v>190</v>
      </c>
      <c r="E3929" t="s">
        <v>21</v>
      </c>
      <c r="F3929">
        <f>tbl_AQI[[#This Row],[Most AQI Reached]]-tbl_AQI[[#This Row],[Current AQI]]</f>
        <v>24</v>
      </c>
      <c r="G39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29">
        <f>RANK(tbl_AQI[[#This Row],[Current AQI]], tbl_AQI[Current AQI], 0)</f>
        <v>1355</v>
      </c>
    </row>
    <row r="3930" spans="1:8" x14ac:dyDescent="0.35">
      <c r="A3930" t="s">
        <v>3821</v>
      </c>
      <c r="B3930" t="s">
        <v>3956</v>
      </c>
      <c r="C3930">
        <v>193</v>
      </c>
      <c r="D3930">
        <v>187</v>
      </c>
      <c r="E3930" t="s">
        <v>15</v>
      </c>
      <c r="F3930">
        <f>tbl_AQI[[#This Row],[Most AQI Reached]]-tbl_AQI[[#This Row],[Current AQI]]</f>
        <v>6</v>
      </c>
      <c r="G39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30">
        <f>RANK(tbl_AQI[[#This Row],[Current AQI]], tbl_AQI[Current AQI], 0)</f>
        <v>1455</v>
      </c>
    </row>
    <row r="3931" spans="1:8" x14ac:dyDescent="0.35">
      <c r="A3931" t="s">
        <v>3821</v>
      </c>
      <c r="B3931" t="s">
        <v>3957</v>
      </c>
      <c r="C3931">
        <v>203</v>
      </c>
      <c r="D3931">
        <v>185</v>
      </c>
      <c r="E3931" t="s">
        <v>21</v>
      </c>
      <c r="F3931">
        <f>tbl_AQI[[#This Row],[Most AQI Reached]]-tbl_AQI[[#This Row],[Current AQI]]</f>
        <v>18</v>
      </c>
      <c r="G39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31">
        <f>RANK(tbl_AQI[[#This Row],[Current AQI]], tbl_AQI[Current AQI], 0)</f>
        <v>1517</v>
      </c>
    </row>
    <row r="3932" spans="1:8" x14ac:dyDescent="0.35">
      <c r="A3932" t="s">
        <v>3821</v>
      </c>
      <c r="B3932" t="s">
        <v>3958</v>
      </c>
      <c r="C3932">
        <v>274</v>
      </c>
      <c r="D3932">
        <v>51</v>
      </c>
      <c r="E3932" t="s">
        <v>15</v>
      </c>
      <c r="F3932">
        <f>tbl_AQI[[#This Row],[Most AQI Reached]]-tbl_AQI[[#This Row],[Current AQI]]</f>
        <v>223</v>
      </c>
      <c r="G39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32">
        <f>RANK(tbl_AQI[[#This Row],[Current AQI]], tbl_AQI[Current AQI], 0)</f>
        <v>4578</v>
      </c>
    </row>
    <row r="3933" spans="1:8" x14ac:dyDescent="0.35">
      <c r="A3933" t="s">
        <v>3821</v>
      </c>
      <c r="B3933" t="s">
        <v>3959</v>
      </c>
      <c r="C3933">
        <v>289</v>
      </c>
      <c r="D3933">
        <v>63</v>
      </c>
      <c r="E3933" t="s">
        <v>17</v>
      </c>
      <c r="F3933">
        <f>tbl_AQI[[#This Row],[Most AQI Reached]]-tbl_AQI[[#This Row],[Current AQI]]</f>
        <v>226</v>
      </c>
      <c r="G39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33">
        <f>RANK(tbl_AQI[[#This Row],[Current AQI]], tbl_AQI[Current AQI], 0)</f>
        <v>4322</v>
      </c>
    </row>
    <row r="3934" spans="1:8" x14ac:dyDescent="0.35">
      <c r="A3934" t="s">
        <v>3821</v>
      </c>
      <c r="B3934" t="s">
        <v>3960</v>
      </c>
      <c r="C3934">
        <v>267</v>
      </c>
      <c r="D3934">
        <v>112</v>
      </c>
      <c r="E3934" t="s">
        <v>17</v>
      </c>
      <c r="F3934">
        <f>tbl_AQI[[#This Row],[Most AQI Reached]]-tbl_AQI[[#This Row],[Current AQI]]</f>
        <v>155</v>
      </c>
      <c r="G39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34">
        <f>RANK(tbl_AQI[[#This Row],[Current AQI]], tbl_AQI[Current AQI], 0)</f>
        <v>3267</v>
      </c>
    </row>
    <row r="3935" spans="1:8" x14ac:dyDescent="0.35">
      <c r="A3935" t="s">
        <v>3821</v>
      </c>
      <c r="B3935" t="s">
        <v>3961</v>
      </c>
      <c r="C3935">
        <v>293</v>
      </c>
      <c r="D3935">
        <v>170</v>
      </c>
      <c r="E3935" t="s">
        <v>11</v>
      </c>
      <c r="F3935">
        <f>tbl_AQI[[#This Row],[Most AQI Reached]]-tbl_AQI[[#This Row],[Current AQI]]</f>
        <v>123</v>
      </c>
      <c r="G39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35">
        <f>RANK(tbl_AQI[[#This Row],[Current AQI]], tbl_AQI[Current AQI], 0)</f>
        <v>1898</v>
      </c>
    </row>
    <row r="3936" spans="1:8" x14ac:dyDescent="0.35">
      <c r="A3936" t="s">
        <v>3821</v>
      </c>
      <c r="B3936" t="s">
        <v>3962</v>
      </c>
      <c r="C3936">
        <v>305</v>
      </c>
      <c r="D3936">
        <v>110</v>
      </c>
      <c r="E3936" t="s">
        <v>21</v>
      </c>
      <c r="F3936">
        <f>tbl_AQI[[#This Row],[Most AQI Reached]]-tbl_AQI[[#This Row],[Current AQI]]</f>
        <v>195</v>
      </c>
      <c r="G39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36">
        <f>RANK(tbl_AQI[[#This Row],[Current AQI]], tbl_AQI[Current AQI], 0)</f>
        <v>3302</v>
      </c>
    </row>
    <row r="3937" spans="1:8" x14ac:dyDescent="0.35">
      <c r="A3937" t="s">
        <v>3821</v>
      </c>
      <c r="B3937" t="s">
        <v>3963</v>
      </c>
      <c r="C3937">
        <v>234</v>
      </c>
      <c r="D3937">
        <v>81</v>
      </c>
      <c r="E3937" t="s">
        <v>21</v>
      </c>
      <c r="F3937">
        <f>tbl_AQI[[#This Row],[Most AQI Reached]]-tbl_AQI[[#This Row],[Current AQI]]</f>
        <v>153</v>
      </c>
      <c r="G39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37">
        <f>RANK(tbl_AQI[[#This Row],[Current AQI]], tbl_AQI[Current AQI], 0)</f>
        <v>3923</v>
      </c>
    </row>
    <row r="3938" spans="1:8" x14ac:dyDescent="0.35">
      <c r="A3938" t="s">
        <v>3821</v>
      </c>
      <c r="B3938" t="s">
        <v>3964</v>
      </c>
      <c r="C3938">
        <v>232</v>
      </c>
      <c r="D3938">
        <v>85</v>
      </c>
      <c r="E3938" t="s">
        <v>33</v>
      </c>
      <c r="F3938">
        <f>tbl_AQI[[#This Row],[Most AQI Reached]]-tbl_AQI[[#This Row],[Current AQI]]</f>
        <v>147</v>
      </c>
      <c r="G39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38">
        <f>RANK(tbl_AQI[[#This Row],[Current AQI]], tbl_AQI[Current AQI], 0)</f>
        <v>3852</v>
      </c>
    </row>
    <row r="3939" spans="1:8" x14ac:dyDescent="0.35">
      <c r="A3939" t="s">
        <v>3821</v>
      </c>
      <c r="B3939" t="s">
        <v>3965</v>
      </c>
      <c r="C3939">
        <v>230</v>
      </c>
      <c r="D3939">
        <v>179</v>
      </c>
      <c r="E3939" t="s">
        <v>17</v>
      </c>
      <c r="F3939">
        <f>tbl_AQI[[#This Row],[Most AQI Reached]]-tbl_AQI[[#This Row],[Current AQI]]</f>
        <v>51</v>
      </c>
      <c r="G39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39">
        <f>RANK(tbl_AQI[[#This Row],[Current AQI]], tbl_AQI[Current AQI], 0)</f>
        <v>1667</v>
      </c>
    </row>
    <row r="3940" spans="1:8" x14ac:dyDescent="0.35">
      <c r="A3940" t="s">
        <v>3821</v>
      </c>
      <c r="B3940" t="s">
        <v>3966</v>
      </c>
      <c r="C3940">
        <v>277</v>
      </c>
      <c r="D3940">
        <v>163</v>
      </c>
      <c r="E3940" t="s">
        <v>15</v>
      </c>
      <c r="F3940">
        <f>tbl_AQI[[#This Row],[Most AQI Reached]]-tbl_AQI[[#This Row],[Current AQI]]</f>
        <v>114</v>
      </c>
      <c r="G39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40">
        <f>RANK(tbl_AQI[[#This Row],[Current AQI]], tbl_AQI[Current AQI], 0)</f>
        <v>2075</v>
      </c>
    </row>
    <row r="3941" spans="1:8" x14ac:dyDescent="0.35">
      <c r="A3941" t="s">
        <v>3821</v>
      </c>
      <c r="B3941" t="s">
        <v>3967</v>
      </c>
      <c r="C3941">
        <v>228</v>
      </c>
      <c r="D3941">
        <v>33</v>
      </c>
      <c r="E3941" t="s">
        <v>11</v>
      </c>
      <c r="F3941">
        <f>tbl_AQI[[#This Row],[Most AQI Reached]]-tbl_AQI[[#This Row],[Current AQI]]</f>
        <v>195</v>
      </c>
      <c r="G39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41">
        <f>RANK(tbl_AQI[[#This Row],[Current AQI]], tbl_AQI[Current AQI], 0)</f>
        <v>4964</v>
      </c>
    </row>
    <row r="3942" spans="1:8" x14ac:dyDescent="0.35">
      <c r="A3942" t="s">
        <v>3821</v>
      </c>
      <c r="B3942" t="s">
        <v>3968</v>
      </c>
      <c r="C3942">
        <v>230</v>
      </c>
      <c r="D3942">
        <v>102</v>
      </c>
      <c r="E3942" t="s">
        <v>11</v>
      </c>
      <c r="F3942">
        <f>tbl_AQI[[#This Row],[Most AQI Reached]]-tbl_AQI[[#This Row],[Current AQI]]</f>
        <v>128</v>
      </c>
      <c r="G39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42">
        <f>RANK(tbl_AQI[[#This Row],[Current AQI]], tbl_AQI[Current AQI], 0)</f>
        <v>3493</v>
      </c>
    </row>
    <row r="3943" spans="1:8" x14ac:dyDescent="0.35">
      <c r="A3943" t="s">
        <v>3821</v>
      </c>
      <c r="B3943" t="s">
        <v>3969</v>
      </c>
      <c r="C3943">
        <v>68</v>
      </c>
      <c r="D3943">
        <v>36</v>
      </c>
      <c r="E3943" t="s">
        <v>9</v>
      </c>
      <c r="F3943">
        <f>tbl_AQI[[#This Row],[Most AQI Reached]]-tbl_AQI[[#This Row],[Current AQI]]</f>
        <v>32</v>
      </c>
      <c r="G39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43">
        <f>RANK(tbl_AQI[[#This Row],[Current AQI]], tbl_AQI[Current AQI], 0)</f>
        <v>4893</v>
      </c>
    </row>
    <row r="3944" spans="1:8" x14ac:dyDescent="0.35">
      <c r="A3944" t="s">
        <v>3821</v>
      </c>
      <c r="B3944" t="s">
        <v>3970</v>
      </c>
      <c r="C3944">
        <v>200</v>
      </c>
      <c r="D3944">
        <v>106</v>
      </c>
      <c r="E3944" t="s">
        <v>9</v>
      </c>
      <c r="F3944">
        <f>tbl_AQI[[#This Row],[Most AQI Reached]]-tbl_AQI[[#This Row],[Current AQI]]</f>
        <v>94</v>
      </c>
      <c r="G39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44">
        <f>RANK(tbl_AQI[[#This Row],[Current AQI]], tbl_AQI[Current AQI], 0)</f>
        <v>3413</v>
      </c>
    </row>
    <row r="3945" spans="1:8" x14ac:dyDescent="0.35">
      <c r="A3945" t="s">
        <v>3821</v>
      </c>
      <c r="B3945" t="s">
        <v>3971</v>
      </c>
      <c r="C3945">
        <v>291</v>
      </c>
      <c r="D3945">
        <v>133</v>
      </c>
      <c r="E3945" t="s">
        <v>9</v>
      </c>
      <c r="F3945">
        <f>tbl_AQI[[#This Row],[Most AQI Reached]]-tbl_AQI[[#This Row],[Current AQI]]</f>
        <v>158</v>
      </c>
      <c r="G39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45">
        <f>RANK(tbl_AQI[[#This Row],[Current AQI]], tbl_AQI[Current AQI], 0)</f>
        <v>2758</v>
      </c>
    </row>
    <row r="3946" spans="1:8" x14ac:dyDescent="0.35">
      <c r="A3946" t="s">
        <v>3821</v>
      </c>
      <c r="B3946" t="s">
        <v>3972</v>
      </c>
      <c r="C3946">
        <v>123</v>
      </c>
      <c r="D3946">
        <v>33</v>
      </c>
      <c r="E3946" t="s">
        <v>15</v>
      </c>
      <c r="F3946">
        <f>tbl_AQI[[#This Row],[Most AQI Reached]]-tbl_AQI[[#This Row],[Current AQI]]</f>
        <v>90</v>
      </c>
      <c r="G39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46">
        <f>RANK(tbl_AQI[[#This Row],[Current AQI]], tbl_AQI[Current AQI], 0)</f>
        <v>4964</v>
      </c>
    </row>
    <row r="3947" spans="1:8" x14ac:dyDescent="0.35">
      <c r="A3947" t="s">
        <v>3821</v>
      </c>
      <c r="B3947" t="s">
        <v>3973</v>
      </c>
      <c r="C3947">
        <v>283</v>
      </c>
      <c r="D3947">
        <v>127</v>
      </c>
      <c r="E3947" t="s">
        <v>21</v>
      </c>
      <c r="F3947">
        <f>tbl_AQI[[#This Row],[Most AQI Reached]]-tbl_AQI[[#This Row],[Current AQI]]</f>
        <v>156</v>
      </c>
      <c r="G39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47">
        <f>RANK(tbl_AQI[[#This Row],[Current AQI]], tbl_AQI[Current AQI], 0)</f>
        <v>2909</v>
      </c>
    </row>
    <row r="3948" spans="1:8" x14ac:dyDescent="0.35">
      <c r="A3948" t="s">
        <v>3821</v>
      </c>
      <c r="B3948" t="s">
        <v>3974</v>
      </c>
      <c r="C3948">
        <v>81</v>
      </c>
      <c r="D3948">
        <v>75</v>
      </c>
      <c r="E3948" t="s">
        <v>21</v>
      </c>
      <c r="F3948">
        <f>tbl_AQI[[#This Row],[Most AQI Reached]]-tbl_AQI[[#This Row],[Current AQI]]</f>
        <v>6</v>
      </c>
      <c r="G39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48">
        <f>RANK(tbl_AQI[[#This Row],[Current AQI]], tbl_AQI[Current AQI], 0)</f>
        <v>4041</v>
      </c>
    </row>
    <row r="3949" spans="1:8" x14ac:dyDescent="0.35">
      <c r="A3949" t="s">
        <v>3821</v>
      </c>
      <c r="B3949" t="s">
        <v>3975</v>
      </c>
      <c r="C3949">
        <v>318</v>
      </c>
      <c r="D3949">
        <v>128</v>
      </c>
      <c r="E3949" t="s">
        <v>21</v>
      </c>
      <c r="F3949">
        <f>tbl_AQI[[#This Row],[Most AQI Reached]]-tbl_AQI[[#This Row],[Current AQI]]</f>
        <v>190</v>
      </c>
      <c r="G39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49">
        <f>RANK(tbl_AQI[[#This Row],[Current AQI]], tbl_AQI[Current AQI], 0)</f>
        <v>2872</v>
      </c>
    </row>
    <row r="3950" spans="1:8" x14ac:dyDescent="0.35">
      <c r="A3950" t="s">
        <v>3821</v>
      </c>
      <c r="B3950" t="s">
        <v>3976</v>
      </c>
      <c r="C3950">
        <v>233</v>
      </c>
      <c r="D3950">
        <v>60</v>
      </c>
      <c r="E3950" t="s">
        <v>17</v>
      </c>
      <c r="F3950">
        <f>tbl_AQI[[#This Row],[Most AQI Reached]]-tbl_AQI[[#This Row],[Current AQI]]</f>
        <v>173</v>
      </c>
      <c r="G39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50">
        <f>RANK(tbl_AQI[[#This Row],[Current AQI]], tbl_AQI[Current AQI], 0)</f>
        <v>4390</v>
      </c>
    </row>
    <row r="3951" spans="1:8" x14ac:dyDescent="0.35">
      <c r="A3951" t="s">
        <v>3821</v>
      </c>
      <c r="B3951" t="s">
        <v>3977</v>
      </c>
      <c r="C3951">
        <v>280</v>
      </c>
      <c r="D3951">
        <v>130</v>
      </c>
      <c r="E3951" t="s">
        <v>33</v>
      </c>
      <c r="F3951">
        <f>tbl_AQI[[#This Row],[Most AQI Reached]]-tbl_AQI[[#This Row],[Current AQI]]</f>
        <v>150</v>
      </c>
      <c r="G39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51">
        <f>RANK(tbl_AQI[[#This Row],[Current AQI]], tbl_AQI[Current AQI], 0)</f>
        <v>2832</v>
      </c>
    </row>
    <row r="3952" spans="1:8" x14ac:dyDescent="0.35">
      <c r="A3952" t="s">
        <v>3821</v>
      </c>
      <c r="B3952" t="s">
        <v>3978</v>
      </c>
      <c r="C3952">
        <v>166</v>
      </c>
      <c r="D3952">
        <v>137</v>
      </c>
      <c r="E3952" t="s">
        <v>33</v>
      </c>
      <c r="F3952">
        <f>tbl_AQI[[#This Row],[Most AQI Reached]]-tbl_AQI[[#This Row],[Current AQI]]</f>
        <v>29</v>
      </c>
      <c r="G39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52">
        <f>RANK(tbl_AQI[[#This Row],[Current AQI]], tbl_AQI[Current AQI], 0)</f>
        <v>2677</v>
      </c>
    </row>
    <row r="3953" spans="1:8" x14ac:dyDescent="0.35">
      <c r="A3953" t="s">
        <v>3821</v>
      </c>
      <c r="B3953" t="s">
        <v>3979</v>
      </c>
      <c r="C3953">
        <v>103</v>
      </c>
      <c r="D3953">
        <v>67</v>
      </c>
      <c r="E3953" t="s">
        <v>21</v>
      </c>
      <c r="F3953">
        <f>tbl_AQI[[#This Row],[Most AQI Reached]]-tbl_AQI[[#This Row],[Current AQI]]</f>
        <v>36</v>
      </c>
      <c r="G39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53">
        <f>RANK(tbl_AQI[[#This Row],[Current AQI]], tbl_AQI[Current AQI], 0)</f>
        <v>4225</v>
      </c>
    </row>
    <row r="3954" spans="1:8" x14ac:dyDescent="0.35">
      <c r="A3954" t="s">
        <v>3821</v>
      </c>
      <c r="B3954" t="s">
        <v>3980</v>
      </c>
      <c r="C3954">
        <v>160</v>
      </c>
      <c r="D3954">
        <v>80</v>
      </c>
      <c r="E3954" t="s">
        <v>9</v>
      </c>
      <c r="F3954">
        <f>tbl_AQI[[#This Row],[Most AQI Reached]]-tbl_AQI[[#This Row],[Current AQI]]</f>
        <v>80</v>
      </c>
      <c r="G39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54">
        <f>RANK(tbl_AQI[[#This Row],[Current AQI]], tbl_AQI[Current AQI], 0)</f>
        <v>3948</v>
      </c>
    </row>
    <row r="3955" spans="1:8" x14ac:dyDescent="0.35">
      <c r="A3955" t="s">
        <v>3821</v>
      </c>
      <c r="B3955" t="s">
        <v>3981</v>
      </c>
      <c r="C3955">
        <v>259</v>
      </c>
      <c r="D3955">
        <v>144</v>
      </c>
      <c r="E3955" t="s">
        <v>11</v>
      </c>
      <c r="F3955">
        <f>tbl_AQI[[#This Row],[Most AQI Reached]]-tbl_AQI[[#This Row],[Current AQI]]</f>
        <v>115</v>
      </c>
      <c r="G39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55">
        <f>RANK(tbl_AQI[[#This Row],[Current AQI]], tbl_AQI[Current AQI], 0)</f>
        <v>2550</v>
      </c>
    </row>
    <row r="3956" spans="1:8" x14ac:dyDescent="0.35">
      <c r="A3956" t="s">
        <v>3821</v>
      </c>
      <c r="B3956" t="s">
        <v>3982</v>
      </c>
      <c r="C3956">
        <v>287</v>
      </c>
      <c r="D3956">
        <v>158</v>
      </c>
      <c r="E3956" t="s">
        <v>33</v>
      </c>
      <c r="F3956">
        <f>tbl_AQI[[#This Row],[Most AQI Reached]]-tbl_AQI[[#This Row],[Current AQI]]</f>
        <v>129</v>
      </c>
      <c r="G39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56">
        <f>RANK(tbl_AQI[[#This Row],[Current AQI]], tbl_AQI[Current AQI], 0)</f>
        <v>2207</v>
      </c>
    </row>
    <row r="3957" spans="1:8" x14ac:dyDescent="0.35">
      <c r="A3957" t="s">
        <v>3821</v>
      </c>
      <c r="B3957" t="s">
        <v>3983</v>
      </c>
      <c r="C3957">
        <v>92</v>
      </c>
      <c r="D3957">
        <v>70</v>
      </c>
      <c r="E3957" t="s">
        <v>33</v>
      </c>
      <c r="F3957">
        <f>tbl_AQI[[#This Row],[Most AQI Reached]]-tbl_AQI[[#This Row],[Current AQI]]</f>
        <v>22</v>
      </c>
      <c r="G39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57">
        <f>RANK(tbl_AQI[[#This Row],[Current AQI]], tbl_AQI[Current AQI], 0)</f>
        <v>4153</v>
      </c>
    </row>
    <row r="3958" spans="1:8" x14ac:dyDescent="0.35">
      <c r="A3958" t="s">
        <v>3821</v>
      </c>
      <c r="B3958" t="s">
        <v>3984</v>
      </c>
      <c r="C3958">
        <v>228</v>
      </c>
      <c r="D3958">
        <v>75</v>
      </c>
      <c r="E3958" t="s">
        <v>21</v>
      </c>
      <c r="F3958">
        <f>tbl_AQI[[#This Row],[Most AQI Reached]]-tbl_AQI[[#This Row],[Current AQI]]</f>
        <v>153</v>
      </c>
      <c r="G39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58">
        <f>RANK(tbl_AQI[[#This Row],[Current AQI]], tbl_AQI[Current AQI], 0)</f>
        <v>4041</v>
      </c>
    </row>
    <row r="3959" spans="1:8" x14ac:dyDescent="0.35">
      <c r="A3959" t="s">
        <v>3821</v>
      </c>
      <c r="B3959" t="s">
        <v>3985</v>
      </c>
      <c r="C3959">
        <v>268</v>
      </c>
      <c r="D3959">
        <v>140</v>
      </c>
      <c r="E3959" t="s">
        <v>21</v>
      </c>
      <c r="F3959">
        <f>tbl_AQI[[#This Row],[Most AQI Reached]]-tbl_AQI[[#This Row],[Current AQI]]</f>
        <v>128</v>
      </c>
      <c r="G39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59">
        <f>RANK(tbl_AQI[[#This Row],[Current AQI]], tbl_AQI[Current AQI], 0)</f>
        <v>2627</v>
      </c>
    </row>
    <row r="3960" spans="1:8" x14ac:dyDescent="0.35">
      <c r="A3960" t="s">
        <v>3821</v>
      </c>
      <c r="B3960" t="s">
        <v>3986</v>
      </c>
      <c r="C3960">
        <v>165</v>
      </c>
      <c r="D3960">
        <v>152</v>
      </c>
      <c r="E3960" t="s">
        <v>7</v>
      </c>
      <c r="F3960">
        <f>tbl_AQI[[#This Row],[Most AQI Reached]]-tbl_AQI[[#This Row],[Current AQI]]</f>
        <v>13</v>
      </c>
      <c r="G39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0">
        <f>RANK(tbl_AQI[[#This Row],[Current AQI]], tbl_AQI[Current AQI], 0)</f>
        <v>2349</v>
      </c>
    </row>
    <row r="3961" spans="1:8" x14ac:dyDescent="0.35">
      <c r="A3961" t="s">
        <v>3821</v>
      </c>
      <c r="B3961" t="s">
        <v>3987</v>
      </c>
      <c r="C3961">
        <v>279</v>
      </c>
      <c r="D3961">
        <v>47</v>
      </c>
      <c r="E3961" t="s">
        <v>9</v>
      </c>
      <c r="F3961">
        <f>tbl_AQI[[#This Row],[Most AQI Reached]]-tbl_AQI[[#This Row],[Current AQI]]</f>
        <v>232</v>
      </c>
      <c r="G39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61">
        <f>RANK(tbl_AQI[[#This Row],[Current AQI]], tbl_AQI[Current AQI], 0)</f>
        <v>4656</v>
      </c>
    </row>
    <row r="3962" spans="1:8" x14ac:dyDescent="0.35">
      <c r="A3962" t="s">
        <v>3821</v>
      </c>
      <c r="B3962" t="s">
        <v>3988</v>
      </c>
      <c r="C3962">
        <v>86</v>
      </c>
      <c r="D3962">
        <v>74</v>
      </c>
      <c r="E3962" t="s">
        <v>17</v>
      </c>
      <c r="F3962">
        <f>tbl_AQI[[#This Row],[Most AQI Reached]]-tbl_AQI[[#This Row],[Current AQI]]</f>
        <v>12</v>
      </c>
      <c r="G39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62">
        <f>RANK(tbl_AQI[[#This Row],[Current AQI]], tbl_AQI[Current AQI], 0)</f>
        <v>4064</v>
      </c>
    </row>
    <row r="3963" spans="1:8" x14ac:dyDescent="0.35">
      <c r="A3963" t="s">
        <v>3821</v>
      </c>
      <c r="B3963" t="s">
        <v>3989</v>
      </c>
      <c r="C3963">
        <v>279</v>
      </c>
      <c r="D3963">
        <v>161</v>
      </c>
      <c r="E3963" t="s">
        <v>21</v>
      </c>
      <c r="F3963">
        <f>tbl_AQI[[#This Row],[Most AQI Reached]]-tbl_AQI[[#This Row],[Current AQI]]</f>
        <v>118</v>
      </c>
      <c r="G39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3">
        <f>RANK(tbl_AQI[[#This Row],[Current AQI]], tbl_AQI[Current AQI], 0)</f>
        <v>2129</v>
      </c>
    </row>
    <row r="3964" spans="1:8" x14ac:dyDescent="0.35">
      <c r="A3964" t="s">
        <v>3821</v>
      </c>
      <c r="B3964" t="s">
        <v>3990</v>
      </c>
      <c r="C3964">
        <v>104</v>
      </c>
      <c r="D3964">
        <v>56</v>
      </c>
      <c r="E3964" t="s">
        <v>11</v>
      </c>
      <c r="F3964">
        <f>tbl_AQI[[#This Row],[Most AQI Reached]]-tbl_AQI[[#This Row],[Current AQI]]</f>
        <v>48</v>
      </c>
      <c r="G39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64">
        <f>RANK(tbl_AQI[[#This Row],[Current AQI]], tbl_AQI[Current AQI], 0)</f>
        <v>4474</v>
      </c>
    </row>
    <row r="3965" spans="1:8" x14ac:dyDescent="0.35">
      <c r="A3965" t="s">
        <v>3821</v>
      </c>
      <c r="B3965" t="s">
        <v>3991</v>
      </c>
      <c r="C3965">
        <v>247</v>
      </c>
      <c r="D3965">
        <v>142</v>
      </c>
      <c r="E3965" t="s">
        <v>9</v>
      </c>
      <c r="F3965">
        <f>tbl_AQI[[#This Row],[Most AQI Reached]]-tbl_AQI[[#This Row],[Current AQI]]</f>
        <v>105</v>
      </c>
      <c r="G39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5">
        <f>RANK(tbl_AQI[[#This Row],[Current AQI]], tbl_AQI[Current AQI], 0)</f>
        <v>2585</v>
      </c>
    </row>
    <row r="3966" spans="1:8" x14ac:dyDescent="0.35">
      <c r="A3966" t="s">
        <v>3821</v>
      </c>
      <c r="B3966" t="s">
        <v>3992</v>
      </c>
      <c r="C3966">
        <v>279</v>
      </c>
      <c r="D3966">
        <v>120</v>
      </c>
      <c r="E3966" t="s">
        <v>15</v>
      </c>
      <c r="F3966">
        <f>tbl_AQI[[#This Row],[Most AQI Reached]]-tbl_AQI[[#This Row],[Current AQI]]</f>
        <v>159</v>
      </c>
      <c r="G39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6">
        <f>RANK(tbl_AQI[[#This Row],[Current AQI]], tbl_AQI[Current AQI], 0)</f>
        <v>3066</v>
      </c>
    </row>
    <row r="3967" spans="1:8" x14ac:dyDescent="0.35">
      <c r="A3967" t="s">
        <v>3821</v>
      </c>
      <c r="B3967" t="s">
        <v>3993</v>
      </c>
      <c r="C3967">
        <v>319</v>
      </c>
      <c r="D3967">
        <v>160</v>
      </c>
      <c r="E3967" t="s">
        <v>9</v>
      </c>
      <c r="F3967">
        <f>tbl_AQI[[#This Row],[Most AQI Reached]]-tbl_AQI[[#This Row],[Current AQI]]</f>
        <v>159</v>
      </c>
      <c r="G39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7">
        <f>RANK(tbl_AQI[[#This Row],[Current AQI]], tbl_AQI[Current AQI], 0)</f>
        <v>2154</v>
      </c>
    </row>
    <row r="3968" spans="1:8" x14ac:dyDescent="0.35">
      <c r="A3968" t="s">
        <v>3821</v>
      </c>
      <c r="B3968" t="s">
        <v>3994</v>
      </c>
      <c r="C3968">
        <v>223</v>
      </c>
      <c r="D3968">
        <v>179</v>
      </c>
      <c r="E3968" t="s">
        <v>17</v>
      </c>
      <c r="F3968">
        <f>tbl_AQI[[#This Row],[Most AQI Reached]]-tbl_AQI[[#This Row],[Current AQI]]</f>
        <v>44</v>
      </c>
      <c r="G39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8">
        <f>RANK(tbl_AQI[[#This Row],[Current AQI]], tbl_AQI[Current AQI], 0)</f>
        <v>1667</v>
      </c>
    </row>
    <row r="3969" spans="1:8" x14ac:dyDescent="0.35">
      <c r="A3969" t="s">
        <v>3821</v>
      </c>
      <c r="B3969" t="s">
        <v>3995</v>
      </c>
      <c r="C3969">
        <v>226</v>
      </c>
      <c r="D3969">
        <v>146</v>
      </c>
      <c r="E3969" t="s">
        <v>9</v>
      </c>
      <c r="F3969">
        <f>tbl_AQI[[#This Row],[Most AQI Reached]]-tbl_AQI[[#This Row],[Current AQI]]</f>
        <v>80</v>
      </c>
      <c r="G39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69">
        <f>RANK(tbl_AQI[[#This Row],[Current AQI]], tbl_AQI[Current AQI], 0)</f>
        <v>2499</v>
      </c>
    </row>
    <row r="3970" spans="1:8" x14ac:dyDescent="0.35">
      <c r="A3970" t="s">
        <v>3821</v>
      </c>
      <c r="B3970" t="s">
        <v>3996</v>
      </c>
      <c r="C3970">
        <v>208</v>
      </c>
      <c r="D3970">
        <v>66</v>
      </c>
      <c r="E3970" t="s">
        <v>11</v>
      </c>
      <c r="F3970">
        <f>tbl_AQI[[#This Row],[Most AQI Reached]]-tbl_AQI[[#This Row],[Current AQI]]</f>
        <v>142</v>
      </c>
      <c r="G39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70">
        <f>RANK(tbl_AQI[[#This Row],[Current AQI]], tbl_AQI[Current AQI], 0)</f>
        <v>4247</v>
      </c>
    </row>
    <row r="3971" spans="1:8" x14ac:dyDescent="0.35">
      <c r="A3971" t="s">
        <v>3821</v>
      </c>
      <c r="B3971" t="s">
        <v>3997</v>
      </c>
      <c r="C3971">
        <v>228</v>
      </c>
      <c r="D3971">
        <v>189</v>
      </c>
      <c r="E3971" t="s">
        <v>17</v>
      </c>
      <c r="F3971">
        <f>tbl_AQI[[#This Row],[Most AQI Reached]]-tbl_AQI[[#This Row],[Current AQI]]</f>
        <v>39</v>
      </c>
      <c r="G39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71">
        <f>RANK(tbl_AQI[[#This Row],[Current AQI]], tbl_AQI[Current AQI], 0)</f>
        <v>1395</v>
      </c>
    </row>
    <row r="3972" spans="1:8" x14ac:dyDescent="0.35">
      <c r="A3972" t="s">
        <v>3821</v>
      </c>
      <c r="B3972" t="s">
        <v>3998</v>
      </c>
      <c r="C3972">
        <v>258</v>
      </c>
      <c r="D3972">
        <v>175</v>
      </c>
      <c r="E3972" t="s">
        <v>21</v>
      </c>
      <c r="F3972">
        <f>tbl_AQI[[#This Row],[Most AQI Reached]]-tbl_AQI[[#This Row],[Current AQI]]</f>
        <v>83</v>
      </c>
      <c r="G39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72">
        <f>RANK(tbl_AQI[[#This Row],[Current AQI]], tbl_AQI[Current AQI], 0)</f>
        <v>1780</v>
      </c>
    </row>
    <row r="3973" spans="1:8" x14ac:dyDescent="0.35">
      <c r="A3973" t="s">
        <v>3821</v>
      </c>
      <c r="B3973" t="s">
        <v>3999</v>
      </c>
      <c r="C3973">
        <v>92</v>
      </c>
      <c r="D3973">
        <v>71</v>
      </c>
      <c r="E3973" t="s">
        <v>7</v>
      </c>
      <c r="F3973">
        <f>tbl_AQI[[#This Row],[Most AQI Reached]]-tbl_AQI[[#This Row],[Current AQI]]</f>
        <v>21</v>
      </c>
      <c r="G39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73">
        <f>RANK(tbl_AQI[[#This Row],[Current AQI]], tbl_AQI[Current AQI], 0)</f>
        <v>4129</v>
      </c>
    </row>
    <row r="3974" spans="1:8" x14ac:dyDescent="0.35">
      <c r="A3974" t="s">
        <v>3821</v>
      </c>
      <c r="B3974" t="s">
        <v>4000</v>
      </c>
      <c r="C3974">
        <v>269</v>
      </c>
      <c r="D3974">
        <v>45</v>
      </c>
      <c r="E3974" t="s">
        <v>17</v>
      </c>
      <c r="F3974">
        <f>tbl_AQI[[#This Row],[Most AQI Reached]]-tbl_AQI[[#This Row],[Current AQI]]</f>
        <v>224</v>
      </c>
      <c r="G39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74">
        <f>RANK(tbl_AQI[[#This Row],[Current AQI]], tbl_AQI[Current AQI], 0)</f>
        <v>4702</v>
      </c>
    </row>
    <row r="3975" spans="1:8" x14ac:dyDescent="0.35">
      <c r="A3975" t="s">
        <v>3821</v>
      </c>
      <c r="B3975" t="s">
        <v>4001</v>
      </c>
      <c r="C3975">
        <v>295</v>
      </c>
      <c r="D3975">
        <v>116</v>
      </c>
      <c r="E3975" t="s">
        <v>7</v>
      </c>
      <c r="F3975">
        <f>tbl_AQI[[#This Row],[Most AQI Reached]]-tbl_AQI[[#This Row],[Current AQI]]</f>
        <v>179</v>
      </c>
      <c r="G39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75">
        <f>RANK(tbl_AQI[[#This Row],[Current AQI]], tbl_AQI[Current AQI], 0)</f>
        <v>3173</v>
      </c>
    </row>
    <row r="3976" spans="1:8" x14ac:dyDescent="0.35">
      <c r="A3976" t="s">
        <v>3821</v>
      </c>
      <c r="B3976" t="s">
        <v>4002</v>
      </c>
      <c r="C3976">
        <v>225</v>
      </c>
      <c r="D3976">
        <v>138</v>
      </c>
      <c r="E3976" t="s">
        <v>17</v>
      </c>
      <c r="F3976">
        <f>tbl_AQI[[#This Row],[Most AQI Reached]]-tbl_AQI[[#This Row],[Current AQI]]</f>
        <v>87</v>
      </c>
      <c r="G39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76">
        <f>RANK(tbl_AQI[[#This Row],[Current AQI]], tbl_AQI[Current AQI], 0)</f>
        <v>2660</v>
      </c>
    </row>
    <row r="3977" spans="1:8" x14ac:dyDescent="0.35">
      <c r="A3977" t="s">
        <v>3821</v>
      </c>
      <c r="B3977" t="s">
        <v>4003</v>
      </c>
      <c r="C3977">
        <v>297</v>
      </c>
      <c r="D3977">
        <v>70</v>
      </c>
      <c r="E3977" t="s">
        <v>33</v>
      </c>
      <c r="F3977">
        <f>tbl_AQI[[#This Row],[Most AQI Reached]]-tbl_AQI[[#This Row],[Current AQI]]</f>
        <v>227</v>
      </c>
      <c r="G39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77">
        <f>RANK(tbl_AQI[[#This Row],[Current AQI]], tbl_AQI[Current AQI], 0)</f>
        <v>4153</v>
      </c>
    </row>
    <row r="3978" spans="1:8" x14ac:dyDescent="0.35">
      <c r="A3978" t="s">
        <v>3821</v>
      </c>
      <c r="B3978" t="s">
        <v>4004</v>
      </c>
      <c r="C3978">
        <v>148</v>
      </c>
      <c r="D3978">
        <v>63</v>
      </c>
      <c r="E3978" t="s">
        <v>33</v>
      </c>
      <c r="F3978">
        <f>tbl_AQI[[#This Row],[Most AQI Reached]]-tbl_AQI[[#This Row],[Current AQI]]</f>
        <v>85</v>
      </c>
      <c r="G39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78">
        <f>RANK(tbl_AQI[[#This Row],[Current AQI]], tbl_AQI[Current AQI], 0)</f>
        <v>4322</v>
      </c>
    </row>
    <row r="3979" spans="1:8" x14ac:dyDescent="0.35">
      <c r="A3979" t="s">
        <v>3821</v>
      </c>
      <c r="B3979" t="s">
        <v>4005</v>
      </c>
      <c r="C3979">
        <v>172</v>
      </c>
      <c r="D3979">
        <v>161</v>
      </c>
      <c r="E3979" t="s">
        <v>11</v>
      </c>
      <c r="F3979">
        <f>tbl_AQI[[#This Row],[Most AQI Reached]]-tbl_AQI[[#This Row],[Current AQI]]</f>
        <v>11</v>
      </c>
      <c r="G39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79">
        <f>RANK(tbl_AQI[[#This Row],[Current AQI]], tbl_AQI[Current AQI], 0)</f>
        <v>2129</v>
      </c>
    </row>
    <row r="3980" spans="1:8" x14ac:dyDescent="0.35">
      <c r="A3980" t="s">
        <v>3821</v>
      </c>
      <c r="B3980" t="s">
        <v>4006</v>
      </c>
      <c r="C3980">
        <v>154</v>
      </c>
      <c r="D3980">
        <v>73</v>
      </c>
      <c r="E3980" t="s">
        <v>11</v>
      </c>
      <c r="F3980">
        <f>tbl_AQI[[#This Row],[Most AQI Reached]]-tbl_AQI[[#This Row],[Current AQI]]</f>
        <v>81</v>
      </c>
      <c r="G39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80">
        <f>RANK(tbl_AQI[[#This Row],[Current AQI]], tbl_AQI[Current AQI], 0)</f>
        <v>4083</v>
      </c>
    </row>
    <row r="3981" spans="1:8" x14ac:dyDescent="0.35">
      <c r="A3981" t="s">
        <v>3821</v>
      </c>
      <c r="B3981" t="s">
        <v>4007</v>
      </c>
      <c r="C3981">
        <v>277</v>
      </c>
      <c r="D3981">
        <v>146</v>
      </c>
      <c r="E3981" t="s">
        <v>17</v>
      </c>
      <c r="F3981">
        <f>tbl_AQI[[#This Row],[Most AQI Reached]]-tbl_AQI[[#This Row],[Current AQI]]</f>
        <v>131</v>
      </c>
      <c r="G39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81">
        <f>RANK(tbl_AQI[[#This Row],[Current AQI]], tbl_AQI[Current AQI], 0)</f>
        <v>2499</v>
      </c>
    </row>
    <row r="3982" spans="1:8" x14ac:dyDescent="0.35">
      <c r="A3982" t="s">
        <v>3821</v>
      </c>
      <c r="B3982" t="s">
        <v>4008</v>
      </c>
      <c r="C3982">
        <v>289</v>
      </c>
      <c r="D3982">
        <v>169</v>
      </c>
      <c r="E3982" t="s">
        <v>33</v>
      </c>
      <c r="F3982">
        <f>tbl_AQI[[#This Row],[Most AQI Reached]]-tbl_AQI[[#This Row],[Current AQI]]</f>
        <v>120</v>
      </c>
      <c r="G39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82">
        <f>RANK(tbl_AQI[[#This Row],[Current AQI]], tbl_AQI[Current AQI], 0)</f>
        <v>1925</v>
      </c>
    </row>
    <row r="3983" spans="1:8" x14ac:dyDescent="0.35">
      <c r="A3983" t="s">
        <v>3821</v>
      </c>
      <c r="B3983" t="s">
        <v>4009</v>
      </c>
      <c r="C3983">
        <v>307</v>
      </c>
      <c r="D3983">
        <v>188</v>
      </c>
      <c r="E3983" t="s">
        <v>17</v>
      </c>
      <c r="F3983">
        <f>tbl_AQI[[#This Row],[Most AQI Reached]]-tbl_AQI[[#This Row],[Current AQI]]</f>
        <v>119</v>
      </c>
      <c r="G39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83">
        <f>RANK(tbl_AQI[[#This Row],[Current AQI]], tbl_AQI[Current AQI], 0)</f>
        <v>1423</v>
      </c>
    </row>
    <row r="3984" spans="1:8" x14ac:dyDescent="0.35">
      <c r="A3984" t="s">
        <v>3821</v>
      </c>
      <c r="B3984" t="s">
        <v>4010</v>
      </c>
      <c r="C3984">
        <v>184</v>
      </c>
      <c r="D3984">
        <v>141</v>
      </c>
      <c r="E3984" t="s">
        <v>11</v>
      </c>
      <c r="F3984">
        <f>tbl_AQI[[#This Row],[Most AQI Reached]]-tbl_AQI[[#This Row],[Current AQI]]</f>
        <v>43</v>
      </c>
      <c r="G39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84">
        <f>RANK(tbl_AQI[[#This Row],[Current AQI]], tbl_AQI[Current AQI], 0)</f>
        <v>2609</v>
      </c>
    </row>
    <row r="3985" spans="1:8" x14ac:dyDescent="0.35">
      <c r="A3985" t="s">
        <v>3821</v>
      </c>
      <c r="B3985" t="s">
        <v>4011</v>
      </c>
      <c r="C3985">
        <v>252</v>
      </c>
      <c r="D3985">
        <v>36</v>
      </c>
      <c r="E3985" t="s">
        <v>7</v>
      </c>
      <c r="F3985">
        <f>tbl_AQI[[#This Row],[Most AQI Reached]]-tbl_AQI[[#This Row],[Current AQI]]</f>
        <v>216</v>
      </c>
      <c r="G39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85">
        <f>RANK(tbl_AQI[[#This Row],[Current AQI]], tbl_AQI[Current AQI], 0)</f>
        <v>4893</v>
      </c>
    </row>
    <row r="3986" spans="1:8" x14ac:dyDescent="0.35">
      <c r="A3986" t="s">
        <v>3821</v>
      </c>
      <c r="B3986" t="s">
        <v>4012</v>
      </c>
      <c r="C3986">
        <v>256</v>
      </c>
      <c r="D3986">
        <v>92</v>
      </c>
      <c r="E3986" t="s">
        <v>33</v>
      </c>
      <c r="F3986">
        <f>tbl_AQI[[#This Row],[Most AQI Reached]]-tbl_AQI[[#This Row],[Current AQI]]</f>
        <v>164</v>
      </c>
      <c r="G39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86">
        <f>RANK(tbl_AQI[[#This Row],[Current AQI]], tbl_AQI[Current AQI], 0)</f>
        <v>3706</v>
      </c>
    </row>
    <row r="3987" spans="1:8" x14ac:dyDescent="0.35">
      <c r="A3987" t="s">
        <v>3821</v>
      </c>
      <c r="B3987" t="s">
        <v>4013</v>
      </c>
      <c r="C3987">
        <v>261</v>
      </c>
      <c r="D3987">
        <v>168</v>
      </c>
      <c r="E3987" t="s">
        <v>17</v>
      </c>
      <c r="F3987">
        <f>tbl_AQI[[#This Row],[Most AQI Reached]]-tbl_AQI[[#This Row],[Current AQI]]</f>
        <v>93</v>
      </c>
      <c r="G39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87">
        <f>RANK(tbl_AQI[[#This Row],[Current AQI]], tbl_AQI[Current AQI], 0)</f>
        <v>1954</v>
      </c>
    </row>
    <row r="3988" spans="1:8" x14ac:dyDescent="0.35">
      <c r="A3988" t="s">
        <v>3821</v>
      </c>
      <c r="B3988" t="s">
        <v>4014</v>
      </c>
      <c r="C3988">
        <v>107</v>
      </c>
      <c r="D3988">
        <v>92</v>
      </c>
      <c r="E3988" t="s">
        <v>15</v>
      </c>
      <c r="F3988">
        <f>tbl_AQI[[#This Row],[Most AQI Reached]]-tbl_AQI[[#This Row],[Current AQI]]</f>
        <v>15</v>
      </c>
      <c r="G39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88">
        <f>RANK(tbl_AQI[[#This Row],[Current AQI]], tbl_AQI[Current AQI], 0)</f>
        <v>3706</v>
      </c>
    </row>
    <row r="3989" spans="1:8" x14ac:dyDescent="0.35">
      <c r="A3989" t="s">
        <v>3821</v>
      </c>
      <c r="B3989" t="s">
        <v>4015</v>
      </c>
      <c r="C3989">
        <v>280</v>
      </c>
      <c r="D3989">
        <v>83</v>
      </c>
      <c r="E3989" t="s">
        <v>11</v>
      </c>
      <c r="F3989">
        <f>tbl_AQI[[#This Row],[Most AQI Reached]]-tbl_AQI[[#This Row],[Current AQI]]</f>
        <v>197</v>
      </c>
      <c r="G39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89">
        <f>RANK(tbl_AQI[[#This Row],[Current AQI]], tbl_AQI[Current AQI], 0)</f>
        <v>3892</v>
      </c>
    </row>
    <row r="3990" spans="1:8" x14ac:dyDescent="0.35">
      <c r="A3990" t="s">
        <v>3821</v>
      </c>
      <c r="B3990" t="s">
        <v>4016</v>
      </c>
      <c r="C3990">
        <v>163</v>
      </c>
      <c r="D3990">
        <v>103</v>
      </c>
      <c r="E3990" t="s">
        <v>11</v>
      </c>
      <c r="F3990">
        <f>tbl_AQI[[#This Row],[Most AQI Reached]]-tbl_AQI[[#This Row],[Current AQI]]</f>
        <v>60</v>
      </c>
      <c r="G39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90">
        <f>RANK(tbl_AQI[[#This Row],[Current AQI]], tbl_AQI[Current AQI], 0)</f>
        <v>3474</v>
      </c>
    </row>
    <row r="3991" spans="1:8" x14ac:dyDescent="0.35">
      <c r="A3991" t="s">
        <v>3821</v>
      </c>
      <c r="B3991" t="s">
        <v>4017</v>
      </c>
      <c r="C3991">
        <v>160</v>
      </c>
      <c r="D3991">
        <v>83</v>
      </c>
      <c r="E3991" t="s">
        <v>17</v>
      </c>
      <c r="F3991">
        <f>tbl_AQI[[#This Row],[Most AQI Reached]]-tbl_AQI[[#This Row],[Current AQI]]</f>
        <v>77</v>
      </c>
      <c r="G39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91">
        <f>RANK(tbl_AQI[[#This Row],[Current AQI]], tbl_AQI[Current AQI], 0)</f>
        <v>3892</v>
      </c>
    </row>
    <row r="3992" spans="1:8" x14ac:dyDescent="0.35">
      <c r="A3992" t="s">
        <v>3821</v>
      </c>
      <c r="B3992" t="s">
        <v>4018</v>
      </c>
      <c r="C3992">
        <v>307</v>
      </c>
      <c r="D3992">
        <v>79</v>
      </c>
      <c r="E3992" t="s">
        <v>33</v>
      </c>
      <c r="F3992">
        <f>tbl_AQI[[#This Row],[Most AQI Reached]]-tbl_AQI[[#This Row],[Current AQI]]</f>
        <v>228</v>
      </c>
      <c r="G39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92">
        <f>RANK(tbl_AQI[[#This Row],[Current AQI]], tbl_AQI[Current AQI], 0)</f>
        <v>3967</v>
      </c>
    </row>
    <row r="3993" spans="1:8" x14ac:dyDescent="0.35">
      <c r="A3993" t="s">
        <v>3821</v>
      </c>
      <c r="B3993" t="s">
        <v>4019</v>
      </c>
      <c r="C3993">
        <v>170</v>
      </c>
      <c r="D3993">
        <v>56</v>
      </c>
      <c r="E3993" t="s">
        <v>11</v>
      </c>
      <c r="F3993">
        <f>tbl_AQI[[#This Row],[Most AQI Reached]]-tbl_AQI[[#This Row],[Current AQI]]</f>
        <v>114</v>
      </c>
      <c r="G39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93">
        <f>RANK(tbl_AQI[[#This Row],[Current AQI]], tbl_AQI[Current AQI], 0)</f>
        <v>4474</v>
      </c>
    </row>
    <row r="3994" spans="1:8" x14ac:dyDescent="0.35">
      <c r="A3994" t="s">
        <v>3821</v>
      </c>
      <c r="B3994" t="s">
        <v>4020</v>
      </c>
      <c r="C3994">
        <v>286</v>
      </c>
      <c r="D3994">
        <v>113</v>
      </c>
      <c r="E3994" t="s">
        <v>33</v>
      </c>
      <c r="F3994">
        <f>tbl_AQI[[#This Row],[Most AQI Reached]]-tbl_AQI[[#This Row],[Current AQI]]</f>
        <v>173</v>
      </c>
      <c r="G39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94">
        <f>RANK(tbl_AQI[[#This Row],[Current AQI]], tbl_AQI[Current AQI], 0)</f>
        <v>3243</v>
      </c>
    </row>
    <row r="3995" spans="1:8" x14ac:dyDescent="0.35">
      <c r="A3995" t="s">
        <v>3821</v>
      </c>
      <c r="B3995" t="s">
        <v>4021</v>
      </c>
      <c r="C3995">
        <v>194</v>
      </c>
      <c r="D3995">
        <v>115</v>
      </c>
      <c r="E3995" t="s">
        <v>11</v>
      </c>
      <c r="F3995">
        <f>tbl_AQI[[#This Row],[Most AQI Reached]]-tbl_AQI[[#This Row],[Current AQI]]</f>
        <v>79</v>
      </c>
      <c r="G39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95">
        <f>RANK(tbl_AQI[[#This Row],[Current AQI]], tbl_AQI[Current AQI], 0)</f>
        <v>3206</v>
      </c>
    </row>
    <row r="3996" spans="1:8" x14ac:dyDescent="0.35">
      <c r="A3996" t="s">
        <v>3821</v>
      </c>
      <c r="B3996" t="s">
        <v>4022</v>
      </c>
      <c r="C3996">
        <v>282</v>
      </c>
      <c r="D3996">
        <v>36</v>
      </c>
      <c r="E3996" t="s">
        <v>33</v>
      </c>
      <c r="F3996">
        <f>tbl_AQI[[#This Row],[Most AQI Reached]]-tbl_AQI[[#This Row],[Current AQI]]</f>
        <v>246</v>
      </c>
      <c r="G39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3996">
        <f>RANK(tbl_AQI[[#This Row],[Current AQI]], tbl_AQI[Current AQI], 0)</f>
        <v>4893</v>
      </c>
    </row>
    <row r="3997" spans="1:8" x14ac:dyDescent="0.35">
      <c r="A3997" t="s">
        <v>3821</v>
      </c>
      <c r="B3997" t="s">
        <v>4023</v>
      </c>
      <c r="C3997">
        <v>258</v>
      </c>
      <c r="D3997">
        <v>89</v>
      </c>
      <c r="E3997" t="s">
        <v>21</v>
      </c>
      <c r="F3997">
        <f>tbl_AQI[[#This Row],[Most AQI Reached]]-tbl_AQI[[#This Row],[Current AQI]]</f>
        <v>169</v>
      </c>
      <c r="G39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3997">
        <f>RANK(tbl_AQI[[#This Row],[Current AQI]], tbl_AQI[Current AQI], 0)</f>
        <v>3772</v>
      </c>
    </row>
    <row r="3998" spans="1:8" x14ac:dyDescent="0.35">
      <c r="A3998" t="s">
        <v>3821</v>
      </c>
      <c r="B3998" t="s">
        <v>4024</v>
      </c>
      <c r="C3998">
        <v>288</v>
      </c>
      <c r="D3998">
        <v>107</v>
      </c>
      <c r="E3998" t="s">
        <v>11</v>
      </c>
      <c r="F3998">
        <f>tbl_AQI[[#This Row],[Most AQI Reached]]-tbl_AQI[[#This Row],[Current AQI]]</f>
        <v>181</v>
      </c>
      <c r="G39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98">
        <f>RANK(tbl_AQI[[#This Row],[Current AQI]], tbl_AQI[Current AQI], 0)</f>
        <v>3387</v>
      </c>
    </row>
    <row r="3999" spans="1:8" x14ac:dyDescent="0.35">
      <c r="A3999" t="s">
        <v>3821</v>
      </c>
      <c r="B3999" t="s">
        <v>4025</v>
      </c>
      <c r="C3999">
        <v>194</v>
      </c>
      <c r="D3999">
        <v>139</v>
      </c>
      <c r="E3999" t="s">
        <v>15</v>
      </c>
      <c r="F3999">
        <f>tbl_AQI[[#This Row],[Most AQI Reached]]-tbl_AQI[[#This Row],[Current AQI]]</f>
        <v>55</v>
      </c>
      <c r="G39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3999">
        <f>RANK(tbl_AQI[[#This Row],[Current AQI]], tbl_AQI[Current AQI], 0)</f>
        <v>2647</v>
      </c>
    </row>
    <row r="4000" spans="1:8" x14ac:dyDescent="0.35">
      <c r="A4000" t="s">
        <v>3821</v>
      </c>
      <c r="B4000" t="s">
        <v>4026</v>
      </c>
      <c r="C4000">
        <v>101</v>
      </c>
      <c r="D4000">
        <v>57</v>
      </c>
      <c r="E4000" t="s">
        <v>9</v>
      </c>
      <c r="F4000">
        <f>tbl_AQI[[#This Row],[Most AQI Reached]]-tbl_AQI[[#This Row],[Current AQI]]</f>
        <v>44</v>
      </c>
      <c r="G40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00">
        <f>RANK(tbl_AQI[[#This Row],[Current AQI]], tbl_AQI[Current AQI], 0)</f>
        <v>4452</v>
      </c>
    </row>
    <row r="4001" spans="1:8" x14ac:dyDescent="0.35">
      <c r="A4001" t="s">
        <v>3821</v>
      </c>
      <c r="B4001" t="s">
        <v>4027</v>
      </c>
      <c r="C4001">
        <v>133</v>
      </c>
      <c r="D4001">
        <v>128</v>
      </c>
      <c r="E4001" t="s">
        <v>11</v>
      </c>
      <c r="F4001">
        <f>tbl_AQI[[#This Row],[Most AQI Reached]]-tbl_AQI[[#This Row],[Current AQI]]</f>
        <v>5</v>
      </c>
      <c r="G40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01">
        <f>RANK(tbl_AQI[[#This Row],[Current AQI]], tbl_AQI[Current AQI], 0)</f>
        <v>2872</v>
      </c>
    </row>
    <row r="4002" spans="1:8" x14ac:dyDescent="0.35">
      <c r="A4002" t="s">
        <v>3821</v>
      </c>
      <c r="B4002" t="s">
        <v>4028</v>
      </c>
      <c r="C4002">
        <v>213</v>
      </c>
      <c r="D4002">
        <v>148</v>
      </c>
      <c r="E4002" t="s">
        <v>21</v>
      </c>
      <c r="F4002">
        <f>tbl_AQI[[#This Row],[Most AQI Reached]]-tbl_AQI[[#This Row],[Current AQI]]</f>
        <v>65</v>
      </c>
      <c r="G40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02">
        <f>RANK(tbl_AQI[[#This Row],[Current AQI]], tbl_AQI[Current AQI], 0)</f>
        <v>2446</v>
      </c>
    </row>
    <row r="4003" spans="1:8" x14ac:dyDescent="0.35">
      <c r="A4003" t="s">
        <v>3821</v>
      </c>
      <c r="B4003" t="s">
        <v>4029</v>
      </c>
      <c r="C4003">
        <v>82</v>
      </c>
      <c r="D4003">
        <v>56</v>
      </c>
      <c r="E4003" t="s">
        <v>7</v>
      </c>
      <c r="F4003">
        <f>tbl_AQI[[#This Row],[Most AQI Reached]]-tbl_AQI[[#This Row],[Current AQI]]</f>
        <v>26</v>
      </c>
      <c r="G40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03">
        <f>RANK(tbl_AQI[[#This Row],[Current AQI]], tbl_AQI[Current AQI], 0)</f>
        <v>4474</v>
      </c>
    </row>
    <row r="4004" spans="1:8" x14ac:dyDescent="0.35">
      <c r="A4004" t="s">
        <v>3821</v>
      </c>
      <c r="B4004" t="s">
        <v>4030</v>
      </c>
      <c r="C4004">
        <v>168</v>
      </c>
      <c r="D4004">
        <v>56</v>
      </c>
      <c r="E4004" t="s">
        <v>21</v>
      </c>
      <c r="F4004">
        <f>tbl_AQI[[#This Row],[Most AQI Reached]]-tbl_AQI[[#This Row],[Current AQI]]</f>
        <v>112</v>
      </c>
      <c r="G40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04">
        <f>RANK(tbl_AQI[[#This Row],[Current AQI]], tbl_AQI[Current AQI], 0)</f>
        <v>4474</v>
      </c>
    </row>
    <row r="4005" spans="1:8" x14ac:dyDescent="0.35">
      <c r="A4005" t="s">
        <v>3821</v>
      </c>
      <c r="B4005" t="s">
        <v>4031</v>
      </c>
      <c r="C4005">
        <v>240</v>
      </c>
      <c r="D4005">
        <v>173</v>
      </c>
      <c r="E4005" t="s">
        <v>33</v>
      </c>
      <c r="F4005">
        <f>tbl_AQI[[#This Row],[Most AQI Reached]]-tbl_AQI[[#This Row],[Current AQI]]</f>
        <v>67</v>
      </c>
      <c r="G40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05">
        <f>RANK(tbl_AQI[[#This Row],[Current AQI]], tbl_AQI[Current AQI], 0)</f>
        <v>1826</v>
      </c>
    </row>
    <row r="4006" spans="1:8" x14ac:dyDescent="0.35">
      <c r="A4006" t="s">
        <v>3821</v>
      </c>
      <c r="B4006" t="s">
        <v>4032</v>
      </c>
      <c r="C4006">
        <v>291</v>
      </c>
      <c r="D4006">
        <v>84</v>
      </c>
      <c r="E4006" t="s">
        <v>21</v>
      </c>
      <c r="F4006">
        <f>tbl_AQI[[#This Row],[Most AQI Reached]]-tbl_AQI[[#This Row],[Current AQI]]</f>
        <v>207</v>
      </c>
      <c r="G40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06">
        <f>RANK(tbl_AQI[[#This Row],[Current AQI]], tbl_AQI[Current AQI], 0)</f>
        <v>3872</v>
      </c>
    </row>
    <row r="4007" spans="1:8" x14ac:dyDescent="0.35">
      <c r="A4007" t="s">
        <v>3821</v>
      </c>
      <c r="B4007" t="s">
        <v>4033</v>
      </c>
      <c r="C4007">
        <v>215</v>
      </c>
      <c r="D4007">
        <v>95</v>
      </c>
      <c r="E4007" t="s">
        <v>11</v>
      </c>
      <c r="F4007">
        <f>tbl_AQI[[#This Row],[Most AQI Reached]]-tbl_AQI[[#This Row],[Current AQI]]</f>
        <v>120</v>
      </c>
      <c r="G40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07">
        <f>RANK(tbl_AQI[[#This Row],[Current AQI]], tbl_AQI[Current AQI], 0)</f>
        <v>3634</v>
      </c>
    </row>
    <row r="4008" spans="1:8" x14ac:dyDescent="0.35">
      <c r="A4008" t="s">
        <v>3821</v>
      </c>
      <c r="B4008" t="s">
        <v>4034</v>
      </c>
      <c r="C4008">
        <v>178</v>
      </c>
      <c r="D4008">
        <v>75</v>
      </c>
      <c r="E4008" t="s">
        <v>9</v>
      </c>
      <c r="F4008">
        <f>tbl_AQI[[#This Row],[Most AQI Reached]]-tbl_AQI[[#This Row],[Current AQI]]</f>
        <v>103</v>
      </c>
      <c r="G40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08">
        <f>RANK(tbl_AQI[[#This Row],[Current AQI]], tbl_AQI[Current AQI], 0)</f>
        <v>4041</v>
      </c>
    </row>
    <row r="4009" spans="1:8" x14ac:dyDescent="0.35">
      <c r="A4009" t="s">
        <v>3821</v>
      </c>
      <c r="B4009" t="s">
        <v>4035</v>
      </c>
      <c r="C4009">
        <v>288</v>
      </c>
      <c r="D4009">
        <v>146</v>
      </c>
      <c r="E4009" t="s">
        <v>11</v>
      </c>
      <c r="F4009">
        <f>tbl_AQI[[#This Row],[Most AQI Reached]]-tbl_AQI[[#This Row],[Current AQI]]</f>
        <v>142</v>
      </c>
      <c r="G40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09">
        <f>RANK(tbl_AQI[[#This Row],[Current AQI]], tbl_AQI[Current AQI], 0)</f>
        <v>2499</v>
      </c>
    </row>
    <row r="4010" spans="1:8" x14ac:dyDescent="0.35">
      <c r="A4010" t="s">
        <v>3821</v>
      </c>
      <c r="B4010" t="s">
        <v>4036</v>
      </c>
      <c r="C4010">
        <v>226</v>
      </c>
      <c r="D4010">
        <v>143</v>
      </c>
      <c r="E4010" t="s">
        <v>7</v>
      </c>
      <c r="F4010">
        <f>tbl_AQI[[#This Row],[Most AQI Reached]]-tbl_AQI[[#This Row],[Current AQI]]</f>
        <v>83</v>
      </c>
      <c r="G40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10">
        <f>RANK(tbl_AQI[[#This Row],[Current AQI]], tbl_AQI[Current AQI], 0)</f>
        <v>2567</v>
      </c>
    </row>
    <row r="4011" spans="1:8" x14ac:dyDescent="0.35">
      <c r="A4011" t="s">
        <v>3821</v>
      </c>
      <c r="B4011" t="s">
        <v>4037</v>
      </c>
      <c r="C4011">
        <v>201</v>
      </c>
      <c r="D4011">
        <v>116</v>
      </c>
      <c r="E4011" t="s">
        <v>15</v>
      </c>
      <c r="F4011">
        <f>tbl_AQI[[#This Row],[Most AQI Reached]]-tbl_AQI[[#This Row],[Current AQI]]</f>
        <v>85</v>
      </c>
      <c r="G40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11">
        <f>RANK(tbl_AQI[[#This Row],[Current AQI]], tbl_AQI[Current AQI], 0)</f>
        <v>3173</v>
      </c>
    </row>
    <row r="4012" spans="1:8" x14ac:dyDescent="0.35">
      <c r="A4012" t="s">
        <v>3821</v>
      </c>
      <c r="B4012" t="s">
        <v>4038</v>
      </c>
      <c r="C4012">
        <v>274</v>
      </c>
      <c r="D4012">
        <v>64</v>
      </c>
      <c r="E4012" t="s">
        <v>15</v>
      </c>
      <c r="F4012">
        <f>tbl_AQI[[#This Row],[Most AQI Reached]]-tbl_AQI[[#This Row],[Current AQI]]</f>
        <v>210</v>
      </c>
      <c r="G40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12">
        <f>RANK(tbl_AQI[[#This Row],[Current AQI]], tbl_AQI[Current AQI], 0)</f>
        <v>4293</v>
      </c>
    </row>
    <row r="4013" spans="1:8" x14ac:dyDescent="0.35">
      <c r="A4013" t="s">
        <v>3821</v>
      </c>
      <c r="B4013" t="s">
        <v>4039</v>
      </c>
      <c r="C4013">
        <v>116</v>
      </c>
      <c r="D4013">
        <v>101</v>
      </c>
      <c r="E4013" t="s">
        <v>7</v>
      </c>
      <c r="F4013">
        <f>tbl_AQI[[#This Row],[Most AQI Reached]]-tbl_AQI[[#This Row],[Current AQI]]</f>
        <v>15</v>
      </c>
      <c r="G40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13">
        <f>RANK(tbl_AQI[[#This Row],[Current AQI]], tbl_AQI[Current AQI], 0)</f>
        <v>3515</v>
      </c>
    </row>
    <row r="4014" spans="1:8" x14ac:dyDescent="0.35">
      <c r="A4014" t="s">
        <v>3821</v>
      </c>
      <c r="B4014" t="s">
        <v>4040</v>
      </c>
      <c r="C4014">
        <v>208</v>
      </c>
      <c r="D4014">
        <v>171</v>
      </c>
      <c r="E4014" t="s">
        <v>7</v>
      </c>
      <c r="F4014">
        <f>tbl_AQI[[#This Row],[Most AQI Reached]]-tbl_AQI[[#This Row],[Current AQI]]</f>
        <v>37</v>
      </c>
      <c r="G40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14">
        <f>RANK(tbl_AQI[[#This Row],[Current AQI]], tbl_AQI[Current AQI], 0)</f>
        <v>1866</v>
      </c>
    </row>
    <row r="4015" spans="1:8" x14ac:dyDescent="0.35">
      <c r="A4015" t="s">
        <v>3821</v>
      </c>
      <c r="B4015" t="s">
        <v>4041</v>
      </c>
      <c r="C4015">
        <v>102</v>
      </c>
      <c r="D4015">
        <v>39</v>
      </c>
      <c r="E4015" t="s">
        <v>7</v>
      </c>
      <c r="F4015">
        <f>tbl_AQI[[#This Row],[Most AQI Reached]]-tbl_AQI[[#This Row],[Current AQI]]</f>
        <v>63</v>
      </c>
      <c r="G40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15">
        <f>RANK(tbl_AQI[[#This Row],[Current AQI]], tbl_AQI[Current AQI], 0)</f>
        <v>4829</v>
      </c>
    </row>
    <row r="4016" spans="1:8" x14ac:dyDescent="0.35">
      <c r="A4016" t="s">
        <v>3821</v>
      </c>
      <c r="B4016" t="s">
        <v>4042</v>
      </c>
      <c r="C4016">
        <v>295</v>
      </c>
      <c r="D4016">
        <v>69</v>
      </c>
      <c r="E4016" t="s">
        <v>7</v>
      </c>
      <c r="F4016">
        <f>tbl_AQI[[#This Row],[Most AQI Reached]]-tbl_AQI[[#This Row],[Current AQI]]</f>
        <v>226</v>
      </c>
      <c r="G40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16">
        <f>RANK(tbl_AQI[[#This Row],[Current AQI]], tbl_AQI[Current AQI], 0)</f>
        <v>4186</v>
      </c>
    </row>
    <row r="4017" spans="1:8" x14ac:dyDescent="0.35">
      <c r="A4017" t="s">
        <v>3821</v>
      </c>
      <c r="B4017" t="s">
        <v>4043</v>
      </c>
      <c r="C4017">
        <v>108</v>
      </c>
      <c r="D4017">
        <v>88</v>
      </c>
      <c r="E4017" t="s">
        <v>11</v>
      </c>
      <c r="F4017">
        <f>tbl_AQI[[#This Row],[Most AQI Reached]]-tbl_AQI[[#This Row],[Current AQI]]</f>
        <v>20</v>
      </c>
      <c r="G40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17">
        <f>RANK(tbl_AQI[[#This Row],[Current AQI]], tbl_AQI[Current AQI], 0)</f>
        <v>3792</v>
      </c>
    </row>
    <row r="4018" spans="1:8" x14ac:dyDescent="0.35">
      <c r="A4018" t="s">
        <v>3821</v>
      </c>
      <c r="B4018" t="s">
        <v>4044</v>
      </c>
      <c r="C4018">
        <v>239</v>
      </c>
      <c r="D4018">
        <v>129</v>
      </c>
      <c r="E4018" t="s">
        <v>21</v>
      </c>
      <c r="F4018">
        <f>tbl_AQI[[#This Row],[Most AQI Reached]]-tbl_AQI[[#This Row],[Current AQI]]</f>
        <v>110</v>
      </c>
      <c r="G40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18">
        <f>RANK(tbl_AQI[[#This Row],[Current AQI]], tbl_AQI[Current AQI], 0)</f>
        <v>2852</v>
      </c>
    </row>
    <row r="4019" spans="1:8" x14ac:dyDescent="0.35">
      <c r="A4019" t="s">
        <v>3821</v>
      </c>
      <c r="B4019" t="s">
        <v>4045</v>
      </c>
      <c r="C4019">
        <v>158</v>
      </c>
      <c r="D4019">
        <v>80</v>
      </c>
      <c r="E4019" t="s">
        <v>21</v>
      </c>
      <c r="F4019">
        <f>tbl_AQI[[#This Row],[Most AQI Reached]]-tbl_AQI[[#This Row],[Current AQI]]</f>
        <v>78</v>
      </c>
      <c r="G40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19">
        <f>RANK(tbl_AQI[[#This Row],[Current AQI]], tbl_AQI[Current AQI], 0)</f>
        <v>3948</v>
      </c>
    </row>
    <row r="4020" spans="1:8" x14ac:dyDescent="0.35">
      <c r="A4020" t="s">
        <v>4046</v>
      </c>
      <c r="B4020" t="s">
        <v>4047</v>
      </c>
      <c r="C4020">
        <v>107</v>
      </c>
      <c r="D4020">
        <v>54</v>
      </c>
      <c r="E4020" t="s">
        <v>11</v>
      </c>
      <c r="F4020">
        <f>tbl_AQI[[#This Row],[Most AQI Reached]]-tbl_AQI[[#This Row],[Current AQI]]</f>
        <v>53</v>
      </c>
      <c r="G40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20">
        <f>RANK(tbl_AQI[[#This Row],[Current AQI]], tbl_AQI[Current AQI], 0)</f>
        <v>4523</v>
      </c>
    </row>
    <row r="4021" spans="1:8" x14ac:dyDescent="0.35">
      <c r="A4021" t="s">
        <v>4046</v>
      </c>
      <c r="B4021" t="s">
        <v>4048</v>
      </c>
      <c r="C4021">
        <v>291</v>
      </c>
      <c r="D4021">
        <v>150</v>
      </c>
      <c r="E4021" t="s">
        <v>15</v>
      </c>
      <c r="F4021">
        <f>tbl_AQI[[#This Row],[Most AQI Reached]]-tbl_AQI[[#This Row],[Current AQI]]</f>
        <v>141</v>
      </c>
      <c r="G40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21">
        <f>RANK(tbl_AQI[[#This Row],[Current AQI]], tbl_AQI[Current AQI], 0)</f>
        <v>2400</v>
      </c>
    </row>
    <row r="4022" spans="1:8" x14ac:dyDescent="0.35">
      <c r="A4022" t="s">
        <v>4046</v>
      </c>
      <c r="B4022" t="s">
        <v>4049</v>
      </c>
      <c r="C4022">
        <v>151</v>
      </c>
      <c r="D4022">
        <v>73</v>
      </c>
      <c r="E4022" t="s">
        <v>9</v>
      </c>
      <c r="F4022">
        <f>tbl_AQI[[#This Row],[Most AQI Reached]]-tbl_AQI[[#This Row],[Current AQI]]</f>
        <v>78</v>
      </c>
      <c r="G40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22">
        <f>RANK(tbl_AQI[[#This Row],[Current AQI]], tbl_AQI[Current AQI], 0)</f>
        <v>4083</v>
      </c>
    </row>
    <row r="4023" spans="1:8" x14ac:dyDescent="0.35">
      <c r="A4023" t="s">
        <v>4046</v>
      </c>
      <c r="B4023" t="s">
        <v>4050</v>
      </c>
      <c r="C4023">
        <v>256</v>
      </c>
      <c r="D4023">
        <v>90</v>
      </c>
      <c r="E4023" t="s">
        <v>11</v>
      </c>
      <c r="F4023">
        <f>tbl_AQI[[#This Row],[Most AQI Reached]]-tbl_AQI[[#This Row],[Current AQI]]</f>
        <v>166</v>
      </c>
      <c r="G40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23">
        <f>RANK(tbl_AQI[[#This Row],[Current AQI]], tbl_AQI[Current AQI], 0)</f>
        <v>3750</v>
      </c>
    </row>
    <row r="4024" spans="1:8" x14ac:dyDescent="0.35">
      <c r="A4024" t="s">
        <v>4046</v>
      </c>
      <c r="B4024" t="s">
        <v>4051</v>
      </c>
      <c r="C4024">
        <v>75</v>
      </c>
      <c r="D4024">
        <v>63</v>
      </c>
      <c r="E4024" t="s">
        <v>7</v>
      </c>
      <c r="F4024">
        <f>tbl_AQI[[#This Row],[Most AQI Reached]]-tbl_AQI[[#This Row],[Current AQI]]</f>
        <v>12</v>
      </c>
      <c r="G40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24">
        <f>RANK(tbl_AQI[[#This Row],[Current AQI]], tbl_AQI[Current AQI], 0)</f>
        <v>4322</v>
      </c>
    </row>
    <row r="4025" spans="1:8" x14ac:dyDescent="0.35">
      <c r="A4025" t="s">
        <v>4046</v>
      </c>
      <c r="B4025" t="s">
        <v>4052</v>
      </c>
      <c r="C4025">
        <v>125</v>
      </c>
      <c r="D4025">
        <v>119</v>
      </c>
      <c r="E4025" t="s">
        <v>7</v>
      </c>
      <c r="F4025">
        <f>tbl_AQI[[#This Row],[Most AQI Reached]]-tbl_AQI[[#This Row],[Current AQI]]</f>
        <v>6</v>
      </c>
      <c r="G40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25">
        <f>RANK(tbl_AQI[[#This Row],[Current AQI]], tbl_AQI[Current AQI], 0)</f>
        <v>3093</v>
      </c>
    </row>
    <row r="4026" spans="1:8" x14ac:dyDescent="0.35">
      <c r="A4026" t="s">
        <v>4046</v>
      </c>
      <c r="B4026" t="s">
        <v>4053</v>
      </c>
      <c r="C4026">
        <v>205</v>
      </c>
      <c r="D4026">
        <v>161</v>
      </c>
      <c r="E4026" t="s">
        <v>9</v>
      </c>
      <c r="F4026">
        <f>tbl_AQI[[#This Row],[Most AQI Reached]]-tbl_AQI[[#This Row],[Current AQI]]</f>
        <v>44</v>
      </c>
      <c r="G40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26">
        <f>RANK(tbl_AQI[[#This Row],[Current AQI]], tbl_AQI[Current AQI], 0)</f>
        <v>2129</v>
      </c>
    </row>
    <row r="4027" spans="1:8" x14ac:dyDescent="0.35">
      <c r="A4027" t="s">
        <v>4046</v>
      </c>
      <c r="B4027" t="s">
        <v>4054</v>
      </c>
      <c r="C4027">
        <v>139</v>
      </c>
      <c r="D4027">
        <v>65</v>
      </c>
      <c r="E4027" t="s">
        <v>21</v>
      </c>
      <c r="F4027">
        <f>tbl_AQI[[#This Row],[Most AQI Reached]]-tbl_AQI[[#This Row],[Current AQI]]</f>
        <v>74</v>
      </c>
      <c r="G40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27">
        <f>RANK(tbl_AQI[[#This Row],[Current AQI]], tbl_AQI[Current AQI], 0)</f>
        <v>4267</v>
      </c>
    </row>
    <row r="4028" spans="1:8" x14ac:dyDescent="0.35">
      <c r="A4028" t="s">
        <v>4046</v>
      </c>
      <c r="B4028" t="s">
        <v>4055</v>
      </c>
      <c r="C4028">
        <v>128</v>
      </c>
      <c r="D4028">
        <v>116</v>
      </c>
      <c r="E4028" t="s">
        <v>11</v>
      </c>
      <c r="F4028">
        <f>tbl_AQI[[#This Row],[Most AQI Reached]]-tbl_AQI[[#This Row],[Current AQI]]</f>
        <v>12</v>
      </c>
      <c r="G40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28">
        <f>RANK(tbl_AQI[[#This Row],[Current AQI]], tbl_AQI[Current AQI], 0)</f>
        <v>3173</v>
      </c>
    </row>
    <row r="4029" spans="1:8" x14ac:dyDescent="0.35">
      <c r="A4029" t="s">
        <v>4046</v>
      </c>
      <c r="B4029" t="s">
        <v>4056</v>
      </c>
      <c r="C4029">
        <v>136</v>
      </c>
      <c r="D4029">
        <v>119</v>
      </c>
      <c r="E4029" t="s">
        <v>33</v>
      </c>
      <c r="F4029">
        <f>tbl_AQI[[#This Row],[Most AQI Reached]]-tbl_AQI[[#This Row],[Current AQI]]</f>
        <v>17</v>
      </c>
      <c r="G40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29">
        <f>RANK(tbl_AQI[[#This Row],[Current AQI]], tbl_AQI[Current AQI], 0)</f>
        <v>3093</v>
      </c>
    </row>
    <row r="4030" spans="1:8" x14ac:dyDescent="0.35">
      <c r="A4030" t="s">
        <v>4046</v>
      </c>
      <c r="B4030" t="s">
        <v>4057</v>
      </c>
      <c r="C4030">
        <v>219</v>
      </c>
      <c r="D4030">
        <v>190</v>
      </c>
      <c r="E4030" t="s">
        <v>15</v>
      </c>
      <c r="F4030">
        <f>tbl_AQI[[#This Row],[Most AQI Reached]]-tbl_AQI[[#This Row],[Current AQI]]</f>
        <v>29</v>
      </c>
      <c r="G40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30">
        <f>RANK(tbl_AQI[[#This Row],[Current AQI]], tbl_AQI[Current AQI], 0)</f>
        <v>1355</v>
      </c>
    </row>
    <row r="4031" spans="1:8" x14ac:dyDescent="0.35">
      <c r="A4031" t="s">
        <v>4046</v>
      </c>
      <c r="B4031" t="s">
        <v>4058</v>
      </c>
      <c r="C4031">
        <v>173</v>
      </c>
      <c r="D4031">
        <v>51</v>
      </c>
      <c r="E4031" t="s">
        <v>33</v>
      </c>
      <c r="F4031">
        <f>tbl_AQI[[#This Row],[Most AQI Reached]]-tbl_AQI[[#This Row],[Current AQI]]</f>
        <v>122</v>
      </c>
      <c r="G40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31">
        <f>RANK(tbl_AQI[[#This Row],[Current AQI]], tbl_AQI[Current AQI], 0)</f>
        <v>4578</v>
      </c>
    </row>
    <row r="4032" spans="1:8" x14ac:dyDescent="0.35">
      <c r="A4032" t="s">
        <v>4046</v>
      </c>
      <c r="B4032" t="s">
        <v>4059</v>
      </c>
      <c r="C4032">
        <v>101</v>
      </c>
      <c r="D4032">
        <v>85</v>
      </c>
      <c r="E4032" t="s">
        <v>15</v>
      </c>
      <c r="F4032">
        <f>tbl_AQI[[#This Row],[Most AQI Reached]]-tbl_AQI[[#This Row],[Current AQI]]</f>
        <v>16</v>
      </c>
      <c r="G40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32">
        <f>RANK(tbl_AQI[[#This Row],[Current AQI]], tbl_AQI[Current AQI], 0)</f>
        <v>3852</v>
      </c>
    </row>
    <row r="4033" spans="1:8" x14ac:dyDescent="0.35">
      <c r="A4033" t="s">
        <v>4046</v>
      </c>
      <c r="B4033" t="s">
        <v>4060</v>
      </c>
      <c r="C4033">
        <v>306</v>
      </c>
      <c r="D4033">
        <v>96</v>
      </c>
      <c r="E4033" t="s">
        <v>21</v>
      </c>
      <c r="F4033">
        <f>tbl_AQI[[#This Row],[Most AQI Reached]]-tbl_AQI[[#This Row],[Current AQI]]</f>
        <v>210</v>
      </c>
      <c r="G40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33">
        <f>RANK(tbl_AQI[[#This Row],[Current AQI]], tbl_AQI[Current AQI], 0)</f>
        <v>3616</v>
      </c>
    </row>
    <row r="4034" spans="1:8" x14ac:dyDescent="0.35">
      <c r="A4034" t="s">
        <v>4046</v>
      </c>
      <c r="B4034" t="s">
        <v>4061</v>
      </c>
      <c r="C4034">
        <v>318</v>
      </c>
      <c r="D4034">
        <v>30</v>
      </c>
      <c r="E4034" t="s">
        <v>15</v>
      </c>
      <c r="F4034">
        <f>tbl_AQI[[#This Row],[Most AQI Reached]]-tbl_AQI[[#This Row],[Current AQI]]</f>
        <v>288</v>
      </c>
      <c r="G40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34">
        <f>RANK(tbl_AQI[[#This Row],[Current AQI]], tbl_AQI[Current AQI], 0)</f>
        <v>5042</v>
      </c>
    </row>
    <row r="4035" spans="1:8" x14ac:dyDescent="0.35">
      <c r="A4035" t="s">
        <v>4046</v>
      </c>
      <c r="B4035" t="s">
        <v>4062</v>
      </c>
      <c r="C4035">
        <v>182</v>
      </c>
      <c r="D4035">
        <v>121</v>
      </c>
      <c r="E4035" t="s">
        <v>9</v>
      </c>
      <c r="F4035">
        <f>tbl_AQI[[#This Row],[Most AQI Reached]]-tbl_AQI[[#This Row],[Current AQI]]</f>
        <v>61</v>
      </c>
      <c r="G40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35">
        <f>RANK(tbl_AQI[[#This Row],[Current AQI]], tbl_AQI[Current AQI], 0)</f>
        <v>3037</v>
      </c>
    </row>
    <row r="4036" spans="1:8" x14ac:dyDescent="0.35">
      <c r="A4036" t="s">
        <v>4046</v>
      </c>
      <c r="B4036" t="s">
        <v>4063</v>
      </c>
      <c r="C4036">
        <v>100</v>
      </c>
      <c r="D4036">
        <v>33</v>
      </c>
      <c r="E4036" t="s">
        <v>21</v>
      </c>
      <c r="F4036">
        <f>tbl_AQI[[#This Row],[Most AQI Reached]]-tbl_AQI[[#This Row],[Current AQI]]</f>
        <v>67</v>
      </c>
      <c r="G40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36">
        <f>RANK(tbl_AQI[[#This Row],[Current AQI]], tbl_AQI[Current AQI], 0)</f>
        <v>4964</v>
      </c>
    </row>
    <row r="4037" spans="1:8" x14ac:dyDescent="0.35">
      <c r="A4037" t="s">
        <v>4046</v>
      </c>
      <c r="B4037" t="s">
        <v>4064</v>
      </c>
      <c r="C4037">
        <v>139</v>
      </c>
      <c r="D4037">
        <v>81</v>
      </c>
      <c r="E4037" t="s">
        <v>7</v>
      </c>
      <c r="F4037">
        <f>tbl_AQI[[#This Row],[Most AQI Reached]]-tbl_AQI[[#This Row],[Current AQI]]</f>
        <v>58</v>
      </c>
      <c r="G40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37">
        <f>RANK(tbl_AQI[[#This Row],[Current AQI]], tbl_AQI[Current AQI], 0)</f>
        <v>3923</v>
      </c>
    </row>
    <row r="4038" spans="1:8" x14ac:dyDescent="0.35">
      <c r="A4038" t="s">
        <v>4046</v>
      </c>
      <c r="B4038" t="s">
        <v>4065</v>
      </c>
      <c r="C4038">
        <v>281</v>
      </c>
      <c r="D4038">
        <v>143</v>
      </c>
      <c r="E4038" t="s">
        <v>7</v>
      </c>
      <c r="F4038">
        <f>tbl_AQI[[#This Row],[Most AQI Reached]]-tbl_AQI[[#This Row],[Current AQI]]</f>
        <v>138</v>
      </c>
      <c r="G40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38">
        <f>RANK(tbl_AQI[[#This Row],[Current AQI]], tbl_AQI[Current AQI], 0)</f>
        <v>2567</v>
      </c>
    </row>
    <row r="4039" spans="1:8" x14ac:dyDescent="0.35">
      <c r="A4039" t="s">
        <v>4046</v>
      </c>
      <c r="B4039" t="s">
        <v>4066</v>
      </c>
      <c r="C4039">
        <v>305</v>
      </c>
      <c r="D4039">
        <v>101</v>
      </c>
      <c r="E4039" t="s">
        <v>7</v>
      </c>
      <c r="F4039">
        <f>tbl_AQI[[#This Row],[Most AQI Reached]]-tbl_AQI[[#This Row],[Current AQI]]</f>
        <v>204</v>
      </c>
      <c r="G40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39">
        <f>RANK(tbl_AQI[[#This Row],[Current AQI]], tbl_AQI[Current AQI], 0)</f>
        <v>3515</v>
      </c>
    </row>
    <row r="4040" spans="1:8" x14ac:dyDescent="0.35">
      <c r="A4040" t="s">
        <v>4046</v>
      </c>
      <c r="B4040" t="s">
        <v>4067</v>
      </c>
      <c r="C4040">
        <v>268</v>
      </c>
      <c r="D4040">
        <v>40</v>
      </c>
      <c r="E4040" t="s">
        <v>17</v>
      </c>
      <c r="F4040">
        <f>tbl_AQI[[#This Row],[Most AQI Reached]]-tbl_AQI[[#This Row],[Current AQI]]</f>
        <v>228</v>
      </c>
      <c r="G40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40">
        <f>RANK(tbl_AQI[[#This Row],[Current AQI]], tbl_AQI[Current AQI], 0)</f>
        <v>4808</v>
      </c>
    </row>
    <row r="4041" spans="1:8" x14ac:dyDescent="0.35">
      <c r="A4041" t="s">
        <v>4046</v>
      </c>
      <c r="B4041" t="s">
        <v>4068</v>
      </c>
      <c r="C4041">
        <v>222</v>
      </c>
      <c r="D4041">
        <v>123</v>
      </c>
      <c r="E4041" t="s">
        <v>17</v>
      </c>
      <c r="F4041">
        <f>tbl_AQI[[#This Row],[Most AQI Reached]]-tbl_AQI[[#This Row],[Current AQI]]</f>
        <v>99</v>
      </c>
      <c r="G40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41">
        <f>RANK(tbl_AQI[[#This Row],[Current AQI]], tbl_AQI[Current AQI], 0)</f>
        <v>2983</v>
      </c>
    </row>
    <row r="4042" spans="1:8" x14ac:dyDescent="0.35">
      <c r="A4042" t="s">
        <v>4046</v>
      </c>
      <c r="B4042" t="s">
        <v>4069</v>
      </c>
      <c r="C4042">
        <v>312</v>
      </c>
      <c r="D4042">
        <v>135</v>
      </c>
      <c r="E4042" t="s">
        <v>9</v>
      </c>
      <c r="F4042">
        <f>tbl_AQI[[#This Row],[Most AQI Reached]]-tbl_AQI[[#This Row],[Current AQI]]</f>
        <v>177</v>
      </c>
      <c r="G40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42">
        <f>RANK(tbl_AQI[[#This Row],[Current AQI]], tbl_AQI[Current AQI], 0)</f>
        <v>2714</v>
      </c>
    </row>
    <row r="4043" spans="1:8" x14ac:dyDescent="0.35">
      <c r="A4043" t="s">
        <v>4046</v>
      </c>
      <c r="B4043" t="s">
        <v>4070</v>
      </c>
      <c r="C4043">
        <v>192</v>
      </c>
      <c r="D4043">
        <v>185</v>
      </c>
      <c r="E4043" t="s">
        <v>11</v>
      </c>
      <c r="F4043">
        <f>tbl_AQI[[#This Row],[Most AQI Reached]]-tbl_AQI[[#This Row],[Current AQI]]</f>
        <v>7</v>
      </c>
      <c r="G40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43">
        <f>RANK(tbl_AQI[[#This Row],[Current AQI]], tbl_AQI[Current AQI], 0)</f>
        <v>1517</v>
      </c>
    </row>
    <row r="4044" spans="1:8" x14ac:dyDescent="0.35">
      <c r="A4044" t="s">
        <v>4046</v>
      </c>
      <c r="B4044" t="s">
        <v>4071</v>
      </c>
      <c r="C4044">
        <v>264</v>
      </c>
      <c r="D4044">
        <v>168</v>
      </c>
      <c r="E4044" t="s">
        <v>21</v>
      </c>
      <c r="F4044">
        <f>tbl_AQI[[#This Row],[Most AQI Reached]]-tbl_AQI[[#This Row],[Current AQI]]</f>
        <v>96</v>
      </c>
      <c r="G40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44">
        <f>RANK(tbl_AQI[[#This Row],[Current AQI]], tbl_AQI[Current AQI], 0)</f>
        <v>1954</v>
      </c>
    </row>
    <row r="4045" spans="1:8" x14ac:dyDescent="0.35">
      <c r="A4045" t="s">
        <v>4046</v>
      </c>
      <c r="B4045" t="s">
        <v>4072</v>
      </c>
      <c r="C4045">
        <v>232</v>
      </c>
      <c r="D4045">
        <v>116</v>
      </c>
      <c r="E4045" t="s">
        <v>11</v>
      </c>
      <c r="F4045">
        <f>tbl_AQI[[#This Row],[Most AQI Reached]]-tbl_AQI[[#This Row],[Current AQI]]</f>
        <v>116</v>
      </c>
      <c r="G40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45">
        <f>RANK(tbl_AQI[[#This Row],[Current AQI]], tbl_AQI[Current AQI], 0)</f>
        <v>3173</v>
      </c>
    </row>
    <row r="4046" spans="1:8" x14ac:dyDescent="0.35">
      <c r="A4046" t="s">
        <v>4046</v>
      </c>
      <c r="B4046" t="s">
        <v>4073</v>
      </c>
      <c r="C4046">
        <v>294</v>
      </c>
      <c r="D4046">
        <v>82</v>
      </c>
      <c r="E4046" t="s">
        <v>7</v>
      </c>
      <c r="F4046">
        <f>tbl_AQI[[#This Row],[Most AQI Reached]]-tbl_AQI[[#This Row],[Current AQI]]</f>
        <v>212</v>
      </c>
      <c r="G40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46">
        <f>RANK(tbl_AQI[[#This Row],[Current AQI]], tbl_AQI[Current AQI], 0)</f>
        <v>3904</v>
      </c>
    </row>
    <row r="4047" spans="1:8" x14ac:dyDescent="0.35">
      <c r="A4047" t="s">
        <v>4046</v>
      </c>
      <c r="B4047" t="s">
        <v>4074</v>
      </c>
      <c r="C4047">
        <v>112</v>
      </c>
      <c r="D4047">
        <v>37</v>
      </c>
      <c r="E4047" t="s">
        <v>21</v>
      </c>
      <c r="F4047">
        <f>tbl_AQI[[#This Row],[Most AQI Reached]]-tbl_AQI[[#This Row],[Current AQI]]</f>
        <v>75</v>
      </c>
      <c r="G40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47">
        <f>RANK(tbl_AQI[[#This Row],[Current AQI]], tbl_AQI[Current AQI], 0)</f>
        <v>4863</v>
      </c>
    </row>
    <row r="4048" spans="1:8" x14ac:dyDescent="0.35">
      <c r="A4048" t="s">
        <v>4046</v>
      </c>
      <c r="B4048" t="s">
        <v>4075</v>
      </c>
      <c r="C4048">
        <v>212</v>
      </c>
      <c r="D4048">
        <v>64</v>
      </c>
      <c r="E4048" t="s">
        <v>15</v>
      </c>
      <c r="F4048">
        <f>tbl_AQI[[#This Row],[Most AQI Reached]]-tbl_AQI[[#This Row],[Current AQI]]</f>
        <v>148</v>
      </c>
      <c r="G40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48">
        <f>RANK(tbl_AQI[[#This Row],[Current AQI]], tbl_AQI[Current AQI], 0)</f>
        <v>4293</v>
      </c>
    </row>
    <row r="4049" spans="1:8" x14ac:dyDescent="0.35">
      <c r="A4049" t="s">
        <v>4046</v>
      </c>
      <c r="B4049" t="s">
        <v>4076</v>
      </c>
      <c r="C4049">
        <v>181</v>
      </c>
      <c r="D4049">
        <v>45</v>
      </c>
      <c r="E4049" t="s">
        <v>21</v>
      </c>
      <c r="F4049">
        <f>tbl_AQI[[#This Row],[Most AQI Reached]]-tbl_AQI[[#This Row],[Current AQI]]</f>
        <v>136</v>
      </c>
      <c r="G40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49">
        <f>RANK(tbl_AQI[[#This Row],[Current AQI]], tbl_AQI[Current AQI], 0)</f>
        <v>4702</v>
      </c>
    </row>
    <row r="4050" spans="1:8" x14ac:dyDescent="0.35">
      <c r="A4050" t="s">
        <v>4046</v>
      </c>
      <c r="B4050" t="s">
        <v>4077</v>
      </c>
      <c r="C4050">
        <v>64</v>
      </c>
      <c r="D4050">
        <v>62</v>
      </c>
      <c r="E4050" t="s">
        <v>33</v>
      </c>
      <c r="F4050">
        <f>tbl_AQI[[#This Row],[Most AQI Reached]]-tbl_AQI[[#This Row],[Current AQI]]</f>
        <v>2</v>
      </c>
      <c r="G40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50">
        <f>RANK(tbl_AQI[[#This Row],[Current AQI]], tbl_AQI[Current AQI], 0)</f>
        <v>4343</v>
      </c>
    </row>
    <row r="4051" spans="1:8" x14ac:dyDescent="0.35">
      <c r="A4051" t="s">
        <v>4046</v>
      </c>
      <c r="B4051" t="s">
        <v>4078</v>
      </c>
      <c r="C4051">
        <v>175</v>
      </c>
      <c r="D4051">
        <v>37</v>
      </c>
      <c r="E4051" t="s">
        <v>9</v>
      </c>
      <c r="F4051">
        <f>tbl_AQI[[#This Row],[Most AQI Reached]]-tbl_AQI[[#This Row],[Current AQI]]</f>
        <v>138</v>
      </c>
      <c r="G40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51">
        <f>RANK(tbl_AQI[[#This Row],[Current AQI]], tbl_AQI[Current AQI], 0)</f>
        <v>4863</v>
      </c>
    </row>
    <row r="4052" spans="1:8" x14ac:dyDescent="0.35">
      <c r="A4052" t="s">
        <v>4046</v>
      </c>
      <c r="B4052" t="s">
        <v>4079</v>
      </c>
      <c r="C4052">
        <v>286</v>
      </c>
      <c r="D4052">
        <v>168</v>
      </c>
      <c r="E4052" t="s">
        <v>17</v>
      </c>
      <c r="F4052">
        <f>tbl_AQI[[#This Row],[Most AQI Reached]]-tbl_AQI[[#This Row],[Current AQI]]</f>
        <v>118</v>
      </c>
      <c r="G40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2">
        <f>RANK(tbl_AQI[[#This Row],[Current AQI]], tbl_AQI[Current AQI], 0)</f>
        <v>1954</v>
      </c>
    </row>
    <row r="4053" spans="1:8" x14ac:dyDescent="0.35">
      <c r="A4053" t="s">
        <v>4046</v>
      </c>
      <c r="B4053" t="s">
        <v>4080</v>
      </c>
      <c r="C4053">
        <v>178</v>
      </c>
      <c r="D4053">
        <v>124</v>
      </c>
      <c r="E4053" t="s">
        <v>33</v>
      </c>
      <c r="F4053">
        <f>tbl_AQI[[#This Row],[Most AQI Reached]]-tbl_AQI[[#This Row],[Current AQI]]</f>
        <v>54</v>
      </c>
      <c r="G40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3">
        <f>RANK(tbl_AQI[[#This Row],[Current AQI]], tbl_AQI[Current AQI], 0)</f>
        <v>2971</v>
      </c>
    </row>
    <row r="4054" spans="1:8" x14ac:dyDescent="0.35">
      <c r="A4054" t="s">
        <v>4046</v>
      </c>
      <c r="B4054" t="s">
        <v>4081</v>
      </c>
      <c r="C4054">
        <v>179</v>
      </c>
      <c r="D4054">
        <v>173</v>
      </c>
      <c r="E4054" t="s">
        <v>11</v>
      </c>
      <c r="F4054">
        <f>tbl_AQI[[#This Row],[Most AQI Reached]]-tbl_AQI[[#This Row],[Current AQI]]</f>
        <v>6</v>
      </c>
      <c r="G40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4">
        <f>RANK(tbl_AQI[[#This Row],[Current AQI]], tbl_AQI[Current AQI], 0)</f>
        <v>1826</v>
      </c>
    </row>
    <row r="4055" spans="1:8" x14ac:dyDescent="0.35">
      <c r="A4055" t="s">
        <v>4046</v>
      </c>
      <c r="B4055" t="s">
        <v>4082</v>
      </c>
      <c r="C4055">
        <v>238</v>
      </c>
      <c r="D4055">
        <v>101</v>
      </c>
      <c r="E4055" t="s">
        <v>9</v>
      </c>
      <c r="F4055">
        <f>tbl_AQI[[#This Row],[Most AQI Reached]]-tbl_AQI[[#This Row],[Current AQI]]</f>
        <v>137</v>
      </c>
      <c r="G40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5">
        <f>RANK(tbl_AQI[[#This Row],[Current AQI]], tbl_AQI[Current AQI], 0)</f>
        <v>3515</v>
      </c>
    </row>
    <row r="4056" spans="1:8" x14ac:dyDescent="0.35">
      <c r="A4056" t="s">
        <v>4046</v>
      </c>
      <c r="B4056" t="s">
        <v>4083</v>
      </c>
      <c r="C4056">
        <v>187</v>
      </c>
      <c r="D4056">
        <v>175</v>
      </c>
      <c r="E4056" t="s">
        <v>21</v>
      </c>
      <c r="F4056">
        <f>tbl_AQI[[#This Row],[Most AQI Reached]]-tbl_AQI[[#This Row],[Current AQI]]</f>
        <v>12</v>
      </c>
      <c r="G40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6">
        <f>RANK(tbl_AQI[[#This Row],[Current AQI]], tbl_AQI[Current AQI], 0)</f>
        <v>1780</v>
      </c>
    </row>
    <row r="4057" spans="1:8" x14ac:dyDescent="0.35">
      <c r="A4057" t="s">
        <v>4046</v>
      </c>
      <c r="B4057" t="s">
        <v>4084</v>
      </c>
      <c r="C4057">
        <v>163</v>
      </c>
      <c r="D4057">
        <v>101</v>
      </c>
      <c r="E4057" t="s">
        <v>33</v>
      </c>
      <c r="F4057">
        <f>tbl_AQI[[#This Row],[Most AQI Reached]]-tbl_AQI[[#This Row],[Current AQI]]</f>
        <v>62</v>
      </c>
      <c r="G40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7">
        <f>RANK(tbl_AQI[[#This Row],[Current AQI]], tbl_AQI[Current AQI], 0)</f>
        <v>3515</v>
      </c>
    </row>
    <row r="4058" spans="1:8" x14ac:dyDescent="0.35">
      <c r="A4058" t="s">
        <v>4046</v>
      </c>
      <c r="B4058" t="s">
        <v>4085</v>
      </c>
      <c r="C4058">
        <v>281</v>
      </c>
      <c r="D4058">
        <v>189</v>
      </c>
      <c r="E4058" t="s">
        <v>9</v>
      </c>
      <c r="F4058">
        <f>tbl_AQI[[#This Row],[Most AQI Reached]]-tbl_AQI[[#This Row],[Current AQI]]</f>
        <v>92</v>
      </c>
      <c r="G40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58">
        <f>RANK(tbl_AQI[[#This Row],[Current AQI]], tbl_AQI[Current AQI], 0)</f>
        <v>1395</v>
      </c>
    </row>
    <row r="4059" spans="1:8" x14ac:dyDescent="0.35">
      <c r="A4059" t="s">
        <v>4046</v>
      </c>
      <c r="B4059" t="s">
        <v>4086</v>
      </c>
      <c r="C4059">
        <v>217</v>
      </c>
      <c r="D4059">
        <v>64</v>
      </c>
      <c r="E4059" t="s">
        <v>33</v>
      </c>
      <c r="F4059">
        <f>tbl_AQI[[#This Row],[Most AQI Reached]]-tbl_AQI[[#This Row],[Current AQI]]</f>
        <v>153</v>
      </c>
      <c r="G40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59">
        <f>RANK(tbl_AQI[[#This Row],[Current AQI]], tbl_AQI[Current AQI], 0)</f>
        <v>4293</v>
      </c>
    </row>
    <row r="4060" spans="1:8" x14ac:dyDescent="0.35">
      <c r="A4060" t="s">
        <v>4046</v>
      </c>
      <c r="B4060" t="s">
        <v>4087</v>
      </c>
      <c r="C4060">
        <v>283</v>
      </c>
      <c r="D4060">
        <v>161</v>
      </c>
      <c r="E4060" t="s">
        <v>33</v>
      </c>
      <c r="F4060">
        <f>tbl_AQI[[#This Row],[Most AQI Reached]]-tbl_AQI[[#This Row],[Current AQI]]</f>
        <v>122</v>
      </c>
      <c r="G40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60">
        <f>RANK(tbl_AQI[[#This Row],[Current AQI]], tbl_AQI[Current AQI], 0)</f>
        <v>2129</v>
      </c>
    </row>
    <row r="4061" spans="1:8" x14ac:dyDescent="0.35">
      <c r="A4061" t="s">
        <v>4046</v>
      </c>
      <c r="B4061" t="s">
        <v>4088</v>
      </c>
      <c r="C4061">
        <v>138</v>
      </c>
      <c r="D4061">
        <v>113</v>
      </c>
      <c r="E4061" t="s">
        <v>33</v>
      </c>
      <c r="F4061">
        <f>tbl_AQI[[#This Row],[Most AQI Reached]]-tbl_AQI[[#This Row],[Current AQI]]</f>
        <v>25</v>
      </c>
      <c r="G40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61">
        <f>RANK(tbl_AQI[[#This Row],[Current AQI]], tbl_AQI[Current AQI], 0)</f>
        <v>3243</v>
      </c>
    </row>
    <row r="4062" spans="1:8" x14ac:dyDescent="0.35">
      <c r="A4062" t="s">
        <v>4046</v>
      </c>
      <c r="B4062" t="s">
        <v>4089</v>
      </c>
      <c r="C4062">
        <v>197</v>
      </c>
      <c r="D4062">
        <v>96</v>
      </c>
      <c r="E4062" t="s">
        <v>33</v>
      </c>
      <c r="F4062">
        <f>tbl_AQI[[#This Row],[Most AQI Reached]]-tbl_AQI[[#This Row],[Current AQI]]</f>
        <v>101</v>
      </c>
      <c r="G40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62">
        <f>RANK(tbl_AQI[[#This Row],[Current AQI]], tbl_AQI[Current AQI], 0)</f>
        <v>3616</v>
      </c>
    </row>
    <row r="4063" spans="1:8" x14ac:dyDescent="0.35">
      <c r="A4063" t="s">
        <v>4046</v>
      </c>
      <c r="B4063" t="s">
        <v>4090</v>
      </c>
      <c r="C4063">
        <v>319</v>
      </c>
      <c r="D4063">
        <v>135</v>
      </c>
      <c r="E4063" t="s">
        <v>7</v>
      </c>
      <c r="F4063">
        <f>tbl_AQI[[#This Row],[Most AQI Reached]]-tbl_AQI[[#This Row],[Current AQI]]</f>
        <v>184</v>
      </c>
      <c r="G40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63">
        <f>RANK(tbl_AQI[[#This Row],[Current AQI]], tbl_AQI[Current AQI], 0)</f>
        <v>2714</v>
      </c>
    </row>
    <row r="4064" spans="1:8" x14ac:dyDescent="0.35">
      <c r="A4064" t="s">
        <v>4046</v>
      </c>
      <c r="B4064" t="s">
        <v>4091</v>
      </c>
      <c r="C4064">
        <v>184</v>
      </c>
      <c r="D4064">
        <v>150</v>
      </c>
      <c r="E4064" t="s">
        <v>9</v>
      </c>
      <c r="F4064">
        <f>tbl_AQI[[#This Row],[Most AQI Reached]]-tbl_AQI[[#This Row],[Current AQI]]</f>
        <v>34</v>
      </c>
      <c r="G40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64">
        <f>RANK(tbl_AQI[[#This Row],[Current AQI]], tbl_AQI[Current AQI], 0)</f>
        <v>2400</v>
      </c>
    </row>
    <row r="4065" spans="1:8" x14ac:dyDescent="0.35">
      <c r="A4065" t="s">
        <v>4046</v>
      </c>
      <c r="B4065" t="s">
        <v>4092</v>
      </c>
      <c r="C4065">
        <v>160</v>
      </c>
      <c r="D4065">
        <v>56</v>
      </c>
      <c r="E4065" t="s">
        <v>7</v>
      </c>
      <c r="F4065">
        <f>tbl_AQI[[#This Row],[Most AQI Reached]]-tbl_AQI[[#This Row],[Current AQI]]</f>
        <v>104</v>
      </c>
      <c r="G40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65">
        <f>RANK(tbl_AQI[[#This Row],[Current AQI]], tbl_AQI[Current AQI], 0)</f>
        <v>4474</v>
      </c>
    </row>
    <row r="4066" spans="1:8" x14ac:dyDescent="0.35">
      <c r="A4066" t="s">
        <v>4046</v>
      </c>
      <c r="B4066" t="s">
        <v>4093</v>
      </c>
      <c r="C4066">
        <v>298</v>
      </c>
      <c r="D4066">
        <v>82</v>
      </c>
      <c r="E4066" t="s">
        <v>17</v>
      </c>
      <c r="F4066">
        <f>tbl_AQI[[#This Row],[Most AQI Reached]]-tbl_AQI[[#This Row],[Current AQI]]</f>
        <v>216</v>
      </c>
      <c r="G40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66">
        <f>RANK(tbl_AQI[[#This Row],[Current AQI]], tbl_AQI[Current AQI], 0)</f>
        <v>3904</v>
      </c>
    </row>
    <row r="4067" spans="1:8" x14ac:dyDescent="0.35">
      <c r="A4067" t="s">
        <v>4046</v>
      </c>
      <c r="B4067" t="s">
        <v>4094</v>
      </c>
      <c r="C4067">
        <v>222</v>
      </c>
      <c r="D4067">
        <v>31</v>
      </c>
      <c r="E4067" t="s">
        <v>9</v>
      </c>
      <c r="F4067">
        <f>tbl_AQI[[#This Row],[Most AQI Reached]]-tbl_AQI[[#This Row],[Current AQI]]</f>
        <v>191</v>
      </c>
      <c r="G40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67">
        <f>RANK(tbl_AQI[[#This Row],[Current AQI]], tbl_AQI[Current AQI], 0)</f>
        <v>5016</v>
      </c>
    </row>
    <row r="4068" spans="1:8" x14ac:dyDescent="0.35">
      <c r="A4068" t="s">
        <v>4046</v>
      </c>
      <c r="B4068" t="s">
        <v>4095</v>
      </c>
      <c r="C4068">
        <v>244</v>
      </c>
      <c r="D4068">
        <v>148</v>
      </c>
      <c r="E4068" t="s">
        <v>9</v>
      </c>
      <c r="F4068">
        <f>tbl_AQI[[#This Row],[Most AQI Reached]]-tbl_AQI[[#This Row],[Current AQI]]</f>
        <v>96</v>
      </c>
      <c r="G40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68">
        <f>RANK(tbl_AQI[[#This Row],[Current AQI]], tbl_AQI[Current AQI], 0)</f>
        <v>2446</v>
      </c>
    </row>
    <row r="4069" spans="1:8" x14ac:dyDescent="0.35">
      <c r="A4069" t="s">
        <v>4046</v>
      </c>
      <c r="B4069" t="s">
        <v>4096</v>
      </c>
      <c r="C4069">
        <v>250</v>
      </c>
      <c r="D4069">
        <v>49</v>
      </c>
      <c r="E4069" t="s">
        <v>33</v>
      </c>
      <c r="F4069">
        <f>tbl_AQI[[#This Row],[Most AQI Reached]]-tbl_AQI[[#This Row],[Current AQI]]</f>
        <v>201</v>
      </c>
      <c r="G40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69">
        <f>RANK(tbl_AQI[[#This Row],[Current AQI]], tbl_AQI[Current AQI], 0)</f>
        <v>4614</v>
      </c>
    </row>
    <row r="4070" spans="1:8" x14ac:dyDescent="0.35">
      <c r="A4070" t="s">
        <v>4046</v>
      </c>
      <c r="B4070" t="s">
        <v>4097</v>
      </c>
      <c r="C4070">
        <v>280</v>
      </c>
      <c r="D4070">
        <v>108</v>
      </c>
      <c r="E4070" t="s">
        <v>9</v>
      </c>
      <c r="F4070">
        <f>tbl_AQI[[#This Row],[Most AQI Reached]]-tbl_AQI[[#This Row],[Current AQI]]</f>
        <v>172</v>
      </c>
      <c r="G40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0">
        <f>RANK(tbl_AQI[[#This Row],[Current AQI]], tbl_AQI[Current AQI], 0)</f>
        <v>3362</v>
      </c>
    </row>
    <row r="4071" spans="1:8" x14ac:dyDescent="0.35">
      <c r="A4071" t="s">
        <v>4046</v>
      </c>
      <c r="B4071" t="s">
        <v>4098</v>
      </c>
      <c r="C4071">
        <v>299</v>
      </c>
      <c r="D4071">
        <v>144</v>
      </c>
      <c r="E4071" t="s">
        <v>17</v>
      </c>
      <c r="F4071">
        <f>tbl_AQI[[#This Row],[Most AQI Reached]]-tbl_AQI[[#This Row],[Current AQI]]</f>
        <v>155</v>
      </c>
      <c r="G40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1">
        <f>RANK(tbl_AQI[[#This Row],[Current AQI]], tbl_AQI[Current AQI], 0)</f>
        <v>2550</v>
      </c>
    </row>
    <row r="4072" spans="1:8" x14ac:dyDescent="0.35">
      <c r="A4072" t="s">
        <v>4046</v>
      </c>
      <c r="B4072" t="s">
        <v>4099</v>
      </c>
      <c r="C4072">
        <v>152</v>
      </c>
      <c r="D4072">
        <v>103</v>
      </c>
      <c r="E4072" t="s">
        <v>9</v>
      </c>
      <c r="F4072">
        <f>tbl_AQI[[#This Row],[Most AQI Reached]]-tbl_AQI[[#This Row],[Current AQI]]</f>
        <v>49</v>
      </c>
      <c r="G40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2">
        <f>RANK(tbl_AQI[[#This Row],[Current AQI]], tbl_AQI[Current AQI], 0)</f>
        <v>3474</v>
      </c>
    </row>
    <row r="4073" spans="1:8" x14ac:dyDescent="0.35">
      <c r="A4073" t="s">
        <v>4046</v>
      </c>
      <c r="B4073" t="s">
        <v>4100</v>
      </c>
      <c r="C4073">
        <v>263</v>
      </c>
      <c r="D4073">
        <v>178</v>
      </c>
      <c r="E4073" t="s">
        <v>17</v>
      </c>
      <c r="F4073">
        <f>tbl_AQI[[#This Row],[Most AQI Reached]]-tbl_AQI[[#This Row],[Current AQI]]</f>
        <v>85</v>
      </c>
      <c r="G40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3">
        <f>RANK(tbl_AQI[[#This Row],[Current AQI]], tbl_AQI[Current AQI], 0)</f>
        <v>1702</v>
      </c>
    </row>
    <row r="4074" spans="1:8" x14ac:dyDescent="0.35">
      <c r="A4074" t="s">
        <v>4046</v>
      </c>
      <c r="B4074" t="s">
        <v>4101</v>
      </c>
      <c r="C4074">
        <v>232</v>
      </c>
      <c r="D4074">
        <v>63</v>
      </c>
      <c r="E4074" t="s">
        <v>11</v>
      </c>
      <c r="F4074">
        <f>tbl_AQI[[#This Row],[Most AQI Reached]]-tbl_AQI[[#This Row],[Current AQI]]</f>
        <v>169</v>
      </c>
      <c r="G40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74">
        <f>RANK(tbl_AQI[[#This Row],[Current AQI]], tbl_AQI[Current AQI], 0)</f>
        <v>4322</v>
      </c>
    </row>
    <row r="4075" spans="1:8" x14ac:dyDescent="0.35">
      <c r="A4075" t="s">
        <v>4046</v>
      </c>
      <c r="B4075" t="s">
        <v>4102</v>
      </c>
      <c r="C4075">
        <v>189</v>
      </c>
      <c r="D4075">
        <v>128</v>
      </c>
      <c r="E4075" t="s">
        <v>7</v>
      </c>
      <c r="F4075">
        <f>tbl_AQI[[#This Row],[Most AQI Reached]]-tbl_AQI[[#This Row],[Current AQI]]</f>
        <v>61</v>
      </c>
      <c r="G40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5">
        <f>RANK(tbl_AQI[[#This Row],[Current AQI]], tbl_AQI[Current AQI], 0)</f>
        <v>2872</v>
      </c>
    </row>
    <row r="4076" spans="1:8" x14ac:dyDescent="0.35">
      <c r="A4076" t="s">
        <v>4046</v>
      </c>
      <c r="B4076" t="s">
        <v>4103</v>
      </c>
      <c r="C4076">
        <v>299</v>
      </c>
      <c r="D4076">
        <v>117</v>
      </c>
      <c r="E4076" t="s">
        <v>9</v>
      </c>
      <c r="F4076">
        <f>tbl_AQI[[#This Row],[Most AQI Reached]]-tbl_AQI[[#This Row],[Current AQI]]</f>
        <v>182</v>
      </c>
      <c r="G40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6">
        <f>RANK(tbl_AQI[[#This Row],[Current AQI]], tbl_AQI[Current AQI], 0)</f>
        <v>3144</v>
      </c>
    </row>
    <row r="4077" spans="1:8" x14ac:dyDescent="0.35">
      <c r="A4077" t="s">
        <v>4046</v>
      </c>
      <c r="B4077" t="s">
        <v>4104</v>
      </c>
      <c r="C4077">
        <v>200</v>
      </c>
      <c r="D4077">
        <v>136</v>
      </c>
      <c r="E4077" t="s">
        <v>7</v>
      </c>
      <c r="F4077">
        <f>tbl_AQI[[#This Row],[Most AQI Reached]]-tbl_AQI[[#This Row],[Current AQI]]</f>
        <v>64</v>
      </c>
      <c r="G40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7">
        <f>RANK(tbl_AQI[[#This Row],[Current AQI]], tbl_AQI[Current AQI], 0)</f>
        <v>2692</v>
      </c>
    </row>
    <row r="4078" spans="1:8" x14ac:dyDescent="0.35">
      <c r="A4078" t="s">
        <v>4046</v>
      </c>
      <c r="B4078" t="s">
        <v>4105</v>
      </c>
      <c r="C4078">
        <v>208</v>
      </c>
      <c r="D4078">
        <v>137</v>
      </c>
      <c r="E4078" t="s">
        <v>11</v>
      </c>
      <c r="F4078">
        <f>tbl_AQI[[#This Row],[Most AQI Reached]]-tbl_AQI[[#This Row],[Current AQI]]</f>
        <v>71</v>
      </c>
      <c r="G40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8">
        <f>RANK(tbl_AQI[[#This Row],[Current AQI]], tbl_AQI[Current AQI], 0)</f>
        <v>2677</v>
      </c>
    </row>
    <row r="4079" spans="1:8" x14ac:dyDescent="0.35">
      <c r="A4079" t="s">
        <v>4046</v>
      </c>
      <c r="B4079" t="s">
        <v>4106</v>
      </c>
      <c r="C4079">
        <v>186</v>
      </c>
      <c r="D4079">
        <v>181</v>
      </c>
      <c r="E4079" t="s">
        <v>33</v>
      </c>
      <c r="F4079">
        <f>tbl_AQI[[#This Row],[Most AQI Reached]]-tbl_AQI[[#This Row],[Current AQI]]</f>
        <v>5</v>
      </c>
      <c r="G40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79">
        <f>RANK(tbl_AQI[[#This Row],[Current AQI]], tbl_AQI[Current AQI], 0)</f>
        <v>1609</v>
      </c>
    </row>
    <row r="4080" spans="1:8" x14ac:dyDescent="0.35">
      <c r="A4080" t="s">
        <v>4046</v>
      </c>
      <c r="B4080" t="s">
        <v>4107</v>
      </c>
      <c r="C4080">
        <v>308</v>
      </c>
      <c r="D4080">
        <v>109</v>
      </c>
      <c r="E4080" t="s">
        <v>11</v>
      </c>
      <c r="F4080">
        <f>tbl_AQI[[#This Row],[Most AQI Reached]]-tbl_AQI[[#This Row],[Current AQI]]</f>
        <v>199</v>
      </c>
      <c r="G40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80">
        <f>RANK(tbl_AQI[[#This Row],[Current AQI]], tbl_AQI[Current AQI], 0)</f>
        <v>3338</v>
      </c>
    </row>
    <row r="4081" spans="1:8" x14ac:dyDescent="0.35">
      <c r="A4081" t="s">
        <v>4046</v>
      </c>
      <c r="B4081" t="s">
        <v>4108</v>
      </c>
      <c r="C4081">
        <v>271</v>
      </c>
      <c r="D4081">
        <v>127</v>
      </c>
      <c r="E4081" t="s">
        <v>17</v>
      </c>
      <c r="F4081">
        <f>tbl_AQI[[#This Row],[Most AQI Reached]]-tbl_AQI[[#This Row],[Current AQI]]</f>
        <v>144</v>
      </c>
      <c r="G40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81">
        <f>RANK(tbl_AQI[[#This Row],[Current AQI]], tbl_AQI[Current AQI], 0)</f>
        <v>2909</v>
      </c>
    </row>
    <row r="4082" spans="1:8" x14ac:dyDescent="0.35">
      <c r="A4082" t="s">
        <v>4046</v>
      </c>
      <c r="B4082" t="s">
        <v>4109</v>
      </c>
      <c r="C4082">
        <v>230</v>
      </c>
      <c r="D4082">
        <v>78</v>
      </c>
      <c r="E4082" t="s">
        <v>21</v>
      </c>
      <c r="F4082">
        <f>tbl_AQI[[#This Row],[Most AQI Reached]]-tbl_AQI[[#This Row],[Current AQI]]</f>
        <v>152</v>
      </c>
      <c r="G40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82">
        <f>RANK(tbl_AQI[[#This Row],[Current AQI]], tbl_AQI[Current AQI], 0)</f>
        <v>3989</v>
      </c>
    </row>
    <row r="4083" spans="1:8" x14ac:dyDescent="0.35">
      <c r="A4083" t="s">
        <v>4046</v>
      </c>
      <c r="B4083" t="s">
        <v>4110</v>
      </c>
      <c r="C4083">
        <v>92</v>
      </c>
      <c r="D4083">
        <v>31</v>
      </c>
      <c r="E4083" t="s">
        <v>7</v>
      </c>
      <c r="F4083">
        <f>tbl_AQI[[#This Row],[Most AQI Reached]]-tbl_AQI[[#This Row],[Current AQI]]</f>
        <v>61</v>
      </c>
      <c r="G40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083">
        <f>RANK(tbl_AQI[[#This Row],[Current AQI]], tbl_AQI[Current AQI], 0)</f>
        <v>5016</v>
      </c>
    </row>
    <row r="4084" spans="1:8" x14ac:dyDescent="0.35">
      <c r="A4084" t="s">
        <v>4046</v>
      </c>
      <c r="B4084" t="s">
        <v>4111</v>
      </c>
      <c r="C4084">
        <v>318</v>
      </c>
      <c r="D4084">
        <v>139</v>
      </c>
      <c r="E4084" t="s">
        <v>9</v>
      </c>
      <c r="F4084">
        <f>tbl_AQI[[#This Row],[Most AQI Reached]]-tbl_AQI[[#This Row],[Current AQI]]</f>
        <v>179</v>
      </c>
      <c r="G40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84">
        <f>RANK(tbl_AQI[[#This Row],[Current AQI]], tbl_AQI[Current AQI], 0)</f>
        <v>2647</v>
      </c>
    </row>
    <row r="4085" spans="1:8" x14ac:dyDescent="0.35">
      <c r="A4085" t="s">
        <v>4046</v>
      </c>
      <c r="B4085" t="s">
        <v>4112</v>
      </c>
      <c r="C4085">
        <v>268</v>
      </c>
      <c r="D4085">
        <v>80</v>
      </c>
      <c r="E4085" t="s">
        <v>7</v>
      </c>
      <c r="F4085">
        <f>tbl_AQI[[#This Row],[Most AQI Reached]]-tbl_AQI[[#This Row],[Current AQI]]</f>
        <v>188</v>
      </c>
      <c r="G40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85">
        <f>RANK(tbl_AQI[[#This Row],[Current AQI]], tbl_AQI[Current AQI], 0)</f>
        <v>3948</v>
      </c>
    </row>
    <row r="4086" spans="1:8" x14ac:dyDescent="0.35">
      <c r="A4086" t="s">
        <v>4046</v>
      </c>
      <c r="B4086" t="s">
        <v>4113</v>
      </c>
      <c r="C4086">
        <v>290</v>
      </c>
      <c r="D4086">
        <v>186</v>
      </c>
      <c r="E4086" t="s">
        <v>21</v>
      </c>
      <c r="F4086">
        <f>tbl_AQI[[#This Row],[Most AQI Reached]]-tbl_AQI[[#This Row],[Current AQI]]</f>
        <v>104</v>
      </c>
      <c r="G40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86">
        <f>RANK(tbl_AQI[[#This Row],[Current AQI]], tbl_AQI[Current AQI], 0)</f>
        <v>1478</v>
      </c>
    </row>
    <row r="4087" spans="1:8" x14ac:dyDescent="0.35">
      <c r="A4087" t="s">
        <v>4046</v>
      </c>
      <c r="B4087" t="s">
        <v>4114</v>
      </c>
      <c r="C4087">
        <v>224</v>
      </c>
      <c r="D4087">
        <v>94</v>
      </c>
      <c r="E4087" t="s">
        <v>11</v>
      </c>
      <c r="F4087">
        <f>tbl_AQI[[#This Row],[Most AQI Reached]]-tbl_AQI[[#This Row],[Current AQI]]</f>
        <v>130</v>
      </c>
      <c r="G40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87">
        <f>RANK(tbl_AQI[[#This Row],[Current AQI]], tbl_AQI[Current AQI], 0)</f>
        <v>3654</v>
      </c>
    </row>
    <row r="4088" spans="1:8" x14ac:dyDescent="0.35">
      <c r="A4088" t="s">
        <v>4046</v>
      </c>
      <c r="B4088" t="s">
        <v>4115</v>
      </c>
      <c r="C4088">
        <v>232</v>
      </c>
      <c r="D4088">
        <v>107</v>
      </c>
      <c r="E4088" t="s">
        <v>7</v>
      </c>
      <c r="F4088">
        <f>tbl_AQI[[#This Row],[Most AQI Reached]]-tbl_AQI[[#This Row],[Current AQI]]</f>
        <v>125</v>
      </c>
      <c r="G40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88">
        <f>RANK(tbl_AQI[[#This Row],[Current AQI]], tbl_AQI[Current AQI], 0)</f>
        <v>3387</v>
      </c>
    </row>
    <row r="4089" spans="1:8" x14ac:dyDescent="0.35">
      <c r="A4089" t="s">
        <v>4046</v>
      </c>
      <c r="B4089" t="s">
        <v>4116</v>
      </c>
      <c r="C4089">
        <v>205</v>
      </c>
      <c r="D4089">
        <v>88</v>
      </c>
      <c r="E4089" t="s">
        <v>11</v>
      </c>
      <c r="F4089">
        <f>tbl_AQI[[#This Row],[Most AQI Reached]]-tbl_AQI[[#This Row],[Current AQI]]</f>
        <v>117</v>
      </c>
      <c r="G40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89">
        <f>RANK(tbl_AQI[[#This Row],[Current AQI]], tbl_AQI[Current AQI], 0)</f>
        <v>3792</v>
      </c>
    </row>
    <row r="4090" spans="1:8" x14ac:dyDescent="0.35">
      <c r="A4090" t="s">
        <v>4046</v>
      </c>
      <c r="B4090" t="s">
        <v>4117</v>
      </c>
      <c r="C4090">
        <v>163</v>
      </c>
      <c r="D4090">
        <v>160</v>
      </c>
      <c r="E4090" t="s">
        <v>9</v>
      </c>
      <c r="F4090">
        <f>tbl_AQI[[#This Row],[Most AQI Reached]]-tbl_AQI[[#This Row],[Current AQI]]</f>
        <v>3</v>
      </c>
      <c r="G40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90">
        <f>RANK(tbl_AQI[[#This Row],[Current AQI]], tbl_AQI[Current AQI], 0)</f>
        <v>2154</v>
      </c>
    </row>
    <row r="4091" spans="1:8" x14ac:dyDescent="0.35">
      <c r="A4091" t="s">
        <v>4046</v>
      </c>
      <c r="B4091" t="s">
        <v>4118</v>
      </c>
      <c r="C4091">
        <v>149</v>
      </c>
      <c r="D4091">
        <v>88</v>
      </c>
      <c r="E4091" t="s">
        <v>9</v>
      </c>
      <c r="F4091">
        <f>tbl_AQI[[#This Row],[Most AQI Reached]]-tbl_AQI[[#This Row],[Current AQI]]</f>
        <v>61</v>
      </c>
      <c r="G40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91">
        <f>RANK(tbl_AQI[[#This Row],[Current AQI]], tbl_AQI[Current AQI], 0)</f>
        <v>3792</v>
      </c>
    </row>
    <row r="4092" spans="1:8" x14ac:dyDescent="0.35">
      <c r="A4092" t="s">
        <v>4046</v>
      </c>
      <c r="B4092" t="s">
        <v>4119</v>
      </c>
      <c r="C4092">
        <v>197</v>
      </c>
      <c r="D4092">
        <v>130</v>
      </c>
      <c r="E4092" t="s">
        <v>33</v>
      </c>
      <c r="F4092">
        <f>tbl_AQI[[#This Row],[Most AQI Reached]]-tbl_AQI[[#This Row],[Current AQI]]</f>
        <v>67</v>
      </c>
      <c r="G40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92">
        <f>RANK(tbl_AQI[[#This Row],[Current AQI]], tbl_AQI[Current AQI], 0)</f>
        <v>2832</v>
      </c>
    </row>
    <row r="4093" spans="1:8" x14ac:dyDescent="0.35">
      <c r="A4093" t="s">
        <v>4046</v>
      </c>
      <c r="B4093" t="s">
        <v>4120</v>
      </c>
      <c r="C4093">
        <v>205</v>
      </c>
      <c r="D4093">
        <v>55</v>
      </c>
      <c r="E4093" t="s">
        <v>11</v>
      </c>
      <c r="F4093">
        <f>tbl_AQI[[#This Row],[Most AQI Reached]]-tbl_AQI[[#This Row],[Current AQI]]</f>
        <v>150</v>
      </c>
      <c r="G40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93">
        <f>RANK(tbl_AQI[[#This Row],[Current AQI]], tbl_AQI[Current AQI], 0)</f>
        <v>4497</v>
      </c>
    </row>
    <row r="4094" spans="1:8" x14ac:dyDescent="0.35">
      <c r="A4094" t="s">
        <v>4046</v>
      </c>
      <c r="B4094" t="s">
        <v>4121</v>
      </c>
      <c r="C4094">
        <v>206</v>
      </c>
      <c r="D4094">
        <v>113</v>
      </c>
      <c r="E4094" t="s">
        <v>11</v>
      </c>
      <c r="F4094">
        <f>tbl_AQI[[#This Row],[Most AQI Reached]]-tbl_AQI[[#This Row],[Current AQI]]</f>
        <v>93</v>
      </c>
      <c r="G40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94">
        <f>RANK(tbl_AQI[[#This Row],[Current AQI]], tbl_AQI[Current AQI], 0)</f>
        <v>3243</v>
      </c>
    </row>
    <row r="4095" spans="1:8" x14ac:dyDescent="0.35">
      <c r="A4095" t="s">
        <v>4046</v>
      </c>
      <c r="B4095" t="s">
        <v>4122</v>
      </c>
      <c r="C4095">
        <v>163</v>
      </c>
      <c r="D4095">
        <v>124</v>
      </c>
      <c r="E4095" t="s">
        <v>17</v>
      </c>
      <c r="F4095">
        <f>tbl_AQI[[#This Row],[Most AQI Reached]]-tbl_AQI[[#This Row],[Current AQI]]</f>
        <v>39</v>
      </c>
      <c r="G40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95">
        <f>RANK(tbl_AQI[[#This Row],[Current AQI]], tbl_AQI[Current AQI], 0)</f>
        <v>2971</v>
      </c>
    </row>
    <row r="4096" spans="1:8" x14ac:dyDescent="0.35">
      <c r="A4096" t="s">
        <v>4046</v>
      </c>
      <c r="B4096" t="s">
        <v>4123</v>
      </c>
      <c r="C4096">
        <v>143</v>
      </c>
      <c r="D4096">
        <v>132</v>
      </c>
      <c r="E4096" t="s">
        <v>15</v>
      </c>
      <c r="F4096">
        <f>tbl_AQI[[#This Row],[Most AQI Reached]]-tbl_AQI[[#This Row],[Current AQI]]</f>
        <v>11</v>
      </c>
      <c r="G40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96">
        <f>RANK(tbl_AQI[[#This Row],[Current AQI]], tbl_AQI[Current AQI], 0)</f>
        <v>2792</v>
      </c>
    </row>
    <row r="4097" spans="1:8" x14ac:dyDescent="0.35">
      <c r="A4097" t="s">
        <v>4046</v>
      </c>
      <c r="B4097" t="s">
        <v>4124</v>
      </c>
      <c r="C4097">
        <v>240</v>
      </c>
      <c r="D4097">
        <v>99</v>
      </c>
      <c r="E4097" t="s">
        <v>21</v>
      </c>
      <c r="F4097">
        <f>tbl_AQI[[#This Row],[Most AQI Reached]]-tbl_AQI[[#This Row],[Current AQI]]</f>
        <v>141</v>
      </c>
      <c r="G40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97">
        <f>RANK(tbl_AQI[[#This Row],[Current AQI]], tbl_AQI[Current AQI], 0)</f>
        <v>3553</v>
      </c>
    </row>
    <row r="4098" spans="1:8" x14ac:dyDescent="0.35">
      <c r="A4098" t="s">
        <v>4046</v>
      </c>
      <c r="B4098" t="s">
        <v>4125</v>
      </c>
      <c r="C4098">
        <v>235</v>
      </c>
      <c r="D4098">
        <v>121</v>
      </c>
      <c r="E4098" t="s">
        <v>9</v>
      </c>
      <c r="F4098">
        <f>tbl_AQI[[#This Row],[Most AQI Reached]]-tbl_AQI[[#This Row],[Current AQI]]</f>
        <v>114</v>
      </c>
      <c r="G40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098">
        <f>RANK(tbl_AQI[[#This Row],[Current AQI]], tbl_AQI[Current AQI], 0)</f>
        <v>3037</v>
      </c>
    </row>
    <row r="4099" spans="1:8" x14ac:dyDescent="0.35">
      <c r="A4099" t="s">
        <v>4046</v>
      </c>
      <c r="B4099" t="s">
        <v>4126</v>
      </c>
      <c r="C4099">
        <v>121</v>
      </c>
      <c r="D4099">
        <v>92</v>
      </c>
      <c r="E4099" t="s">
        <v>21</v>
      </c>
      <c r="F4099">
        <f>tbl_AQI[[#This Row],[Most AQI Reached]]-tbl_AQI[[#This Row],[Current AQI]]</f>
        <v>29</v>
      </c>
      <c r="G40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099">
        <f>RANK(tbl_AQI[[#This Row],[Current AQI]], tbl_AQI[Current AQI], 0)</f>
        <v>3706</v>
      </c>
    </row>
    <row r="4100" spans="1:8" x14ac:dyDescent="0.35">
      <c r="A4100" t="s">
        <v>4046</v>
      </c>
      <c r="B4100" t="s">
        <v>4127</v>
      </c>
      <c r="C4100">
        <v>277</v>
      </c>
      <c r="D4100">
        <v>77</v>
      </c>
      <c r="E4100" t="s">
        <v>15</v>
      </c>
      <c r="F4100">
        <f>tbl_AQI[[#This Row],[Most AQI Reached]]-tbl_AQI[[#This Row],[Current AQI]]</f>
        <v>200</v>
      </c>
      <c r="G41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00">
        <f>RANK(tbl_AQI[[#This Row],[Current AQI]], tbl_AQI[Current AQI], 0)</f>
        <v>4006</v>
      </c>
    </row>
    <row r="4101" spans="1:8" x14ac:dyDescent="0.35">
      <c r="A4101" t="s">
        <v>4046</v>
      </c>
      <c r="B4101" t="s">
        <v>4128</v>
      </c>
      <c r="C4101">
        <v>287</v>
      </c>
      <c r="D4101">
        <v>186</v>
      </c>
      <c r="E4101" t="s">
        <v>33</v>
      </c>
      <c r="F4101">
        <f>tbl_AQI[[#This Row],[Most AQI Reached]]-tbl_AQI[[#This Row],[Current AQI]]</f>
        <v>101</v>
      </c>
      <c r="G41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01">
        <f>RANK(tbl_AQI[[#This Row],[Current AQI]], tbl_AQI[Current AQI], 0)</f>
        <v>1478</v>
      </c>
    </row>
    <row r="4102" spans="1:8" x14ac:dyDescent="0.35">
      <c r="A4102" t="s">
        <v>4046</v>
      </c>
      <c r="B4102" t="s">
        <v>4129</v>
      </c>
      <c r="C4102">
        <v>244</v>
      </c>
      <c r="D4102">
        <v>167</v>
      </c>
      <c r="E4102" t="s">
        <v>17</v>
      </c>
      <c r="F4102">
        <f>tbl_AQI[[#This Row],[Most AQI Reached]]-tbl_AQI[[#This Row],[Current AQI]]</f>
        <v>77</v>
      </c>
      <c r="G41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02">
        <f>RANK(tbl_AQI[[#This Row],[Current AQI]], tbl_AQI[Current AQI], 0)</f>
        <v>1979</v>
      </c>
    </row>
    <row r="4103" spans="1:8" x14ac:dyDescent="0.35">
      <c r="A4103" t="s">
        <v>4046</v>
      </c>
      <c r="B4103" t="s">
        <v>4130</v>
      </c>
      <c r="C4103">
        <v>272</v>
      </c>
      <c r="D4103">
        <v>37</v>
      </c>
      <c r="E4103" t="s">
        <v>15</v>
      </c>
      <c r="F4103">
        <f>tbl_AQI[[#This Row],[Most AQI Reached]]-tbl_AQI[[#This Row],[Current AQI]]</f>
        <v>235</v>
      </c>
      <c r="G41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03">
        <f>RANK(tbl_AQI[[#This Row],[Current AQI]], tbl_AQI[Current AQI], 0)</f>
        <v>4863</v>
      </c>
    </row>
    <row r="4104" spans="1:8" x14ac:dyDescent="0.35">
      <c r="A4104" t="s">
        <v>4046</v>
      </c>
      <c r="B4104" t="s">
        <v>4131</v>
      </c>
      <c r="C4104">
        <v>195</v>
      </c>
      <c r="D4104">
        <v>178</v>
      </c>
      <c r="E4104" t="s">
        <v>17</v>
      </c>
      <c r="F4104">
        <f>tbl_AQI[[#This Row],[Most AQI Reached]]-tbl_AQI[[#This Row],[Current AQI]]</f>
        <v>17</v>
      </c>
      <c r="G41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04">
        <f>RANK(tbl_AQI[[#This Row],[Current AQI]], tbl_AQI[Current AQI], 0)</f>
        <v>1702</v>
      </c>
    </row>
    <row r="4105" spans="1:8" x14ac:dyDescent="0.35">
      <c r="A4105" t="s">
        <v>4046</v>
      </c>
      <c r="B4105" t="s">
        <v>4132</v>
      </c>
      <c r="C4105">
        <v>257</v>
      </c>
      <c r="D4105">
        <v>126</v>
      </c>
      <c r="E4105" t="s">
        <v>33</v>
      </c>
      <c r="F4105">
        <f>tbl_AQI[[#This Row],[Most AQI Reached]]-tbl_AQI[[#This Row],[Current AQI]]</f>
        <v>131</v>
      </c>
      <c r="G41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05">
        <f>RANK(tbl_AQI[[#This Row],[Current AQI]], tbl_AQI[Current AQI], 0)</f>
        <v>2934</v>
      </c>
    </row>
    <row r="4106" spans="1:8" x14ac:dyDescent="0.35">
      <c r="A4106" t="s">
        <v>4046</v>
      </c>
      <c r="B4106" t="s">
        <v>4133</v>
      </c>
      <c r="C4106">
        <v>314</v>
      </c>
      <c r="D4106">
        <v>42</v>
      </c>
      <c r="E4106" t="s">
        <v>15</v>
      </c>
      <c r="F4106">
        <f>tbl_AQI[[#This Row],[Most AQI Reached]]-tbl_AQI[[#This Row],[Current AQI]]</f>
        <v>272</v>
      </c>
      <c r="G41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06">
        <f>RANK(tbl_AQI[[#This Row],[Current AQI]], tbl_AQI[Current AQI], 0)</f>
        <v>4776</v>
      </c>
    </row>
    <row r="4107" spans="1:8" x14ac:dyDescent="0.35">
      <c r="A4107" t="s">
        <v>4046</v>
      </c>
      <c r="B4107" t="s">
        <v>4134</v>
      </c>
      <c r="C4107">
        <v>312</v>
      </c>
      <c r="D4107">
        <v>89</v>
      </c>
      <c r="E4107" t="s">
        <v>9</v>
      </c>
      <c r="F4107">
        <f>tbl_AQI[[#This Row],[Most AQI Reached]]-tbl_AQI[[#This Row],[Current AQI]]</f>
        <v>223</v>
      </c>
      <c r="G41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07">
        <f>RANK(tbl_AQI[[#This Row],[Current AQI]], tbl_AQI[Current AQI], 0)</f>
        <v>3772</v>
      </c>
    </row>
    <row r="4108" spans="1:8" x14ac:dyDescent="0.35">
      <c r="A4108" t="s">
        <v>4046</v>
      </c>
      <c r="B4108" t="s">
        <v>4135</v>
      </c>
      <c r="C4108">
        <v>123</v>
      </c>
      <c r="D4108">
        <v>117</v>
      </c>
      <c r="E4108" t="s">
        <v>17</v>
      </c>
      <c r="F4108">
        <f>tbl_AQI[[#This Row],[Most AQI Reached]]-tbl_AQI[[#This Row],[Current AQI]]</f>
        <v>6</v>
      </c>
      <c r="G41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08">
        <f>RANK(tbl_AQI[[#This Row],[Current AQI]], tbl_AQI[Current AQI], 0)</f>
        <v>3144</v>
      </c>
    </row>
    <row r="4109" spans="1:8" x14ac:dyDescent="0.35">
      <c r="A4109" t="s">
        <v>4046</v>
      </c>
      <c r="B4109" t="s">
        <v>4136</v>
      </c>
      <c r="C4109">
        <v>154</v>
      </c>
      <c r="D4109">
        <v>85</v>
      </c>
      <c r="E4109" t="s">
        <v>21</v>
      </c>
      <c r="F4109">
        <f>tbl_AQI[[#This Row],[Most AQI Reached]]-tbl_AQI[[#This Row],[Current AQI]]</f>
        <v>69</v>
      </c>
      <c r="G41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09">
        <f>RANK(tbl_AQI[[#This Row],[Current AQI]], tbl_AQI[Current AQI], 0)</f>
        <v>3852</v>
      </c>
    </row>
    <row r="4110" spans="1:8" x14ac:dyDescent="0.35">
      <c r="A4110" t="s">
        <v>4046</v>
      </c>
      <c r="B4110" t="s">
        <v>4137</v>
      </c>
      <c r="C4110">
        <v>274</v>
      </c>
      <c r="D4110">
        <v>42</v>
      </c>
      <c r="E4110" t="s">
        <v>17</v>
      </c>
      <c r="F4110">
        <f>tbl_AQI[[#This Row],[Most AQI Reached]]-tbl_AQI[[#This Row],[Current AQI]]</f>
        <v>232</v>
      </c>
      <c r="G41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10">
        <f>RANK(tbl_AQI[[#This Row],[Current AQI]], tbl_AQI[Current AQI], 0)</f>
        <v>4776</v>
      </c>
    </row>
    <row r="4111" spans="1:8" x14ac:dyDescent="0.35">
      <c r="A4111" t="s">
        <v>4046</v>
      </c>
      <c r="B4111" t="s">
        <v>4138</v>
      </c>
      <c r="C4111">
        <v>255</v>
      </c>
      <c r="D4111">
        <v>55</v>
      </c>
      <c r="E4111" t="s">
        <v>7</v>
      </c>
      <c r="F4111">
        <f>tbl_AQI[[#This Row],[Most AQI Reached]]-tbl_AQI[[#This Row],[Current AQI]]</f>
        <v>200</v>
      </c>
      <c r="G41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11">
        <f>RANK(tbl_AQI[[#This Row],[Current AQI]], tbl_AQI[Current AQI], 0)</f>
        <v>4497</v>
      </c>
    </row>
    <row r="4112" spans="1:8" x14ac:dyDescent="0.35">
      <c r="A4112" t="s">
        <v>4046</v>
      </c>
      <c r="B4112" t="s">
        <v>4139</v>
      </c>
      <c r="C4112">
        <v>217</v>
      </c>
      <c r="D4112">
        <v>174</v>
      </c>
      <c r="E4112" t="s">
        <v>11</v>
      </c>
      <c r="F4112">
        <f>tbl_AQI[[#This Row],[Most AQI Reached]]-tbl_AQI[[#This Row],[Current AQI]]</f>
        <v>43</v>
      </c>
      <c r="G41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12">
        <f>RANK(tbl_AQI[[#This Row],[Current AQI]], tbl_AQI[Current AQI], 0)</f>
        <v>1803</v>
      </c>
    </row>
    <row r="4113" spans="1:8" x14ac:dyDescent="0.35">
      <c r="A4113" t="s">
        <v>4046</v>
      </c>
      <c r="B4113" t="s">
        <v>4140</v>
      </c>
      <c r="C4113">
        <v>208</v>
      </c>
      <c r="D4113">
        <v>73</v>
      </c>
      <c r="E4113" t="s">
        <v>21</v>
      </c>
      <c r="F4113">
        <f>tbl_AQI[[#This Row],[Most AQI Reached]]-tbl_AQI[[#This Row],[Current AQI]]</f>
        <v>135</v>
      </c>
      <c r="G41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13">
        <f>RANK(tbl_AQI[[#This Row],[Current AQI]], tbl_AQI[Current AQI], 0)</f>
        <v>4083</v>
      </c>
    </row>
    <row r="4114" spans="1:8" x14ac:dyDescent="0.35">
      <c r="A4114" t="s">
        <v>4046</v>
      </c>
      <c r="B4114" t="s">
        <v>4141</v>
      </c>
      <c r="C4114">
        <v>94</v>
      </c>
      <c r="D4114">
        <v>38</v>
      </c>
      <c r="E4114" t="s">
        <v>17</v>
      </c>
      <c r="F4114">
        <f>tbl_AQI[[#This Row],[Most AQI Reached]]-tbl_AQI[[#This Row],[Current AQI]]</f>
        <v>56</v>
      </c>
      <c r="G41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14">
        <f>RANK(tbl_AQI[[#This Row],[Current AQI]], tbl_AQI[Current AQI], 0)</f>
        <v>4845</v>
      </c>
    </row>
    <row r="4115" spans="1:8" x14ac:dyDescent="0.35">
      <c r="A4115" t="s">
        <v>4046</v>
      </c>
      <c r="B4115" t="s">
        <v>4142</v>
      </c>
      <c r="C4115">
        <v>224</v>
      </c>
      <c r="D4115">
        <v>110</v>
      </c>
      <c r="E4115" t="s">
        <v>15</v>
      </c>
      <c r="F4115">
        <f>tbl_AQI[[#This Row],[Most AQI Reached]]-tbl_AQI[[#This Row],[Current AQI]]</f>
        <v>114</v>
      </c>
      <c r="G41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15">
        <f>RANK(tbl_AQI[[#This Row],[Current AQI]], tbl_AQI[Current AQI], 0)</f>
        <v>3302</v>
      </c>
    </row>
    <row r="4116" spans="1:8" x14ac:dyDescent="0.35">
      <c r="A4116" t="s">
        <v>4046</v>
      </c>
      <c r="B4116" t="s">
        <v>4143</v>
      </c>
      <c r="C4116">
        <v>123</v>
      </c>
      <c r="D4116">
        <v>123</v>
      </c>
      <c r="E4116" t="s">
        <v>9</v>
      </c>
      <c r="F4116">
        <f>tbl_AQI[[#This Row],[Most AQI Reached]]-tbl_AQI[[#This Row],[Current AQI]]</f>
        <v>0</v>
      </c>
      <c r="G41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16">
        <f>RANK(tbl_AQI[[#This Row],[Current AQI]], tbl_AQI[Current AQI], 0)</f>
        <v>2983</v>
      </c>
    </row>
    <row r="4117" spans="1:8" x14ac:dyDescent="0.35">
      <c r="A4117" t="s">
        <v>4046</v>
      </c>
      <c r="B4117" t="s">
        <v>4144</v>
      </c>
      <c r="C4117">
        <v>123</v>
      </c>
      <c r="D4117">
        <v>72</v>
      </c>
      <c r="E4117" t="s">
        <v>33</v>
      </c>
      <c r="F4117">
        <f>tbl_AQI[[#This Row],[Most AQI Reached]]-tbl_AQI[[#This Row],[Current AQI]]</f>
        <v>51</v>
      </c>
      <c r="G41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17">
        <f>RANK(tbl_AQI[[#This Row],[Current AQI]], tbl_AQI[Current AQI], 0)</f>
        <v>4100</v>
      </c>
    </row>
    <row r="4118" spans="1:8" x14ac:dyDescent="0.35">
      <c r="A4118" t="s">
        <v>4046</v>
      </c>
      <c r="B4118" t="s">
        <v>4145</v>
      </c>
      <c r="C4118">
        <v>198</v>
      </c>
      <c r="D4118">
        <v>168</v>
      </c>
      <c r="E4118" t="s">
        <v>21</v>
      </c>
      <c r="F4118">
        <f>tbl_AQI[[#This Row],[Most AQI Reached]]-tbl_AQI[[#This Row],[Current AQI]]</f>
        <v>30</v>
      </c>
      <c r="G41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18">
        <f>RANK(tbl_AQI[[#This Row],[Current AQI]], tbl_AQI[Current AQI], 0)</f>
        <v>1954</v>
      </c>
    </row>
    <row r="4119" spans="1:8" x14ac:dyDescent="0.35">
      <c r="A4119" t="s">
        <v>4046</v>
      </c>
      <c r="B4119" t="s">
        <v>4146</v>
      </c>
      <c r="C4119">
        <v>272</v>
      </c>
      <c r="D4119">
        <v>85</v>
      </c>
      <c r="E4119" t="s">
        <v>33</v>
      </c>
      <c r="F4119">
        <f>tbl_AQI[[#This Row],[Most AQI Reached]]-tbl_AQI[[#This Row],[Current AQI]]</f>
        <v>187</v>
      </c>
      <c r="G41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19">
        <f>RANK(tbl_AQI[[#This Row],[Current AQI]], tbl_AQI[Current AQI], 0)</f>
        <v>3852</v>
      </c>
    </row>
    <row r="4120" spans="1:8" x14ac:dyDescent="0.35">
      <c r="A4120" t="s">
        <v>4046</v>
      </c>
      <c r="B4120" t="s">
        <v>4147</v>
      </c>
      <c r="C4120">
        <v>136</v>
      </c>
      <c r="D4120">
        <v>131</v>
      </c>
      <c r="E4120" t="s">
        <v>17</v>
      </c>
      <c r="F4120">
        <f>tbl_AQI[[#This Row],[Most AQI Reached]]-tbl_AQI[[#This Row],[Current AQI]]</f>
        <v>5</v>
      </c>
      <c r="G41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20">
        <f>RANK(tbl_AQI[[#This Row],[Current AQI]], tbl_AQI[Current AQI], 0)</f>
        <v>2815</v>
      </c>
    </row>
    <row r="4121" spans="1:8" x14ac:dyDescent="0.35">
      <c r="A4121" t="s">
        <v>4046</v>
      </c>
      <c r="B4121" t="s">
        <v>4148</v>
      </c>
      <c r="C4121">
        <v>142</v>
      </c>
      <c r="D4121">
        <v>86</v>
      </c>
      <c r="E4121" t="s">
        <v>21</v>
      </c>
      <c r="F4121">
        <f>tbl_AQI[[#This Row],[Most AQI Reached]]-tbl_AQI[[#This Row],[Current AQI]]</f>
        <v>56</v>
      </c>
      <c r="G41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21">
        <f>RANK(tbl_AQI[[#This Row],[Current AQI]], tbl_AQI[Current AQI], 0)</f>
        <v>3830</v>
      </c>
    </row>
    <row r="4122" spans="1:8" x14ac:dyDescent="0.35">
      <c r="A4122" t="s">
        <v>4046</v>
      </c>
      <c r="B4122" t="s">
        <v>4149</v>
      </c>
      <c r="C4122">
        <v>205</v>
      </c>
      <c r="D4122">
        <v>177</v>
      </c>
      <c r="E4122" t="s">
        <v>7</v>
      </c>
      <c r="F4122">
        <f>tbl_AQI[[#This Row],[Most AQI Reached]]-tbl_AQI[[#This Row],[Current AQI]]</f>
        <v>28</v>
      </c>
      <c r="G41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22">
        <f>RANK(tbl_AQI[[#This Row],[Current AQI]], tbl_AQI[Current AQI], 0)</f>
        <v>1733</v>
      </c>
    </row>
    <row r="4123" spans="1:8" x14ac:dyDescent="0.35">
      <c r="A4123" t="s">
        <v>4046</v>
      </c>
      <c r="B4123" t="s">
        <v>4150</v>
      </c>
      <c r="C4123">
        <v>224</v>
      </c>
      <c r="D4123">
        <v>179</v>
      </c>
      <c r="E4123" t="s">
        <v>33</v>
      </c>
      <c r="F4123">
        <f>tbl_AQI[[#This Row],[Most AQI Reached]]-tbl_AQI[[#This Row],[Current AQI]]</f>
        <v>45</v>
      </c>
      <c r="G41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23">
        <f>RANK(tbl_AQI[[#This Row],[Current AQI]], tbl_AQI[Current AQI], 0)</f>
        <v>1667</v>
      </c>
    </row>
    <row r="4124" spans="1:8" x14ac:dyDescent="0.35">
      <c r="A4124" t="s">
        <v>4046</v>
      </c>
      <c r="B4124" t="s">
        <v>4151</v>
      </c>
      <c r="C4124">
        <v>50</v>
      </c>
      <c r="D4124">
        <v>32</v>
      </c>
      <c r="E4124" t="s">
        <v>33</v>
      </c>
      <c r="F4124">
        <f>tbl_AQI[[#This Row],[Most AQI Reached]]-tbl_AQI[[#This Row],[Current AQI]]</f>
        <v>18</v>
      </c>
      <c r="G41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24">
        <f>RANK(tbl_AQI[[#This Row],[Current AQI]], tbl_AQI[Current AQI], 0)</f>
        <v>4983</v>
      </c>
    </row>
    <row r="4125" spans="1:8" x14ac:dyDescent="0.35">
      <c r="A4125" t="s">
        <v>4046</v>
      </c>
      <c r="B4125" t="s">
        <v>4152</v>
      </c>
      <c r="C4125">
        <v>196</v>
      </c>
      <c r="D4125">
        <v>119</v>
      </c>
      <c r="E4125" t="s">
        <v>33</v>
      </c>
      <c r="F4125">
        <f>tbl_AQI[[#This Row],[Most AQI Reached]]-tbl_AQI[[#This Row],[Current AQI]]</f>
        <v>77</v>
      </c>
      <c r="G41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25">
        <f>RANK(tbl_AQI[[#This Row],[Current AQI]], tbl_AQI[Current AQI], 0)</f>
        <v>3093</v>
      </c>
    </row>
    <row r="4126" spans="1:8" x14ac:dyDescent="0.35">
      <c r="A4126" t="s">
        <v>4046</v>
      </c>
      <c r="B4126" t="s">
        <v>4153</v>
      </c>
      <c r="C4126">
        <v>146</v>
      </c>
      <c r="D4126">
        <v>59</v>
      </c>
      <c r="E4126" t="s">
        <v>11</v>
      </c>
      <c r="F4126">
        <f>tbl_AQI[[#This Row],[Most AQI Reached]]-tbl_AQI[[#This Row],[Current AQI]]</f>
        <v>87</v>
      </c>
      <c r="G41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26">
        <f>RANK(tbl_AQI[[#This Row],[Current AQI]], tbl_AQI[Current AQI], 0)</f>
        <v>4416</v>
      </c>
    </row>
    <row r="4127" spans="1:8" x14ac:dyDescent="0.35">
      <c r="A4127" t="s">
        <v>4046</v>
      </c>
      <c r="B4127" t="s">
        <v>4154</v>
      </c>
      <c r="C4127">
        <v>274</v>
      </c>
      <c r="D4127">
        <v>61</v>
      </c>
      <c r="E4127" t="s">
        <v>11</v>
      </c>
      <c r="F4127">
        <f>tbl_AQI[[#This Row],[Most AQI Reached]]-tbl_AQI[[#This Row],[Current AQI]]</f>
        <v>213</v>
      </c>
      <c r="G41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27">
        <f>RANK(tbl_AQI[[#This Row],[Current AQI]], tbl_AQI[Current AQI], 0)</f>
        <v>4368</v>
      </c>
    </row>
    <row r="4128" spans="1:8" x14ac:dyDescent="0.35">
      <c r="A4128" t="s">
        <v>4046</v>
      </c>
      <c r="B4128" t="s">
        <v>4155</v>
      </c>
      <c r="C4128">
        <v>169</v>
      </c>
      <c r="D4128">
        <v>136</v>
      </c>
      <c r="E4128" t="s">
        <v>15</v>
      </c>
      <c r="F4128">
        <f>tbl_AQI[[#This Row],[Most AQI Reached]]-tbl_AQI[[#This Row],[Current AQI]]</f>
        <v>33</v>
      </c>
      <c r="G41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28">
        <f>RANK(tbl_AQI[[#This Row],[Current AQI]], tbl_AQI[Current AQI], 0)</f>
        <v>2692</v>
      </c>
    </row>
    <row r="4129" spans="1:8" x14ac:dyDescent="0.35">
      <c r="A4129" t="s">
        <v>4046</v>
      </c>
      <c r="B4129" t="s">
        <v>4156</v>
      </c>
      <c r="C4129">
        <v>285</v>
      </c>
      <c r="D4129">
        <v>106</v>
      </c>
      <c r="E4129" t="s">
        <v>17</v>
      </c>
      <c r="F4129">
        <f>tbl_AQI[[#This Row],[Most AQI Reached]]-tbl_AQI[[#This Row],[Current AQI]]</f>
        <v>179</v>
      </c>
      <c r="G41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29">
        <f>RANK(tbl_AQI[[#This Row],[Current AQI]], tbl_AQI[Current AQI], 0)</f>
        <v>3413</v>
      </c>
    </row>
    <row r="4130" spans="1:8" x14ac:dyDescent="0.35">
      <c r="A4130" t="s">
        <v>4046</v>
      </c>
      <c r="B4130" t="s">
        <v>4157</v>
      </c>
      <c r="C4130">
        <v>175</v>
      </c>
      <c r="D4130">
        <v>76</v>
      </c>
      <c r="E4130" t="s">
        <v>9</v>
      </c>
      <c r="F4130">
        <f>tbl_AQI[[#This Row],[Most AQI Reached]]-tbl_AQI[[#This Row],[Current AQI]]</f>
        <v>99</v>
      </c>
      <c r="G41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30">
        <f>RANK(tbl_AQI[[#This Row],[Current AQI]], tbl_AQI[Current AQI], 0)</f>
        <v>4023</v>
      </c>
    </row>
    <row r="4131" spans="1:8" x14ac:dyDescent="0.35">
      <c r="A4131" t="s">
        <v>4046</v>
      </c>
      <c r="B4131" t="s">
        <v>4158</v>
      </c>
      <c r="C4131">
        <v>214</v>
      </c>
      <c r="D4131">
        <v>147</v>
      </c>
      <c r="E4131" t="s">
        <v>17</v>
      </c>
      <c r="F4131">
        <f>tbl_AQI[[#This Row],[Most AQI Reached]]-tbl_AQI[[#This Row],[Current AQI]]</f>
        <v>67</v>
      </c>
      <c r="G41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1">
        <f>RANK(tbl_AQI[[#This Row],[Current AQI]], tbl_AQI[Current AQI], 0)</f>
        <v>2478</v>
      </c>
    </row>
    <row r="4132" spans="1:8" x14ac:dyDescent="0.35">
      <c r="A4132" t="s">
        <v>4046</v>
      </c>
      <c r="B4132" t="s">
        <v>4159</v>
      </c>
      <c r="C4132">
        <v>138</v>
      </c>
      <c r="D4132">
        <v>107</v>
      </c>
      <c r="E4132" t="s">
        <v>7</v>
      </c>
      <c r="F4132">
        <f>tbl_AQI[[#This Row],[Most AQI Reached]]-tbl_AQI[[#This Row],[Current AQI]]</f>
        <v>31</v>
      </c>
      <c r="G41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2">
        <f>RANK(tbl_AQI[[#This Row],[Current AQI]], tbl_AQI[Current AQI], 0)</f>
        <v>3387</v>
      </c>
    </row>
    <row r="4133" spans="1:8" x14ac:dyDescent="0.35">
      <c r="A4133" t="s">
        <v>4046</v>
      </c>
      <c r="B4133" t="s">
        <v>4160</v>
      </c>
      <c r="C4133">
        <v>303</v>
      </c>
      <c r="D4133">
        <v>70</v>
      </c>
      <c r="E4133" t="s">
        <v>33</v>
      </c>
      <c r="F4133">
        <f>tbl_AQI[[#This Row],[Most AQI Reached]]-tbl_AQI[[#This Row],[Current AQI]]</f>
        <v>233</v>
      </c>
      <c r="G41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33">
        <f>RANK(tbl_AQI[[#This Row],[Current AQI]], tbl_AQI[Current AQI], 0)</f>
        <v>4153</v>
      </c>
    </row>
    <row r="4134" spans="1:8" x14ac:dyDescent="0.35">
      <c r="A4134" t="s">
        <v>4046</v>
      </c>
      <c r="B4134" t="s">
        <v>4161</v>
      </c>
      <c r="C4134">
        <v>319</v>
      </c>
      <c r="D4134">
        <v>164</v>
      </c>
      <c r="E4134" t="s">
        <v>33</v>
      </c>
      <c r="F4134">
        <f>tbl_AQI[[#This Row],[Most AQI Reached]]-tbl_AQI[[#This Row],[Current AQI]]</f>
        <v>155</v>
      </c>
      <c r="G41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4">
        <f>RANK(tbl_AQI[[#This Row],[Current AQI]], tbl_AQI[Current AQI], 0)</f>
        <v>2049</v>
      </c>
    </row>
    <row r="4135" spans="1:8" x14ac:dyDescent="0.35">
      <c r="A4135" t="s">
        <v>4046</v>
      </c>
      <c r="B4135" t="s">
        <v>4162</v>
      </c>
      <c r="C4135">
        <v>243</v>
      </c>
      <c r="D4135">
        <v>178</v>
      </c>
      <c r="E4135" t="s">
        <v>7</v>
      </c>
      <c r="F4135">
        <f>tbl_AQI[[#This Row],[Most AQI Reached]]-tbl_AQI[[#This Row],[Current AQI]]</f>
        <v>65</v>
      </c>
      <c r="G41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5">
        <f>RANK(tbl_AQI[[#This Row],[Current AQI]], tbl_AQI[Current AQI], 0)</f>
        <v>1702</v>
      </c>
    </row>
    <row r="4136" spans="1:8" x14ac:dyDescent="0.35">
      <c r="A4136" t="s">
        <v>4046</v>
      </c>
      <c r="B4136" t="s">
        <v>4163</v>
      </c>
      <c r="C4136">
        <v>143</v>
      </c>
      <c r="D4136">
        <v>86</v>
      </c>
      <c r="E4136" t="s">
        <v>21</v>
      </c>
      <c r="F4136">
        <f>tbl_AQI[[#This Row],[Most AQI Reached]]-tbl_AQI[[#This Row],[Current AQI]]</f>
        <v>57</v>
      </c>
      <c r="G41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36">
        <f>RANK(tbl_AQI[[#This Row],[Current AQI]], tbl_AQI[Current AQI], 0)</f>
        <v>3830</v>
      </c>
    </row>
    <row r="4137" spans="1:8" x14ac:dyDescent="0.35">
      <c r="A4137" t="s">
        <v>4046</v>
      </c>
      <c r="B4137" t="s">
        <v>4164</v>
      </c>
      <c r="C4137">
        <v>241</v>
      </c>
      <c r="D4137">
        <v>120</v>
      </c>
      <c r="E4137" t="s">
        <v>11</v>
      </c>
      <c r="F4137">
        <f>tbl_AQI[[#This Row],[Most AQI Reached]]-tbl_AQI[[#This Row],[Current AQI]]</f>
        <v>121</v>
      </c>
      <c r="G41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7">
        <f>RANK(tbl_AQI[[#This Row],[Current AQI]], tbl_AQI[Current AQI], 0)</f>
        <v>3066</v>
      </c>
    </row>
    <row r="4138" spans="1:8" x14ac:dyDescent="0.35">
      <c r="A4138" t="s">
        <v>4046</v>
      </c>
      <c r="B4138" t="s">
        <v>4165</v>
      </c>
      <c r="C4138">
        <v>202</v>
      </c>
      <c r="D4138">
        <v>153</v>
      </c>
      <c r="E4138" t="s">
        <v>21</v>
      </c>
      <c r="F4138">
        <f>tbl_AQI[[#This Row],[Most AQI Reached]]-tbl_AQI[[#This Row],[Current AQI]]</f>
        <v>49</v>
      </c>
      <c r="G41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8">
        <f>RANK(tbl_AQI[[#This Row],[Current AQI]], tbl_AQI[Current AQI], 0)</f>
        <v>2329</v>
      </c>
    </row>
    <row r="4139" spans="1:8" x14ac:dyDescent="0.35">
      <c r="A4139" t="s">
        <v>4046</v>
      </c>
      <c r="B4139" t="s">
        <v>4166</v>
      </c>
      <c r="C4139">
        <v>177</v>
      </c>
      <c r="D4139">
        <v>168</v>
      </c>
      <c r="E4139" t="s">
        <v>11</v>
      </c>
      <c r="F4139">
        <f>tbl_AQI[[#This Row],[Most AQI Reached]]-tbl_AQI[[#This Row],[Current AQI]]</f>
        <v>9</v>
      </c>
      <c r="G41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39">
        <f>RANK(tbl_AQI[[#This Row],[Current AQI]], tbl_AQI[Current AQI], 0)</f>
        <v>1954</v>
      </c>
    </row>
    <row r="4140" spans="1:8" x14ac:dyDescent="0.35">
      <c r="A4140" t="s">
        <v>4046</v>
      </c>
      <c r="B4140" t="s">
        <v>4167</v>
      </c>
      <c r="C4140">
        <v>202</v>
      </c>
      <c r="D4140">
        <v>176</v>
      </c>
      <c r="E4140" t="s">
        <v>15</v>
      </c>
      <c r="F4140">
        <f>tbl_AQI[[#This Row],[Most AQI Reached]]-tbl_AQI[[#This Row],[Current AQI]]</f>
        <v>26</v>
      </c>
      <c r="G41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0">
        <f>RANK(tbl_AQI[[#This Row],[Current AQI]], tbl_AQI[Current AQI], 0)</f>
        <v>1754</v>
      </c>
    </row>
    <row r="4141" spans="1:8" x14ac:dyDescent="0.35">
      <c r="A4141" t="s">
        <v>4046</v>
      </c>
      <c r="B4141" t="s">
        <v>4168</v>
      </c>
      <c r="C4141">
        <v>313</v>
      </c>
      <c r="D4141">
        <v>56</v>
      </c>
      <c r="E4141" t="s">
        <v>21</v>
      </c>
      <c r="F4141">
        <f>tbl_AQI[[#This Row],[Most AQI Reached]]-tbl_AQI[[#This Row],[Current AQI]]</f>
        <v>257</v>
      </c>
      <c r="G41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41">
        <f>RANK(tbl_AQI[[#This Row],[Current AQI]], tbl_AQI[Current AQI], 0)</f>
        <v>4474</v>
      </c>
    </row>
    <row r="4142" spans="1:8" x14ac:dyDescent="0.35">
      <c r="A4142" t="s">
        <v>4046</v>
      </c>
      <c r="B4142" t="s">
        <v>4169</v>
      </c>
      <c r="C4142">
        <v>226</v>
      </c>
      <c r="D4142">
        <v>109</v>
      </c>
      <c r="E4142" t="s">
        <v>21</v>
      </c>
      <c r="F4142">
        <f>tbl_AQI[[#This Row],[Most AQI Reached]]-tbl_AQI[[#This Row],[Current AQI]]</f>
        <v>117</v>
      </c>
      <c r="G41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2">
        <f>RANK(tbl_AQI[[#This Row],[Current AQI]], tbl_AQI[Current AQI], 0)</f>
        <v>3338</v>
      </c>
    </row>
    <row r="4143" spans="1:8" x14ac:dyDescent="0.35">
      <c r="A4143" t="s">
        <v>4046</v>
      </c>
      <c r="B4143" t="s">
        <v>4170</v>
      </c>
      <c r="C4143">
        <v>194</v>
      </c>
      <c r="D4143">
        <v>147</v>
      </c>
      <c r="E4143" t="s">
        <v>17</v>
      </c>
      <c r="F4143">
        <f>tbl_AQI[[#This Row],[Most AQI Reached]]-tbl_AQI[[#This Row],[Current AQI]]</f>
        <v>47</v>
      </c>
      <c r="G41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3">
        <f>RANK(tbl_AQI[[#This Row],[Current AQI]], tbl_AQI[Current AQI], 0)</f>
        <v>2478</v>
      </c>
    </row>
    <row r="4144" spans="1:8" x14ac:dyDescent="0.35">
      <c r="A4144" t="s">
        <v>4046</v>
      </c>
      <c r="B4144" t="s">
        <v>4171</v>
      </c>
      <c r="C4144">
        <v>223</v>
      </c>
      <c r="D4144">
        <v>78</v>
      </c>
      <c r="E4144" t="s">
        <v>9</v>
      </c>
      <c r="F4144">
        <f>tbl_AQI[[#This Row],[Most AQI Reached]]-tbl_AQI[[#This Row],[Current AQI]]</f>
        <v>145</v>
      </c>
      <c r="G41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44">
        <f>RANK(tbl_AQI[[#This Row],[Current AQI]], tbl_AQI[Current AQI], 0)</f>
        <v>3989</v>
      </c>
    </row>
    <row r="4145" spans="1:8" x14ac:dyDescent="0.35">
      <c r="A4145" t="s">
        <v>4046</v>
      </c>
      <c r="B4145" t="s">
        <v>4172</v>
      </c>
      <c r="C4145">
        <v>290</v>
      </c>
      <c r="D4145">
        <v>174</v>
      </c>
      <c r="E4145" t="s">
        <v>7</v>
      </c>
      <c r="F4145">
        <f>tbl_AQI[[#This Row],[Most AQI Reached]]-tbl_AQI[[#This Row],[Current AQI]]</f>
        <v>116</v>
      </c>
      <c r="G41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5">
        <f>RANK(tbl_AQI[[#This Row],[Current AQI]], tbl_AQI[Current AQI], 0)</f>
        <v>1803</v>
      </c>
    </row>
    <row r="4146" spans="1:8" x14ac:dyDescent="0.35">
      <c r="A4146" t="s">
        <v>4046</v>
      </c>
      <c r="B4146" t="s">
        <v>4173</v>
      </c>
      <c r="C4146">
        <v>257</v>
      </c>
      <c r="D4146">
        <v>171</v>
      </c>
      <c r="E4146" t="s">
        <v>7</v>
      </c>
      <c r="F4146">
        <f>tbl_AQI[[#This Row],[Most AQI Reached]]-tbl_AQI[[#This Row],[Current AQI]]</f>
        <v>86</v>
      </c>
      <c r="G41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6">
        <f>RANK(tbl_AQI[[#This Row],[Current AQI]], tbl_AQI[Current AQI], 0)</f>
        <v>1866</v>
      </c>
    </row>
    <row r="4147" spans="1:8" x14ac:dyDescent="0.35">
      <c r="A4147" t="s">
        <v>4046</v>
      </c>
      <c r="B4147" t="s">
        <v>4174</v>
      </c>
      <c r="C4147">
        <v>185</v>
      </c>
      <c r="D4147">
        <v>135</v>
      </c>
      <c r="E4147" t="s">
        <v>9</v>
      </c>
      <c r="F4147">
        <f>tbl_AQI[[#This Row],[Most AQI Reached]]-tbl_AQI[[#This Row],[Current AQI]]</f>
        <v>50</v>
      </c>
      <c r="G41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7">
        <f>RANK(tbl_AQI[[#This Row],[Current AQI]], tbl_AQI[Current AQI], 0)</f>
        <v>2714</v>
      </c>
    </row>
    <row r="4148" spans="1:8" x14ac:dyDescent="0.35">
      <c r="A4148" t="s">
        <v>4046</v>
      </c>
      <c r="B4148" t="s">
        <v>4175</v>
      </c>
      <c r="C4148">
        <v>220</v>
      </c>
      <c r="D4148">
        <v>184</v>
      </c>
      <c r="E4148" t="s">
        <v>11</v>
      </c>
      <c r="F4148">
        <f>tbl_AQI[[#This Row],[Most AQI Reached]]-tbl_AQI[[#This Row],[Current AQI]]</f>
        <v>36</v>
      </c>
      <c r="G41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48">
        <f>RANK(tbl_AQI[[#This Row],[Current AQI]], tbl_AQI[Current AQI], 0)</f>
        <v>1544</v>
      </c>
    </row>
    <row r="4149" spans="1:8" x14ac:dyDescent="0.35">
      <c r="A4149" t="s">
        <v>4046</v>
      </c>
      <c r="B4149" t="s">
        <v>4176</v>
      </c>
      <c r="C4149">
        <v>113</v>
      </c>
      <c r="D4149">
        <v>35</v>
      </c>
      <c r="E4149" t="s">
        <v>15</v>
      </c>
      <c r="F4149">
        <f>tbl_AQI[[#This Row],[Most AQI Reached]]-tbl_AQI[[#This Row],[Current AQI]]</f>
        <v>78</v>
      </c>
      <c r="G41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49">
        <f>RANK(tbl_AQI[[#This Row],[Current AQI]], tbl_AQI[Current AQI], 0)</f>
        <v>4916</v>
      </c>
    </row>
    <row r="4150" spans="1:8" x14ac:dyDescent="0.35">
      <c r="A4150" t="s">
        <v>4046</v>
      </c>
      <c r="B4150" t="s">
        <v>4177</v>
      </c>
      <c r="C4150">
        <v>211</v>
      </c>
      <c r="D4150">
        <v>91</v>
      </c>
      <c r="E4150" t="s">
        <v>11</v>
      </c>
      <c r="F4150">
        <f>tbl_AQI[[#This Row],[Most AQI Reached]]-tbl_AQI[[#This Row],[Current AQI]]</f>
        <v>120</v>
      </c>
      <c r="G41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0">
        <f>RANK(tbl_AQI[[#This Row],[Current AQI]], tbl_AQI[Current AQI], 0)</f>
        <v>3726</v>
      </c>
    </row>
    <row r="4151" spans="1:8" x14ac:dyDescent="0.35">
      <c r="A4151" t="s">
        <v>4046</v>
      </c>
      <c r="B4151" t="s">
        <v>4178</v>
      </c>
      <c r="C4151">
        <v>234</v>
      </c>
      <c r="D4151">
        <v>64</v>
      </c>
      <c r="E4151" t="s">
        <v>15</v>
      </c>
      <c r="F4151">
        <f>tbl_AQI[[#This Row],[Most AQI Reached]]-tbl_AQI[[#This Row],[Current AQI]]</f>
        <v>170</v>
      </c>
      <c r="G41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1">
        <f>RANK(tbl_AQI[[#This Row],[Current AQI]], tbl_AQI[Current AQI], 0)</f>
        <v>4293</v>
      </c>
    </row>
    <row r="4152" spans="1:8" x14ac:dyDescent="0.35">
      <c r="A4152" t="s">
        <v>4046</v>
      </c>
      <c r="B4152" t="s">
        <v>4179</v>
      </c>
      <c r="C4152">
        <v>233</v>
      </c>
      <c r="D4152">
        <v>67</v>
      </c>
      <c r="E4152" t="s">
        <v>7</v>
      </c>
      <c r="F4152">
        <f>tbl_AQI[[#This Row],[Most AQI Reached]]-tbl_AQI[[#This Row],[Current AQI]]</f>
        <v>166</v>
      </c>
      <c r="G41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2">
        <f>RANK(tbl_AQI[[#This Row],[Current AQI]], tbl_AQI[Current AQI], 0)</f>
        <v>4225</v>
      </c>
    </row>
    <row r="4153" spans="1:8" x14ac:dyDescent="0.35">
      <c r="A4153" t="s">
        <v>4046</v>
      </c>
      <c r="B4153" t="s">
        <v>4180</v>
      </c>
      <c r="C4153">
        <v>171</v>
      </c>
      <c r="D4153">
        <v>54</v>
      </c>
      <c r="E4153" t="s">
        <v>11</v>
      </c>
      <c r="F4153">
        <f>tbl_AQI[[#This Row],[Most AQI Reached]]-tbl_AQI[[#This Row],[Current AQI]]</f>
        <v>117</v>
      </c>
      <c r="G41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3">
        <f>RANK(tbl_AQI[[#This Row],[Current AQI]], tbl_AQI[Current AQI], 0)</f>
        <v>4523</v>
      </c>
    </row>
    <row r="4154" spans="1:8" x14ac:dyDescent="0.35">
      <c r="A4154" t="s">
        <v>4046</v>
      </c>
      <c r="B4154" t="s">
        <v>4181</v>
      </c>
      <c r="C4154">
        <v>64</v>
      </c>
      <c r="D4154">
        <v>46</v>
      </c>
      <c r="E4154" t="s">
        <v>33</v>
      </c>
      <c r="F4154">
        <f>tbl_AQI[[#This Row],[Most AQI Reached]]-tbl_AQI[[#This Row],[Current AQI]]</f>
        <v>18</v>
      </c>
      <c r="G41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54">
        <f>RANK(tbl_AQI[[#This Row],[Current AQI]], tbl_AQI[Current AQI], 0)</f>
        <v>4680</v>
      </c>
    </row>
    <row r="4155" spans="1:8" x14ac:dyDescent="0.35">
      <c r="A4155" t="s">
        <v>4046</v>
      </c>
      <c r="B4155" t="s">
        <v>4182</v>
      </c>
      <c r="C4155">
        <v>204</v>
      </c>
      <c r="D4155">
        <v>185</v>
      </c>
      <c r="E4155" t="s">
        <v>17</v>
      </c>
      <c r="F4155">
        <f>tbl_AQI[[#This Row],[Most AQI Reached]]-tbl_AQI[[#This Row],[Current AQI]]</f>
        <v>19</v>
      </c>
      <c r="G41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55">
        <f>RANK(tbl_AQI[[#This Row],[Current AQI]], tbl_AQI[Current AQI], 0)</f>
        <v>1517</v>
      </c>
    </row>
    <row r="4156" spans="1:8" x14ac:dyDescent="0.35">
      <c r="A4156" t="s">
        <v>4046</v>
      </c>
      <c r="B4156" t="s">
        <v>4183</v>
      </c>
      <c r="C4156">
        <v>234</v>
      </c>
      <c r="D4156">
        <v>81</v>
      </c>
      <c r="E4156" t="s">
        <v>21</v>
      </c>
      <c r="F4156">
        <f>tbl_AQI[[#This Row],[Most AQI Reached]]-tbl_AQI[[#This Row],[Current AQI]]</f>
        <v>153</v>
      </c>
      <c r="G41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6">
        <f>RANK(tbl_AQI[[#This Row],[Current AQI]], tbl_AQI[Current AQI], 0)</f>
        <v>3923</v>
      </c>
    </row>
    <row r="4157" spans="1:8" x14ac:dyDescent="0.35">
      <c r="A4157" t="s">
        <v>4046</v>
      </c>
      <c r="B4157" t="s">
        <v>4184</v>
      </c>
      <c r="C4157">
        <v>212</v>
      </c>
      <c r="D4157">
        <v>163</v>
      </c>
      <c r="E4157" t="s">
        <v>11</v>
      </c>
      <c r="F4157">
        <f>tbl_AQI[[#This Row],[Most AQI Reached]]-tbl_AQI[[#This Row],[Current AQI]]</f>
        <v>49</v>
      </c>
      <c r="G41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57">
        <f>RANK(tbl_AQI[[#This Row],[Current AQI]], tbl_AQI[Current AQI], 0)</f>
        <v>2075</v>
      </c>
    </row>
    <row r="4158" spans="1:8" x14ac:dyDescent="0.35">
      <c r="A4158" t="s">
        <v>4046</v>
      </c>
      <c r="B4158" t="s">
        <v>4185</v>
      </c>
      <c r="C4158">
        <v>219</v>
      </c>
      <c r="D4158">
        <v>70</v>
      </c>
      <c r="E4158" t="s">
        <v>7</v>
      </c>
      <c r="F4158">
        <f>tbl_AQI[[#This Row],[Most AQI Reached]]-tbl_AQI[[#This Row],[Current AQI]]</f>
        <v>149</v>
      </c>
      <c r="G41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8">
        <f>RANK(tbl_AQI[[#This Row],[Current AQI]], tbl_AQI[Current AQI], 0)</f>
        <v>4153</v>
      </c>
    </row>
    <row r="4159" spans="1:8" x14ac:dyDescent="0.35">
      <c r="A4159" t="s">
        <v>4046</v>
      </c>
      <c r="B4159" t="s">
        <v>4186</v>
      </c>
      <c r="C4159">
        <v>235</v>
      </c>
      <c r="D4159">
        <v>93</v>
      </c>
      <c r="E4159" t="s">
        <v>21</v>
      </c>
      <c r="F4159">
        <f>tbl_AQI[[#This Row],[Most AQI Reached]]-tbl_AQI[[#This Row],[Current AQI]]</f>
        <v>142</v>
      </c>
      <c r="G41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59">
        <f>RANK(tbl_AQI[[#This Row],[Current AQI]], tbl_AQI[Current AQI], 0)</f>
        <v>3678</v>
      </c>
    </row>
    <row r="4160" spans="1:8" x14ac:dyDescent="0.35">
      <c r="A4160" t="s">
        <v>4046</v>
      </c>
      <c r="B4160" t="s">
        <v>4187</v>
      </c>
      <c r="C4160">
        <v>287</v>
      </c>
      <c r="D4160">
        <v>148</v>
      </c>
      <c r="E4160" t="s">
        <v>15</v>
      </c>
      <c r="F4160">
        <f>tbl_AQI[[#This Row],[Most AQI Reached]]-tbl_AQI[[#This Row],[Current AQI]]</f>
        <v>139</v>
      </c>
      <c r="G41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60">
        <f>RANK(tbl_AQI[[#This Row],[Current AQI]], tbl_AQI[Current AQI], 0)</f>
        <v>2446</v>
      </c>
    </row>
    <row r="4161" spans="1:8" x14ac:dyDescent="0.35">
      <c r="A4161" t="s">
        <v>4046</v>
      </c>
      <c r="B4161" t="s">
        <v>4188</v>
      </c>
      <c r="C4161">
        <v>122</v>
      </c>
      <c r="D4161">
        <v>41</v>
      </c>
      <c r="E4161" t="s">
        <v>21</v>
      </c>
      <c r="F4161">
        <f>tbl_AQI[[#This Row],[Most AQI Reached]]-tbl_AQI[[#This Row],[Current AQI]]</f>
        <v>81</v>
      </c>
      <c r="G41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61">
        <f>RANK(tbl_AQI[[#This Row],[Current AQI]], tbl_AQI[Current AQI], 0)</f>
        <v>4789</v>
      </c>
    </row>
    <row r="4162" spans="1:8" x14ac:dyDescent="0.35">
      <c r="A4162" t="s">
        <v>4046</v>
      </c>
      <c r="B4162" t="s">
        <v>4189</v>
      </c>
      <c r="C4162">
        <v>106</v>
      </c>
      <c r="D4162">
        <v>64</v>
      </c>
      <c r="E4162" t="s">
        <v>11</v>
      </c>
      <c r="F4162">
        <f>tbl_AQI[[#This Row],[Most AQI Reached]]-tbl_AQI[[#This Row],[Current AQI]]</f>
        <v>42</v>
      </c>
      <c r="G41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62">
        <f>RANK(tbl_AQI[[#This Row],[Current AQI]], tbl_AQI[Current AQI], 0)</f>
        <v>4293</v>
      </c>
    </row>
    <row r="4163" spans="1:8" x14ac:dyDescent="0.35">
      <c r="A4163" t="s">
        <v>4046</v>
      </c>
      <c r="B4163" t="s">
        <v>4190</v>
      </c>
      <c r="C4163">
        <v>300</v>
      </c>
      <c r="D4163">
        <v>123</v>
      </c>
      <c r="E4163" t="s">
        <v>15</v>
      </c>
      <c r="F4163">
        <f>tbl_AQI[[#This Row],[Most AQI Reached]]-tbl_AQI[[#This Row],[Current AQI]]</f>
        <v>177</v>
      </c>
      <c r="G41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63">
        <f>RANK(tbl_AQI[[#This Row],[Current AQI]], tbl_AQI[Current AQI], 0)</f>
        <v>2983</v>
      </c>
    </row>
    <row r="4164" spans="1:8" x14ac:dyDescent="0.35">
      <c r="A4164" t="s">
        <v>4046</v>
      </c>
      <c r="B4164" t="s">
        <v>4191</v>
      </c>
      <c r="C4164">
        <v>244</v>
      </c>
      <c r="D4164">
        <v>71</v>
      </c>
      <c r="E4164" t="s">
        <v>15</v>
      </c>
      <c r="F4164">
        <f>tbl_AQI[[#This Row],[Most AQI Reached]]-tbl_AQI[[#This Row],[Current AQI]]</f>
        <v>173</v>
      </c>
      <c r="G41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64">
        <f>RANK(tbl_AQI[[#This Row],[Current AQI]], tbl_AQI[Current AQI], 0)</f>
        <v>4129</v>
      </c>
    </row>
    <row r="4165" spans="1:8" x14ac:dyDescent="0.35">
      <c r="A4165" t="s">
        <v>4046</v>
      </c>
      <c r="B4165" t="s">
        <v>4192</v>
      </c>
      <c r="C4165">
        <v>187</v>
      </c>
      <c r="D4165">
        <v>45</v>
      </c>
      <c r="E4165" t="s">
        <v>9</v>
      </c>
      <c r="F4165">
        <f>tbl_AQI[[#This Row],[Most AQI Reached]]-tbl_AQI[[#This Row],[Current AQI]]</f>
        <v>142</v>
      </c>
      <c r="G41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65">
        <f>RANK(tbl_AQI[[#This Row],[Current AQI]], tbl_AQI[Current AQI], 0)</f>
        <v>4702</v>
      </c>
    </row>
    <row r="4166" spans="1:8" x14ac:dyDescent="0.35">
      <c r="A4166" t="s">
        <v>4046</v>
      </c>
      <c r="B4166" t="s">
        <v>4193</v>
      </c>
      <c r="C4166">
        <v>311</v>
      </c>
      <c r="D4166">
        <v>127</v>
      </c>
      <c r="E4166" t="s">
        <v>7</v>
      </c>
      <c r="F4166">
        <f>tbl_AQI[[#This Row],[Most AQI Reached]]-tbl_AQI[[#This Row],[Current AQI]]</f>
        <v>184</v>
      </c>
      <c r="G41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66">
        <f>RANK(tbl_AQI[[#This Row],[Current AQI]], tbl_AQI[Current AQI], 0)</f>
        <v>2909</v>
      </c>
    </row>
    <row r="4167" spans="1:8" x14ac:dyDescent="0.35">
      <c r="A4167" t="s">
        <v>4046</v>
      </c>
      <c r="B4167" t="s">
        <v>4194</v>
      </c>
      <c r="C4167">
        <v>227</v>
      </c>
      <c r="D4167">
        <v>141</v>
      </c>
      <c r="E4167" t="s">
        <v>17</v>
      </c>
      <c r="F4167">
        <f>tbl_AQI[[#This Row],[Most AQI Reached]]-tbl_AQI[[#This Row],[Current AQI]]</f>
        <v>86</v>
      </c>
      <c r="G41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67">
        <f>RANK(tbl_AQI[[#This Row],[Current AQI]], tbl_AQI[Current AQI], 0)</f>
        <v>2609</v>
      </c>
    </row>
    <row r="4168" spans="1:8" x14ac:dyDescent="0.35">
      <c r="A4168" t="s">
        <v>4046</v>
      </c>
      <c r="B4168" t="s">
        <v>4195</v>
      </c>
      <c r="C4168">
        <v>223</v>
      </c>
      <c r="D4168">
        <v>110</v>
      </c>
      <c r="E4168" t="s">
        <v>7</v>
      </c>
      <c r="F4168">
        <f>tbl_AQI[[#This Row],[Most AQI Reached]]-tbl_AQI[[#This Row],[Current AQI]]</f>
        <v>113</v>
      </c>
      <c r="G41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68">
        <f>RANK(tbl_AQI[[#This Row],[Current AQI]], tbl_AQI[Current AQI], 0)</f>
        <v>3302</v>
      </c>
    </row>
    <row r="4169" spans="1:8" x14ac:dyDescent="0.35">
      <c r="A4169" t="s">
        <v>4046</v>
      </c>
      <c r="B4169" t="s">
        <v>4196</v>
      </c>
      <c r="C4169">
        <v>293</v>
      </c>
      <c r="D4169">
        <v>88</v>
      </c>
      <c r="E4169" t="s">
        <v>21</v>
      </c>
      <c r="F4169">
        <f>tbl_AQI[[#This Row],[Most AQI Reached]]-tbl_AQI[[#This Row],[Current AQI]]</f>
        <v>205</v>
      </c>
      <c r="G41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69">
        <f>RANK(tbl_AQI[[#This Row],[Current AQI]], tbl_AQI[Current AQI], 0)</f>
        <v>3792</v>
      </c>
    </row>
    <row r="4170" spans="1:8" x14ac:dyDescent="0.35">
      <c r="A4170" t="s">
        <v>4046</v>
      </c>
      <c r="B4170" t="s">
        <v>4197</v>
      </c>
      <c r="C4170">
        <v>225</v>
      </c>
      <c r="D4170">
        <v>109</v>
      </c>
      <c r="E4170" t="s">
        <v>33</v>
      </c>
      <c r="F4170">
        <f>tbl_AQI[[#This Row],[Most AQI Reached]]-tbl_AQI[[#This Row],[Current AQI]]</f>
        <v>116</v>
      </c>
      <c r="G41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70">
        <f>RANK(tbl_AQI[[#This Row],[Current AQI]], tbl_AQI[Current AQI], 0)</f>
        <v>3338</v>
      </c>
    </row>
    <row r="4171" spans="1:8" x14ac:dyDescent="0.35">
      <c r="A4171" t="s">
        <v>4046</v>
      </c>
      <c r="B4171" t="s">
        <v>4198</v>
      </c>
      <c r="C4171">
        <v>127</v>
      </c>
      <c r="D4171">
        <v>31</v>
      </c>
      <c r="E4171" t="s">
        <v>11</v>
      </c>
      <c r="F4171">
        <f>tbl_AQI[[#This Row],[Most AQI Reached]]-tbl_AQI[[#This Row],[Current AQI]]</f>
        <v>96</v>
      </c>
      <c r="G41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71">
        <f>RANK(tbl_AQI[[#This Row],[Current AQI]], tbl_AQI[Current AQI], 0)</f>
        <v>5016</v>
      </c>
    </row>
    <row r="4172" spans="1:8" x14ac:dyDescent="0.35">
      <c r="A4172" t="s">
        <v>4046</v>
      </c>
      <c r="B4172" t="s">
        <v>4199</v>
      </c>
      <c r="C4172">
        <v>289</v>
      </c>
      <c r="D4172">
        <v>71</v>
      </c>
      <c r="E4172" t="s">
        <v>15</v>
      </c>
      <c r="F4172">
        <f>tbl_AQI[[#This Row],[Most AQI Reached]]-tbl_AQI[[#This Row],[Current AQI]]</f>
        <v>218</v>
      </c>
      <c r="G41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72">
        <f>RANK(tbl_AQI[[#This Row],[Current AQI]], tbl_AQI[Current AQI], 0)</f>
        <v>4129</v>
      </c>
    </row>
    <row r="4173" spans="1:8" x14ac:dyDescent="0.35">
      <c r="A4173" t="s">
        <v>4046</v>
      </c>
      <c r="B4173" t="s">
        <v>4200</v>
      </c>
      <c r="C4173">
        <v>302</v>
      </c>
      <c r="D4173">
        <v>179</v>
      </c>
      <c r="E4173" t="s">
        <v>21</v>
      </c>
      <c r="F4173">
        <f>tbl_AQI[[#This Row],[Most AQI Reached]]-tbl_AQI[[#This Row],[Current AQI]]</f>
        <v>123</v>
      </c>
      <c r="G41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73">
        <f>RANK(tbl_AQI[[#This Row],[Current AQI]], tbl_AQI[Current AQI], 0)</f>
        <v>1667</v>
      </c>
    </row>
    <row r="4174" spans="1:8" x14ac:dyDescent="0.35">
      <c r="A4174" t="s">
        <v>4046</v>
      </c>
      <c r="B4174" t="s">
        <v>4201</v>
      </c>
      <c r="C4174">
        <v>190</v>
      </c>
      <c r="D4174">
        <v>116</v>
      </c>
      <c r="E4174" t="s">
        <v>17</v>
      </c>
      <c r="F4174">
        <f>tbl_AQI[[#This Row],[Most AQI Reached]]-tbl_AQI[[#This Row],[Current AQI]]</f>
        <v>74</v>
      </c>
      <c r="G41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74">
        <f>RANK(tbl_AQI[[#This Row],[Current AQI]], tbl_AQI[Current AQI], 0)</f>
        <v>3173</v>
      </c>
    </row>
    <row r="4175" spans="1:8" x14ac:dyDescent="0.35">
      <c r="A4175" t="s">
        <v>4046</v>
      </c>
      <c r="B4175" t="s">
        <v>4202</v>
      </c>
      <c r="C4175">
        <v>263</v>
      </c>
      <c r="D4175">
        <v>161</v>
      </c>
      <c r="E4175" t="s">
        <v>21</v>
      </c>
      <c r="F4175">
        <f>tbl_AQI[[#This Row],[Most AQI Reached]]-tbl_AQI[[#This Row],[Current AQI]]</f>
        <v>102</v>
      </c>
      <c r="G41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75">
        <f>RANK(tbl_AQI[[#This Row],[Current AQI]], tbl_AQI[Current AQI], 0)</f>
        <v>2129</v>
      </c>
    </row>
    <row r="4176" spans="1:8" x14ac:dyDescent="0.35">
      <c r="A4176" t="s">
        <v>4046</v>
      </c>
      <c r="B4176" t="s">
        <v>4203</v>
      </c>
      <c r="C4176">
        <v>289</v>
      </c>
      <c r="D4176">
        <v>126</v>
      </c>
      <c r="E4176" t="s">
        <v>7</v>
      </c>
      <c r="F4176">
        <f>tbl_AQI[[#This Row],[Most AQI Reached]]-tbl_AQI[[#This Row],[Current AQI]]</f>
        <v>163</v>
      </c>
      <c r="G41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76">
        <f>RANK(tbl_AQI[[#This Row],[Current AQI]], tbl_AQI[Current AQI], 0)</f>
        <v>2934</v>
      </c>
    </row>
    <row r="4177" spans="1:8" x14ac:dyDescent="0.35">
      <c r="A4177" t="s">
        <v>4046</v>
      </c>
      <c r="B4177" t="s">
        <v>4204</v>
      </c>
      <c r="C4177">
        <v>120</v>
      </c>
      <c r="D4177">
        <v>97</v>
      </c>
      <c r="E4177" t="s">
        <v>33</v>
      </c>
      <c r="F4177">
        <f>tbl_AQI[[#This Row],[Most AQI Reached]]-tbl_AQI[[#This Row],[Current AQI]]</f>
        <v>23</v>
      </c>
      <c r="G41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77">
        <f>RANK(tbl_AQI[[#This Row],[Current AQI]], tbl_AQI[Current AQI], 0)</f>
        <v>3593</v>
      </c>
    </row>
    <row r="4178" spans="1:8" x14ac:dyDescent="0.35">
      <c r="A4178" t="s">
        <v>4046</v>
      </c>
      <c r="B4178" t="s">
        <v>4205</v>
      </c>
      <c r="C4178">
        <v>93</v>
      </c>
      <c r="D4178">
        <v>80</v>
      </c>
      <c r="E4178" t="s">
        <v>9</v>
      </c>
      <c r="F4178">
        <f>tbl_AQI[[#This Row],[Most AQI Reached]]-tbl_AQI[[#This Row],[Current AQI]]</f>
        <v>13</v>
      </c>
      <c r="G41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78">
        <f>RANK(tbl_AQI[[#This Row],[Current AQI]], tbl_AQI[Current AQI], 0)</f>
        <v>3948</v>
      </c>
    </row>
    <row r="4179" spans="1:8" x14ac:dyDescent="0.35">
      <c r="A4179" t="s">
        <v>4046</v>
      </c>
      <c r="B4179" t="s">
        <v>4206</v>
      </c>
      <c r="C4179">
        <v>283</v>
      </c>
      <c r="D4179">
        <v>189</v>
      </c>
      <c r="E4179" t="s">
        <v>33</v>
      </c>
      <c r="F4179">
        <f>tbl_AQI[[#This Row],[Most AQI Reached]]-tbl_AQI[[#This Row],[Current AQI]]</f>
        <v>94</v>
      </c>
      <c r="G41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79">
        <f>RANK(tbl_AQI[[#This Row],[Current AQI]], tbl_AQI[Current AQI], 0)</f>
        <v>1395</v>
      </c>
    </row>
    <row r="4180" spans="1:8" x14ac:dyDescent="0.35">
      <c r="A4180" t="s">
        <v>4046</v>
      </c>
      <c r="B4180" t="s">
        <v>4207</v>
      </c>
      <c r="C4180">
        <v>280</v>
      </c>
      <c r="D4180">
        <v>97</v>
      </c>
      <c r="E4180" t="s">
        <v>9</v>
      </c>
      <c r="F4180">
        <f>tbl_AQI[[#This Row],[Most AQI Reached]]-tbl_AQI[[#This Row],[Current AQI]]</f>
        <v>183</v>
      </c>
      <c r="G41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80">
        <f>RANK(tbl_AQI[[#This Row],[Current AQI]], tbl_AQI[Current AQI], 0)</f>
        <v>3593</v>
      </c>
    </row>
    <row r="4181" spans="1:8" x14ac:dyDescent="0.35">
      <c r="A4181" t="s">
        <v>4046</v>
      </c>
      <c r="B4181" t="s">
        <v>4208</v>
      </c>
      <c r="C4181">
        <v>218</v>
      </c>
      <c r="D4181">
        <v>187</v>
      </c>
      <c r="E4181" t="s">
        <v>9</v>
      </c>
      <c r="F4181">
        <f>tbl_AQI[[#This Row],[Most AQI Reached]]-tbl_AQI[[#This Row],[Current AQI]]</f>
        <v>31</v>
      </c>
      <c r="G41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81">
        <f>RANK(tbl_AQI[[#This Row],[Current AQI]], tbl_AQI[Current AQI], 0)</f>
        <v>1455</v>
      </c>
    </row>
    <row r="4182" spans="1:8" x14ac:dyDescent="0.35">
      <c r="A4182" t="s">
        <v>4046</v>
      </c>
      <c r="B4182" t="s">
        <v>4209</v>
      </c>
      <c r="C4182">
        <v>169</v>
      </c>
      <c r="D4182">
        <v>92</v>
      </c>
      <c r="E4182" t="s">
        <v>17</v>
      </c>
      <c r="F4182">
        <f>tbl_AQI[[#This Row],[Most AQI Reached]]-tbl_AQI[[#This Row],[Current AQI]]</f>
        <v>77</v>
      </c>
      <c r="G41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82">
        <f>RANK(tbl_AQI[[#This Row],[Current AQI]], tbl_AQI[Current AQI], 0)</f>
        <v>3706</v>
      </c>
    </row>
    <row r="4183" spans="1:8" x14ac:dyDescent="0.35">
      <c r="A4183" t="s">
        <v>4046</v>
      </c>
      <c r="B4183" t="s">
        <v>4210</v>
      </c>
      <c r="C4183">
        <v>202</v>
      </c>
      <c r="D4183">
        <v>86</v>
      </c>
      <c r="E4183" t="s">
        <v>21</v>
      </c>
      <c r="F4183">
        <f>tbl_AQI[[#This Row],[Most AQI Reached]]-tbl_AQI[[#This Row],[Current AQI]]</f>
        <v>116</v>
      </c>
      <c r="G41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83">
        <f>RANK(tbl_AQI[[#This Row],[Current AQI]], tbl_AQI[Current AQI], 0)</f>
        <v>3830</v>
      </c>
    </row>
    <row r="4184" spans="1:8" x14ac:dyDescent="0.35">
      <c r="A4184" t="s">
        <v>4046</v>
      </c>
      <c r="B4184" t="s">
        <v>4211</v>
      </c>
      <c r="C4184">
        <v>269</v>
      </c>
      <c r="D4184">
        <v>67</v>
      </c>
      <c r="E4184" t="s">
        <v>11</v>
      </c>
      <c r="F4184">
        <f>tbl_AQI[[#This Row],[Most AQI Reached]]-tbl_AQI[[#This Row],[Current AQI]]</f>
        <v>202</v>
      </c>
      <c r="G41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84">
        <f>RANK(tbl_AQI[[#This Row],[Current AQI]], tbl_AQI[Current AQI], 0)</f>
        <v>4225</v>
      </c>
    </row>
    <row r="4185" spans="1:8" x14ac:dyDescent="0.35">
      <c r="A4185" t="s">
        <v>4046</v>
      </c>
      <c r="B4185" t="s">
        <v>4212</v>
      </c>
      <c r="C4185">
        <v>253</v>
      </c>
      <c r="D4185">
        <v>90</v>
      </c>
      <c r="E4185" t="s">
        <v>15</v>
      </c>
      <c r="F4185">
        <f>tbl_AQI[[#This Row],[Most AQI Reached]]-tbl_AQI[[#This Row],[Current AQI]]</f>
        <v>163</v>
      </c>
      <c r="G41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85">
        <f>RANK(tbl_AQI[[#This Row],[Current AQI]], tbl_AQI[Current AQI], 0)</f>
        <v>3750</v>
      </c>
    </row>
    <row r="4186" spans="1:8" x14ac:dyDescent="0.35">
      <c r="A4186" t="s">
        <v>4046</v>
      </c>
      <c r="B4186" t="s">
        <v>4213</v>
      </c>
      <c r="C4186">
        <v>313</v>
      </c>
      <c r="D4186">
        <v>178</v>
      </c>
      <c r="E4186" t="s">
        <v>7</v>
      </c>
      <c r="F4186">
        <f>tbl_AQI[[#This Row],[Most AQI Reached]]-tbl_AQI[[#This Row],[Current AQI]]</f>
        <v>135</v>
      </c>
      <c r="G41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86">
        <f>RANK(tbl_AQI[[#This Row],[Current AQI]], tbl_AQI[Current AQI], 0)</f>
        <v>1702</v>
      </c>
    </row>
    <row r="4187" spans="1:8" x14ac:dyDescent="0.35">
      <c r="A4187" t="s">
        <v>4046</v>
      </c>
      <c r="B4187" t="s">
        <v>4214</v>
      </c>
      <c r="C4187">
        <v>295</v>
      </c>
      <c r="D4187">
        <v>169</v>
      </c>
      <c r="E4187" t="s">
        <v>11</v>
      </c>
      <c r="F4187">
        <f>tbl_AQI[[#This Row],[Most AQI Reached]]-tbl_AQI[[#This Row],[Current AQI]]</f>
        <v>126</v>
      </c>
      <c r="G41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87">
        <f>RANK(tbl_AQI[[#This Row],[Current AQI]], tbl_AQI[Current AQI], 0)</f>
        <v>1925</v>
      </c>
    </row>
    <row r="4188" spans="1:8" x14ac:dyDescent="0.35">
      <c r="A4188" t="s">
        <v>4046</v>
      </c>
      <c r="B4188" t="s">
        <v>4215</v>
      </c>
      <c r="C4188">
        <v>260</v>
      </c>
      <c r="D4188">
        <v>55</v>
      </c>
      <c r="E4188" t="s">
        <v>17</v>
      </c>
      <c r="F4188">
        <f>tbl_AQI[[#This Row],[Most AQI Reached]]-tbl_AQI[[#This Row],[Current AQI]]</f>
        <v>205</v>
      </c>
      <c r="G41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88">
        <f>RANK(tbl_AQI[[#This Row],[Current AQI]], tbl_AQI[Current AQI], 0)</f>
        <v>4497</v>
      </c>
    </row>
    <row r="4189" spans="1:8" x14ac:dyDescent="0.35">
      <c r="A4189" t="s">
        <v>4046</v>
      </c>
      <c r="B4189" t="s">
        <v>4216</v>
      </c>
      <c r="C4189">
        <v>163</v>
      </c>
      <c r="D4189">
        <v>113</v>
      </c>
      <c r="E4189" t="s">
        <v>33</v>
      </c>
      <c r="F4189">
        <f>tbl_AQI[[#This Row],[Most AQI Reached]]-tbl_AQI[[#This Row],[Current AQI]]</f>
        <v>50</v>
      </c>
      <c r="G41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89">
        <f>RANK(tbl_AQI[[#This Row],[Current AQI]], tbl_AQI[Current AQI], 0)</f>
        <v>3243</v>
      </c>
    </row>
    <row r="4190" spans="1:8" x14ac:dyDescent="0.35">
      <c r="A4190" t="s">
        <v>4046</v>
      </c>
      <c r="B4190" t="s">
        <v>4217</v>
      </c>
      <c r="C4190">
        <v>288</v>
      </c>
      <c r="D4190">
        <v>115</v>
      </c>
      <c r="E4190" t="s">
        <v>17</v>
      </c>
      <c r="F4190">
        <f>tbl_AQI[[#This Row],[Most AQI Reached]]-tbl_AQI[[#This Row],[Current AQI]]</f>
        <v>173</v>
      </c>
      <c r="G41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90">
        <f>RANK(tbl_AQI[[#This Row],[Current AQI]], tbl_AQI[Current AQI], 0)</f>
        <v>3206</v>
      </c>
    </row>
    <row r="4191" spans="1:8" x14ac:dyDescent="0.35">
      <c r="A4191" t="s">
        <v>4046</v>
      </c>
      <c r="B4191" t="s">
        <v>4218</v>
      </c>
      <c r="C4191">
        <v>250</v>
      </c>
      <c r="D4191">
        <v>162</v>
      </c>
      <c r="E4191" t="s">
        <v>7</v>
      </c>
      <c r="F4191">
        <f>tbl_AQI[[#This Row],[Most AQI Reached]]-tbl_AQI[[#This Row],[Current AQI]]</f>
        <v>88</v>
      </c>
      <c r="G41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91">
        <f>RANK(tbl_AQI[[#This Row],[Current AQI]], tbl_AQI[Current AQI], 0)</f>
        <v>2106</v>
      </c>
    </row>
    <row r="4192" spans="1:8" x14ac:dyDescent="0.35">
      <c r="A4192" t="s">
        <v>4046</v>
      </c>
      <c r="B4192" t="s">
        <v>4219</v>
      </c>
      <c r="C4192">
        <v>299</v>
      </c>
      <c r="D4192">
        <v>119</v>
      </c>
      <c r="E4192" t="s">
        <v>33</v>
      </c>
      <c r="F4192">
        <f>tbl_AQI[[#This Row],[Most AQI Reached]]-tbl_AQI[[#This Row],[Current AQI]]</f>
        <v>180</v>
      </c>
      <c r="G41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92">
        <f>RANK(tbl_AQI[[#This Row],[Current AQI]], tbl_AQI[Current AQI], 0)</f>
        <v>3093</v>
      </c>
    </row>
    <row r="4193" spans="1:8" x14ac:dyDescent="0.35">
      <c r="A4193" t="s">
        <v>4046</v>
      </c>
      <c r="B4193" t="s">
        <v>4220</v>
      </c>
      <c r="C4193">
        <v>156</v>
      </c>
      <c r="D4193">
        <v>125</v>
      </c>
      <c r="E4193" t="s">
        <v>21</v>
      </c>
      <c r="F4193">
        <f>tbl_AQI[[#This Row],[Most AQI Reached]]-tbl_AQI[[#This Row],[Current AQI]]</f>
        <v>31</v>
      </c>
      <c r="G41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93">
        <f>RANK(tbl_AQI[[#This Row],[Current AQI]], tbl_AQI[Current AQI], 0)</f>
        <v>2951</v>
      </c>
    </row>
    <row r="4194" spans="1:8" x14ac:dyDescent="0.35">
      <c r="A4194" t="s">
        <v>4046</v>
      </c>
      <c r="B4194" t="s">
        <v>4221</v>
      </c>
      <c r="C4194">
        <v>99</v>
      </c>
      <c r="D4194">
        <v>47</v>
      </c>
      <c r="E4194" t="s">
        <v>7</v>
      </c>
      <c r="F4194">
        <f>tbl_AQI[[#This Row],[Most AQI Reached]]-tbl_AQI[[#This Row],[Current AQI]]</f>
        <v>52</v>
      </c>
      <c r="G41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194">
        <f>RANK(tbl_AQI[[#This Row],[Current AQI]], tbl_AQI[Current AQI], 0)</f>
        <v>4656</v>
      </c>
    </row>
    <row r="4195" spans="1:8" x14ac:dyDescent="0.35">
      <c r="A4195" t="s">
        <v>4046</v>
      </c>
      <c r="B4195" t="s">
        <v>4222</v>
      </c>
      <c r="C4195">
        <v>203</v>
      </c>
      <c r="D4195">
        <v>176</v>
      </c>
      <c r="E4195" t="s">
        <v>33</v>
      </c>
      <c r="F4195">
        <f>tbl_AQI[[#This Row],[Most AQI Reached]]-tbl_AQI[[#This Row],[Current AQI]]</f>
        <v>27</v>
      </c>
      <c r="G41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195">
        <f>RANK(tbl_AQI[[#This Row],[Current AQI]], tbl_AQI[Current AQI], 0)</f>
        <v>1754</v>
      </c>
    </row>
    <row r="4196" spans="1:8" x14ac:dyDescent="0.35">
      <c r="A4196" t="s">
        <v>4046</v>
      </c>
      <c r="B4196" t="s">
        <v>4223</v>
      </c>
      <c r="C4196">
        <v>237</v>
      </c>
      <c r="D4196">
        <v>72</v>
      </c>
      <c r="E4196" t="s">
        <v>7</v>
      </c>
      <c r="F4196">
        <f>tbl_AQI[[#This Row],[Most AQI Reached]]-tbl_AQI[[#This Row],[Current AQI]]</f>
        <v>165</v>
      </c>
      <c r="G41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96">
        <f>RANK(tbl_AQI[[#This Row],[Current AQI]], tbl_AQI[Current AQI], 0)</f>
        <v>4100</v>
      </c>
    </row>
    <row r="4197" spans="1:8" x14ac:dyDescent="0.35">
      <c r="A4197" t="s">
        <v>4046</v>
      </c>
      <c r="B4197" t="s">
        <v>4224</v>
      </c>
      <c r="C4197">
        <v>133</v>
      </c>
      <c r="D4197">
        <v>79</v>
      </c>
      <c r="E4197" t="s">
        <v>7</v>
      </c>
      <c r="F4197">
        <f>tbl_AQI[[#This Row],[Most AQI Reached]]-tbl_AQI[[#This Row],[Current AQI]]</f>
        <v>54</v>
      </c>
      <c r="G41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97">
        <f>RANK(tbl_AQI[[#This Row],[Current AQI]], tbl_AQI[Current AQI], 0)</f>
        <v>3967</v>
      </c>
    </row>
    <row r="4198" spans="1:8" x14ac:dyDescent="0.35">
      <c r="A4198" t="s">
        <v>4046</v>
      </c>
      <c r="B4198" t="s">
        <v>4225</v>
      </c>
      <c r="C4198">
        <v>311</v>
      </c>
      <c r="D4198">
        <v>62</v>
      </c>
      <c r="E4198" t="s">
        <v>7</v>
      </c>
      <c r="F4198">
        <f>tbl_AQI[[#This Row],[Most AQI Reached]]-tbl_AQI[[#This Row],[Current AQI]]</f>
        <v>249</v>
      </c>
      <c r="G41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98">
        <f>RANK(tbl_AQI[[#This Row],[Current AQI]], tbl_AQI[Current AQI], 0)</f>
        <v>4343</v>
      </c>
    </row>
    <row r="4199" spans="1:8" x14ac:dyDescent="0.35">
      <c r="A4199" t="s">
        <v>4046</v>
      </c>
      <c r="B4199" t="s">
        <v>4226</v>
      </c>
      <c r="C4199">
        <v>209</v>
      </c>
      <c r="D4199">
        <v>86</v>
      </c>
      <c r="E4199" t="s">
        <v>7</v>
      </c>
      <c r="F4199">
        <f>tbl_AQI[[#This Row],[Most AQI Reached]]-tbl_AQI[[#This Row],[Current AQI]]</f>
        <v>123</v>
      </c>
      <c r="G41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199">
        <f>RANK(tbl_AQI[[#This Row],[Current AQI]], tbl_AQI[Current AQI], 0)</f>
        <v>3830</v>
      </c>
    </row>
    <row r="4200" spans="1:8" x14ac:dyDescent="0.35">
      <c r="A4200" t="s">
        <v>4046</v>
      </c>
      <c r="B4200" t="s">
        <v>4227</v>
      </c>
      <c r="C4200">
        <v>204</v>
      </c>
      <c r="D4200">
        <v>162</v>
      </c>
      <c r="E4200" t="s">
        <v>17</v>
      </c>
      <c r="F4200">
        <f>tbl_AQI[[#This Row],[Most AQI Reached]]-tbl_AQI[[#This Row],[Current AQI]]</f>
        <v>42</v>
      </c>
      <c r="G42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0">
        <f>RANK(tbl_AQI[[#This Row],[Current AQI]], tbl_AQI[Current AQI], 0)</f>
        <v>2106</v>
      </c>
    </row>
    <row r="4201" spans="1:8" x14ac:dyDescent="0.35">
      <c r="A4201" t="s">
        <v>4046</v>
      </c>
      <c r="B4201" t="s">
        <v>4228</v>
      </c>
      <c r="C4201">
        <v>286</v>
      </c>
      <c r="D4201">
        <v>173</v>
      </c>
      <c r="E4201" t="s">
        <v>7</v>
      </c>
      <c r="F4201">
        <f>tbl_AQI[[#This Row],[Most AQI Reached]]-tbl_AQI[[#This Row],[Current AQI]]</f>
        <v>113</v>
      </c>
      <c r="G42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1">
        <f>RANK(tbl_AQI[[#This Row],[Current AQI]], tbl_AQI[Current AQI], 0)</f>
        <v>1826</v>
      </c>
    </row>
    <row r="4202" spans="1:8" x14ac:dyDescent="0.35">
      <c r="A4202" t="s">
        <v>4046</v>
      </c>
      <c r="B4202" t="s">
        <v>4229</v>
      </c>
      <c r="C4202">
        <v>311</v>
      </c>
      <c r="D4202">
        <v>148</v>
      </c>
      <c r="E4202" t="s">
        <v>17</v>
      </c>
      <c r="F4202">
        <f>tbl_AQI[[#This Row],[Most AQI Reached]]-tbl_AQI[[#This Row],[Current AQI]]</f>
        <v>163</v>
      </c>
      <c r="G42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2">
        <f>RANK(tbl_AQI[[#This Row],[Current AQI]], tbl_AQI[Current AQI], 0)</f>
        <v>2446</v>
      </c>
    </row>
    <row r="4203" spans="1:8" x14ac:dyDescent="0.35">
      <c r="A4203" t="s">
        <v>4046</v>
      </c>
      <c r="B4203" t="s">
        <v>4230</v>
      </c>
      <c r="C4203">
        <v>251</v>
      </c>
      <c r="D4203">
        <v>181</v>
      </c>
      <c r="E4203" t="s">
        <v>15</v>
      </c>
      <c r="F4203">
        <f>tbl_AQI[[#This Row],[Most AQI Reached]]-tbl_AQI[[#This Row],[Current AQI]]</f>
        <v>70</v>
      </c>
      <c r="G42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3">
        <f>RANK(tbl_AQI[[#This Row],[Current AQI]], tbl_AQI[Current AQI], 0)</f>
        <v>1609</v>
      </c>
    </row>
    <row r="4204" spans="1:8" x14ac:dyDescent="0.35">
      <c r="A4204" t="s">
        <v>4046</v>
      </c>
      <c r="B4204" t="s">
        <v>4231</v>
      </c>
      <c r="C4204">
        <v>310</v>
      </c>
      <c r="D4204">
        <v>169</v>
      </c>
      <c r="E4204" t="s">
        <v>11</v>
      </c>
      <c r="F4204">
        <f>tbl_AQI[[#This Row],[Most AQI Reached]]-tbl_AQI[[#This Row],[Current AQI]]</f>
        <v>141</v>
      </c>
      <c r="G42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4">
        <f>RANK(tbl_AQI[[#This Row],[Current AQI]], tbl_AQI[Current AQI], 0)</f>
        <v>1925</v>
      </c>
    </row>
    <row r="4205" spans="1:8" x14ac:dyDescent="0.35">
      <c r="A4205" t="s">
        <v>4046</v>
      </c>
      <c r="B4205" t="s">
        <v>4232</v>
      </c>
      <c r="C4205">
        <v>177</v>
      </c>
      <c r="D4205">
        <v>133</v>
      </c>
      <c r="E4205" t="s">
        <v>15</v>
      </c>
      <c r="F4205">
        <f>tbl_AQI[[#This Row],[Most AQI Reached]]-tbl_AQI[[#This Row],[Current AQI]]</f>
        <v>44</v>
      </c>
      <c r="G42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5">
        <f>RANK(tbl_AQI[[#This Row],[Current AQI]], tbl_AQI[Current AQI], 0)</f>
        <v>2758</v>
      </c>
    </row>
    <row r="4206" spans="1:8" x14ac:dyDescent="0.35">
      <c r="A4206" t="s">
        <v>4046</v>
      </c>
      <c r="B4206" t="s">
        <v>4233</v>
      </c>
      <c r="C4206">
        <v>122</v>
      </c>
      <c r="D4206">
        <v>80</v>
      </c>
      <c r="E4206" t="s">
        <v>11</v>
      </c>
      <c r="F4206">
        <f>tbl_AQI[[#This Row],[Most AQI Reached]]-tbl_AQI[[#This Row],[Current AQI]]</f>
        <v>42</v>
      </c>
      <c r="G42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06">
        <f>RANK(tbl_AQI[[#This Row],[Current AQI]], tbl_AQI[Current AQI], 0)</f>
        <v>3948</v>
      </c>
    </row>
    <row r="4207" spans="1:8" x14ac:dyDescent="0.35">
      <c r="A4207" t="s">
        <v>4046</v>
      </c>
      <c r="B4207" t="s">
        <v>4234</v>
      </c>
      <c r="C4207">
        <v>320</v>
      </c>
      <c r="D4207">
        <v>56</v>
      </c>
      <c r="E4207" t="s">
        <v>33</v>
      </c>
      <c r="F4207">
        <f>tbl_AQI[[#This Row],[Most AQI Reached]]-tbl_AQI[[#This Row],[Current AQI]]</f>
        <v>264</v>
      </c>
      <c r="G42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07">
        <f>RANK(tbl_AQI[[#This Row],[Current AQI]], tbl_AQI[Current AQI], 0)</f>
        <v>4474</v>
      </c>
    </row>
    <row r="4208" spans="1:8" x14ac:dyDescent="0.35">
      <c r="A4208" t="s">
        <v>4046</v>
      </c>
      <c r="B4208" t="s">
        <v>4235</v>
      </c>
      <c r="C4208">
        <v>204</v>
      </c>
      <c r="D4208">
        <v>186</v>
      </c>
      <c r="E4208" t="s">
        <v>11</v>
      </c>
      <c r="F4208">
        <f>tbl_AQI[[#This Row],[Most AQI Reached]]-tbl_AQI[[#This Row],[Current AQI]]</f>
        <v>18</v>
      </c>
      <c r="G42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8">
        <f>RANK(tbl_AQI[[#This Row],[Current AQI]], tbl_AQI[Current AQI], 0)</f>
        <v>1478</v>
      </c>
    </row>
    <row r="4209" spans="1:8" x14ac:dyDescent="0.35">
      <c r="A4209" t="s">
        <v>4046</v>
      </c>
      <c r="B4209" t="s">
        <v>4236</v>
      </c>
      <c r="C4209">
        <v>276</v>
      </c>
      <c r="D4209">
        <v>120</v>
      </c>
      <c r="E4209" t="s">
        <v>7</v>
      </c>
      <c r="F4209">
        <f>tbl_AQI[[#This Row],[Most AQI Reached]]-tbl_AQI[[#This Row],[Current AQI]]</f>
        <v>156</v>
      </c>
      <c r="G42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09">
        <f>RANK(tbl_AQI[[#This Row],[Current AQI]], tbl_AQI[Current AQI], 0)</f>
        <v>3066</v>
      </c>
    </row>
    <row r="4210" spans="1:8" x14ac:dyDescent="0.35">
      <c r="A4210" t="s">
        <v>4046</v>
      </c>
      <c r="B4210" t="s">
        <v>4237</v>
      </c>
      <c r="C4210">
        <v>226</v>
      </c>
      <c r="D4210">
        <v>104</v>
      </c>
      <c r="E4210" t="s">
        <v>7</v>
      </c>
      <c r="F4210">
        <f>tbl_AQI[[#This Row],[Most AQI Reached]]-tbl_AQI[[#This Row],[Current AQI]]</f>
        <v>122</v>
      </c>
      <c r="G42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0">
        <f>RANK(tbl_AQI[[#This Row],[Current AQI]], tbl_AQI[Current AQI], 0)</f>
        <v>3454</v>
      </c>
    </row>
    <row r="4211" spans="1:8" x14ac:dyDescent="0.35">
      <c r="A4211" t="s">
        <v>4046</v>
      </c>
      <c r="B4211" t="s">
        <v>4238</v>
      </c>
      <c r="C4211">
        <v>144</v>
      </c>
      <c r="D4211">
        <v>116</v>
      </c>
      <c r="E4211" t="s">
        <v>33</v>
      </c>
      <c r="F4211">
        <f>tbl_AQI[[#This Row],[Most AQI Reached]]-tbl_AQI[[#This Row],[Current AQI]]</f>
        <v>28</v>
      </c>
      <c r="G42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1">
        <f>RANK(tbl_AQI[[#This Row],[Current AQI]], tbl_AQI[Current AQI], 0)</f>
        <v>3173</v>
      </c>
    </row>
    <row r="4212" spans="1:8" x14ac:dyDescent="0.35">
      <c r="A4212" t="s">
        <v>4046</v>
      </c>
      <c r="B4212" t="s">
        <v>4239</v>
      </c>
      <c r="C4212">
        <v>282</v>
      </c>
      <c r="D4212">
        <v>179</v>
      </c>
      <c r="E4212" t="s">
        <v>17</v>
      </c>
      <c r="F4212">
        <f>tbl_AQI[[#This Row],[Most AQI Reached]]-tbl_AQI[[#This Row],[Current AQI]]</f>
        <v>103</v>
      </c>
      <c r="G42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2">
        <f>RANK(tbl_AQI[[#This Row],[Current AQI]], tbl_AQI[Current AQI], 0)</f>
        <v>1667</v>
      </c>
    </row>
    <row r="4213" spans="1:8" x14ac:dyDescent="0.35">
      <c r="A4213" t="s">
        <v>4046</v>
      </c>
      <c r="B4213" t="s">
        <v>4240</v>
      </c>
      <c r="C4213">
        <v>245</v>
      </c>
      <c r="D4213">
        <v>49</v>
      </c>
      <c r="E4213" t="s">
        <v>33</v>
      </c>
      <c r="F4213">
        <f>tbl_AQI[[#This Row],[Most AQI Reached]]-tbl_AQI[[#This Row],[Current AQI]]</f>
        <v>196</v>
      </c>
      <c r="G42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13">
        <f>RANK(tbl_AQI[[#This Row],[Current AQI]], tbl_AQI[Current AQI], 0)</f>
        <v>4614</v>
      </c>
    </row>
    <row r="4214" spans="1:8" x14ac:dyDescent="0.35">
      <c r="A4214" t="s">
        <v>4046</v>
      </c>
      <c r="B4214" t="s">
        <v>4241</v>
      </c>
      <c r="C4214">
        <v>101</v>
      </c>
      <c r="D4214">
        <v>99</v>
      </c>
      <c r="E4214" t="s">
        <v>9</v>
      </c>
      <c r="F4214">
        <f>tbl_AQI[[#This Row],[Most AQI Reached]]-tbl_AQI[[#This Row],[Current AQI]]</f>
        <v>2</v>
      </c>
      <c r="G42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14">
        <f>RANK(tbl_AQI[[#This Row],[Current AQI]], tbl_AQI[Current AQI], 0)</f>
        <v>3553</v>
      </c>
    </row>
    <row r="4215" spans="1:8" x14ac:dyDescent="0.35">
      <c r="A4215" t="s">
        <v>4046</v>
      </c>
      <c r="B4215" t="s">
        <v>4242</v>
      </c>
      <c r="C4215">
        <v>289</v>
      </c>
      <c r="D4215">
        <v>154</v>
      </c>
      <c r="E4215" t="s">
        <v>21</v>
      </c>
      <c r="F4215">
        <f>tbl_AQI[[#This Row],[Most AQI Reached]]-tbl_AQI[[#This Row],[Current AQI]]</f>
        <v>135</v>
      </c>
      <c r="G42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5">
        <f>RANK(tbl_AQI[[#This Row],[Current AQI]], tbl_AQI[Current AQI], 0)</f>
        <v>2307</v>
      </c>
    </row>
    <row r="4216" spans="1:8" x14ac:dyDescent="0.35">
      <c r="A4216" t="s">
        <v>4046</v>
      </c>
      <c r="B4216" t="s">
        <v>4243</v>
      </c>
      <c r="C4216">
        <v>168</v>
      </c>
      <c r="D4216">
        <v>131</v>
      </c>
      <c r="E4216" t="s">
        <v>9</v>
      </c>
      <c r="F4216">
        <f>tbl_AQI[[#This Row],[Most AQI Reached]]-tbl_AQI[[#This Row],[Current AQI]]</f>
        <v>37</v>
      </c>
      <c r="G42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6">
        <f>RANK(tbl_AQI[[#This Row],[Current AQI]], tbl_AQI[Current AQI], 0)</f>
        <v>2815</v>
      </c>
    </row>
    <row r="4217" spans="1:8" x14ac:dyDescent="0.35">
      <c r="A4217" t="s">
        <v>4046</v>
      </c>
      <c r="B4217" t="s">
        <v>4244</v>
      </c>
      <c r="C4217">
        <v>236</v>
      </c>
      <c r="D4217">
        <v>162</v>
      </c>
      <c r="E4217" t="s">
        <v>33</v>
      </c>
      <c r="F4217">
        <f>tbl_AQI[[#This Row],[Most AQI Reached]]-tbl_AQI[[#This Row],[Current AQI]]</f>
        <v>74</v>
      </c>
      <c r="G42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7">
        <f>RANK(tbl_AQI[[#This Row],[Current AQI]], tbl_AQI[Current AQI], 0)</f>
        <v>2106</v>
      </c>
    </row>
    <row r="4218" spans="1:8" x14ac:dyDescent="0.35">
      <c r="A4218" t="s">
        <v>4046</v>
      </c>
      <c r="B4218" t="s">
        <v>4245</v>
      </c>
      <c r="C4218">
        <v>149</v>
      </c>
      <c r="D4218">
        <v>119</v>
      </c>
      <c r="E4218" t="s">
        <v>15</v>
      </c>
      <c r="F4218">
        <f>tbl_AQI[[#This Row],[Most AQI Reached]]-tbl_AQI[[#This Row],[Current AQI]]</f>
        <v>30</v>
      </c>
      <c r="G42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18">
        <f>RANK(tbl_AQI[[#This Row],[Current AQI]], tbl_AQI[Current AQI], 0)</f>
        <v>3093</v>
      </c>
    </row>
    <row r="4219" spans="1:8" x14ac:dyDescent="0.35">
      <c r="A4219" t="s">
        <v>4046</v>
      </c>
      <c r="B4219" t="s">
        <v>4246</v>
      </c>
      <c r="C4219">
        <v>253</v>
      </c>
      <c r="D4219">
        <v>67</v>
      </c>
      <c r="E4219" t="s">
        <v>21</v>
      </c>
      <c r="F4219">
        <f>tbl_AQI[[#This Row],[Most AQI Reached]]-tbl_AQI[[#This Row],[Current AQI]]</f>
        <v>186</v>
      </c>
      <c r="G42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19">
        <f>RANK(tbl_AQI[[#This Row],[Current AQI]], tbl_AQI[Current AQI], 0)</f>
        <v>4225</v>
      </c>
    </row>
    <row r="4220" spans="1:8" x14ac:dyDescent="0.35">
      <c r="A4220" t="s">
        <v>4046</v>
      </c>
      <c r="B4220" t="s">
        <v>4247</v>
      </c>
      <c r="C4220">
        <v>223</v>
      </c>
      <c r="D4220">
        <v>95</v>
      </c>
      <c r="E4220" t="s">
        <v>33</v>
      </c>
      <c r="F4220">
        <f>tbl_AQI[[#This Row],[Most AQI Reached]]-tbl_AQI[[#This Row],[Current AQI]]</f>
        <v>128</v>
      </c>
      <c r="G42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20">
        <f>RANK(tbl_AQI[[#This Row],[Current AQI]], tbl_AQI[Current AQI], 0)</f>
        <v>3634</v>
      </c>
    </row>
    <row r="4221" spans="1:8" x14ac:dyDescent="0.35">
      <c r="A4221" t="s">
        <v>4046</v>
      </c>
      <c r="B4221" t="s">
        <v>4248</v>
      </c>
      <c r="C4221">
        <v>106</v>
      </c>
      <c r="D4221">
        <v>84</v>
      </c>
      <c r="E4221" t="s">
        <v>9</v>
      </c>
      <c r="F4221">
        <f>tbl_AQI[[#This Row],[Most AQI Reached]]-tbl_AQI[[#This Row],[Current AQI]]</f>
        <v>22</v>
      </c>
      <c r="G42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21">
        <f>RANK(tbl_AQI[[#This Row],[Current AQI]], tbl_AQI[Current AQI], 0)</f>
        <v>3872</v>
      </c>
    </row>
    <row r="4222" spans="1:8" x14ac:dyDescent="0.35">
      <c r="A4222" t="s">
        <v>4046</v>
      </c>
      <c r="B4222" t="s">
        <v>4249</v>
      </c>
      <c r="C4222">
        <v>147</v>
      </c>
      <c r="D4222">
        <v>103</v>
      </c>
      <c r="E4222" t="s">
        <v>21</v>
      </c>
      <c r="F4222">
        <f>tbl_AQI[[#This Row],[Most AQI Reached]]-tbl_AQI[[#This Row],[Current AQI]]</f>
        <v>44</v>
      </c>
      <c r="G42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22">
        <f>RANK(tbl_AQI[[#This Row],[Current AQI]], tbl_AQI[Current AQI], 0)</f>
        <v>3474</v>
      </c>
    </row>
    <row r="4223" spans="1:8" x14ac:dyDescent="0.35">
      <c r="A4223" t="s">
        <v>4046</v>
      </c>
      <c r="B4223" t="s">
        <v>4250</v>
      </c>
      <c r="C4223">
        <v>56</v>
      </c>
      <c r="D4223">
        <v>52</v>
      </c>
      <c r="E4223" t="s">
        <v>33</v>
      </c>
      <c r="F4223">
        <f>tbl_AQI[[#This Row],[Most AQI Reached]]-tbl_AQI[[#This Row],[Current AQI]]</f>
        <v>4</v>
      </c>
      <c r="G42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23">
        <f>RANK(tbl_AQI[[#This Row],[Current AQI]], tbl_AQI[Current AQI], 0)</f>
        <v>4564</v>
      </c>
    </row>
    <row r="4224" spans="1:8" x14ac:dyDescent="0.35">
      <c r="A4224" t="s">
        <v>4046</v>
      </c>
      <c r="B4224" t="s">
        <v>4251</v>
      </c>
      <c r="C4224">
        <v>211</v>
      </c>
      <c r="D4224">
        <v>145</v>
      </c>
      <c r="E4224" t="s">
        <v>17</v>
      </c>
      <c r="F4224">
        <f>tbl_AQI[[#This Row],[Most AQI Reached]]-tbl_AQI[[#This Row],[Current AQI]]</f>
        <v>66</v>
      </c>
      <c r="G42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24">
        <f>RANK(tbl_AQI[[#This Row],[Current AQI]], tbl_AQI[Current AQI], 0)</f>
        <v>2526</v>
      </c>
    </row>
    <row r="4225" spans="1:8" x14ac:dyDescent="0.35">
      <c r="A4225" t="s">
        <v>4046</v>
      </c>
      <c r="B4225" t="s">
        <v>4252</v>
      </c>
      <c r="C4225">
        <v>242</v>
      </c>
      <c r="D4225">
        <v>142</v>
      </c>
      <c r="E4225" t="s">
        <v>7</v>
      </c>
      <c r="F4225">
        <f>tbl_AQI[[#This Row],[Most AQI Reached]]-tbl_AQI[[#This Row],[Current AQI]]</f>
        <v>100</v>
      </c>
      <c r="G42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25">
        <f>RANK(tbl_AQI[[#This Row],[Current AQI]], tbl_AQI[Current AQI], 0)</f>
        <v>2585</v>
      </c>
    </row>
    <row r="4226" spans="1:8" x14ac:dyDescent="0.35">
      <c r="A4226" t="s">
        <v>4046</v>
      </c>
      <c r="B4226" t="s">
        <v>4253</v>
      </c>
      <c r="C4226">
        <v>253</v>
      </c>
      <c r="D4226">
        <v>34</v>
      </c>
      <c r="E4226" t="s">
        <v>33</v>
      </c>
      <c r="F4226">
        <f>tbl_AQI[[#This Row],[Most AQI Reached]]-tbl_AQI[[#This Row],[Current AQI]]</f>
        <v>219</v>
      </c>
      <c r="G42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26">
        <f>RANK(tbl_AQI[[#This Row],[Current AQI]], tbl_AQI[Current AQI], 0)</f>
        <v>4944</v>
      </c>
    </row>
    <row r="4227" spans="1:8" x14ac:dyDescent="0.35">
      <c r="A4227" t="s">
        <v>4046</v>
      </c>
      <c r="B4227" t="s">
        <v>4254</v>
      </c>
      <c r="C4227">
        <v>222</v>
      </c>
      <c r="D4227">
        <v>173</v>
      </c>
      <c r="E4227" t="s">
        <v>9</v>
      </c>
      <c r="F4227">
        <f>tbl_AQI[[#This Row],[Most AQI Reached]]-tbl_AQI[[#This Row],[Current AQI]]</f>
        <v>49</v>
      </c>
      <c r="G42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27">
        <f>RANK(tbl_AQI[[#This Row],[Current AQI]], tbl_AQI[Current AQI], 0)</f>
        <v>1826</v>
      </c>
    </row>
    <row r="4228" spans="1:8" x14ac:dyDescent="0.35">
      <c r="A4228" t="s">
        <v>4046</v>
      </c>
      <c r="B4228" t="s">
        <v>4255</v>
      </c>
      <c r="C4228">
        <v>316</v>
      </c>
      <c r="D4228">
        <v>90</v>
      </c>
      <c r="E4228" t="s">
        <v>11</v>
      </c>
      <c r="F4228">
        <f>tbl_AQI[[#This Row],[Most AQI Reached]]-tbl_AQI[[#This Row],[Current AQI]]</f>
        <v>226</v>
      </c>
      <c r="G42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28">
        <f>RANK(tbl_AQI[[#This Row],[Current AQI]], tbl_AQI[Current AQI], 0)</f>
        <v>3750</v>
      </c>
    </row>
    <row r="4229" spans="1:8" x14ac:dyDescent="0.35">
      <c r="A4229" t="s">
        <v>4046</v>
      </c>
      <c r="B4229" t="s">
        <v>4256</v>
      </c>
      <c r="C4229">
        <v>312</v>
      </c>
      <c r="D4229">
        <v>163</v>
      </c>
      <c r="E4229" t="s">
        <v>33</v>
      </c>
      <c r="F4229">
        <f>tbl_AQI[[#This Row],[Most AQI Reached]]-tbl_AQI[[#This Row],[Current AQI]]</f>
        <v>149</v>
      </c>
      <c r="G42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29">
        <f>RANK(tbl_AQI[[#This Row],[Current AQI]], tbl_AQI[Current AQI], 0)</f>
        <v>2075</v>
      </c>
    </row>
    <row r="4230" spans="1:8" x14ac:dyDescent="0.35">
      <c r="A4230" t="s">
        <v>4046</v>
      </c>
      <c r="B4230" t="s">
        <v>4257</v>
      </c>
      <c r="C4230">
        <v>200</v>
      </c>
      <c r="D4230">
        <v>117</v>
      </c>
      <c r="E4230" t="s">
        <v>9</v>
      </c>
      <c r="F4230">
        <f>tbl_AQI[[#This Row],[Most AQI Reached]]-tbl_AQI[[#This Row],[Current AQI]]</f>
        <v>83</v>
      </c>
      <c r="G42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0">
        <f>RANK(tbl_AQI[[#This Row],[Current AQI]], tbl_AQI[Current AQI], 0)</f>
        <v>3144</v>
      </c>
    </row>
    <row r="4231" spans="1:8" x14ac:dyDescent="0.35">
      <c r="A4231" t="s">
        <v>4046</v>
      </c>
      <c r="B4231" t="s">
        <v>4258</v>
      </c>
      <c r="C4231">
        <v>276</v>
      </c>
      <c r="D4231">
        <v>127</v>
      </c>
      <c r="E4231" t="s">
        <v>21</v>
      </c>
      <c r="F4231">
        <f>tbl_AQI[[#This Row],[Most AQI Reached]]-tbl_AQI[[#This Row],[Current AQI]]</f>
        <v>149</v>
      </c>
      <c r="G42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1">
        <f>RANK(tbl_AQI[[#This Row],[Current AQI]], tbl_AQI[Current AQI], 0)</f>
        <v>2909</v>
      </c>
    </row>
    <row r="4232" spans="1:8" x14ac:dyDescent="0.35">
      <c r="A4232" t="s">
        <v>4046</v>
      </c>
      <c r="B4232" t="s">
        <v>4259</v>
      </c>
      <c r="C4232">
        <v>220</v>
      </c>
      <c r="D4232">
        <v>123</v>
      </c>
      <c r="E4232" t="s">
        <v>11</v>
      </c>
      <c r="F4232">
        <f>tbl_AQI[[#This Row],[Most AQI Reached]]-tbl_AQI[[#This Row],[Current AQI]]</f>
        <v>97</v>
      </c>
      <c r="G42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2">
        <f>RANK(tbl_AQI[[#This Row],[Current AQI]], tbl_AQI[Current AQI], 0)</f>
        <v>2983</v>
      </c>
    </row>
    <row r="4233" spans="1:8" x14ac:dyDescent="0.35">
      <c r="A4233" t="s">
        <v>4046</v>
      </c>
      <c r="B4233" t="s">
        <v>4260</v>
      </c>
      <c r="C4233">
        <v>219</v>
      </c>
      <c r="D4233">
        <v>143</v>
      </c>
      <c r="E4233" t="s">
        <v>33</v>
      </c>
      <c r="F4233">
        <f>tbl_AQI[[#This Row],[Most AQI Reached]]-tbl_AQI[[#This Row],[Current AQI]]</f>
        <v>76</v>
      </c>
      <c r="G42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3">
        <f>RANK(tbl_AQI[[#This Row],[Current AQI]], tbl_AQI[Current AQI], 0)</f>
        <v>2567</v>
      </c>
    </row>
    <row r="4234" spans="1:8" x14ac:dyDescent="0.35">
      <c r="A4234" t="s">
        <v>4046</v>
      </c>
      <c r="B4234" t="s">
        <v>4261</v>
      </c>
      <c r="C4234">
        <v>150</v>
      </c>
      <c r="D4234">
        <v>32</v>
      </c>
      <c r="E4234" t="s">
        <v>21</v>
      </c>
      <c r="F4234">
        <f>tbl_AQI[[#This Row],[Most AQI Reached]]-tbl_AQI[[#This Row],[Current AQI]]</f>
        <v>118</v>
      </c>
      <c r="G42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34">
        <f>RANK(tbl_AQI[[#This Row],[Current AQI]], tbl_AQI[Current AQI], 0)</f>
        <v>4983</v>
      </c>
    </row>
    <row r="4235" spans="1:8" x14ac:dyDescent="0.35">
      <c r="A4235" t="s">
        <v>4046</v>
      </c>
      <c r="B4235" t="s">
        <v>4262</v>
      </c>
      <c r="C4235">
        <v>276</v>
      </c>
      <c r="D4235">
        <v>110</v>
      </c>
      <c r="E4235" t="s">
        <v>21</v>
      </c>
      <c r="F4235">
        <f>tbl_AQI[[#This Row],[Most AQI Reached]]-tbl_AQI[[#This Row],[Current AQI]]</f>
        <v>166</v>
      </c>
      <c r="G42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5">
        <f>RANK(tbl_AQI[[#This Row],[Current AQI]], tbl_AQI[Current AQI], 0)</f>
        <v>3302</v>
      </c>
    </row>
    <row r="4236" spans="1:8" x14ac:dyDescent="0.35">
      <c r="A4236" t="s">
        <v>4046</v>
      </c>
      <c r="B4236" t="s">
        <v>4263</v>
      </c>
      <c r="C4236">
        <v>129</v>
      </c>
      <c r="D4236">
        <v>62</v>
      </c>
      <c r="E4236" t="s">
        <v>33</v>
      </c>
      <c r="F4236">
        <f>tbl_AQI[[#This Row],[Most AQI Reached]]-tbl_AQI[[#This Row],[Current AQI]]</f>
        <v>67</v>
      </c>
      <c r="G42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36">
        <f>RANK(tbl_AQI[[#This Row],[Current AQI]], tbl_AQI[Current AQI], 0)</f>
        <v>4343</v>
      </c>
    </row>
    <row r="4237" spans="1:8" x14ac:dyDescent="0.35">
      <c r="A4237" t="s">
        <v>4264</v>
      </c>
      <c r="B4237" t="s">
        <v>4265</v>
      </c>
      <c r="C4237">
        <v>136</v>
      </c>
      <c r="D4237">
        <v>121</v>
      </c>
      <c r="E4237" t="s">
        <v>15</v>
      </c>
      <c r="F4237">
        <f>tbl_AQI[[#This Row],[Most AQI Reached]]-tbl_AQI[[#This Row],[Current AQI]]</f>
        <v>15</v>
      </c>
      <c r="G42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7">
        <f>RANK(tbl_AQI[[#This Row],[Current AQI]], tbl_AQI[Current AQI], 0)</f>
        <v>3037</v>
      </c>
    </row>
    <row r="4238" spans="1:8" x14ac:dyDescent="0.35">
      <c r="A4238" t="s">
        <v>4264</v>
      </c>
      <c r="B4238" t="s">
        <v>4266</v>
      </c>
      <c r="C4238">
        <v>183</v>
      </c>
      <c r="D4238">
        <v>110</v>
      </c>
      <c r="E4238" t="s">
        <v>11</v>
      </c>
      <c r="F4238">
        <f>tbl_AQI[[#This Row],[Most AQI Reached]]-tbl_AQI[[#This Row],[Current AQI]]</f>
        <v>73</v>
      </c>
      <c r="G42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8">
        <f>RANK(tbl_AQI[[#This Row],[Current AQI]], tbl_AQI[Current AQI], 0)</f>
        <v>3302</v>
      </c>
    </row>
    <row r="4239" spans="1:8" x14ac:dyDescent="0.35">
      <c r="A4239" t="s">
        <v>4264</v>
      </c>
      <c r="B4239" t="s">
        <v>4267</v>
      </c>
      <c r="C4239">
        <v>208</v>
      </c>
      <c r="D4239">
        <v>108</v>
      </c>
      <c r="E4239" t="s">
        <v>11</v>
      </c>
      <c r="F4239">
        <f>tbl_AQI[[#This Row],[Most AQI Reached]]-tbl_AQI[[#This Row],[Current AQI]]</f>
        <v>100</v>
      </c>
      <c r="G42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39">
        <f>RANK(tbl_AQI[[#This Row],[Current AQI]], tbl_AQI[Current AQI], 0)</f>
        <v>3362</v>
      </c>
    </row>
    <row r="4240" spans="1:8" x14ac:dyDescent="0.35">
      <c r="A4240" t="s">
        <v>4264</v>
      </c>
      <c r="B4240" t="s">
        <v>4268</v>
      </c>
      <c r="C4240">
        <v>267</v>
      </c>
      <c r="D4240">
        <v>132</v>
      </c>
      <c r="E4240" t="s">
        <v>9</v>
      </c>
      <c r="F4240">
        <f>tbl_AQI[[#This Row],[Most AQI Reached]]-tbl_AQI[[#This Row],[Current AQI]]</f>
        <v>135</v>
      </c>
      <c r="G42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40">
        <f>RANK(tbl_AQI[[#This Row],[Current AQI]], tbl_AQI[Current AQI], 0)</f>
        <v>2792</v>
      </c>
    </row>
    <row r="4241" spans="1:8" x14ac:dyDescent="0.35">
      <c r="A4241" t="s">
        <v>4264</v>
      </c>
      <c r="B4241" t="s">
        <v>4269</v>
      </c>
      <c r="C4241">
        <v>268</v>
      </c>
      <c r="D4241">
        <v>186</v>
      </c>
      <c r="E4241" t="s">
        <v>17</v>
      </c>
      <c r="F4241">
        <f>tbl_AQI[[#This Row],[Most AQI Reached]]-tbl_AQI[[#This Row],[Current AQI]]</f>
        <v>82</v>
      </c>
      <c r="G42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41">
        <f>RANK(tbl_AQI[[#This Row],[Current AQI]], tbl_AQI[Current AQI], 0)</f>
        <v>1478</v>
      </c>
    </row>
    <row r="4242" spans="1:8" x14ac:dyDescent="0.35">
      <c r="A4242" t="s">
        <v>4264</v>
      </c>
      <c r="B4242" t="s">
        <v>4270</v>
      </c>
      <c r="C4242">
        <v>289</v>
      </c>
      <c r="D4242">
        <v>133</v>
      </c>
      <c r="E4242" t="s">
        <v>33</v>
      </c>
      <c r="F4242">
        <f>tbl_AQI[[#This Row],[Most AQI Reached]]-tbl_AQI[[#This Row],[Current AQI]]</f>
        <v>156</v>
      </c>
      <c r="G42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42">
        <f>RANK(tbl_AQI[[#This Row],[Current AQI]], tbl_AQI[Current AQI], 0)</f>
        <v>2758</v>
      </c>
    </row>
    <row r="4243" spans="1:8" x14ac:dyDescent="0.35">
      <c r="A4243" t="s">
        <v>4264</v>
      </c>
      <c r="B4243" t="s">
        <v>4271</v>
      </c>
      <c r="C4243">
        <v>125</v>
      </c>
      <c r="D4243">
        <v>52</v>
      </c>
      <c r="E4243" t="s">
        <v>11</v>
      </c>
      <c r="F4243">
        <f>tbl_AQI[[#This Row],[Most AQI Reached]]-tbl_AQI[[#This Row],[Current AQI]]</f>
        <v>73</v>
      </c>
      <c r="G42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43">
        <f>RANK(tbl_AQI[[#This Row],[Current AQI]], tbl_AQI[Current AQI], 0)</f>
        <v>4564</v>
      </c>
    </row>
    <row r="4244" spans="1:8" x14ac:dyDescent="0.35">
      <c r="A4244" t="s">
        <v>4264</v>
      </c>
      <c r="B4244" t="s">
        <v>4272</v>
      </c>
      <c r="C4244">
        <v>160</v>
      </c>
      <c r="D4244">
        <v>130</v>
      </c>
      <c r="E4244" t="s">
        <v>15</v>
      </c>
      <c r="F4244">
        <f>tbl_AQI[[#This Row],[Most AQI Reached]]-tbl_AQI[[#This Row],[Current AQI]]</f>
        <v>30</v>
      </c>
      <c r="G42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44">
        <f>RANK(tbl_AQI[[#This Row],[Current AQI]], tbl_AQI[Current AQI], 0)</f>
        <v>2832</v>
      </c>
    </row>
    <row r="4245" spans="1:8" x14ac:dyDescent="0.35">
      <c r="A4245" t="s">
        <v>4264</v>
      </c>
      <c r="B4245" t="s">
        <v>4273</v>
      </c>
      <c r="C4245">
        <v>224</v>
      </c>
      <c r="D4245">
        <v>117</v>
      </c>
      <c r="E4245" t="s">
        <v>15</v>
      </c>
      <c r="F4245">
        <f>tbl_AQI[[#This Row],[Most AQI Reached]]-tbl_AQI[[#This Row],[Current AQI]]</f>
        <v>107</v>
      </c>
      <c r="G42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45">
        <f>RANK(tbl_AQI[[#This Row],[Current AQI]], tbl_AQI[Current AQI], 0)</f>
        <v>3144</v>
      </c>
    </row>
    <row r="4246" spans="1:8" x14ac:dyDescent="0.35">
      <c r="A4246" t="s">
        <v>4264</v>
      </c>
      <c r="B4246" t="s">
        <v>4274</v>
      </c>
      <c r="C4246">
        <v>136</v>
      </c>
      <c r="D4246">
        <v>70</v>
      </c>
      <c r="E4246" t="s">
        <v>21</v>
      </c>
      <c r="F4246">
        <f>tbl_AQI[[#This Row],[Most AQI Reached]]-tbl_AQI[[#This Row],[Current AQI]]</f>
        <v>66</v>
      </c>
      <c r="G42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46">
        <f>RANK(tbl_AQI[[#This Row],[Current AQI]], tbl_AQI[Current AQI], 0)</f>
        <v>4153</v>
      </c>
    </row>
    <row r="4247" spans="1:8" x14ac:dyDescent="0.35">
      <c r="A4247" t="s">
        <v>4264</v>
      </c>
      <c r="B4247" t="s">
        <v>4275</v>
      </c>
      <c r="C4247">
        <v>260</v>
      </c>
      <c r="D4247">
        <v>49</v>
      </c>
      <c r="E4247" t="s">
        <v>15</v>
      </c>
      <c r="F4247">
        <f>tbl_AQI[[#This Row],[Most AQI Reached]]-tbl_AQI[[#This Row],[Current AQI]]</f>
        <v>211</v>
      </c>
      <c r="G42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47">
        <f>RANK(tbl_AQI[[#This Row],[Current AQI]], tbl_AQI[Current AQI], 0)</f>
        <v>4614</v>
      </c>
    </row>
    <row r="4248" spans="1:8" x14ac:dyDescent="0.35">
      <c r="A4248" t="s">
        <v>4264</v>
      </c>
      <c r="B4248" t="s">
        <v>4276</v>
      </c>
      <c r="C4248">
        <v>213</v>
      </c>
      <c r="D4248">
        <v>46</v>
      </c>
      <c r="E4248" t="s">
        <v>15</v>
      </c>
      <c r="F4248">
        <f>tbl_AQI[[#This Row],[Most AQI Reached]]-tbl_AQI[[#This Row],[Current AQI]]</f>
        <v>167</v>
      </c>
      <c r="G42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48">
        <f>RANK(tbl_AQI[[#This Row],[Current AQI]], tbl_AQI[Current AQI], 0)</f>
        <v>4680</v>
      </c>
    </row>
    <row r="4249" spans="1:8" x14ac:dyDescent="0.35">
      <c r="A4249" t="s">
        <v>4264</v>
      </c>
      <c r="B4249" t="s">
        <v>4277</v>
      </c>
      <c r="C4249">
        <v>84</v>
      </c>
      <c r="D4249">
        <v>49</v>
      </c>
      <c r="E4249" t="s">
        <v>9</v>
      </c>
      <c r="F4249">
        <f>tbl_AQI[[#This Row],[Most AQI Reached]]-tbl_AQI[[#This Row],[Current AQI]]</f>
        <v>35</v>
      </c>
      <c r="G42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49">
        <f>RANK(tbl_AQI[[#This Row],[Current AQI]], tbl_AQI[Current AQI], 0)</f>
        <v>4614</v>
      </c>
    </row>
    <row r="4250" spans="1:8" x14ac:dyDescent="0.35">
      <c r="A4250" t="s">
        <v>4264</v>
      </c>
      <c r="B4250" t="s">
        <v>4278</v>
      </c>
      <c r="C4250">
        <v>140</v>
      </c>
      <c r="D4250">
        <v>47</v>
      </c>
      <c r="E4250" t="s">
        <v>9</v>
      </c>
      <c r="F4250">
        <f>tbl_AQI[[#This Row],[Most AQI Reached]]-tbl_AQI[[#This Row],[Current AQI]]</f>
        <v>93</v>
      </c>
      <c r="G42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50">
        <f>RANK(tbl_AQI[[#This Row],[Current AQI]], tbl_AQI[Current AQI], 0)</f>
        <v>4656</v>
      </c>
    </row>
    <row r="4251" spans="1:8" x14ac:dyDescent="0.35">
      <c r="A4251" t="s">
        <v>4264</v>
      </c>
      <c r="B4251" t="s">
        <v>4279</v>
      </c>
      <c r="C4251">
        <v>175</v>
      </c>
      <c r="D4251">
        <v>70</v>
      </c>
      <c r="E4251" t="s">
        <v>11</v>
      </c>
      <c r="F4251">
        <f>tbl_AQI[[#This Row],[Most AQI Reached]]-tbl_AQI[[#This Row],[Current AQI]]</f>
        <v>105</v>
      </c>
      <c r="G42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51">
        <f>RANK(tbl_AQI[[#This Row],[Current AQI]], tbl_AQI[Current AQI], 0)</f>
        <v>4153</v>
      </c>
    </row>
    <row r="4252" spans="1:8" x14ac:dyDescent="0.35">
      <c r="A4252" t="s">
        <v>4264</v>
      </c>
      <c r="B4252" t="s">
        <v>4280</v>
      </c>
      <c r="C4252">
        <v>185</v>
      </c>
      <c r="D4252">
        <v>61</v>
      </c>
      <c r="E4252" t="s">
        <v>21</v>
      </c>
      <c r="F4252">
        <f>tbl_AQI[[#This Row],[Most AQI Reached]]-tbl_AQI[[#This Row],[Current AQI]]</f>
        <v>124</v>
      </c>
      <c r="G42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52">
        <f>RANK(tbl_AQI[[#This Row],[Current AQI]], tbl_AQI[Current AQI], 0)</f>
        <v>4368</v>
      </c>
    </row>
    <row r="4253" spans="1:8" x14ac:dyDescent="0.35">
      <c r="A4253" t="s">
        <v>4264</v>
      </c>
      <c r="B4253" t="s">
        <v>4281</v>
      </c>
      <c r="C4253">
        <v>112</v>
      </c>
      <c r="D4253">
        <v>38</v>
      </c>
      <c r="E4253" t="s">
        <v>9</v>
      </c>
      <c r="F4253">
        <f>tbl_AQI[[#This Row],[Most AQI Reached]]-tbl_AQI[[#This Row],[Current AQI]]</f>
        <v>74</v>
      </c>
      <c r="G42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53">
        <f>RANK(tbl_AQI[[#This Row],[Current AQI]], tbl_AQI[Current AQI], 0)</f>
        <v>4845</v>
      </c>
    </row>
    <row r="4254" spans="1:8" x14ac:dyDescent="0.35">
      <c r="A4254" t="s">
        <v>4264</v>
      </c>
      <c r="B4254" t="s">
        <v>4282</v>
      </c>
      <c r="C4254">
        <v>255</v>
      </c>
      <c r="D4254">
        <v>79</v>
      </c>
      <c r="E4254" t="s">
        <v>17</v>
      </c>
      <c r="F4254">
        <f>tbl_AQI[[#This Row],[Most AQI Reached]]-tbl_AQI[[#This Row],[Current AQI]]</f>
        <v>176</v>
      </c>
      <c r="G42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54">
        <f>RANK(tbl_AQI[[#This Row],[Current AQI]], tbl_AQI[Current AQI], 0)</f>
        <v>3967</v>
      </c>
    </row>
    <row r="4255" spans="1:8" x14ac:dyDescent="0.35">
      <c r="A4255" t="s">
        <v>4264</v>
      </c>
      <c r="B4255" t="s">
        <v>4283</v>
      </c>
      <c r="C4255">
        <v>313</v>
      </c>
      <c r="D4255">
        <v>87</v>
      </c>
      <c r="E4255" t="s">
        <v>15</v>
      </c>
      <c r="F4255">
        <f>tbl_AQI[[#This Row],[Most AQI Reached]]-tbl_AQI[[#This Row],[Current AQI]]</f>
        <v>226</v>
      </c>
      <c r="G42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55">
        <f>RANK(tbl_AQI[[#This Row],[Current AQI]], tbl_AQI[Current AQI], 0)</f>
        <v>3813</v>
      </c>
    </row>
    <row r="4256" spans="1:8" x14ac:dyDescent="0.35">
      <c r="A4256" t="s">
        <v>4264</v>
      </c>
      <c r="B4256" t="s">
        <v>4284</v>
      </c>
      <c r="C4256">
        <v>257</v>
      </c>
      <c r="D4256">
        <v>186</v>
      </c>
      <c r="E4256" t="s">
        <v>15</v>
      </c>
      <c r="F4256">
        <f>tbl_AQI[[#This Row],[Most AQI Reached]]-tbl_AQI[[#This Row],[Current AQI]]</f>
        <v>71</v>
      </c>
      <c r="G42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56">
        <f>RANK(tbl_AQI[[#This Row],[Current AQI]], tbl_AQI[Current AQI], 0)</f>
        <v>1478</v>
      </c>
    </row>
    <row r="4257" spans="1:8" x14ac:dyDescent="0.35">
      <c r="A4257" t="s">
        <v>4264</v>
      </c>
      <c r="B4257" t="s">
        <v>4285</v>
      </c>
      <c r="C4257">
        <v>202</v>
      </c>
      <c r="D4257">
        <v>168</v>
      </c>
      <c r="E4257" t="s">
        <v>33</v>
      </c>
      <c r="F4257">
        <f>tbl_AQI[[#This Row],[Most AQI Reached]]-tbl_AQI[[#This Row],[Current AQI]]</f>
        <v>34</v>
      </c>
      <c r="G42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57">
        <f>RANK(tbl_AQI[[#This Row],[Current AQI]], tbl_AQI[Current AQI], 0)</f>
        <v>1954</v>
      </c>
    </row>
    <row r="4258" spans="1:8" x14ac:dyDescent="0.35">
      <c r="A4258" t="s">
        <v>4264</v>
      </c>
      <c r="B4258" t="s">
        <v>4286</v>
      </c>
      <c r="C4258">
        <v>74</v>
      </c>
      <c r="D4258">
        <v>39</v>
      </c>
      <c r="E4258" t="s">
        <v>9</v>
      </c>
      <c r="F4258">
        <f>tbl_AQI[[#This Row],[Most AQI Reached]]-tbl_AQI[[#This Row],[Current AQI]]</f>
        <v>35</v>
      </c>
      <c r="G42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58">
        <f>RANK(tbl_AQI[[#This Row],[Current AQI]], tbl_AQI[Current AQI], 0)</f>
        <v>4829</v>
      </c>
    </row>
    <row r="4259" spans="1:8" x14ac:dyDescent="0.35">
      <c r="A4259" t="s">
        <v>4264</v>
      </c>
      <c r="B4259" t="s">
        <v>4287</v>
      </c>
      <c r="C4259">
        <v>130</v>
      </c>
      <c r="D4259">
        <v>102</v>
      </c>
      <c r="E4259" t="s">
        <v>21</v>
      </c>
      <c r="F4259">
        <f>tbl_AQI[[#This Row],[Most AQI Reached]]-tbl_AQI[[#This Row],[Current AQI]]</f>
        <v>28</v>
      </c>
      <c r="G42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59">
        <f>RANK(tbl_AQI[[#This Row],[Current AQI]], tbl_AQI[Current AQI], 0)</f>
        <v>3493</v>
      </c>
    </row>
    <row r="4260" spans="1:8" x14ac:dyDescent="0.35">
      <c r="A4260" t="s">
        <v>4264</v>
      </c>
      <c r="B4260" t="s">
        <v>4288</v>
      </c>
      <c r="C4260">
        <v>230</v>
      </c>
      <c r="D4260">
        <v>92</v>
      </c>
      <c r="E4260" t="s">
        <v>9</v>
      </c>
      <c r="F4260">
        <f>tbl_AQI[[#This Row],[Most AQI Reached]]-tbl_AQI[[#This Row],[Current AQI]]</f>
        <v>138</v>
      </c>
      <c r="G42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60">
        <f>RANK(tbl_AQI[[#This Row],[Current AQI]], tbl_AQI[Current AQI], 0)</f>
        <v>3706</v>
      </c>
    </row>
    <row r="4261" spans="1:8" x14ac:dyDescent="0.35">
      <c r="A4261" t="s">
        <v>4264</v>
      </c>
      <c r="B4261" t="s">
        <v>4289</v>
      </c>
      <c r="C4261">
        <v>200</v>
      </c>
      <c r="D4261">
        <v>129</v>
      </c>
      <c r="E4261" t="s">
        <v>21</v>
      </c>
      <c r="F4261">
        <f>tbl_AQI[[#This Row],[Most AQI Reached]]-tbl_AQI[[#This Row],[Current AQI]]</f>
        <v>71</v>
      </c>
      <c r="G42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1">
        <f>RANK(tbl_AQI[[#This Row],[Current AQI]], tbl_AQI[Current AQI], 0)</f>
        <v>2852</v>
      </c>
    </row>
    <row r="4262" spans="1:8" x14ac:dyDescent="0.35">
      <c r="A4262" t="s">
        <v>4264</v>
      </c>
      <c r="B4262" t="s">
        <v>4290</v>
      </c>
      <c r="C4262">
        <v>225</v>
      </c>
      <c r="D4262">
        <v>123</v>
      </c>
      <c r="E4262" t="s">
        <v>21</v>
      </c>
      <c r="F4262">
        <f>tbl_AQI[[#This Row],[Most AQI Reached]]-tbl_AQI[[#This Row],[Current AQI]]</f>
        <v>102</v>
      </c>
      <c r="G42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2">
        <f>RANK(tbl_AQI[[#This Row],[Current AQI]], tbl_AQI[Current AQI], 0)</f>
        <v>2983</v>
      </c>
    </row>
    <row r="4263" spans="1:8" x14ac:dyDescent="0.35">
      <c r="A4263" t="s">
        <v>4264</v>
      </c>
      <c r="B4263" t="s">
        <v>4291</v>
      </c>
      <c r="C4263">
        <v>163</v>
      </c>
      <c r="D4263">
        <v>140</v>
      </c>
      <c r="E4263" t="s">
        <v>11</v>
      </c>
      <c r="F4263">
        <f>tbl_AQI[[#This Row],[Most AQI Reached]]-tbl_AQI[[#This Row],[Current AQI]]</f>
        <v>23</v>
      </c>
      <c r="G42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3">
        <f>RANK(tbl_AQI[[#This Row],[Current AQI]], tbl_AQI[Current AQI], 0)</f>
        <v>2627</v>
      </c>
    </row>
    <row r="4264" spans="1:8" x14ac:dyDescent="0.35">
      <c r="A4264" t="s">
        <v>4264</v>
      </c>
      <c r="B4264" t="s">
        <v>4292</v>
      </c>
      <c r="C4264">
        <v>305</v>
      </c>
      <c r="D4264">
        <v>109</v>
      </c>
      <c r="E4264" t="s">
        <v>11</v>
      </c>
      <c r="F4264">
        <f>tbl_AQI[[#This Row],[Most AQI Reached]]-tbl_AQI[[#This Row],[Current AQI]]</f>
        <v>196</v>
      </c>
      <c r="G42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4">
        <f>RANK(tbl_AQI[[#This Row],[Current AQI]], tbl_AQI[Current AQI], 0)</f>
        <v>3338</v>
      </c>
    </row>
    <row r="4265" spans="1:8" x14ac:dyDescent="0.35">
      <c r="A4265" t="s">
        <v>4264</v>
      </c>
      <c r="B4265" t="s">
        <v>4293</v>
      </c>
      <c r="C4265">
        <v>189</v>
      </c>
      <c r="D4265">
        <v>72</v>
      </c>
      <c r="E4265" t="s">
        <v>21</v>
      </c>
      <c r="F4265">
        <f>tbl_AQI[[#This Row],[Most AQI Reached]]-tbl_AQI[[#This Row],[Current AQI]]</f>
        <v>117</v>
      </c>
      <c r="G42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65">
        <f>RANK(tbl_AQI[[#This Row],[Current AQI]], tbl_AQI[Current AQI], 0)</f>
        <v>4100</v>
      </c>
    </row>
    <row r="4266" spans="1:8" x14ac:dyDescent="0.35">
      <c r="A4266" t="s">
        <v>4264</v>
      </c>
      <c r="B4266" t="s">
        <v>4294</v>
      </c>
      <c r="C4266">
        <v>187</v>
      </c>
      <c r="D4266">
        <v>102</v>
      </c>
      <c r="E4266" t="s">
        <v>15</v>
      </c>
      <c r="F4266">
        <f>tbl_AQI[[#This Row],[Most AQI Reached]]-tbl_AQI[[#This Row],[Current AQI]]</f>
        <v>85</v>
      </c>
      <c r="G42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6">
        <f>RANK(tbl_AQI[[#This Row],[Current AQI]], tbl_AQI[Current AQI], 0)</f>
        <v>3493</v>
      </c>
    </row>
    <row r="4267" spans="1:8" x14ac:dyDescent="0.35">
      <c r="A4267" t="s">
        <v>4264</v>
      </c>
      <c r="B4267" t="s">
        <v>4295</v>
      </c>
      <c r="C4267">
        <v>183</v>
      </c>
      <c r="D4267">
        <v>155</v>
      </c>
      <c r="E4267" t="s">
        <v>7</v>
      </c>
      <c r="F4267">
        <f>tbl_AQI[[#This Row],[Most AQI Reached]]-tbl_AQI[[#This Row],[Current AQI]]</f>
        <v>28</v>
      </c>
      <c r="G42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7">
        <f>RANK(tbl_AQI[[#This Row],[Current AQI]], tbl_AQI[Current AQI], 0)</f>
        <v>2275</v>
      </c>
    </row>
    <row r="4268" spans="1:8" x14ac:dyDescent="0.35">
      <c r="A4268" t="s">
        <v>4264</v>
      </c>
      <c r="B4268" t="s">
        <v>4296</v>
      </c>
      <c r="C4268">
        <v>198</v>
      </c>
      <c r="D4268">
        <v>185</v>
      </c>
      <c r="E4268" t="s">
        <v>7</v>
      </c>
      <c r="F4268">
        <f>tbl_AQI[[#This Row],[Most AQI Reached]]-tbl_AQI[[#This Row],[Current AQI]]</f>
        <v>13</v>
      </c>
      <c r="G42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8">
        <f>RANK(tbl_AQI[[#This Row],[Current AQI]], tbl_AQI[Current AQI], 0)</f>
        <v>1517</v>
      </c>
    </row>
    <row r="4269" spans="1:8" x14ac:dyDescent="0.35">
      <c r="A4269" t="s">
        <v>4264</v>
      </c>
      <c r="B4269" t="s">
        <v>4297</v>
      </c>
      <c r="C4269">
        <v>158</v>
      </c>
      <c r="D4269">
        <v>114</v>
      </c>
      <c r="E4269" t="s">
        <v>17</v>
      </c>
      <c r="F4269">
        <f>tbl_AQI[[#This Row],[Most AQI Reached]]-tbl_AQI[[#This Row],[Current AQI]]</f>
        <v>44</v>
      </c>
      <c r="G42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69">
        <f>RANK(tbl_AQI[[#This Row],[Current AQI]], tbl_AQI[Current AQI], 0)</f>
        <v>3226</v>
      </c>
    </row>
    <row r="4270" spans="1:8" x14ac:dyDescent="0.35">
      <c r="A4270" t="s">
        <v>4264</v>
      </c>
      <c r="B4270" t="s">
        <v>4298</v>
      </c>
      <c r="C4270">
        <v>231</v>
      </c>
      <c r="D4270">
        <v>155</v>
      </c>
      <c r="E4270" t="s">
        <v>11</v>
      </c>
      <c r="F4270">
        <f>tbl_AQI[[#This Row],[Most AQI Reached]]-tbl_AQI[[#This Row],[Current AQI]]</f>
        <v>76</v>
      </c>
      <c r="G42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0">
        <f>RANK(tbl_AQI[[#This Row],[Current AQI]], tbl_AQI[Current AQI], 0)</f>
        <v>2275</v>
      </c>
    </row>
    <row r="4271" spans="1:8" x14ac:dyDescent="0.35">
      <c r="A4271" t="s">
        <v>4264</v>
      </c>
      <c r="B4271" t="s">
        <v>4299</v>
      </c>
      <c r="C4271">
        <v>175</v>
      </c>
      <c r="D4271">
        <v>169</v>
      </c>
      <c r="E4271" t="s">
        <v>9</v>
      </c>
      <c r="F4271">
        <f>tbl_AQI[[#This Row],[Most AQI Reached]]-tbl_AQI[[#This Row],[Current AQI]]</f>
        <v>6</v>
      </c>
      <c r="G42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1">
        <f>RANK(tbl_AQI[[#This Row],[Current AQI]], tbl_AQI[Current AQI], 0)</f>
        <v>1925</v>
      </c>
    </row>
    <row r="4272" spans="1:8" x14ac:dyDescent="0.35">
      <c r="A4272" t="s">
        <v>4264</v>
      </c>
      <c r="B4272" t="s">
        <v>4300</v>
      </c>
      <c r="C4272">
        <v>129</v>
      </c>
      <c r="D4272">
        <v>101</v>
      </c>
      <c r="E4272" t="s">
        <v>17</v>
      </c>
      <c r="F4272">
        <f>tbl_AQI[[#This Row],[Most AQI Reached]]-tbl_AQI[[#This Row],[Current AQI]]</f>
        <v>28</v>
      </c>
      <c r="G42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2">
        <f>RANK(tbl_AQI[[#This Row],[Current AQI]], tbl_AQI[Current AQI], 0)</f>
        <v>3515</v>
      </c>
    </row>
    <row r="4273" spans="1:8" x14ac:dyDescent="0.35">
      <c r="A4273" t="s">
        <v>4264</v>
      </c>
      <c r="B4273" t="s">
        <v>4301</v>
      </c>
      <c r="C4273">
        <v>200</v>
      </c>
      <c r="D4273">
        <v>186</v>
      </c>
      <c r="E4273" t="s">
        <v>11</v>
      </c>
      <c r="F4273">
        <f>tbl_AQI[[#This Row],[Most AQI Reached]]-tbl_AQI[[#This Row],[Current AQI]]</f>
        <v>14</v>
      </c>
      <c r="G42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3">
        <f>RANK(tbl_AQI[[#This Row],[Current AQI]], tbl_AQI[Current AQI], 0)</f>
        <v>1478</v>
      </c>
    </row>
    <row r="4274" spans="1:8" x14ac:dyDescent="0.35">
      <c r="A4274" t="s">
        <v>4264</v>
      </c>
      <c r="B4274" t="s">
        <v>4302</v>
      </c>
      <c r="C4274">
        <v>211</v>
      </c>
      <c r="D4274">
        <v>136</v>
      </c>
      <c r="E4274" t="s">
        <v>11</v>
      </c>
      <c r="F4274">
        <f>tbl_AQI[[#This Row],[Most AQI Reached]]-tbl_AQI[[#This Row],[Current AQI]]</f>
        <v>75</v>
      </c>
      <c r="G42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4">
        <f>RANK(tbl_AQI[[#This Row],[Current AQI]], tbl_AQI[Current AQI], 0)</f>
        <v>2692</v>
      </c>
    </row>
    <row r="4275" spans="1:8" x14ac:dyDescent="0.35">
      <c r="A4275" t="s">
        <v>4264</v>
      </c>
      <c r="B4275" t="s">
        <v>4303</v>
      </c>
      <c r="C4275">
        <v>303</v>
      </c>
      <c r="D4275">
        <v>50</v>
      </c>
      <c r="E4275" t="s">
        <v>33</v>
      </c>
      <c r="F4275">
        <f>tbl_AQI[[#This Row],[Most AQI Reached]]-tbl_AQI[[#This Row],[Current AQI]]</f>
        <v>253</v>
      </c>
      <c r="G42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75">
        <f>RANK(tbl_AQI[[#This Row],[Current AQI]], tbl_AQI[Current AQI], 0)</f>
        <v>4596</v>
      </c>
    </row>
    <row r="4276" spans="1:8" x14ac:dyDescent="0.35">
      <c r="A4276" t="s">
        <v>4264</v>
      </c>
      <c r="B4276" t="s">
        <v>4304</v>
      </c>
      <c r="C4276">
        <v>159</v>
      </c>
      <c r="D4276">
        <v>108</v>
      </c>
      <c r="E4276" t="s">
        <v>33</v>
      </c>
      <c r="F4276">
        <f>tbl_AQI[[#This Row],[Most AQI Reached]]-tbl_AQI[[#This Row],[Current AQI]]</f>
        <v>51</v>
      </c>
      <c r="G42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6">
        <f>RANK(tbl_AQI[[#This Row],[Current AQI]], tbl_AQI[Current AQI], 0)</f>
        <v>3362</v>
      </c>
    </row>
    <row r="4277" spans="1:8" x14ac:dyDescent="0.35">
      <c r="A4277" t="s">
        <v>4264</v>
      </c>
      <c r="B4277" t="s">
        <v>4305</v>
      </c>
      <c r="C4277">
        <v>221</v>
      </c>
      <c r="D4277">
        <v>158</v>
      </c>
      <c r="E4277" t="s">
        <v>21</v>
      </c>
      <c r="F4277">
        <f>tbl_AQI[[#This Row],[Most AQI Reached]]-tbl_AQI[[#This Row],[Current AQI]]</f>
        <v>63</v>
      </c>
      <c r="G42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77">
        <f>RANK(tbl_AQI[[#This Row],[Current AQI]], tbl_AQI[Current AQI], 0)</f>
        <v>2207</v>
      </c>
    </row>
    <row r="4278" spans="1:8" x14ac:dyDescent="0.35">
      <c r="A4278" t="s">
        <v>4264</v>
      </c>
      <c r="B4278" t="s">
        <v>4306</v>
      </c>
      <c r="C4278">
        <v>102</v>
      </c>
      <c r="D4278">
        <v>56</v>
      </c>
      <c r="E4278" t="s">
        <v>33</v>
      </c>
      <c r="F4278">
        <f>tbl_AQI[[#This Row],[Most AQI Reached]]-tbl_AQI[[#This Row],[Current AQI]]</f>
        <v>46</v>
      </c>
      <c r="G42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78">
        <f>RANK(tbl_AQI[[#This Row],[Current AQI]], tbl_AQI[Current AQI], 0)</f>
        <v>4474</v>
      </c>
    </row>
    <row r="4279" spans="1:8" x14ac:dyDescent="0.35">
      <c r="A4279" t="s">
        <v>4264</v>
      </c>
      <c r="B4279" t="s">
        <v>4307</v>
      </c>
      <c r="C4279">
        <v>58</v>
      </c>
      <c r="D4279">
        <v>40</v>
      </c>
      <c r="E4279" t="s">
        <v>33</v>
      </c>
      <c r="F4279">
        <f>tbl_AQI[[#This Row],[Most AQI Reached]]-tbl_AQI[[#This Row],[Current AQI]]</f>
        <v>18</v>
      </c>
      <c r="G42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79">
        <f>RANK(tbl_AQI[[#This Row],[Current AQI]], tbl_AQI[Current AQI], 0)</f>
        <v>4808</v>
      </c>
    </row>
    <row r="4280" spans="1:8" x14ac:dyDescent="0.35">
      <c r="A4280" t="s">
        <v>4264</v>
      </c>
      <c r="B4280" t="s">
        <v>4308</v>
      </c>
      <c r="C4280">
        <v>297</v>
      </c>
      <c r="D4280">
        <v>32</v>
      </c>
      <c r="E4280" t="s">
        <v>17</v>
      </c>
      <c r="F4280">
        <f>tbl_AQI[[#This Row],[Most AQI Reached]]-tbl_AQI[[#This Row],[Current AQI]]</f>
        <v>265</v>
      </c>
      <c r="G42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80">
        <f>RANK(tbl_AQI[[#This Row],[Current AQI]], tbl_AQI[Current AQI], 0)</f>
        <v>4983</v>
      </c>
    </row>
    <row r="4281" spans="1:8" x14ac:dyDescent="0.35">
      <c r="A4281" t="s">
        <v>4264</v>
      </c>
      <c r="B4281" t="s">
        <v>4309</v>
      </c>
      <c r="C4281">
        <v>162</v>
      </c>
      <c r="D4281">
        <v>64</v>
      </c>
      <c r="E4281" t="s">
        <v>17</v>
      </c>
      <c r="F4281">
        <f>tbl_AQI[[#This Row],[Most AQI Reached]]-tbl_AQI[[#This Row],[Current AQI]]</f>
        <v>98</v>
      </c>
      <c r="G42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81">
        <f>RANK(tbl_AQI[[#This Row],[Current AQI]], tbl_AQI[Current AQI], 0)</f>
        <v>4293</v>
      </c>
    </row>
    <row r="4282" spans="1:8" x14ac:dyDescent="0.35">
      <c r="A4282" t="s">
        <v>4264</v>
      </c>
      <c r="B4282" t="s">
        <v>4310</v>
      </c>
      <c r="C4282">
        <v>267</v>
      </c>
      <c r="D4282">
        <v>151</v>
      </c>
      <c r="E4282" t="s">
        <v>15</v>
      </c>
      <c r="F4282">
        <f>tbl_AQI[[#This Row],[Most AQI Reached]]-tbl_AQI[[#This Row],[Current AQI]]</f>
        <v>116</v>
      </c>
      <c r="G42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82">
        <f>RANK(tbl_AQI[[#This Row],[Current AQI]], tbl_AQI[Current AQI], 0)</f>
        <v>2376</v>
      </c>
    </row>
    <row r="4283" spans="1:8" x14ac:dyDescent="0.35">
      <c r="A4283" t="s">
        <v>4264</v>
      </c>
      <c r="B4283" t="s">
        <v>4311</v>
      </c>
      <c r="C4283">
        <v>220</v>
      </c>
      <c r="D4283">
        <v>88</v>
      </c>
      <c r="E4283" t="s">
        <v>33</v>
      </c>
      <c r="F4283">
        <f>tbl_AQI[[#This Row],[Most AQI Reached]]-tbl_AQI[[#This Row],[Current AQI]]</f>
        <v>132</v>
      </c>
      <c r="G42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83">
        <f>RANK(tbl_AQI[[#This Row],[Current AQI]], tbl_AQI[Current AQI], 0)</f>
        <v>3792</v>
      </c>
    </row>
    <row r="4284" spans="1:8" x14ac:dyDescent="0.35">
      <c r="A4284" t="s">
        <v>4264</v>
      </c>
      <c r="B4284" t="s">
        <v>4312</v>
      </c>
      <c r="C4284">
        <v>164</v>
      </c>
      <c r="D4284">
        <v>111</v>
      </c>
      <c r="E4284" t="s">
        <v>7</v>
      </c>
      <c r="F4284">
        <f>tbl_AQI[[#This Row],[Most AQI Reached]]-tbl_AQI[[#This Row],[Current AQI]]</f>
        <v>53</v>
      </c>
      <c r="G42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84">
        <f>RANK(tbl_AQI[[#This Row],[Current AQI]], tbl_AQI[Current AQI], 0)</f>
        <v>3285</v>
      </c>
    </row>
    <row r="4285" spans="1:8" x14ac:dyDescent="0.35">
      <c r="A4285" t="s">
        <v>4264</v>
      </c>
      <c r="B4285" t="s">
        <v>4313</v>
      </c>
      <c r="C4285">
        <v>281</v>
      </c>
      <c r="D4285">
        <v>133</v>
      </c>
      <c r="E4285" t="s">
        <v>11</v>
      </c>
      <c r="F4285">
        <f>tbl_AQI[[#This Row],[Most AQI Reached]]-tbl_AQI[[#This Row],[Current AQI]]</f>
        <v>148</v>
      </c>
      <c r="G42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85">
        <f>RANK(tbl_AQI[[#This Row],[Current AQI]], tbl_AQI[Current AQI], 0)</f>
        <v>2758</v>
      </c>
    </row>
    <row r="4286" spans="1:8" x14ac:dyDescent="0.35">
      <c r="A4286" t="s">
        <v>4264</v>
      </c>
      <c r="B4286" t="s">
        <v>4314</v>
      </c>
      <c r="C4286">
        <v>290</v>
      </c>
      <c r="D4286">
        <v>62</v>
      </c>
      <c r="E4286" t="s">
        <v>7</v>
      </c>
      <c r="F4286">
        <f>tbl_AQI[[#This Row],[Most AQI Reached]]-tbl_AQI[[#This Row],[Current AQI]]</f>
        <v>228</v>
      </c>
      <c r="G42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286">
        <f>RANK(tbl_AQI[[#This Row],[Current AQI]], tbl_AQI[Current AQI], 0)</f>
        <v>4343</v>
      </c>
    </row>
    <row r="4287" spans="1:8" x14ac:dyDescent="0.35">
      <c r="A4287" t="s">
        <v>4264</v>
      </c>
      <c r="B4287" t="s">
        <v>4315</v>
      </c>
      <c r="C4287">
        <v>191</v>
      </c>
      <c r="D4287">
        <v>190</v>
      </c>
      <c r="E4287" t="s">
        <v>9</v>
      </c>
      <c r="F4287">
        <f>tbl_AQI[[#This Row],[Most AQI Reached]]-tbl_AQI[[#This Row],[Current AQI]]</f>
        <v>1</v>
      </c>
      <c r="G42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87">
        <f>RANK(tbl_AQI[[#This Row],[Current AQI]], tbl_AQI[Current AQI], 0)</f>
        <v>1355</v>
      </c>
    </row>
    <row r="4288" spans="1:8" x14ac:dyDescent="0.35">
      <c r="A4288" t="s">
        <v>4264</v>
      </c>
      <c r="B4288" t="s">
        <v>4316</v>
      </c>
      <c r="C4288">
        <v>58</v>
      </c>
      <c r="D4288">
        <v>44</v>
      </c>
      <c r="E4288" t="s">
        <v>15</v>
      </c>
      <c r="F4288">
        <f>tbl_AQI[[#This Row],[Most AQI Reached]]-tbl_AQI[[#This Row],[Current AQI]]</f>
        <v>14</v>
      </c>
      <c r="G42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88">
        <f>RANK(tbl_AQI[[#This Row],[Current AQI]], tbl_AQI[Current AQI], 0)</f>
        <v>4732</v>
      </c>
    </row>
    <row r="4289" spans="1:8" x14ac:dyDescent="0.35">
      <c r="A4289" t="s">
        <v>4264</v>
      </c>
      <c r="B4289" t="s">
        <v>4317</v>
      </c>
      <c r="C4289">
        <v>231</v>
      </c>
      <c r="D4289">
        <v>37</v>
      </c>
      <c r="E4289" t="s">
        <v>7</v>
      </c>
      <c r="F4289">
        <f>tbl_AQI[[#This Row],[Most AQI Reached]]-tbl_AQI[[#This Row],[Current AQI]]</f>
        <v>194</v>
      </c>
      <c r="G42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289">
        <f>RANK(tbl_AQI[[#This Row],[Current AQI]], tbl_AQI[Current AQI], 0)</f>
        <v>4863</v>
      </c>
    </row>
    <row r="4290" spans="1:8" x14ac:dyDescent="0.35">
      <c r="A4290" t="s">
        <v>4264</v>
      </c>
      <c r="B4290" t="s">
        <v>4318</v>
      </c>
      <c r="C4290">
        <v>149</v>
      </c>
      <c r="D4290">
        <v>116</v>
      </c>
      <c r="E4290" t="s">
        <v>33</v>
      </c>
      <c r="F4290">
        <f>tbl_AQI[[#This Row],[Most AQI Reached]]-tbl_AQI[[#This Row],[Current AQI]]</f>
        <v>33</v>
      </c>
      <c r="G42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90">
        <f>RANK(tbl_AQI[[#This Row],[Current AQI]], tbl_AQI[Current AQI], 0)</f>
        <v>3173</v>
      </c>
    </row>
    <row r="4291" spans="1:8" x14ac:dyDescent="0.35">
      <c r="A4291" t="s">
        <v>4264</v>
      </c>
      <c r="B4291" t="s">
        <v>4319</v>
      </c>
      <c r="C4291">
        <v>316</v>
      </c>
      <c r="D4291">
        <v>178</v>
      </c>
      <c r="E4291" t="s">
        <v>21</v>
      </c>
      <c r="F4291">
        <f>tbl_AQI[[#This Row],[Most AQI Reached]]-tbl_AQI[[#This Row],[Current AQI]]</f>
        <v>138</v>
      </c>
      <c r="G42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91">
        <f>RANK(tbl_AQI[[#This Row],[Current AQI]], tbl_AQI[Current AQI], 0)</f>
        <v>1702</v>
      </c>
    </row>
    <row r="4292" spans="1:8" x14ac:dyDescent="0.35">
      <c r="A4292" t="s">
        <v>4264</v>
      </c>
      <c r="B4292" t="s">
        <v>4320</v>
      </c>
      <c r="C4292">
        <v>308</v>
      </c>
      <c r="D4292">
        <v>164</v>
      </c>
      <c r="E4292" t="s">
        <v>11</v>
      </c>
      <c r="F4292">
        <f>tbl_AQI[[#This Row],[Most AQI Reached]]-tbl_AQI[[#This Row],[Current AQI]]</f>
        <v>144</v>
      </c>
      <c r="G42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292">
        <f>RANK(tbl_AQI[[#This Row],[Current AQI]], tbl_AQI[Current AQI], 0)</f>
        <v>2049</v>
      </c>
    </row>
    <row r="4293" spans="1:8" x14ac:dyDescent="0.35">
      <c r="A4293" t="s">
        <v>4413</v>
      </c>
      <c r="B4293" t="s">
        <v>4414</v>
      </c>
      <c r="C4293">
        <v>500</v>
      </c>
      <c r="D4293">
        <v>406</v>
      </c>
      <c r="E4293" t="s">
        <v>21</v>
      </c>
      <c r="F4293">
        <f>tbl_AQI[[#This Row],[Most AQI Reached]]-tbl_AQI[[#This Row],[Current AQI]]</f>
        <v>94</v>
      </c>
      <c r="G42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293">
        <f>RANK(tbl_AQI[[#This Row],[Current AQI]], tbl_AQI[Current AQI], 0)</f>
        <v>366</v>
      </c>
    </row>
    <row r="4294" spans="1:8" x14ac:dyDescent="0.35">
      <c r="A4294" t="s">
        <v>4413</v>
      </c>
      <c r="B4294" t="s">
        <v>4415</v>
      </c>
      <c r="C4294">
        <v>244</v>
      </c>
      <c r="D4294">
        <v>221</v>
      </c>
      <c r="E4294" t="s">
        <v>15</v>
      </c>
      <c r="F4294">
        <f>tbl_AQI[[#This Row],[Most AQI Reached]]-tbl_AQI[[#This Row],[Current AQI]]</f>
        <v>23</v>
      </c>
      <c r="G42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294">
        <f>RANK(tbl_AQI[[#This Row],[Current AQI]], tbl_AQI[Current AQI], 0)</f>
        <v>1224</v>
      </c>
    </row>
    <row r="4295" spans="1:8" x14ac:dyDescent="0.35">
      <c r="A4295" t="s">
        <v>4413</v>
      </c>
      <c r="B4295" t="s">
        <v>4416</v>
      </c>
      <c r="C4295">
        <v>488</v>
      </c>
      <c r="D4295">
        <v>462</v>
      </c>
      <c r="E4295" t="s">
        <v>21</v>
      </c>
      <c r="F4295">
        <f>tbl_AQI[[#This Row],[Most AQI Reached]]-tbl_AQI[[#This Row],[Current AQI]]</f>
        <v>26</v>
      </c>
      <c r="G42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295">
        <f>RANK(tbl_AQI[[#This Row],[Current AQI]], tbl_AQI[Current AQI], 0)</f>
        <v>92</v>
      </c>
    </row>
    <row r="4296" spans="1:8" x14ac:dyDescent="0.35">
      <c r="A4296" t="s">
        <v>4413</v>
      </c>
      <c r="B4296" t="s">
        <v>4417</v>
      </c>
      <c r="C4296">
        <v>467</v>
      </c>
      <c r="D4296">
        <v>259</v>
      </c>
      <c r="E4296" t="s">
        <v>33</v>
      </c>
      <c r="F4296">
        <f>tbl_AQI[[#This Row],[Most AQI Reached]]-tbl_AQI[[#This Row],[Current AQI]]</f>
        <v>208</v>
      </c>
      <c r="G42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296">
        <f>RANK(tbl_AQI[[#This Row],[Current AQI]], tbl_AQI[Current AQI], 0)</f>
        <v>1046</v>
      </c>
    </row>
    <row r="4297" spans="1:8" x14ac:dyDescent="0.35">
      <c r="A4297" t="s">
        <v>4413</v>
      </c>
      <c r="B4297" t="s">
        <v>4418</v>
      </c>
      <c r="C4297">
        <v>490</v>
      </c>
      <c r="D4297">
        <v>245</v>
      </c>
      <c r="E4297" t="s">
        <v>33</v>
      </c>
      <c r="F4297">
        <f>tbl_AQI[[#This Row],[Most AQI Reached]]-tbl_AQI[[#This Row],[Current AQI]]</f>
        <v>245</v>
      </c>
      <c r="G42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297">
        <f>RANK(tbl_AQI[[#This Row],[Current AQI]], tbl_AQI[Current AQI], 0)</f>
        <v>1121</v>
      </c>
    </row>
    <row r="4298" spans="1:8" x14ac:dyDescent="0.35">
      <c r="A4298" t="s">
        <v>4413</v>
      </c>
      <c r="B4298" t="s">
        <v>4419</v>
      </c>
      <c r="C4298">
        <v>482</v>
      </c>
      <c r="D4298">
        <v>429</v>
      </c>
      <c r="E4298" t="s">
        <v>21</v>
      </c>
      <c r="F4298">
        <f>tbl_AQI[[#This Row],[Most AQI Reached]]-tbl_AQI[[#This Row],[Current AQI]]</f>
        <v>53</v>
      </c>
      <c r="G42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298">
        <f>RANK(tbl_AQI[[#This Row],[Current AQI]], tbl_AQI[Current AQI], 0)</f>
        <v>270</v>
      </c>
    </row>
    <row r="4299" spans="1:8" x14ac:dyDescent="0.35">
      <c r="A4299" t="s">
        <v>4413</v>
      </c>
      <c r="B4299" t="s">
        <v>4420</v>
      </c>
      <c r="C4299">
        <v>498</v>
      </c>
      <c r="D4299">
        <v>343</v>
      </c>
      <c r="E4299" t="s">
        <v>7</v>
      </c>
      <c r="F4299">
        <f>tbl_AQI[[#This Row],[Most AQI Reached]]-tbl_AQI[[#This Row],[Current AQI]]</f>
        <v>155</v>
      </c>
      <c r="G42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299">
        <f>RANK(tbl_AQI[[#This Row],[Current AQI]], tbl_AQI[Current AQI], 0)</f>
        <v>662</v>
      </c>
    </row>
    <row r="4300" spans="1:8" x14ac:dyDescent="0.35">
      <c r="A4300" t="s">
        <v>4413</v>
      </c>
      <c r="B4300" t="s">
        <v>4421</v>
      </c>
      <c r="C4300">
        <v>426</v>
      </c>
      <c r="D4300">
        <v>409</v>
      </c>
      <c r="E4300" t="s">
        <v>9</v>
      </c>
      <c r="F4300">
        <f>tbl_AQI[[#This Row],[Most AQI Reached]]-tbl_AQI[[#This Row],[Current AQI]]</f>
        <v>17</v>
      </c>
      <c r="G43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00">
        <f>RANK(tbl_AQI[[#This Row],[Current AQI]], tbl_AQI[Current AQI], 0)</f>
        <v>348</v>
      </c>
    </row>
    <row r="4301" spans="1:8" x14ac:dyDescent="0.35">
      <c r="A4301" t="s">
        <v>4413</v>
      </c>
      <c r="B4301" t="s">
        <v>4422</v>
      </c>
      <c r="C4301">
        <v>482</v>
      </c>
      <c r="D4301">
        <v>478</v>
      </c>
      <c r="E4301" t="s">
        <v>9</v>
      </c>
      <c r="F4301">
        <f>tbl_AQI[[#This Row],[Most AQI Reached]]-tbl_AQI[[#This Row],[Current AQI]]</f>
        <v>4</v>
      </c>
      <c r="G43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01">
        <f>RANK(tbl_AQI[[#This Row],[Current AQI]], tbl_AQI[Current AQI], 0)</f>
        <v>11</v>
      </c>
    </row>
    <row r="4302" spans="1:8" x14ac:dyDescent="0.35">
      <c r="A4302" t="s">
        <v>4413</v>
      </c>
      <c r="B4302" t="s">
        <v>4423</v>
      </c>
      <c r="C4302">
        <v>341</v>
      </c>
      <c r="D4302">
        <v>291</v>
      </c>
      <c r="E4302" t="s">
        <v>33</v>
      </c>
      <c r="F4302">
        <f>tbl_AQI[[#This Row],[Most AQI Reached]]-tbl_AQI[[#This Row],[Current AQI]]</f>
        <v>50</v>
      </c>
      <c r="G43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02">
        <f>RANK(tbl_AQI[[#This Row],[Current AQI]], tbl_AQI[Current AQI], 0)</f>
        <v>898</v>
      </c>
    </row>
    <row r="4303" spans="1:8" x14ac:dyDescent="0.35">
      <c r="A4303" t="s">
        <v>4413</v>
      </c>
      <c r="B4303" t="s">
        <v>4424</v>
      </c>
      <c r="C4303">
        <v>454</v>
      </c>
      <c r="D4303">
        <v>378</v>
      </c>
      <c r="E4303" t="s">
        <v>9</v>
      </c>
      <c r="F4303">
        <f>tbl_AQI[[#This Row],[Most AQI Reached]]-tbl_AQI[[#This Row],[Current AQI]]</f>
        <v>76</v>
      </c>
      <c r="G43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03">
        <f>RANK(tbl_AQI[[#This Row],[Current AQI]], tbl_AQI[Current AQI], 0)</f>
        <v>493</v>
      </c>
    </row>
    <row r="4304" spans="1:8" x14ac:dyDescent="0.35">
      <c r="A4304" t="s">
        <v>4413</v>
      </c>
      <c r="B4304" t="s">
        <v>4425</v>
      </c>
      <c r="C4304">
        <v>381</v>
      </c>
      <c r="D4304">
        <v>276</v>
      </c>
      <c r="E4304" t="s">
        <v>33</v>
      </c>
      <c r="F4304">
        <f>tbl_AQI[[#This Row],[Most AQI Reached]]-tbl_AQI[[#This Row],[Current AQI]]</f>
        <v>105</v>
      </c>
      <c r="G43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04">
        <f>RANK(tbl_AQI[[#This Row],[Current AQI]], tbl_AQI[Current AQI], 0)</f>
        <v>974</v>
      </c>
    </row>
    <row r="4305" spans="1:8" x14ac:dyDescent="0.35">
      <c r="A4305" t="s">
        <v>4413</v>
      </c>
      <c r="B4305" t="s">
        <v>4426</v>
      </c>
      <c r="C4305">
        <v>313</v>
      </c>
      <c r="D4305">
        <v>155</v>
      </c>
      <c r="E4305" t="s">
        <v>9</v>
      </c>
      <c r="F4305">
        <f>tbl_AQI[[#This Row],[Most AQI Reached]]-tbl_AQI[[#This Row],[Current AQI]]</f>
        <v>158</v>
      </c>
      <c r="G43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05">
        <f>RANK(tbl_AQI[[#This Row],[Current AQI]], tbl_AQI[Current AQI], 0)</f>
        <v>2275</v>
      </c>
    </row>
    <row r="4306" spans="1:8" x14ac:dyDescent="0.35">
      <c r="A4306" t="s">
        <v>4413</v>
      </c>
      <c r="B4306" t="s">
        <v>4427</v>
      </c>
      <c r="C4306">
        <v>487</v>
      </c>
      <c r="D4306">
        <v>288</v>
      </c>
      <c r="E4306" t="s">
        <v>9</v>
      </c>
      <c r="F4306">
        <f>tbl_AQI[[#This Row],[Most AQI Reached]]-tbl_AQI[[#This Row],[Current AQI]]</f>
        <v>199</v>
      </c>
      <c r="G43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06">
        <f>RANK(tbl_AQI[[#This Row],[Current AQI]], tbl_AQI[Current AQI], 0)</f>
        <v>916</v>
      </c>
    </row>
    <row r="4307" spans="1:8" x14ac:dyDescent="0.35">
      <c r="A4307" t="s">
        <v>4413</v>
      </c>
      <c r="B4307" t="s">
        <v>4428</v>
      </c>
      <c r="C4307">
        <v>424</v>
      </c>
      <c r="D4307">
        <v>304</v>
      </c>
      <c r="E4307" t="s">
        <v>7</v>
      </c>
      <c r="F4307">
        <f>tbl_AQI[[#This Row],[Most AQI Reached]]-tbl_AQI[[#This Row],[Current AQI]]</f>
        <v>120</v>
      </c>
      <c r="G43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07">
        <f>RANK(tbl_AQI[[#This Row],[Current AQI]], tbl_AQI[Current AQI], 0)</f>
        <v>835</v>
      </c>
    </row>
    <row r="4308" spans="1:8" x14ac:dyDescent="0.35">
      <c r="A4308" t="s">
        <v>4413</v>
      </c>
      <c r="B4308" t="s">
        <v>4429</v>
      </c>
      <c r="C4308">
        <v>473</v>
      </c>
      <c r="D4308">
        <v>436</v>
      </c>
      <c r="E4308" t="s">
        <v>7</v>
      </c>
      <c r="F4308">
        <f>tbl_AQI[[#This Row],[Most AQI Reached]]-tbl_AQI[[#This Row],[Current AQI]]</f>
        <v>37</v>
      </c>
      <c r="G43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08">
        <f>RANK(tbl_AQI[[#This Row],[Current AQI]], tbl_AQI[Current AQI], 0)</f>
        <v>230</v>
      </c>
    </row>
    <row r="4309" spans="1:8" x14ac:dyDescent="0.35">
      <c r="A4309" t="s">
        <v>4413</v>
      </c>
      <c r="B4309" t="s">
        <v>4430</v>
      </c>
      <c r="C4309">
        <v>473</v>
      </c>
      <c r="D4309">
        <v>315</v>
      </c>
      <c r="E4309" t="s">
        <v>15</v>
      </c>
      <c r="F4309">
        <f>tbl_AQI[[#This Row],[Most AQI Reached]]-tbl_AQI[[#This Row],[Current AQI]]</f>
        <v>158</v>
      </c>
      <c r="G43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09">
        <f>RANK(tbl_AQI[[#This Row],[Current AQI]], tbl_AQI[Current AQI], 0)</f>
        <v>804</v>
      </c>
    </row>
    <row r="4310" spans="1:8" x14ac:dyDescent="0.35">
      <c r="A4310" t="s">
        <v>4413</v>
      </c>
      <c r="B4310" t="s">
        <v>4431</v>
      </c>
      <c r="C4310">
        <v>333</v>
      </c>
      <c r="D4310">
        <v>325</v>
      </c>
      <c r="E4310" t="s">
        <v>15</v>
      </c>
      <c r="F4310">
        <f>tbl_AQI[[#This Row],[Most AQI Reached]]-tbl_AQI[[#This Row],[Current AQI]]</f>
        <v>8</v>
      </c>
      <c r="G43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10">
        <f>RANK(tbl_AQI[[#This Row],[Current AQI]], tbl_AQI[Current AQI], 0)</f>
        <v>755</v>
      </c>
    </row>
    <row r="4311" spans="1:8" x14ac:dyDescent="0.35">
      <c r="A4311" t="s">
        <v>4413</v>
      </c>
      <c r="B4311" t="s">
        <v>4432</v>
      </c>
      <c r="C4311">
        <v>323</v>
      </c>
      <c r="D4311">
        <v>315</v>
      </c>
      <c r="E4311" t="s">
        <v>11</v>
      </c>
      <c r="F4311">
        <f>tbl_AQI[[#This Row],[Most AQI Reached]]-tbl_AQI[[#This Row],[Current AQI]]</f>
        <v>8</v>
      </c>
      <c r="G43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11">
        <f>RANK(tbl_AQI[[#This Row],[Current AQI]], tbl_AQI[Current AQI], 0)</f>
        <v>804</v>
      </c>
    </row>
    <row r="4312" spans="1:8" x14ac:dyDescent="0.35">
      <c r="A4312" t="s">
        <v>4413</v>
      </c>
      <c r="B4312" t="s">
        <v>4433</v>
      </c>
      <c r="C4312">
        <v>458</v>
      </c>
      <c r="D4312">
        <v>395</v>
      </c>
      <c r="E4312" t="s">
        <v>21</v>
      </c>
      <c r="F4312">
        <f>tbl_AQI[[#This Row],[Most AQI Reached]]-tbl_AQI[[#This Row],[Current AQI]]</f>
        <v>63</v>
      </c>
      <c r="G43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12">
        <f>RANK(tbl_AQI[[#This Row],[Current AQI]], tbl_AQI[Current AQI], 0)</f>
        <v>420</v>
      </c>
    </row>
    <row r="4313" spans="1:8" x14ac:dyDescent="0.35">
      <c r="A4313" t="s">
        <v>4413</v>
      </c>
      <c r="B4313" t="s">
        <v>4434</v>
      </c>
      <c r="C4313">
        <v>384</v>
      </c>
      <c r="D4313">
        <v>164</v>
      </c>
      <c r="E4313" t="s">
        <v>33</v>
      </c>
      <c r="F4313">
        <f>tbl_AQI[[#This Row],[Most AQI Reached]]-tbl_AQI[[#This Row],[Current AQI]]</f>
        <v>220</v>
      </c>
      <c r="G43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13">
        <f>RANK(tbl_AQI[[#This Row],[Current AQI]], tbl_AQI[Current AQI], 0)</f>
        <v>2049</v>
      </c>
    </row>
    <row r="4314" spans="1:8" x14ac:dyDescent="0.35">
      <c r="A4314" t="s">
        <v>4413</v>
      </c>
      <c r="B4314" t="s">
        <v>4435</v>
      </c>
      <c r="C4314">
        <v>485</v>
      </c>
      <c r="D4314">
        <v>336</v>
      </c>
      <c r="E4314" t="s">
        <v>11</v>
      </c>
      <c r="F4314">
        <f>tbl_AQI[[#This Row],[Most AQI Reached]]-tbl_AQI[[#This Row],[Current AQI]]</f>
        <v>149</v>
      </c>
      <c r="G43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14">
        <f>RANK(tbl_AQI[[#This Row],[Current AQI]], tbl_AQI[Current AQI], 0)</f>
        <v>700</v>
      </c>
    </row>
    <row r="4315" spans="1:8" x14ac:dyDescent="0.35">
      <c r="A4315" t="s">
        <v>4413</v>
      </c>
      <c r="B4315" t="s">
        <v>4436</v>
      </c>
      <c r="C4315">
        <v>492</v>
      </c>
      <c r="D4315">
        <v>342</v>
      </c>
      <c r="E4315" t="s">
        <v>17</v>
      </c>
      <c r="F4315">
        <f>tbl_AQI[[#This Row],[Most AQI Reached]]-tbl_AQI[[#This Row],[Current AQI]]</f>
        <v>150</v>
      </c>
      <c r="G43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15">
        <f>RANK(tbl_AQI[[#This Row],[Current AQI]], tbl_AQI[Current AQI], 0)</f>
        <v>670</v>
      </c>
    </row>
    <row r="4316" spans="1:8" x14ac:dyDescent="0.35">
      <c r="A4316" t="s">
        <v>4413</v>
      </c>
      <c r="B4316" t="s">
        <v>4437</v>
      </c>
      <c r="C4316">
        <v>372</v>
      </c>
      <c r="D4316">
        <v>326</v>
      </c>
      <c r="E4316" t="s">
        <v>7</v>
      </c>
      <c r="F4316">
        <f>tbl_AQI[[#This Row],[Most AQI Reached]]-tbl_AQI[[#This Row],[Current AQI]]</f>
        <v>46</v>
      </c>
      <c r="G43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16">
        <f>RANK(tbl_AQI[[#This Row],[Current AQI]], tbl_AQI[Current AQI], 0)</f>
        <v>747</v>
      </c>
    </row>
    <row r="4317" spans="1:8" x14ac:dyDescent="0.35">
      <c r="A4317" t="s">
        <v>4413</v>
      </c>
      <c r="B4317" t="s">
        <v>4438</v>
      </c>
      <c r="C4317">
        <v>329</v>
      </c>
      <c r="D4317">
        <v>210</v>
      </c>
      <c r="E4317" t="s">
        <v>7</v>
      </c>
      <c r="F4317">
        <f>tbl_AQI[[#This Row],[Most AQI Reached]]-tbl_AQI[[#This Row],[Current AQI]]</f>
        <v>119</v>
      </c>
      <c r="G43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17">
        <f>RANK(tbl_AQI[[#This Row],[Current AQI]], tbl_AQI[Current AQI], 0)</f>
        <v>1272</v>
      </c>
    </row>
    <row r="4318" spans="1:8" x14ac:dyDescent="0.35">
      <c r="A4318" t="s">
        <v>4413</v>
      </c>
      <c r="B4318" t="s">
        <v>4439</v>
      </c>
      <c r="C4318">
        <v>488</v>
      </c>
      <c r="D4318">
        <v>393</v>
      </c>
      <c r="E4318" t="s">
        <v>7</v>
      </c>
      <c r="F4318">
        <f>tbl_AQI[[#This Row],[Most AQI Reached]]-tbl_AQI[[#This Row],[Current AQI]]</f>
        <v>95</v>
      </c>
      <c r="G43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18">
        <f>RANK(tbl_AQI[[#This Row],[Current AQI]], tbl_AQI[Current AQI], 0)</f>
        <v>428</v>
      </c>
    </row>
    <row r="4319" spans="1:8" x14ac:dyDescent="0.35">
      <c r="A4319" t="s">
        <v>4413</v>
      </c>
      <c r="B4319" t="s">
        <v>4440</v>
      </c>
      <c r="C4319">
        <v>301</v>
      </c>
      <c r="D4319">
        <v>211</v>
      </c>
      <c r="E4319" t="s">
        <v>9</v>
      </c>
      <c r="F4319">
        <f>tbl_AQI[[#This Row],[Most AQI Reached]]-tbl_AQI[[#This Row],[Current AQI]]</f>
        <v>90</v>
      </c>
      <c r="G43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19">
        <f>RANK(tbl_AQI[[#This Row],[Current AQI]], tbl_AQI[Current AQI], 0)</f>
        <v>1268</v>
      </c>
    </row>
    <row r="4320" spans="1:8" x14ac:dyDescent="0.35">
      <c r="A4320" t="s">
        <v>4413</v>
      </c>
      <c r="B4320" t="s">
        <v>4441</v>
      </c>
      <c r="C4320">
        <v>450</v>
      </c>
      <c r="D4320">
        <v>190</v>
      </c>
      <c r="E4320" t="s">
        <v>17</v>
      </c>
      <c r="F4320">
        <f>tbl_AQI[[#This Row],[Most AQI Reached]]-tbl_AQI[[#This Row],[Current AQI]]</f>
        <v>260</v>
      </c>
      <c r="G43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20">
        <f>RANK(tbl_AQI[[#This Row],[Current AQI]], tbl_AQI[Current AQI], 0)</f>
        <v>1355</v>
      </c>
    </row>
    <row r="4321" spans="1:8" x14ac:dyDescent="0.35">
      <c r="A4321" t="s">
        <v>4413</v>
      </c>
      <c r="B4321" t="s">
        <v>4442</v>
      </c>
      <c r="C4321">
        <v>470</v>
      </c>
      <c r="D4321">
        <v>188</v>
      </c>
      <c r="E4321" t="s">
        <v>33</v>
      </c>
      <c r="F4321">
        <f>tbl_AQI[[#This Row],[Most AQI Reached]]-tbl_AQI[[#This Row],[Current AQI]]</f>
        <v>282</v>
      </c>
      <c r="G43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21">
        <f>RANK(tbl_AQI[[#This Row],[Current AQI]], tbl_AQI[Current AQI], 0)</f>
        <v>1423</v>
      </c>
    </row>
    <row r="4322" spans="1:8" x14ac:dyDescent="0.35">
      <c r="A4322" t="s">
        <v>4413</v>
      </c>
      <c r="B4322" t="s">
        <v>4443</v>
      </c>
      <c r="C4322">
        <v>228</v>
      </c>
      <c r="D4322">
        <v>189</v>
      </c>
      <c r="E4322" t="s">
        <v>21</v>
      </c>
      <c r="F4322">
        <f>tbl_AQI[[#This Row],[Most AQI Reached]]-tbl_AQI[[#This Row],[Current AQI]]</f>
        <v>39</v>
      </c>
      <c r="G43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22">
        <f>RANK(tbl_AQI[[#This Row],[Current AQI]], tbl_AQI[Current AQI], 0)</f>
        <v>1395</v>
      </c>
    </row>
    <row r="4323" spans="1:8" x14ac:dyDescent="0.35">
      <c r="A4323" t="s">
        <v>4413</v>
      </c>
      <c r="B4323" t="s">
        <v>4444</v>
      </c>
      <c r="C4323">
        <v>428</v>
      </c>
      <c r="D4323">
        <v>428</v>
      </c>
      <c r="E4323" t="s">
        <v>7</v>
      </c>
      <c r="F4323">
        <f>tbl_AQI[[#This Row],[Most AQI Reached]]-tbl_AQI[[#This Row],[Current AQI]]</f>
        <v>0</v>
      </c>
      <c r="G43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23">
        <f>RANK(tbl_AQI[[#This Row],[Current AQI]], tbl_AQI[Current AQI], 0)</f>
        <v>273</v>
      </c>
    </row>
    <row r="4324" spans="1:8" x14ac:dyDescent="0.35">
      <c r="A4324" t="s">
        <v>4413</v>
      </c>
      <c r="B4324" t="s">
        <v>4445</v>
      </c>
      <c r="C4324">
        <v>352</v>
      </c>
      <c r="D4324">
        <v>295</v>
      </c>
      <c r="E4324" t="s">
        <v>7</v>
      </c>
      <c r="F4324">
        <f>tbl_AQI[[#This Row],[Most AQI Reached]]-tbl_AQI[[#This Row],[Current AQI]]</f>
        <v>57</v>
      </c>
      <c r="G43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24">
        <f>RANK(tbl_AQI[[#This Row],[Current AQI]], tbl_AQI[Current AQI], 0)</f>
        <v>881</v>
      </c>
    </row>
    <row r="4325" spans="1:8" x14ac:dyDescent="0.35">
      <c r="A4325" t="s">
        <v>4413</v>
      </c>
      <c r="B4325" t="s">
        <v>4446</v>
      </c>
      <c r="C4325">
        <v>499</v>
      </c>
      <c r="D4325">
        <v>469</v>
      </c>
      <c r="E4325" t="s">
        <v>7</v>
      </c>
      <c r="F4325">
        <f>tbl_AQI[[#This Row],[Most AQI Reached]]-tbl_AQI[[#This Row],[Current AQI]]</f>
        <v>30</v>
      </c>
      <c r="G43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25">
        <f>RANK(tbl_AQI[[#This Row],[Current AQI]], tbl_AQI[Current AQI], 0)</f>
        <v>59</v>
      </c>
    </row>
    <row r="4326" spans="1:8" x14ac:dyDescent="0.35">
      <c r="A4326" t="s">
        <v>4413</v>
      </c>
      <c r="B4326" t="s">
        <v>4447</v>
      </c>
      <c r="C4326">
        <v>459</v>
      </c>
      <c r="D4326">
        <v>180</v>
      </c>
      <c r="E4326" t="s">
        <v>7</v>
      </c>
      <c r="F4326">
        <f>tbl_AQI[[#This Row],[Most AQI Reached]]-tbl_AQI[[#This Row],[Current AQI]]</f>
        <v>279</v>
      </c>
      <c r="G43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26">
        <f>RANK(tbl_AQI[[#This Row],[Current AQI]], tbl_AQI[Current AQI], 0)</f>
        <v>1635</v>
      </c>
    </row>
    <row r="4327" spans="1:8" x14ac:dyDescent="0.35">
      <c r="A4327" t="s">
        <v>4413</v>
      </c>
      <c r="B4327" t="s">
        <v>4448</v>
      </c>
      <c r="C4327">
        <v>496</v>
      </c>
      <c r="D4327">
        <v>466</v>
      </c>
      <c r="E4327" t="s">
        <v>9</v>
      </c>
      <c r="F4327">
        <f>tbl_AQI[[#This Row],[Most AQI Reached]]-tbl_AQI[[#This Row],[Current AQI]]</f>
        <v>30</v>
      </c>
      <c r="G43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27">
        <f>RANK(tbl_AQI[[#This Row],[Current AQI]], tbl_AQI[Current AQI], 0)</f>
        <v>74</v>
      </c>
    </row>
    <row r="4328" spans="1:8" x14ac:dyDescent="0.35">
      <c r="A4328" t="s">
        <v>4413</v>
      </c>
      <c r="B4328" t="s">
        <v>4449</v>
      </c>
      <c r="C4328">
        <v>443</v>
      </c>
      <c r="D4328">
        <v>361</v>
      </c>
      <c r="E4328" t="s">
        <v>9</v>
      </c>
      <c r="F4328">
        <f>tbl_AQI[[#This Row],[Most AQI Reached]]-tbl_AQI[[#This Row],[Current AQI]]</f>
        <v>82</v>
      </c>
      <c r="G43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28">
        <f>RANK(tbl_AQI[[#This Row],[Current AQI]], tbl_AQI[Current AQI], 0)</f>
        <v>570</v>
      </c>
    </row>
    <row r="4329" spans="1:8" x14ac:dyDescent="0.35">
      <c r="A4329" t="s">
        <v>4413</v>
      </c>
      <c r="B4329" t="s">
        <v>4450</v>
      </c>
      <c r="C4329">
        <v>204</v>
      </c>
      <c r="D4329">
        <v>165</v>
      </c>
      <c r="E4329" t="s">
        <v>15</v>
      </c>
      <c r="F4329">
        <f>tbl_AQI[[#This Row],[Most AQI Reached]]-tbl_AQI[[#This Row],[Current AQI]]</f>
        <v>39</v>
      </c>
      <c r="G43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29">
        <f>RANK(tbl_AQI[[#This Row],[Current AQI]], tbl_AQI[Current AQI], 0)</f>
        <v>2028</v>
      </c>
    </row>
    <row r="4330" spans="1:8" x14ac:dyDescent="0.35">
      <c r="A4330" t="s">
        <v>4413</v>
      </c>
      <c r="B4330" t="s">
        <v>4451</v>
      </c>
      <c r="C4330">
        <v>478</v>
      </c>
      <c r="D4330">
        <v>473</v>
      </c>
      <c r="E4330" t="s">
        <v>21</v>
      </c>
      <c r="F4330">
        <f>tbl_AQI[[#This Row],[Most AQI Reached]]-tbl_AQI[[#This Row],[Current AQI]]</f>
        <v>5</v>
      </c>
      <c r="G43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30">
        <f>RANK(tbl_AQI[[#This Row],[Current AQI]], tbl_AQI[Current AQI], 0)</f>
        <v>33</v>
      </c>
    </row>
    <row r="4331" spans="1:8" x14ac:dyDescent="0.35">
      <c r="A4331" t="s">
        <v>4413</v>
      </c>
      <c r="B4331" t="s">
        <v>4452</v>
      </c>
      <c r="C4331">
        <v>481</v>
      </c>
      <c r="D4331">
        <v>259</v>
      </c>
      <c r="E4331" t="s">
        <v>33</v>
      </c>
      <c r="F4331">
        <f>tbl_AQI[[#This Row],[Most AQI Reached]]-tbl_AQI[[#This Row],[Current AQI]]</f>
        <v>222</v>
      </c>
      <c r="G43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31">
        <f>RANK(tbl_AQI[[#This Row],[Current AQI]], tbl_AQI[Current AQI], 0)</f>
        <v>1046</v>
      </c>
    </row>
    <row r="4332" spans="1:8" x14ac:dyDescent="0.35">
      <c r="A4332" t="s">
        <v>4413</v>
      </c>
      <c r="B4332" t="s">
        <v>4453</v>
      </c>
      <c r="C4332">
        <v>454</v>
      </c>
      <c r="D4332">
        <v>335</v>
      </c>
      <c r="E4332" t="s">
        <v>17</v>
      </c>
      <c r="F4332">
        <f>tbl_AQI[[#This Row],[Most AQI Reached]]-tbl_AQI[[#This Row],[Current AQI]]</f>
        <v>119</v>
      </c>
      <c r="G43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32">
        <f>RANK(tbl_AQI[[#This Row],[Current AQI]], tbl_AQI[Current AQI], 0)</f>
        <v>712</v>
      </c>
    </row>
    <row r="4333" spans="1:8" x14ac:dyDescent="0.35">
      <c r="A4333" t="s">
        <v>4413</v>
      </c>
      <c r="B4333" t="s">
        <v>4454</v>
      </c>
      <c r="C4333">
        <v>400</v>
      </c>
      <c r="D4333">
        <v>293</v>
      </c>
      <c r="E4333" t="s">
        <v>33</v>
      </c>
      <c r="F4333">
        <f>tbl_AQI[[#This Row],[Most AQI Reached]]-tbl_AQI[[#This Row],[Current AQI]]</f>
        <v>107</v>
      </c>
      <c r="G43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33">
        <f>RANK(tbl_AQI[[#This Row],[Current AQI]], tbl_AQI[Current AQI], 0)</f>
        <v>888</v>
      </c>
    </row>
    <row r="4334" spans="1:8" x14ac:dyDescent="0.35">
      <c r="A4334" t="s">
        <v>4413</v>
      </c>
      <c r="B4334" t="s">
        <v>4455</v>
      </c>
      <c r="C4334">
        <v>365</v>
      </c>
      <c r="D4334">
        <v>320</v>
      </c>
      <c r="E4334" t="s">
        <v>21</v>
      </c>
      <c r="F4334">
        <f>tbl_AQI[[#This Row],[Most AQI Reached]]-tbl_AQI[[#This Row],[Current AQI]]</f>
        <v>45</v>
      </c>
      <c r="G43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34">
        <f>RANK(tbl_AQI[[#This Row],[Current AQI]], tbl_AQI[Current AQI], 0)</f>
        <v>778</v>
      </c>
    </row>
    <row r="4335" spans="1:8" x14ac:dyDescent="0.35">
      <c r="A4335" t="s">
        <v>4413</v>
      </c>
      <c r="B4335" t="s">
        <v>4456</v>
      </c>
      <c r="C4335">
        <v>424</v>
      </c>
      <c r="D4335">
        <v>304</v>
      </c>
      <c r="E4335" t="s">
        <v>11</v>
      </c>
      <c r="F4335">
        <f>tbl_AQI[[#This Row],[Most AQI Reached]]-tbl_AQI[[#This Row],[Current AQI]]</f>
        <v>120</v>
      </c>
      <c r="G43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35">
        <f>RANK(tbl_AQI[[#This Row],[Current AQI]], tbl_AQI[Current AQI], 0)</f>
        <v>835</v>
      </c>
    </row>
    <row r="4336" spans="1:8" x14ac:dyDescent="0.35">
      <c r="A4336" t="s">
        <v>4413</v>
      </c>
      <c r="B4336" t="s">
        <v>4457</v>
      </c>
      <c r="C4336">
        <v>495</v>
      </c>
      <c r="D4336">
        <v>479</v>
      </c>
      <c r="E4336" t="s">
        <v>7</v>
      </c>
      <c r="F4336">
        <f>tbl_AQI[[#This Row],[Most AQI Reached]]-tbl_AQI[[#This Row],[Current AQI]]</f>
        <v>16</v>
      </c>
      <c r="G43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36">
        <f>RANK(tbl_AQI[[#This Row],[Current AQI]], tbl_AQI[Current AQI], 0)</f>
        <v>6</v>
      </c>
    </row>
    <row r="4337" spans="1:8" x14ac:dyDescent="0.35">
      <c r="A4337" t="s">
        <v>4413</v>
      </c>
      <c r="B4337" t="s">
        <v>4458</v>
      </c>
      <c r="C4337">
        <v>474</v>
      </c>
      <c r="D4337">
        <v>357</v>
      </c>
      <c r="E4337" t="s">
        <v>7</v>
      </c>
      <c r="F4337">
        <f>tbl_AQI[[#This Row],[Most AQI Reached]]-tbl_AQI[[#This Row],[Current AQI]]</f>
        <v>117</v>
      </c>
      <c r="G43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37">
        <f>RANK(tbl_AQI[[#This Row],[Current AQI]], tbl_AQI[Current AQI], 0)</f>
        <v>592</v>
      </c>
    </row>
    <row r="4338" spans="1:8" x14ac:dyDescent="0.35">
      <c r="A4338" t="s">
        <v>4413</v>
      </c>
      <c r="B4338" t="s">
        <v>4459</v>
      </c>
      <c r="C4338">
        <v>159</v>
      </c>
      <c r="D4338">
        <v>158</v>
      </c>
      <c r="E4338" t="s">
        <v>33</v>
      </c>
      <c r="F4338">
        <f>tbl_AQI[[#This Row],[Most AQI Reached]]-tbl_AQI[[#This Row],[Current AQI]]</f>
        <v>1</v>
      </c>
      <c r="G43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38">
        <f>RANK(tbl_AQI[[#This Row],[Current AQI]], tbl_AQI[Current AQI], 0)</f>
        <v>2207</v>
      </c>
    </row>
    <row r="4339" spans="1:8" x14ac:dyDescent="0.35">
      <c r="A4339" t="s">
        <v>4413</v>
      </c>
      <c r="B4339" t="s">
        <v>4460</v>
      </c>
      <c r="C4339">
        <v>380</v>
      </c>
      <c r="D4339">
        <v>162</v>
      </c>
      <c r="E4339" t="s">
        <v>17</v>
      </c>
      <c r="F4339">
        <f>tbl_AQI[[#This Row],[Most AQI Reached]]-tbl_AQI[[#This Row],[Current AQI]]</f>
        <v>218</v>
      </c>
      <c r="G43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39">
        <f>RANK(tbl_AQI[[#This Row],[Current AQI]], tbl_AQI[Current AQI], 0)</f>
        <v>2106</v>
      </c>
    </row>
    <row r="4340" spans="1:8" x14ac:dyDescent="0.35">
      <c r="A4340" t="s">
        <v>4413</v>
      </c>
      <c r="B4340" t="s">
        <v>4461</v>
      </c>
      <c r="C4340">
        <v>428</v>
      </c>
      <c r="D4340">
        <v>421</v>
      </c>
      <c r="E4340" t="s">
        <v>9</v>
      </c>
      <c r="F4340">
        <f>tbl_AQI[[#This Row],[Most AQI Reached]]-tbl_AQI[[#This Row],[Current AQI]]</f>
        <v>7</v>
      </c>
      <c r="G43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40">
        <f>RANK(tbl_AQI[[#This Row],[Current AQI]], tbl_AQI[Current AQI], 0)</f>
        <v>301</v>
      </c>
    </row>
    <row r="4341" spans="1:8" x14ac:dyDescent="0.35">
      <c r="A4341" t="s">
        <v>4413</v>
      </c>
      <c r="B4341" t="s">
        <v>4462</v>
      </c>
      <c r="C4341">
        <v>372</v>
      </c>
      <c r="D4341">
        <v>210</v>
      </c>
      <c r="E4341" t="s">
        <v>7</v>
      </c>
      <c r="F4341">
        <f>tbl_AQI[[#This Row],[Most AQI Reached]]-tbl_AQI[[#This Row],[Current AQI]]</f>
        <v>162</v>
      </c>
      <c r="G43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41">
        <f>RANK(tbl_AQI[[#This Row],[Current AQI]], tbl_AQI[Current AQI], 0)</f>
        <v>1272</v>
      </c>
    </row>
    <row r="4342" spans="1:8" x14ac:dyDescent="0.35">
      <c r="A4342" t="s">
        <v>4413</v>
      </c>
      <c r="B4342" t="s">
        <v>4463</v>
      </c>
      <c r="C4342">
        <v>463</v>
      </c>
      <c r="D4342">
        <v>260</v>
      </c>
      <c r="E4342" t="s">
        <v>21</v>
      </c>
      <c r="F4342">
        <f>tbl_AQI[[#This Row],[Most AQI Reached]]-tbl_AQI[[#This Row],[Current AQI]]</f>
        <v>203</v>
      </c>
      <c r="G43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42">
        <f>RANK(tbl_AQI[[#This Row],[Current AQI]], tbl_AQI[Current AQI], 0)</f>
        <v>1040</v>
      </c>
    </row>
    <row r="4343" spans="1:8" x14ac:dyDescent="0.35">
      <c r="A4343" t="s">
        <v>4413</v>
      </c>
      <c r="B4343" t="s">
        <v>4464</v>
      </c>
      <c r="C4343">
        <v>309</v>
      </c>
      <c r="D4343">
        <v>276</v>
      </c>
      <c r="E4343" t="s">
        <v>11</v>
      </c>
      <c r="F4343">
        <f>tbl_AQI[[#This Row],[Most AQI Reached]]-tbl_AQI[[#This Row],[Current AQI]]</f>
        <v>33</v>
      </c>
      <c r="G43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43">
        <f>RANK(tbl_AQI[[#This Row],[Current AQI]], tbl_AQI[Current AQI], 0)</f>
        <v>974</v>
      </c>
    </row>
    <row r="4344" spans="1:8" x14ac:dyDescent="0.35">
      <c r="A4344" t="s">
        <v>4413</v>
      </c>
      <c r="B4344" t="s">
        <v>4465</v>
      </c>
      <c r="C4344">
        <v>306</v>
      </c>
      <c r="D4344">
        <v>213</v>
      </c>
      <c r="E4344" t="s">
        <v>33</v>
      </c>
      <c r="F4344">
        <f>tbl_AQI[[#This Row],[Most AQI Reached]]-tbl_AQI[[#This Row],[Current AQI]]</f>
        <v>93</v>
      </c>
      <c r="G43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44">
        <f>RANK(tbl_AQI[[#This Row],[Current AQI]], tbl_AQI[Current AQI], 0)</f>
        <v>1260</v>
      </c>
    </row>
    <row r="4345" spans="1:8" x14ac:dyDescent="0.35">
      <c r="A4345" t="s">
        <v>4413</v>
      </c>
      <c r="B4345" t="s">
        <v>4466</v>
      </c>
      <c r="C4345">
        <v>300</v>
      </c>
      <c r="D4345">
        <v>179</v>
      </c>
      <c r="E4345" t="s">
        <v>33</v>
      </c>
      <c r="F4345">
        <f>tbl_AQI[[#This Row],[Most AQI Reached]]-tbl_AQI[[#This Row],[Current AQI]]</f>
        <v>121</v>
      </c>
      <c r="G43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45">
        <f>RANK(tbl_AQI[[#This Row],[Current AQI]], tbl_AQI[Current AQI], 0)</f>
        <v>1667</v>
      </c>
    </row>
    <row r="4346" spans="1:8" x14ac:dyDescent="0.35">
      <c r="A4346" t="s">
        <v>4413</v>
      </c>
      <c r="B4346" t="s">
        <v>4467</v>
      </c>
      <c r="C4346">
        <v>384</v>
      </c>
      <c r="D4346">
        <v>273</v>
      </c>
      <c r="E4346" t="s">
        <v>9</v>
      </c>
      <c r="F4346">
        <f>tbl_AQI[[#This Row],[Most AQI Reached]]-tbl_AQI[[#This Row],[Current AQI]]</f>
        <v>111</v>
      </c>
      <c r="G43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46">
        <f>RANK(tbl_AQI[[#This Row],[Current AQI]], tbl_AQI[Current AQI], 0)</f>
        <v>988</v>
      </c>
    </row>
    <row r="4347" spans="1:8" x14ac:dyDescent="0.35">
      <c r="A4347" t="s">
        <v>4413</v>
      </c>
      <c r="B4347" t="s">
        <v>4468</v>
      </c>
      <c r="C4347">
        <v>494</v>
      </c>
      <c r="D4347">
        <v>454</v>
      </c>
      <c r="E4347" t="s">
        <v>9</v>
      </c>
      <c r="F4347">
        <f>tbl_AQI[[#This Row],[Most AQI Reached]]-tbl_AQI[[#This Row],[Current AQI]]</f>
        <v>40</v>
      </c>
      <c r="G43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47">
        <f>RANK(tbl_AQI[[#This Row],[Current AQI]], tbl_AQI[Current AQI], 0)</f>
        <v>131</v>
      </c>
    </row>
    <row r="4348" spans="1:8" x14ac:dyDescent="0.35">
      <c r="A4348" t="s">
        <v>4413</v>
      </c>
      <c r="B4348" t="s">
        <v>4469</v>
      </c>
      <c r="C4348">
        <v>453</v>
      </c>
      <c r="D4348">
        <v>378</v>
      </c>
      <c r="E4348" t="s">
        <v>21</v>
      </c>
      <c r="F4348">
        <f>tbl_AQI[[#This Row],[Most AQI Reached]]-tbl_AQI[[#This Row],[Current AQI]]</f>
        <v>75</v>
      </c>
      <c r="G43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48">
        <f>RANK(tbl_AQI[[#This Row],[Current AQI]], tbl_AQI[Current AQI], 0)</f>
        <v>493</v>
      </c>
    </row>
    <row r="4349" spans="1:8" x14ac:dyDescent="0.35">
      <c r="A4349" t="s">
        <v>4413</v>
      </c>
      <c r="B4349" t="s">
        <v>4470</v>
      </c>
      <c r="C4349">
        <v>453</v>
      </c>
      <c r="D4349">
        <v>224</v>
      </c>
      <c r="E4349" t="s">
        <v>11</v>
      </c>
      <c r="F4349">
        <f>tbl_AQI[[#This Row],[Most AQI Reached]]-tbl_AQI[[#This Row],[Current AQI]]</f>
        <v>229</v>
      </c>
      <c r="G43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49">
        <f>RANK(tbl_AQI[[#This Row],[Current AQI]], tbl_AQI[Current AQI], 0)</f>
        <v>1211</v>
      </c>
    </row>
    <row r="4350" spans="1:8" x14ac:dyDescent="0.35">
      <c r="A4350" t="s">
        <v>4413</v>
      </c>
      <c r="B4350" t="s">
        <v>4471</v>
      </c>
      <c r="C4350">
        <v>427</v>
      </c>
      <c r="D4350">
        <v>349</v>
      </c>
      <c r="E4350" t="s">
        <v>11</v>
      </c>
      <c r="F4350">
        <f>tbl_AQI[[#This Row],[Most AQI Reached]]-tbl_AQI[[#This Row],[Current AQI]]</f>
        <v>78</v>
      </c>
      <c r="G43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50">
        <f>RANK(tbl_AQI[[#This Row],[Current AQI]], tbl_AQI[Current AQI], 0)</f>
        <v>631</v>
      </c>
    </row>
    <row r="4351" spans="1:8" x14ac:dyDescent="0.35">
      <c r="A4351" t="s">
        <v>4413</v>
      </c>
      <c r="B4351" t="s">
        <v>4472</v>
      </c>
      <c r="C4351">
        <v>320</v>
      </c>
      <c r="D4351">
        <v>267</v>
      </c>
      <c r="E4351" t="s">
        <v>11</v>
      </c>
      <c r="F4351">
        <f>tbl_AQI[[#This Row],[Most AQI Reached]]-tbl_AQI[[#This Row],[Current AQI]]</f>
        <v>53</v>
      </c>
      <c r="G43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51">
        <f>RANK(tbl_AQI[[#This Row],[Current AQI]], tbl_AQI[Current AQI], 0)</f>
        <v>1011</v>
      </c>
    </row>
    <row r="4352" spans="1:8" x14ac:dyDescent="0.35">
      <c r="A4352" t="s">
        <v>4413</v>
      </c>
      <c r="B4352" t="s">
        <v>4473</v>
      </c>
      <c r="C4352">
        <v>494</v>
      </c>
      <c r="D4352">
        <v>436</v>
      </c>
      <c r="E4352" t="s">
        <v>9</v>
      </c>
      <c r="F4352">
        <f>tbl_AQI[[#This Row],[Most AQI Reached]]-tbl_AQI[[#This Row],[Current AQI]]</f>
        <v>58</v>
      </c>
      <c r="G43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52">
        <f>RANK(tbl_AQI[[#This Row],[Current AQI]], tbl_AQI[Current AQI], 0)</f>
        <v>230</v>
      </c>
    </row>
    <row r="4353" spans="1:8" x14ac:dyDescent="0.35">
      <c r="A4353" t="s">
        <v>4413</v>
      </c>
      <c r="B4353" t="s">
        <v>4474</v>
      </c>
      <c r="C4353">
        <v>473</v>
      </c>
      <c r="D4353">
        <v>463</v>
      </c>
      <c r="E4353" t="s">
        <v>21</v>
      </c>
      <c r="F4353">
        <f>tbl_AQI[[#This Row],[Most AQI Reached]]-tbl_AQI[[#This Row],[Current AQI]]</f>
        <v>10</v>
      </c>
      <c r="G43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53">
        <f>RANK(tbl_AQI[[#This Row],[Current AQI]], tbl_AQI[Current AQI], 0)</f>
        <v>90</v>
      </c>
    </row>
    <row r="4354" spans="1:8" x14ac:dyDescent="0.35">
      <c r="A4354" t="s">
        <v>4413</v>
      </c>
      <c r="B4354" t="s">
        <v>4475</v>
      </c>
      <c r="C4354">
        <v>498</v>
      </c>
      <c r="D4354">
        <v>341</v>
      </c>
      <c r="E4354" t="s">
        <v>7</v>
      </c>
      <c r="F4354">
        <f>tbl_AQI[[#This Row],[Most AQI Reached]]-tbl_AQI[[#This Row],[Current AQI]]</f>
        <v>157</v>
      </c>
      <c r="G43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54">
        <f>RANK(tbl_AQI[[#This Row],[Current AQI]], tbl_AQI[Current AQI], 0)</f>
        <v>674</v>
      </c>
    </row>
    <row r="4355" spans="1:8" x14ac:dyDescent="0.35">
      <c r="A4355" t="s">
        <v>4413</v>
      </c>
      <c r="B4355" t="s">
        <v>4476</v>
      </c>
      <c r="C4355">
        <v>334</v>
      </c>
      <c r="D4355">
        <v>171</v>
      </c>
      <c r="E4355" t="s">
        <v>33</v>
      </c>
      <c r="F4355">
        <f>tbl_AQI[[#This Row],[Most AQI Reached]]-tbl_AQI[[#This Row],[Current AQI]]</f>
        <v>163</v>
      </c>
      <c r="G43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55">
        <f>RANK(tbl_AQI[[#This Row],[Current AQI]], tbl_AQI[Current AQI], 0)</f>
        <v>1866</v>
      </c>
    </row>
    <row r="4356" spans="1:8" x14ac:dyDescent="0.35">
      <c r="A4356" t="s">
        <v>4413</v>
      </c>
      <c r="B4356" t="s">
        <v>4477</v>
      </c>
      <c r="C4356">
        <v>482</v>
      </c>
      <c r="D4356">
        <v>330</v>
      </c>
      <c r="E4356" t="s">
        <v>15</v>
      </c>
      <c r="F4356">
        <f>tbl_AQI[[#This Row],[Most AQI Reached]]-tbl_AQI[[#This Row],[Current AQI]]</f>
        <v>152</v>
      </c>
      <c r="G43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56">
        <f>RANK(tbl_AQI[[#This Row],[Current AQI]], tbl_AQI[Current AQI], 0)</f>
        <v>734</v>
      </c>
    </row>
    <row r="4357" spans="1:8" x14ac:dyDescent="0.35">
      <c r="A4357" t="s">
        <v>4413</v>
      </c>
      <c r="B4357" t="s">
        <v>4478</v>
      </c>
      <c r="C4357">
        <v>424</v>
      </c>
      <c r="D4357">
        <v>336</v>
      </c>
      <c r="E4357" t="s">
        <v>21</v>
      </c>
      <c r="F4357">
        <f>tbl_AQI[[#This Row],[Most AQI Reached]]-tbl_AQI[[#This Row],[Current AQI]]</f>
        <v>88</v>
      </c>
      <c r="G43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57">
        <f>RANK(tbl_AQI[[#This Row],[Current AQI]], tbl_AQI[Current AQI], 0)</f>
        <v>700</v>
      </c>
    </row>
    <row r="4358" spans="1:8" x14ac:dyDescent="0.35">
      <c r="A4358" t="s">
        <v>4413</v>
      </c>
      <c r="B4358" t="s">
        <v>4479</v>
      </c>
      <c r="C4358">
        <v>315</v>
      </c>
      <c r="D4358">
        <v>164</v>
      </c>
      <c r="E4358" t="s">
        <v>21</v>
      </c>
      <c r="F4358">
        <f>tbl_AQI[[#This Row],[Most AQI Reached]]-tbl_AQI[[#This Row],[Current AQI]]</f>
        <v>151</v>
      </c>
      <c r="G43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58">
        <f>RANK(tbl_AQI[[#This Row],[Current AQI]], tbl_AQI[Current AQI], 0)</f>
        <v>2049</v>
      </c>
    </row>
    <row r="4359" spans="1:8" x14ac:dyDescent="0.35">
      <c r="A4359" t="s">
        <v>4413</v>
      </c>
      <c r="B4359" t="s">
        <v>4480</v>
      </c>
      <c r="C4359">
        <v>459</v>
      </c>
      <c r="D4359">
        <v>427</v>
      </c>
      <c r="E4359" t="s">
        <v>21</v>
      </c>
      <c r="F4359">
        <f>tbl_AQI[[#This Row],[Most AQI Reached]]-tbl_AQI[[#This Row],[Current AQI]]</f>
        <v>32</v>
      </c>
      <c r="G43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59">
        <f>RANK(tbl_AQI[[#This Row],[Current AQI]], tbl_AQI[Current AQI], 0)</f>
        <v>281</v>
      </c>
    </row>
    <row r="4360" spans="1:8" x14ac:dyDescent="0.35">
      <c r="A4360" t="s">
        <v>4413</v>
      </c>
      <c r="B4360" t="s">
        <v>4481</v>
      </c>
      <c r="C4360">
        <v>311</v>
      </c>
      <c r="D4360">
        <v>187</v>
      </c>
      <c r="E4360" t="s">
        <v>9</v>
      </c>
      <c r="F4360">
        <f>tbl_AQI[[#This Row],[Most AQI Reached]]-tbl_AQI[[#This Row],[Current AQI]]</f>
        <v>124</v>
      </c>
      <c r="G43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60">
        <f>RANK(tbl_AQI[[#This Row],[Current AQI]], tbl_AQI[Current AQI], 0)</f>
        <v>1455</v>
      </c>
    </row>
    <row r="4361" spans="1:8" x14ac:dyDescent="0.35">
      <c r="A4361" t="s">
        <v>4413</v>
      </c>
      <c r="B4361" t="s">
        <v>4482</v>
      </c>
      <c r="C4361">
        <v>419</v>
      </c>
      <c r="D4361">
        <v>348</v>
      </c>
      <c r="E4361" t="s">
        <v>21</v>
      </c>
      <c r="F4361">
        <f>tbl_AQI[[#This Row],[Most AQI Reached]]-tbl_AQI[[#This Row],[Current AQI]]</f>
        <v>71</v>
      </c>
      <c r="G43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61">
        <f>RANK(tbl_AQI[[#This Row],[Current AQI]], tbl_AQI[Current AQI], 0)</f>
        <v>641</v>
      </c>
    </row>
    <row r="4362" spans="1:8" x14ac:dyDescent="0.35">
      <c r="A4362" t="s">
        <v>4413</v>
      </c>
      <c r="B4362" t="s">
        <v>4483</v>
      </c>
      <c r="C4362">
        <v>243</v>
      </c>
      <c r="D4362">
        <v>238</v>
      </c>
      <c r="E4362" t="s">
        <v>7</v>
      </c>
      <c r="F4362">
        <f>tbl_AQI[[#This Row],[Most AQI Reached]]-tbl_AQI[[#This Row],[Current AQI]]</f>
        <v>5</v>
      </c>
      <c r="G43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62">
        <f>RANK(tbl_AQI[[#This Row],[Current AQI]], tbl_AQI[Current AQI], 0)</f>
        <v>1154</v>
      </c>
    </row>
    <row r="4363" spans="1:8" x14ac:dyDescent="0.35">
      <c r="A4363" t="s">
        <v>4413</v>
      </c>
      <c r="B4363" t="s">
        <v>4484</v>
      </c>
      <c r="C4363">
        <v>424</v>
      </c>
      <c r="D4363">
        <v>384</v>
      </c>
      <c r="E4363" t="s">
        <v>21</v>
      </c>
      <c r="F4363">
        <f>tbl_AQI[[#This Row],[Most AQI Reached]]-tbl_AQI[[#This Row],[Current AQI]]</f>
        <v>40</v>
      </c>
      <c r="G43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63">
        <f>RANK(tbl_AQI[[#This Row],[Current AQI]], tbl_AQI[Current AQI], 0)</f>
        <v>463</v>
      </c>
    </row>
    <row r="4364" spans="1:8" x14ac:dyDescent="0.35">
      <c r="A4364" t="s">
        <v>4413</v>
      </c>
      <c r="B4364" t="s">
        <v>4485</v>
      </c>
      <c r="C4364">
        <v>324</v>
      </c>
      <c r="D4364">
        <v>318</v>
      </c>
      <c r="E4364" t="s">
        <v>15</v>
      </c>
      <c r="F4364">
        <f>tbl_AQI[[#This Row],[Most AQI Reached]]-tbl_AQI[[#This Row],[Current AQI]]</f>
        <v>6</v>
      </c>
      <c r="G43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64">
        <f>RANK(tbl_AQI[[#This Row],[Current AQI]], tbl_AQI[Current AQI], 0)</f>
        <v>786</v>
      </c>
    </row>
    <row r="4365" spans="1:8" x14ac:dyDescent="0.35">
      <c r="A4365" t="s">
        <v>4413</v>
      </c>
      <c r="B4365" t="s">
        <v>4486</v>
      </c>
      <c r="C4365">
        <v>448</v>
      </c>
      <c r="D4365">
        <v>213</v>
      </c>
      <c r="E4365" t="s">
        <v>15</v>
      </c>
      <c r="F4365">
        <f>tbl_AQI[[#This Row],[Most AQI Reached]]-tbl_AQI[[#This Row],[Current AQI]]</f>
        <v>235</v>
      </c>
      <c r="G43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65">
        <f>RANK(tbl_AQI[[#This Row],[Current AQI]], tbl_AQI[Current AQI], 0)</f>
        <v>1260</v>
      </c>
    </row>
    <row r="4366" spans="1:8" x14ac:dyDescent="0.35">
      <c r="A4366" t="s">
        <v>4413</v>
      </c>
      <c r="B4366" t="s">
        <v>4487</v>
      </c>
      <c r="C4366">
        <v>494</v>
      </c>
      <c r="D4366">
        <v>375</v>
      </c>
      <c r="E4366" t="s">
        <v>9</v>
      </c>
      <c r="F4366">
        <f>tbl_AQI[[#This Row],[Most AQI Reached]]-tbl_AQI[[#This Row],[Current AQI]]</f>
        <v>119</v>
      </c>
      <c r="G43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66">
        <f>RANK(tbl_AQI[[#This Row],[Current AQI]], tbl_AQI[Current AQI], 0)</f>
        <v>514</v>
      </c>
    </row>
    <row r="4367" spans="1:8" x14ac:dyDescent="0.35">
      <c r="A4367" t="s">
        <v>4413</v>
      </c>
      <c r="B4367" t="s">
        <v>4488</v>
      </c>
      <c r="C4367">
        <v>444</v>
      </c>
      <c r="D4367">
        <v>353</v>
      </c>
      <c r="E4367" t="s">
        <v>9</v>
      </c>
      <c r="F4367">
        <f>tbl_AQI[[#This Row],[Most AQI Reached]]-tbl_AQI[[#This Row],[Current AQI]]</f>
        <v>91</v>
      </c>
      <c r="G43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67">
        <f>RANK(tbl_AQI[[#This Row],[Current AQI]], tbl_AQI[Current AQI], 0)</f>
        <v>611</v>
      </c>
    </row>
    <row r="4368" spans="1:8" x14ac:dyDescent="0.35">
      <c r="A4368" t="s">
        <v>4413</v>
      </c>
      <c r="B4368" t="s">
        <v>4489</v>
      </c>
      <c r="C4368">
        <v>429</v>
      </c>
      <c r="D4368">
        <v>417</v>
      </c>
      <c r="E4368" t="s">
        <v>9</v>
      </c>
      <c r="F4368">
        <f>tbl_AQI[[#This Row],[Most AQI Reached]]-tbl_AQI[[#This Row],[Current AQI]]</f>
        <v>12</v>
      </c>
      <c r="G43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68">
        <f>RANK(tbl_AQI[[#This Row],[Current AQI]], tbl_AQI[Current AQI], 0)</f>
        <v>316</v>
      </c>
    </row>
    <row r="4369" spans="1:8" x14ac:dyDescent="0.35">
      <c r="A4369" t="s">
        <v>4413</v>
      </c>
      <c r="B4369" t="s">
        <v>4490</v>
      </c>
      <c r="C4369">
        <v>378</v>
      </c>
      <c r="D4369">
        <v>228</v>
      </c>
      <c r="E4369" t="s">
        <v>15</v>
      </c>
      <c r="F4369">
        <f>tbl_AQI[[#This Row],[Most AQI Reached]]-tbl_AQI[[#This Row],[Current AQI]]</f>
        <v>150</v>
      </c>
      <c r="G43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69">
        <f>RANK(tbl_AQI[[#This Row],[Current AQI]], tbl_AQI[Current AQI], 0)</f>
        <v>1195</v>
      </c>
    </row>
    <row r="4370" spans="1:8" x14ac:dyDescent="0.35">
      <c r="A4370" t="s">
        <v>4413</v>
      </c>
      <c r="B4370" t="s">
        <v>774</v>
      </c>
      <c r="C4370">
        <v>485</v>
      </c>
      <c r="D4370">
        <v>230</v>
      </c>
      <c r="E4370" t="s">
        <v>17</v>
      </c>
      <c r="F4370">
        <f>tbl_AQI[[#This Row],[Most AQI Reached]]-tbl_AQI[[#This Row],[Current AQI]]</f>
        <v>255</v>
      </c>
      <c r="G43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70">
        <f>RANK(tbl_AQI[[#This Row],[Current AQI]], tbl_AQI[Current AQI], 0)</f>
        <v>1184</v>
      </c>
    </row>
    <row r="4371" spans="1:8" x14ac:dyDescent="0.35">
      <c r="A4371" t="s">
        <v>4413</v>
      </c>
      <c r="B4371" t="s">
        <v>775</v>
      </c>
      <c r="C4371">
        <v>479</v>
      </c>
      <c r="D4371">
        <v>467</v>
      </c>
      <c r="E4371" t="s">
        <v>7</v>
      </c>
      <c r="F4371">
        <f>tbl_AQI[[#This Row],[Most AQI Reached]]-tbl_AQI[[#This Row],[Current AQI]]</f>
        <v>12</v>
      </c>
      <c r="G43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71">
        <f>RANK(tbl_AQI[[#This Row],[Current AQI]], tbl_AQI[Current AQI], 0)</f>
        <v>70</v>
      </c>
    </row>
    <row r="4372" spans="1:8" x14ac:dyDescent="0.35">
      <c r="A4372" t="s">
        <v>4413</v>
      </c>
      <c r="B4372" t="s">
        <v>776</v>
      </c>
      <c r="C4372">
        <v>435</v>
      </c>
      <c r="D4372">
        <v>211</v>
      </c>
      <c r="E4372" t="s">
        <v>9</v>
      </c>
      <c r="F4372">
        <f>tbl_AQI[[#This Row],[Most AQI Reached]]-tbl_AQI[[#This Row],[Current AQI]]</f>
        <v>224</v>
      </c>
      <c r="G43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72">
        <f>RANK(tbl_AQI[[#This Row],[Current AQI]], tbl_AQI[Current AQI], 0)</f>
        <v>1268</v>
      </c>
    </row>
    <row r="4373" spans="1:8" x14ac:dyDescent="0.35">
      <c r="A4373" t="s">
        <v>4413</v>
      </c>
      <c r="B4373" t="s">
        <v>777</v>
      </c>
      <c r="C4373">
        <v>469</v>
      </c>
      <c r="D4373">
        <v>260</v>
      </c>
      <c r="E4373" t="s">
        <v>9</v>
      </c>
      <c r="F4373">
        <f>tbl_AQI[[#This Row],[Most AQI Reached]]-tbl_AQI[[#This Row],[Current AQI]]</f>
        <v>209</v>
      </c>
      <c r="G43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73">
        <f>RANK(tbl_AQI[[#This Row],[Current AQI]], tbl_AQI[Current AQI], 0)</f>
        <v>1040</v>
      </c>
    </row>
    <row r="4374" spans="1:8" x14ac:dyDescent="0.35">
      <c r="A4374" t="s">
        <v>4413</v>
      </c>
      <c r="B4374" t="s">
        <v>778</v>
      </c>
      <c r="C4374">
        <v>453</v>
      </c>
      <c r="D4374">
        <v>398</v>
      </c>
      <c r="E4374" t="s">
        <v>7</v>
      </c>
      <c r="F4374">
        <f>tbl_AQI[[#This Row],[Most AQI Reached]]-tbl_AQI[[#This Row],[Current AQI]]</f>
        <v>55</v>
      </c>
      <c r="G43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74">
        <f>RANK(tbl_AQI[[#This Row],[Current AQI]], tbl_AQI[Current AQI], 0)</f>
        <v>404</v>
      </c>
    </row>
    <row r="4375" spans="1:8" x14ac:dyDescent="0.35">
      <c r="A4375" t="s">
        <v>4413</v>
      </c>
      <c r="B4375" t="s">
        <v>779</v>
      </c>
      <c r="C4375">
        <v>453</v>
      </c>
      <c r="D4375">
        <v>344</v>
      </c>
      <c r="E4375" t="s">
        <v>15</v>
      </c>
      <c r="F4375">
        <f>tbl_AQI[[#This Row],[Most AQI Reached]]-tbl_AQI[[#This Row],[Current AQI]]</f>
        <v>109</v>
      </c>
      <c r="G43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75">
        <f>RANK(tbl_AQI[[#This Row],[Current AQI]], tbl_AQI[Current AQI], 0)</f>
        <v>656</v>
      </c>
    </row>
    <row r="4376" spans="1:8" x14ac:dyDescent="0.35">
      <c r="A4376" t="s">
        <v>4413</v>
      </c>
      <c r="B4376" t="s">
        <v>780</v>
      </c>
      <c r="C4376">
        <v>487</v>
      </c>
      <c r="D4376">
        <v>465</v>
      </c>
      <c r="E4376" t="s">
        <v>21</v>
      </c>
      <c r="F4376">
        <f>tbl_AQI[[#This Row],[Most AQI Reached]]-tbl_AQI[[#This Row],[Current AQI]]</f>
        <v>22</v>
      </c>
      <c r="G43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76">
        <f>RANK(tbl_AQI[[#This Row],[Current AQI]], tbl_AQI[Current AQI], 0)</f>
        <v>78</v>
      </c>
    </row>
    <row r="4377" spans="1:8" x14ac:dyDescent="0.35">
      <c r="A4377" t="s">
        <v>4413</v>
      </c>
      <c r="B4377" t="s">
        <v>4491</v>
      </c>
      <c r="C4377">
        <v>280</v>
      </c>
      <c r="D4377">
        <v>248</v>
      </c>
      <c r="E4377" t="s">
        <v>15</v>
      </c>
      <c r="F4377">
        <f>tbl_AQI[[#This Row],[Most AQI Reached]]-tbl_AQI[[#This Row],[Current AQI]]</f>
        <v>32</v>
      </c>
      <c r="G43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77">
        <f>RANK(tbl_AQI[[#This Row],[Current AQI]], tbl_AQI[Current AQI], 0)</f>
        <v>1104</v>
      </c>
    </row>
    <row r="4378" spans="1:8" x14ac:dyDescent="0.35">
      <c r="A4378" t="s">
        <v>4413</v>
      </c>
      <c r="B4378" t="s">
        <v>4492</v>
      </c>
      <c r="C4378">
        <v>489</v>
      </c>
      <c r="D4378">
        <v>199</v>
      </c>
      <c r="E4378" t="s">
        <v>15</v>
      </c>
      <c r="F4378">
        <f>tbl_AQI[[#This Row],[Most AQI Reached]]-tbl_AQI[[#This Row],[Current AQI]]</f>
        <v>290</v>
      </c>
      <c r="G43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78">
        <f>RANK(tbl_AQI[[#This Row],[Current AQI]], tbl_AQI[Current AQI], 0)</f>
        <v>1314</v>
      </c>
    </row>
    <row r="4379" spans="1:8" x14ac:dyDescent="0.35">
      <c r="A4379" t="s">
        <v>4413</v>
      </c>
      <c r="B4379" t="s">
        <v>4493</v>
      </c>
      <c r="C4379">
        <v>322</v>
      </c>
      <c r="D4379">
        <v>321</v>
      </c>
      <c r="E4379" t="s">
        <v>17</v>
      </c>
      <c r="F4379">
        <f>tbl_AQI[[#This Row],[Most AQI Reached]]-tbl_AQI[[#This Row],[Current AQI]]</f>
        <v>1</v>
      </c>
      <c r="G43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79">
        <f>RANK(tbl_AQI[[#This Row],[Current AQI]], tbl_AQI[Current AQI], 0)</f>
        <v>770</v>
      </c>
    </row>
    <row r="4380" spans="1:8" x14ac:dyDescent="0.35">
      <c r="A4380" t="s">
        <v>4413</v>
      </c>
      <c r="B4380" t="s">
        <v>4494</v>
      </c>
      <c r="C4380">
        <v>384</v>
      </c>
      <c r="D4380">
        <v>170</v>
      </c>
      <c r="E4380" t="s">
        <v>7</v>
      </c>
      <c r="F4380">
        <f>tbl_AQI[[#This Row],[Most AQI Reached]]-tbl_AQI[[#This Row],[Current AQI]]</f>
        <v>214</v>
      </c>
      <c r="G43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80">
        <f>RANK(tbl_AQI[[#This Row],[Current AQI]], tbl_AQI[Current AQI], 0)</f>
        <v>1898</v>
      </c>
    </row>
    <row r="4381" spans="1:8" x14ac:dyDescent="0.35">
      <c r="A4381" t="s">
        <v>4413</v>
      </c>
      <c r="B4381" t="s">
        <v>4495</v>
      </c>
      <c r="C4381">
        <v>475</v>
      </c>
      <c r="D4381">
        <v>436</v>
      </c>
      <c r="E4381" t="s">
        <v>9</v>
      </c>
      <c r="F4381">
        <f>tbl_AQI[[#This Row],[Most AQI Reached]]-tbl_AQI[[#This Row],[Current AQI]]</f>
        <v>39</v>
      </c>
      <c r="G43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81">
        <f>RANK(tbl_AQI[[#This Row],[Current AQI]], tbl_AQI[Current AQI], 0)</f>
        <v>230</v>
      </c>
    </row>
    <row r="4382" spans="1:8" x14ac:dyDescent="0.35">
      <c r="A4382" t="s">
        <v>4413</v>
      </c>
      <c r="B4382" t="s">
        <v>4496</v>
      </c>
      <c r="C4382">
        <v>455</v>
      </c>
      <c r="D4382">
        <v>354</v>
      </c>
      <c r="E4382" t="s">
        <v>7</v>
      </c>
      <c r="F4382">
        <f>tbl_AQI[[#This Row],[Most AQI Reached]]-tbl_AQI[[#This Row],[Current AQI]]</f>
        <v>101</v>
      </c>
      <c r="G43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82">
        <f>RANK(tbl_AQI[[#This Row],[Current AQI]], tbl_AQI[Current AQI], 0)</f>
        <v>602</v>
      </c>
    </row>
    <row r="4383" spans="1:8" x14ac:dyDescent="0.35">
      <c r="A4383" t="s">
        <v>4413</v>
      </c>
      <c r="B4383" t="s">
        <v>4497</v>
      </c>
      <c r="C4383">
        <v>446</v>
      </c>
      <c r="D4383">
        <v>443</v>
      </c>
      <c r="E4383" t="s">
        <v>9</v>
      </c>
      <c r="F4383">
        <f>tbl_AQI[[#This Row],[Most AQI Reached]]-tbl_AQI[[#This Row],[Current AQI]]</f>
        <v>3</v>
      </c>
      <c r="G43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83">
        <f>RANK(tbl_AQI[[#This Row],[Current AQI]], tbl_AQI[Current AQI], 0)</f>
        <v>188</v>
      </c>
    </row>
    <row r="4384" spans="1:8" x14ac:dyDescent="0.35">
      <c r="A4384" t="s">
        <v>4413</v>
      </c>
      <c r="B4384" t="s">
        <v>4498</v>
      </c>
      <c r="C4384">
        <v>261</v>
      </c>
      <c r="D4384">
        <v>233</v>
      </c>
      <c r="E4384" t="s">
        <v>15</v>
      </c>
      <c r="F4384">
        <f>tbl_AQI[[#This Row],[Most AQI Reached]]-tbl_AQI[[#This Row],[Current AQI]]</f>
        <v>28</v>
      </c>
      <c r="G43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84">
        <f>RANK(tbl_AQI[[#This Row],[Current AQI]], tbl_AQI[Current AQI], 0)</f>
        <v>1175</v>
      </c>
    </row>
    <row r="4385" spans="1:8" x14ac:dyDescent="0.35">
      <c r="A4385" t="s">
        <v>4413</v>
      </c>
      <c r="B4385" t="s">
        <v>4499</v>
      </c>
      <c r="C4385">
        <v>473</v>
      </c>
      <c r="D4385">
        <v>379</v>
      </c>
      <c r="E4385" t="s">
        <v>9</v>
      </c>
      <c r="F4385">
        <f>tbl_AQI[[#This Row],[Most AQI Reached]]-tbl_AQI[[#This Row],[Current AQI]]</f>
        <v>94</v>
      </c>
      <c r="G43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85">
        <f>RANK(tbl_AQI[[#This Row],[Current AQI]], tbl_AQI[Current AQI], 0)</f>
        <v>485</v>
      </c>
    </row>
    <row r="4386" spans="1:8" x14ac:dyDescent="0.35">
      <c r="A4386" t="s">
        <v>4413</v>
      </c>
      <c r="B4386" t="s">
        <v>4500</v>
      </c>
      <c r="C4386">
        <v>387</v>
      </c>
      <c r="D4386">
        <v>343</v>
      </c>
      <c r="E4386" t="s">
        <v>11</v>
      </c>
      <c r="F4386">
        <f>tbl_AQI[[#This Row],[Most AQI Reached]]-tbl_AQI[[#This Row],[Current AQI]]</f>
        <v>44</v>
      </c>
      <c r="G43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86">
        <f>RANK(tbl_AQI[[#This Row],[Current AQI]], tbl_AQI[Current AQI], 0)</f>
        <v>662</v>
      </c>
    </row>
    <row r="4387" spans="1:8" x14ac:dyDescent="0.35">
      <c r="A4387" t="s">
        <v>4413</v>
      </c>
      <c r="B4387" t="s">
        <v>4501</v>
      </c>
      <c r="C4387">
        <v>444</v>
      </c>
      <c r="D4387">
        <v>230</v>
      </c>
      <c r="E4387" t="s">
        <v>15</v>
      </c>
      <c r="F4387">
        <f>tbl_AQI[[#This Row],[Most AQI Reached]]-tbl_AQI[[#This Row],[Current AQI]]</f>
        <v>214</v>
      </c>
      <c r="G43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87">
        <f>RANK(tbl_AQI[[#This Row],[Current AQI]], tbl_AQI[Current AQI], 0)</f>
        <v>1184</v>
      </c>
    </row>
    <row r="4388" spans="1:8" x14ac:dyDescent="0.35">
      <c r="A4388" t="s">
        <v>4413</v>
      </c>
      <c r="B4388" t="s">
        <v>4502</v>
      </c>
      <c r="C4388">
        <v>258</v>
      </c>
      <c r="D4388">
        <v>215</v>
      </c>
      <c r="E4388" t="s">
        <v>15</v>
      </c>
      <c r="F4388">
        <f>tbl_AQI[[#This Row],[Most AQI Reached]]-tbl_AQI[[#This Row],[Current AQI]]</f>
        <v>43</v>
      </c>
      <c r="G43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88">
        <f>RANK(tbl_AQI[[#This Row],[Current AQI]], tbl_AQI[Current AQI], 0)</f>
        <v>1251</v>
      </c>
    </row>
    <row r="4389" spans="1:8" x14ac:dyDescent="0.35">
      <c r="A4389" t="s">
        <v>4413</v>
      </c>
      <c r="B4389" t="s">
        <v>4503</v>
      </c>
      <c r="C4389">
        <v>231</v>
      </c>
      <c r="D4389">
        <v>167</v>
      </c>
      <c r="E4389" t="s">
        <v>17</v>
      </c>
      <c r="F4389">
        <f>tbl_AQI[[#This Row],[Most AQI Reached]]-tbl_AQI[[#This Row],[Current AQI]]</f>
        <v>64</v>
      </c>
      <c r="G43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89">
        <f>RANK(tbl_AQI[[#This Row],[Current AQI]], tbl_AQI[Current AQI], 0)</f>
        <v>1979</v>
      </c>
    </row>
    <row r="4390" spans="1:8" x14ac:dyDescent="0.35">
      <c r="A4390" t="s">
        <v>4413</v>
      </c>
      <c r="B4390" t="s">
        <v>4504</v>
      </c>
      <c r="C4390">
        <v>317</v>
      </c>
      <c r="D4390">
        <v>209</v>
      </c>
      <c r="E4390" t="s">
        <v>33</v>
      </c>
      <c r="F4390">
        <f>tbl_AQI[[#This Row],[Most AQI Reached]]-tbl_AQI[[#This Row],[Current AQI]]</f>
        <v>108</v>
      </c>
      <c r="G43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90">
        <f>RANK(tbl_AQI[[#This Row],[Current AQI]], tbl_AQI[Current AQI], 0)</f>
        <v>1277</v>
      </c>
    </row>
    <row r="4391" spans="1:8" x14ac:dyDescent="0.35">
      <c r="A4391" t="s">
        <v>4413</v>
      </c>
      <c r="B4391" t="s">
        <v>4505</v>
      </c>
      <c r="C4391">
        <v>470</v>
      </c>
      <c r="D4391">
        <v>276</v>
      </c>
      <c r="E4391" t="s">
        <v>11</v>
      </c>
      <c r="F4391">
        <f>tbl_AQI[[#This Row],[Most AQI Reached]]-tbl_AQI[[#This Row],[Current AQI]]</f>
        <v>194</v>
      </c>
      <c r="G43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91">
        <f>RANK(tbl_AQI[[#This Row],[Current AQI]], tbl_AQI[Current AQI], 0)</f>
        <v>974</v>
      </c>
    </row>
    <row r="4392" spans="1:8" x14ac:dyDescent="0.35">
      <c r="A4392" t="s">
        <v>4413</v>
      </c>
      <c r="B4392" t="s">
        <v>4506</v>
      </c>
      <c r="C4392">
        <v>483</v>
      </c>
      <c r="D4392">
        <v>466</v>
      </c>
      <c r="E4392" t="s">
        <v>9</v>
      </c>
      <c r="F4392">
        <f>tbl_AQI[[#This Row],[Most AQI Reached]]-tbl_AQI[[#This Row],[Current AQI]]</f>
        <v>17</v>
      </c>
      <c r="G43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392">
        <f>RANK(tbl_AQI[[#This Row],[Current AQI]], tbl_AQI[Current AQI], 0)</f>
        <v>74</v>
      </c>
    </row>
    <row r="4393" spans="1:8" x14ac:dyDescent="0.35">
      <c r="A4393" t="s">
        <v>4413</v>
      </c>
      <c r="B4393" t="s">
        <v>4507</v>
      </c>
      <c r="C4393">
        <v>263</v>
      </c>
      <c r="D4393">
        <v>244</v>
      </c>
      <c r="E4393" t="s">
        <v>9</v>
      </c>
      <c r="F4393">
        <f>tbl_AQI[[#This Row],[Most AQI Reached]]-tbl_AQI[[#This Row],[Current AQI]]</f>
        <v>19</v>
      </c>
      <c r="G43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93">
        <f>RANK(tbl_AQI[[#This Row],[Current AQI]], tbl_AQI[Current AQI], 0)</f>
        <v>1127</v>
      </c>
    </row>
    <row r="4394" spans="1:8" x14ac:dyDescent="0.35">
      <c r="A4394" t="s">
        <v>4413</v>
      </c>
      <c r="B4394" t="s">
        <v>4508</v>
      </c>
      <c r="C4394">
        <v>363</v>
      </c>
      <c r="D4394">
        <v>347</v>
      </c>
      <c r="E4394" t="s">
        <v>15</v>
      </c>
      <c r="F4394">
        <f>tbl_AQI[[#This Row],[Most AQI Reached]]-tbl_AQI[[#This Row],[Current AQI]]</f>
        <v>16</v>
      </c>
      <c r="G43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94">
        <f>RANK(tbl_AQI[[#This Row],[Current AQI]], tbl_AQI[Current AQI], 0)</f>
        <v>645</v>
      </c>
    </row>
    <row r="4395" spans="1:8" x14ac:dyDescent="0.35">
      <c r="A4395" t="s">
        <v>4413</v>
      </c>
      <c r="B4395" t="s">
        <v>4509</v>
      </c>
      <c r="C4395">
        <v>468</v>
      </c>
      <c r="D4395">
        <v>376</v>
      </c>
      <c r="E4395" t="s">
        <v>7</v>
      </c>
      <c r="F4395">
        <f>tbl_AQI[[#This Row],[Most AQI Reached]]-tbl_AQI[[#This Row],[Current AQI]]</f>
        <v>92</v>
      </c>
      <c r="G43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95">
        <f>RANK(tbl_AQI[[#This Row],[Current AQI]], tbl_AQI[Current AQI], 0)</f>
        <v>507</v>
      </c>
    </row>
    <row r="4396" spans="1:8" x14ac:dyDescent="0.35">
      <c r="A4396" t="s">
        <v>4413</v>
      </c>
      <c r="B4396" t="s">
        <v>4510</v>
      </c>
      <c r="C4396">
        <v>267</v>
      </c>
      <c r="D4396">
        <v>194</v>
      </c>
      <c r="E4396" t="s">
        <v>33</v>
      </c>
      <c r="F4396">
        <f>tbl_AQI[[#This Row],[Most AQI Reached]]-tbl_AQI[[#This Row],[Current AQI]]</f>
        <v>73</v>
      </c>
      <c r="G43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396">
        <f>RANK(tbl_AQI[[#This Row],[Current AQI]], tbl_AQI[Current AQI], 0)</f>
        <v>1334</v>
      </c>
    </row>
    <row r="4397" spans="1:8" x14ac:dyDescent="0.35">
      <c r="A4397" t="s">
        <v>4413</v>
      </c>
      <c r="B4397" t="s">
        <v>4511</v>
      </c>
      <c r="C4397">
        <v>481</v>
      </c>
      <c r="D4397">
        <v>299</v>
      </c>
      <c r="E4397" t="s">
        <v>17</v>
      </c>
      <c r="F4397">
        <f>tbl_AQI[[#This Row],[Most AQI Reached]]-tbl_AQI[[#This Row],[Current AQI]]</f>
        <v>182</v>
      </c>
      <c r="G43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97">
        <f>RANK(tbl_AQI[[#This Row],[Current AQI]], tbl_AQI[Current AQI], 0)</f>
        <v>860</v>
      </c>
    </row>
    <row r="4398" spans="1:8" x14ac:dyDescent="0.35">
      <c r="A4398" t="s">
        <v>4413</v>
      </c>
      <c r="B4398" t="s">
        <v>4512</v>
      </c>
      <c r="C4398">
        <v>463</v>
      </c>
      <c r="D4398">
        <v>379</v>
      </c>
      <c r="E4398" t="s">
        <v>9</v>
      </c>
      <c r="F4398">
        <f>tbl_AQI[[#This Row],[Most AQI Reached]]-tbl_AQI[[#This Row],[Current AQI]]</f>
        <v>84</v>
      </c>
      <c r="G43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398">
        <f>RANK(tbl_AQI[[#This Row],[Current AQI]], tbl_AQI[Current AQI], 0)</f>
        <v>485</v>
      </c>
    </row>
    <row r="4399" spans="1:8" x14ac:dyDescent="0.35">
      <c r="A4399" t="s">
        <v>4413</v>
      </c>
      <c r="B4399" t="s">
        <v>4513</v>
      </c>
      <c r="C4399">
        <v>324</v>
      </c>
      <c r="D4399">
        <v>282</v>
      </c>
      <c r="E4399" t="s">
        <v>15</v>
      </c>
      <c r="F4399">
        <f>tbl_AQI[[#This Row],[Most AQI Reached]]-tbl_AQI[[#This Row],[Current AQI]]</f>
        <v>42</v>
      </c>
      <c r="G43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399">
        <f>RANK(tbl_AQI[[#This Row],[Current AQI]], tbl_AQI[Current AQI], 0)</f>
        <v>938</v>
      </c>
    </row>
    <row r="4400" spans="1:8" x14ac:dyDescent="0.35">
      <c r="A4400" t="s">
        <v>4413</v>
      </c>
      <c r="B4400" t="s">
        <v>4514</v>
      </c>
      <c r="C4400">
        <v>409</v>
      </c>
      <c r="D4400">
        <v>292</v>
      </c>
      <c r="E4400" t="s">
        <v>7</v>
      </c>
      <c r="F4400">
        <f>tbl_AQI[[#This Row],[Most AQI Reached]]-tbl_AQI[[#This Row],[Current AQI]]</f>
        <v>117</v>
      </c>
      <c r="G44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00">
        <f>RANK(tbl_AQI[[#This Row],[Current AQI]], tbl_AQI[Current AQI], 0)</f>
        <v>892</v>
      </c>
    </row>
    <row r="4401" spans="1:8" x14ac:dyDescent="0.35">
      <c r="A4401" t="s">
        <v>4413</v>
      </c>
      <c r="B4401" t="s">
        <v>4515</v>
      </c>
      <c r="C4401">
        <v>397</v>
      </c>
      <c r="D4401">
        <v>199</v>
      </c>
      <c r="E4401" t="s">
        <v>17</v>
      </c>
      <c r="F4401">
        <f>tbl_AQI[[#This Row],[Most AQI Reached]]-tbl_AQI[[#This Row],[Current AQI]]</f>
        <v>198</v>
      </c>
      <c r="G44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01">
        <f>RANK(tbl_AQI[[#This Row],[Current AQI]], tbl_AQI[Current AQI], 0)</f>
        <v>1314</v>
      </c>
    </row>
    <row r="4402" spans="1:8" x14ac:dyDescent="0.35">
      <c r="A4402" t="s">
        <v>4413</v>
      </c>
      <c r="B4402" t="s">
        <v>4516</v>
      </c>
      <c r="C4402">
        <v>256</v>
      </c>
      <c r="D4402">
        <v>237</v>
      </c>
      <c r="E4402" t="s">
        <v>9</v>
      </c>
      <c r="F4402">
        <f>tbl_AQI[[#This Row],[Most AQI Reached]]-tbl_AQI[[#This Row],[Current AQI]]</f>
        <v>19</v>
      </c>
      <c r="G44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02">
        <f>RANK(tbl_AQI[[#This Row],[Current AQI]], tbl_AQI[Current AQI], 0)</f>
        <v>1157</v>
      </c>
    </row>
    <row r="4403" spans="1:8" x14ac:dyDescent="0.35">
      <c r="A4403" t="s">
        <v>4413</v>
      </c>
      <c r="B4403" t="s">
        <v>4517</v>
      </c>
      <c r="C4403">
        <v>491</v>
      </c>
      <c r="D4403">
        <v>415</v>
      </c>
      <c r="E4403" t="s">
        <v>9</v>
      </c>
      <c r="F4403">
        <f>tbl_AQI[[#This Row],[Most AQI Reached]]-tbl_AQI[[#This Row],[Current AQI]]</f>
        <v>76</v>
      </c>
      <c r="G44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03">
        <f>RANK(tbl_AQI[[#This Row],[Current AQI]], tbl_AQI[Current AQI], 0)</f>
        <v>325</v>
      </c>
    </row>
    <row r="4404" spans="1:8" x14ac:dyDescent="0.35">
      <c r="A4404" t="s">
        <v>4413</v>
      </c>
      <c r="B4404" t="s">
        <v>4518</v>
      </c>
      <c r="C4404">
        <v>397</v>
      </c>
      <c r="D4404">
        <v>197</v>
      </c>
      <c r="E4404" t="s">
        <v>17</v>
      </c>
      <c r="F4404">
        <f>tbl_AQI[[#This Row],[Most AQI Reached]]-tbl_AQI[[#This Row],[Current AQI]]</f>
        <v>200</v>
      </c>
      <c r="G44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04">
        <f>RANK(tbl_AQI[[#This Row],[Current AQI]], tbl_AQI[Current AQI], 0)</f>
        <v>1323</v>
      </c>
    </row>
    <row r="4405" spans="1:8" x14ac:dyDescent="0.35">
      <c r="A4405" t="s">
        <v>4413</v>
      </c>
      <c r="B4405" t="s">
        <v>4519</v>
      </c>
      <c r="C4405">
        <v>467</v>
      </c>
      <c r="D4405">
        <v>407</v>
      </c>
      <c r="E4405" t="s">
        <v>21</v>
      </c>
      <c r="F4405">
        <f>tbl_AQI[[#This Row],[Most AQI Reached]]-tbl_AQI[[#This Row],[Current AQI]]</f>
        <v>60</v>
      </c>
      <c r="G44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05">
        <f>RANK(tbl_AQI[[#This Row],[Current AQI]], tbl_AQI[Current AQI], 0)</f>
        <v>354</v>
      </c>
    </row>
    <row r="4406" spans="1:8" x14ac:dyDescent="0.35">
      <c r="A4406" t="s">
        <v>4413</v>
      </c>
      <c r="B4406" t="s">
        <v>4520</v>
      </c>
      <c r="C4406">
        <v>422</v>
      </c>
      <c r="D4406">
        <v>398</v>
      </c>
      <c r="E4406" t="s">
        <v>21</v>
      </c>
      <c r="F4406">
        <f>tbl_AQI[[#This Row],[Most AQI Reached]]-tbl_AQI[[#This Row],[Current AQI]]</f>
        <v>24</v>
      </c>
      <c r="G44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06">
        <f>RANK(tbl_AQI[[#This Row],[Current AQI]], tbl_AQI[Current AQI], 0)</f>
        <v>404</v>
      </c>
    </row>
    <row r="4407" spans="1:8" x14ac:dyDescent="0.35">
      <c r="A4407" t="s">
        <v>4413</v>
      </c>
      <c r="B4407" t="s">
        <v>4521</v>
      </c>
      <c r="C4407">
        <v>436</v>
      </c>
      <c r="D4407">
        <v>350</v>
      </c>
      <c r="E4407" t="s">
        <v>17</v>
      </c>
      <c r="F4407">
        <f>tbl_AQI[[#This Row],[Most AQI Reached]]-tbl_AQI[[#This Row],[Current AQI]]</f>
        <v>86</v>
      </c>
      <c r="G44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07">
        <f>RANK(tbl_AQI[[#This Row],[Current AQI]], tbl_AQI[Current AQI], 0)</f>
        <v>621</v>
      </c>
    </row>
    <row r="4408" spans="1:8" x14ac:dyDescent="0.35">
      <c r="A4408" t="s">
        <v>4413</v>
      </c>
      <c r="B4408" t="s">
        <v>4522</v>
      </c>
      <c r="C4408">
        <v>500</v>
      </c>
      <c r="D4408">
        <v>434</v>
      </c>
      <c r="E4408" t="s">
        <v>7</v>
      </c>
      <c r="F4408">
        <f>tbl_AQI[[#This Row],[Most AQI Reached]]-tbl_AQI[[#This Row],[Current AQI]]</f>
        <v>66</v>
      </c>
      <c r="G44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08">
        <f>RANK(tbl_AQI[[#This Row],[Current AQI]], tbl_AQI[Current AQI], 0)</f>
        <v>242</v>
      </c>
    </row>
    <row r="4409" spans="1:8" x14ac:dyDescent="0.35">
      <c r="A4409" t="s">
        <v>4413</v>
      </c>
      <c r="B4409" t="s">
        <v>4523</v>
      </c>
      <c r="C4409">
        <v>484</v>
      </c>
      <c r="D4409">
        <v>421</v>
      </c>
      <c r="E4409" t="s">
        <v>21</v>
      </c>
      <c r="F4409">
        <f>tbl_AQI[[#This Row],[Most AQI Reached]]-tbl_AQI[[#This Row],[Current AQI]]</f>
        <v>63</v>
      </c>
      <c r="G44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09">
        <f>RANK(tbl_AQI[[#This Row],[Current AQI]], tbl_AQI[Current AQI], 0)</f>
        <v>301</v>
      </c>
    </row>
    <row r="4410" spans="1:8" x14ac:dyDescent="0.35">
      <c r="A4410" t="s">
        <v>4413</v>
      </c>
      <c r="B4410" t="s">
        <v>4524</v>
      </c>
      <c r="C4410">
        <v>453</v>
      </c>
      <c r="D4410">
        <v>290</v>
      </c>
      <c r="E4410" t="s">
        <v>33</v>
      </c>
      <c r="F4410">
        <f>tbl_AQI[[#This Row],[Most AQI Reached]]-tbl_AQI[[#This Row],[Current AQI]]</f>
        <v>163</v>
      </c>
      <c r="G44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10">
        <f>RANK(tbl_AQI[[#This Row],[Current AQI]], tbl_AQI[Current AQI], 0)</f>
        <v>905</v>
      </c>
    </row>
    <row r="4411" spans="1:8" x14ac:dyDescent="0.35">
      <c r="A4411" t="s">
        <v>4413</v>
      </c>
      <c r="B4411" t="s">
        <v>4525</v>
      </c>
      <c r="C4411">
        <v>333</v>
      </c>
      <c r="D4411">
        <v>285</v>
      </c>
      <c r="E4411" t="s">
        <v>15</v>
      </c>
      <c r="F4411">
        <f>tbl_AQI[[#This Row],[Most AQI Reached]]-tbl_AQI[[#This Row],[Current AQI]]</f>
        <v>48</v>
      </c>
      <c r="G44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11">
        <f>RANK(tbl_AQI[[#This Row],[Current AQI]], tbl_AQI[Current AQI], 0)</f>
        <v>928</v>
      </c>
    </row>
    <row r="4412" spans="1:8" x14ac:dyDescent="0.35">
      <c r="A4412" t="s">
        <v>4413</v>
      </c>
      <c r="B4412" t="s">
        <v>4526</v>
      </c>
      <c r="C4412">
        <v>481</v>
      </c>
      <c r="D4412">
        <v>472</v>
      </c>
      <c r="E4412" t="s">
        <v>7</v>
      </c>
      <c r="F4412">
        <f>tbl_AQI[[#This Row],[Most AQI Reached]]-tbl_AQI[[#This Row],[Current AQI]]</f>
        <v>9</v>
      </c>
      <c r="G44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12">
        <f>RANK(tbl_AQI[[#This Row],[Current AQI]], tbl_AQI[Current AQI], 0)</f>
        <v>43</v>
      </c>
    </row>
    <row r="4413" spans="1:8" x14ac:dyDescent="0.35">
      <c r="A4413" t="s">
        <v>4413</v>
      </c>
      <c r="B4413" t="s">
        <v>4527</v>
      </c>
      <c r="C4413">
        <v>299</v>
      </c>
      <c r="D4413">
        <v>279</v>
      </c>
      <c r="E4413" t="s">
        <v>21</v>
      </c>
      <c r="F4413">
        <f>tbl_AQI[[#This Row],[Most AQI Reached]]-tbl_AQI[[#This Row],[Current AQI]]</f>
        <v>20</v>
      </c>
      <c r="G44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13">
        <f>RANK(tbl_AQI[[#This Row],[Current AQI]], tbl_AQI[Current AQI], 0)</f>
        <v>957</v>
      </c>
    </row>
    <row r="4414" spans="1:8" x14ac:dyDescent="0.35">
      <c r="A4414" t="s">
        <v>4413</v>
      </c>
      <c r="B4414" t="s">
        <v>4528</v>
      </c>
      <c r="C4414">
        <v>406</v>
      </c>
      <c r="D4414">
        <v>339</v>
      </c>
      <c r="E4414" t="s">
        <v>33</v>
      </c>
      <c r="F4414">
        <f>tbl_AQI[[#This Row],[Most AQI Reached]]-tbl_AQI[[#This Row],[Current AQI]]</f>
        <v>67</v>
      </c>
      <c r="G44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14">
        <f>RANK(tbl_AQI[[#This Row],[Current AQI]], tbl_AQI[Current AQI], 0)</f>
        <v>681</v>
      </c>
    </row>
    <row r="4415" spans="1:8" x14ac:dyDescent="0.35">
      <c r="A4415" t="s">
        <v>4413</v>
      </c>
      <c r="B4415" t="s">
        <v>4529</v>
      </c>
      <c r="C4415">
        <v>336</v>
      </c>
      <c r="D4415">
        <v>290</v>
      </c>
      <c r="E4415" t="s">
        <v>21</v>
      </c>
      <c r="F4415">
        <f>tbl_AQI[[#This Row],[Most AQI Reached]]-tbl_AQI[[#This Row],[Current AQI]]</f>
        <v>46</v>
      </c>
      <c r="G44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15">
        <f>RANK(tbl_AQI[[#This Row],[Current AQI]], tbl_AQI[Current AQI], 0)</f>
        <v>905</v>
      </c>
    </row>
    <row r="4416" spans="1:8" x14ac:dyDescent="0.35">
      <c r="A4416" t="s">
        <v>4413</v>
      </c>
      <c r="B4416" t="s">
        <v>4530</v>
      </c>
      <c r="C4416">
        <v>246</v>
      </c>
      <c r="D4416">
        <v>178</v>
      </c>
      <c r="E4416" t="s">
        <v>7</v>
      </c>
      <c r="F4416">
        <f>tbl_AQI[[#This Row],[Most AQI Reached]]-tbl_AQI[[#This Row],[Current AQI]]</f>
        <v>68</v>
      </c>
      <c r="G44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16">
        <f>RANK(tbl_AQI[[#This Row],[Current AQI]], tbl_AQI[Current AQI], 0)</f>
        <v>1702</v>
      </c>
    </row>
    <row r="4417" spans="1:8" x14ac:dyDescent="0.35">
      <c r="A4417" t="s">
        <v>4413</v>
      </c>
      <c r="B4417" t="s">
        <v>4531</v>
      </c>
      <c r="C4417">
        <v>466</v>
      </c>
      <c r="D4417">
        <v>248</v>
      </c>
      <c r="E4417" t="s">
        <v>7</v>
      </c>
      <c r="F4417">
        <f>tbl_AQI[[#This Row],[Most AQI Reached]]-tbl_AQI[[#This Row],[Current AQI]]</f>
        <v>218</v>
      </c>
      <c r="G44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17">
        <f>RANK(tbl_AQI[[#This Row],[Current AQI]], tbl_AQI[Current AQI], 0)</f>
        <v>1104</v>
      </c>
    </row>
    <row r="4418" spans="1:8" x14ac:dyDescent="0.35">
      <c r="A4418" t="s">
        <v>4413</v>
      </c>
      <c r="B4418" t="s">
        <v>4532</v>
      </c>
      <c r="C4418">
        <v>484</v>
      </c>
      <c r="D4418">
        <v>441</v>
      </c>
      <c r="E4418" t="s">
        <v>9</v>
      </c>
      <c r="F4418">
        <f>tbl_AQI[[#This Row],[Most AQI Reached]]-tbl_AQI[[#This Row],[Current AQI]]</f>
        <v>43</v>
      </c>
      <c r="G44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18">
        <f>RANK(tbl_AQI[[#This Row],[Current AQI]], tbl_AQI[Current AQI], 0)</f>
        <v>203</v>
      </c>
    </row>
    <row r="4419" spans="1:8" x14ac:dyDescent="0.35">
      <c r="A4419" t="s">
        <v>4413</v>
      </c>
      <c r="B4419" t="s">
        <v>4533</v>
      </c>
      <c r="C4419">
        <v>407</v>
      </c>
      <c r="D4419">
        <v>339</v>
      </c>
      <c r="E4419" t="s">
        <v>15</v>
      </c>
      <c r="F4419">
        <f>tbl_AQI[[#This Row],[Most AQI Reached]]-tbl_AQI[[#This Row],[Current AQI]]</f>
        <v>68</v>
      </c>
      <c r="G44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19">
        <f>RANK(tbl_AQI[[#This Row],[Current AQI]], tbl_AQI[Current AQI], 0)</f>
        <v>681</v>
      </c>
    </row>
    <row r="4420" spans="1:8" x14ac:dyDescent="0.35">
      <c r="A4420" t="s">
        <v>4413</v>
      </c>
      <c r="B4420" t="s">
        <v>4534</v>
      </c>
      <c r="C4420">
        <v>224</v>
      </c>
      <c r="D4420">
        <v>160</v>
      </c>
      <c r="E4420" t="s">
        <v>33</v>
      </c>
      <c r="F4420">
        <f>tbl_AQI[[#This Row],[Most AQI Reached]]-tbl_AQI[[#This Row],[Current AQI]]</f>
        <v>64</v>
      </c>
      <c r="G44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20">
        <f>RANK(tbl_AQI[[#This Row],[Current AQI]], tbl_AQI[Current AQI], 0)</f>
        <v>2154</v>
      </c>
    </row>
    <row r="4421" spans="1:8" x14ac:dyDescent="0.35">
      <c r="A4421" t="s">
        <v>4413</v>
      </c>
      <c r="B4421" t="s">
        <v>4535</v>
      </c>
      <c r="C4421">
        <v>386</v>
      </c>
      <c r="D4421">
        <v>360</v>
      </c>
      <c r="E4421" t="s">
        <v>21</v>
      </c>
      <c r="F4421">
        <f>tbl_AQI[[#This Row],[Most AQI Reached]]-tbl_AQI[[#This Row],[Current AQI]]</f>
        <v>26</v>
      </c>
      <c r="G44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21">
        <f>RANK(tbl_AQI[[#This Row],[Current AQI]], tbl_AQI[Current AQI], 0)</f>
        <v>574</v>
      </c>
    </row>
    <row r="4422" spans="1:8" x14ac:dyDescent="0.35">
      <c r="A4422" t="s">
        <v>4413</v>
      </c>
      <c r="B4422" t="s">
        <v>4536</v>
      </c>
      <c r="C4422">
        <v>407</v>
      </c>
      <c r="D4422">
        <v>289</v>
      </c>
      <c r="E4422" t="s">
        <v>15</v>
      </c>
      <c r="F4422">
        <f>tbl_AQI[[#This Row],[Most AQI Reached]]-tbl_AQI[[#This Row],[Current AQI]]</f>
        <v>118</v>
      </c>
      <c r="G44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22">
        <f>RANK(tbl_AQI[[#This Row],[Current AQI]], tbl_AQI[Current AQI], 0)</f>
        <v>910</v>
      </c>
    </row>
    <row r="4423" spans="1:8" x14ac:dyDescent="0.35">
      <c r="A4423" t="s">
        <v>4413</v>
      </c>
      <c r="B4423" t="s">
        <v>4537</v>
      </c>
      <c r="C4423">
        <v>463</v>
      </c>
      <c r="D4423">
        <v>392</v>
      </c>
      <c r="E4423" t="s">
        <v>9</v>
      </c>
      <c r="F4423">
        <f>tbl_AQI[[#This Row],[Most AQI Reached]]-tbl_AQI[[#This Row],[Current AQI]]</f>
        <v>71</v>
      </c>
      <c r="G44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23">
        <f>RANK(tbl_AQI[[#This Row],[Current AQI]], tbl_AQI[Current AQI], 0)</f>
        <v>431</v>
      </c>
    </row>
    <row r="4424" spans="1:8" x14ac:dyDescent="0.35">
      <c r="A4424" t="s">
        <v>4413</v>
      </c>
      <c r="B4424" t="s">
        <v>4538</v>
      </c>
      <c r="C4424">
        <v>396</v>
      </c>
      <c r="D4424">
        <v>343</v>
      </c>
      <c r="E4424" t="s">
        <v>9</v>
      </c>
      <c r="F4424">
        <f>tbl_AQI[[#This Row],[Most AQI Reached]]-tbl_AQI[[#This Row],[Current AQI]]</f>
        <v>53</v>
      </c>
      <c r="G44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24">
        <f>RANK(tbl_AQI[[#This Row],[Current AQI]], tbl_AQI[Current AQI], 0)</f>
        <v>662</v>
      </c>
    </row>
    <row r="4425" spans="1:8" x14ac:dyDescent="0.35">
      <c r="A4425" t="s">
        <v>4413</v>
      </c>
      <c r="B4425" t="s">
        <v>4539</v>
      </c>
      <c r="C4425">
        <v>420</v>
      </c>
      <c r="D4425">
        <v>214</v>
      </c>
      <c r="E4425" t="s">
        <v>17</v>
      </c>
      <c r="F4425">
        <f>tbl_AQI[[#This Row],[Most AQI Reached]]-tbl_AQI[[#This Row],[Current AQI]]</f>
        <v>206</v>
      </c>
      <c r="G44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25">
        <f>RANK(tbl_AQI[[#This Row],[Current AQI]], tbl_AQI[Current AQI], 0)</f>
        <v>1257</v>
      </c>
    </row>
    <row r="4426" spans="1:8" x14ac:dyDescent="0.35">
      <c r="A4426" t="s">
        <v>4413</v>
      </c>
      <c r="B4426" t="s">
        <v>4540</v>
      </c>
      <c r="C4426">
        <v>455</v>
      </c>
      <c r="D4426">
        <v>239</v>
      </c>
      <c r="E4426" t="s">
        <v>11</v>
      </c>
      <c r="F4426">
        <f>tbl_AQI[[#This Row],[Most AQI Reached]]-tbl_AQI[[#This Row],[Current AQI]]</f>
        <v>216</v>
      </c>
      <c r="G44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26">
        <f>RANK(tbl_AQI[[#This Row],[Current AQI]], tbl_AQI[Current AQI], 0)</f>
        <v>1145</v>
      </c>
    </row>
    <row r="4427" spans="1:8" x14ac:dyDescent="0.35">
      <c r="A4427" t="s">
        <v>4413</v>
      </c>
      <c r="B4427" t="s">
        <v>4541</v>
      </c>
      <c r="C4427">
        <v>217</v>
      </c>
      <c r="D4427">
        <v>188</v>
      </c>
      <c r="E4427" t="s">
        <v>11</v>
      </c>
      <c r="F4427">
        <f>tbl_AQI[[#This Row],[Most AQI Reached]]-tbl_AQI[[#This Row],[Current AQI]]</f>
        <v>29</v>
      </c>
      <c r="G44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27">
        <f>RANK(tbl_AQI[[#This Row],[Current AQI]], tbl_AQI[Current AQI], 0)</f>
        <v>1423</v>
      </c>
    </row>
    <row r="4428" spans="1:8" x14ac:dyDescent="0.35">
      <c r="A4428" t="s">
        <v>4413</v>
      </c>
      <c r="B4428" t="s">
        <v>4542</v>
      </c>
      <c r="C4428">
        <v>401</v>
      </c>
      <c r="D4428">
        <v>293</v>
      </c>
      <c r="E4428" t="s">
        <v>21</v>
      </c>
      <c r="F4428">
        <f>tbl_AQI[[#This Row],[Most AQI Reached]]-tbl_AQI[[#This Row],[Current AQI]]</f>
        <v>108</v>
      </c>
      <c r="G44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28">
        <f>RANK(tbl_AQI[[#This Row],[Current AQI]], tbl_AQI[Current AQI], 0)</f>
        <v>888</v>
      </c>
    </row>
    <row r="4429" spans="1:8" x14ac:dyDescent="0.35">
      <c r="A4429" t="s">
        <v>4413</v>
      </c>
      <c r="B4429" t="s">
        <v>4543</v>
      </c>
      <c r="C4429">
        <v>489</v>
      </c>
      <c r="D4429">
        <v>443</v>
      </c>
      <c r="E4429" t="s">
        <v>21</v>
      </c>
      <c r="F4429">
        <f>tbl_AQI[[#This Row],[Most AQI Reached]]-tbl_AQI[[#This Row],[Current AQI]]</f>
        <v>46</v>
      </c>
      <c r="G44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29">
        <f>RANK(tbl_AQI[[#This Row],[Current AQI]], tbl_AQI[Current AQI], 0)</f>
        <v>188</v>
      </c>
    </row>
    <row r="4430" spans="1:8" x14ac:dyDescent="0.35">
      <c r="A4430" t="s">
        <v>4413</v>
      </c>
      <c r="B4430" t="s">
        <v>4544</v>
      </c>
      <c r="C4430">
        <v>344</v>
      </c>
      <c r="D4430">
        <v>191</v>
      </c>
      <c r="E4430" t="s">
        <v>11</v>
      </c>
      <c r="F4430">
        <f>tbl_AQI[[#This Row],[Most AQI Reached]]-tbl_AQI[[#This Row],[Current AQI]]</f>
        <v>153</v>
      </c>
      <c r="G44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30">
        <f>RANK(tbl_AQI[[#This Row],[Current AQI]], tbl_AQI[Current AQI], 0)</f>
        <v>1351</v>
      </c>
    </row>
    <row r="4431" spans="1:8" x14ac:dyDescent="0.35">
      <c r="A4431" t="s">
        <v>4413</v>
      </c>
      <c r="B4431" t="s">
        <v>4545</v>
      </c>
      <c r="C4431">
        <v>443</v>
      </c>
      <c r="D4431">
        <v>330</v>
      </c>
      <c r="E4431" t="s">
        <v>9</v>
      </c>
      <c r="F4431">
        <f>tbl_AQI[[#This Row],[Most AQI Reached]]-tbl_AQI[[#This Row],[Current AQI]]</f>
        <v>113</v>
      </c>
      <c r="G44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31">
        <f>RANK(tbl_AQI[[#This Row],[Current AQI]], tbl_AQI[Current AQI], 0)</f>
        <v>734</v>
      </c>
    </row>
    <row r="4432" spans="1:8" x14ac:dyDescent="0.35">
      <c r="A4432" t="s">
        <v>4413</v>
      </c>
      <c r="B4432" t="s">
        <v>4546</v>
      </c>
      <c r="C4432">
        <v>449</v>
      </c>
      <c r="D4432">
        <v>401</v>
      </c>
      <c r="E4432" t="s">
        <v>9</v>
      </c>
      <c r="F4432">
        <f>tbl_AQI[[#This Row],[Most AQI Reached]]-tbl_AQI[[#This Row],[Current AQI]]</f>
        <v>48</v>
      </c>
      <c r="G44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32">
        <f>RANK(tbl_AQI[[#This Row],[Current AQI]], tbl_AQI[Current AQI], 0)</f>
        <v>388</v>
      </c>
    </row>
    <row r="4433" spans="1:8" x14ac:dyDescent="0.35">
      <c r="A4433" t="s">
        <v>4413</v>
      </c>
      <c r="B4433" t="s">
        <v>4547</v>
      </c>
      <c r="C4433">
        <v>369</v>
      </c>
      <c r="D4433">
        <v>325</v>
      </c>
      <c r="E4433" t="s">
        <v>9</v>
      </c>
      <c r="F4433">
        <f>tbl_AQI[[#This Row],[Most AQI Reached]]-tbl_AQI[[#This Row],[Current AQI]]</f>
        <v>44</v>
      </c>
      <c r="G44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33">
        <f>RANK(tbl_AQI[[#This Row],[Current AQI]], tbl_AQI[Current AQI], 0)</f>
        <v>755</v>
      </c>
    </row>
    <row r="4434" spans="1:8" x14ac:dyDescent="0.35">
      <c r="A4434" t="s">
        <v>4413</v>
      </c>
      <c r="B4434" t="s">
        <v>4548</v>
      </c>
      <c r="C4434">
        <v>332</v>
      </c>
      <c r="D4434">
        <v>325</v>
      </c>
      <c r="E4434" t="s">
        <v>33</v>
      </c>
      <c r="F4434">
        <f>tbl_AQI[[#This Row],[Most AQI Reached]]-tbl_AQI[[#This Row],[Current AQI]]</f>
        <v>7</v>
      </c>
      <c r="G44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34">
        <f>RANK(tbl_AQI[[#This Row],[Current AQI]], tbl_AQI[Current AQI], 0)</f>
        <v>755</v>
      </c>
    </row>
    <row r="4435" spans="1:8" x14ac:dyDescent="0.35">
      <c r="A4435" t="s">
        <v>4413</v>
      </c>
      <c r="B4435" t="s">
        <v>4549</v>
      </c>
      <c r="C4435">
        <v>498</v>
      </c>
      <c r="D4435">
        <v>231</v>
      </c>
      <c r="E4435" t="s">
        <v>11</v>
      </c>
      <c r="F4435">
        <f>tbl_AQI[[#This Row],[Most AQI Reached]]-tbl_AQI[[#This Row],[Current AQI]]</f>
        <v>267</v>
      </c>
      <c r="G44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35">
        <f>RANK(tbl_AQI[[#This Row],[Current AQI]], tbl_AQI[Current AQI], 0)</f>
        <v>1179</v>
      </c>
    </row>
    <row r="4436" spans="1:8" x14ac:dyDescent="0.35">
      <c r="A4436" t="s">
        <v>4413</v>
      </c>
      <c r="B4436" t="s">
        <v>4550</v>
      </c>
      <c r="C4436">
        <v>349</v>
      </c>
      <c r="D4436">
        <v>349</v>
      </c>
      <c r="E4436" t="s">
        <v>11</v>
      </c>
      <c r="F4436">
        <f>tbl_AQI[[#This Row],[Most AQI Reached]]-tbl_AQI[[#This Row],[Current AQI]]</f>
        <v>0</v>
      </c>
      <c r="G44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36">
        <f>RANK(tbl_AQI[[#This Row],[Current AQI]], tbl_AQI[Current AQI], 0)</f>
        <v>631</v>
      </c>
    </row>
    <row r="4437" spans="1:8" x14ac:dyDescent="0.35">
      <c r="A4437" t="s">
        <v>4413</v>
      </c>
      <c r="B4437" t="s">
        <v>4551</v>
      </c>
      <c r="C4437">
        <v>485</v>
      </c>
      <c r="D4437">
        <v>460</v>
      </c>
      <c r="E4437" t="s">
        <v>7</v>
      </c>
      <c r="F4437">
        <f>tbl_AQI[[#This Row],[Most AQI Reached]]-tbl_AQI[[#This Row],[Current AQI]]</f>
        <v>25</v>
      </c>
      <c r="G44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37">
        <f>RANK(tbl_AQI[[#This Row],[Current AQI]], tbl_AQI[Current AQI], 0)</f>
        <v>107</v>
      </c>
    </row>
    <row r="4438" spans="1:8" x14ac:dyDescent="0.35">
      <c r="A4438" t="s">
        <v>4413</v>
      </c>
      <c r="B4438" t="s">
        <v>4552</v>
      </c>
      <c r="C4438">
        <v>296</v>
      </c>
      <c r="D4438">
        <v>248</v>
      </c>
      <c r="E4438" t="s">
        <v>15</v>
      </c>
      <c r="F4438">
        <f>tbl_AQI[[#This Row],[Most AQI Reached]]-tbl_AQI[[#This Row],[Current AQI]]</f>
        <v>48</v>
      </c>
      <c r="G44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38">
        <f>RANK(tbl_AQI[[#This Row],[Current AQI]], tbl_AQI[Current AQI], 0)</f>
        <v>1104</v>
      </c>
    </row>
    <row r="4439" spans="1:8" x14ac:dyDescent="0.35">
      <c r="A4439" t="s">
        <v>4413</v>
      </c>
      <c r="B4439" t="s">
        <v>4553</v>
      </c>
      <c r="C4439">
        <v>360</v>
      </c>
      <c r="D4439">
        <v>317</v>
      </c>
      <c r="E4439" t="s">
        <v>33</v>
      </c>
      <c r="F4439">
        <f>tbl_AQI[[#This Row],[Most AQI Reached]]-tbl_AQI[[#This Row],[Current AQI]]</f>
        <v>43</v>
      </c>
      <c r="G44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39">
        <f>RANK(tbl_AQI[[#This Row],[Current AQI]], tbl_AQI[Current AQI], 0)</f>
        <v>791</v>
      </c>
    </row>
    <row r="4440" spans="1:8" x14ac:dyDescent="0.35">
      <c r="A4440" t="s">
        <v>4413</v>
      </c>
      <c r="B4440" t="s">
        <v>4554</v>
      </c>
      <c r="C4440">
        <v>439</v>
      </c>
      <c r="D4440">
        <v>331</v>
      </c>
      <c r="E4440" t="s">
        <v>7</v>
      </c>
      <c r="F4440">
        <f>tbl_AQI[[#This Row],[Most AQI Reached]]-tbl_AQI[[#This Row],[Current AQI]]</f>
        <v>108</v>
      </c>
      <c r="G44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40">
        <f>RANK(tbl_AQI[[#This Row],[Current AQI]], tbl_AQI[Current AQI], 0)</f>
        <v>731</v>
      </c>
    </row>
    <row r="4441" spans="1:8" x14ac:dyDescent="0.35">
      <c r="A4441" t="s">
        <v>4413</v>
      </c>
      <c r="B4441" t="s">
        <v>4555</v>
      </c>
      <c r="C4441">
        <v>294</v>
      </c>
      <c r="D4441">
        <v>183</v>
      </c>
      <c r="E4441" t="s">
        <v>15</v>
      </c>
      <c r="F4441">
        <f>tbl_AQI[[#This Row],[Most AQI Reached]]-tbl_AQI[[#This Row],[Current AQI]]</f>
        <v>111</v>
      </c>
      <c r="G44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41">
        <f>RANK(tbl_AQI[[#This Row],[Current AQI]], tbl_AQI[Current AQI], 0)</f>
        <v>1572</v>
      </c>
    </row>
    <row r="4442" spans="1:8" x14ac:dyDescent="0.35">
      <c r="A4442" t="s">
        <v>4413</v>
      </c>
      <c r="B4442" t="s">
        <v>4556</v>
      </c>
      <c r="C4442">
        <v>367</v>
      </c>
      <c r="D4442">
        <v>236</v>
      </c>
      <c r="E4442" t="s">
        <v>15</v>
      </c>
      <c r="F4442">
        <f>tbl_AQI[[#This Row],[Most AQI Reached]]-tbl_AQI[[#This Row],[Current AQI]]</f>
        <v>131</v>
      </c>
      <c r="G44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42">
        <f>RANK(tbl_AQI[[#This Row],[Current AQI]], tbl_AQI[Current AQI], 0)</f>
        <v>1162</v>
      </c>
    </row>
    <row r="4443" spans="1:8" x14ac:dyDescent="0.35">
      <c r="A4443" t="s">
        <v>4413</v>
      </c>
      <c r="B4443" t="s">
        <v>4557</v>
      </c>
      <c r="C4443">
        <v>411</v>
      </c>
      <c r="D4443">
        <v>245</v>
      </c>
      <c r="E4443" t="s">
        <v>33</v>
      </c>
      <c r="F4443">
        <f>tbl_AQI[[#This Row],[Most AQI Reached]]-tbl_AQI[[#This Row],[Current AQI]]</f>
        <v>166</v>
      </c>
      <c r="G44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43">
        <f>RANK(tbl_AQI[[#This Row],[Current AQI]], tbl_AQI[Current AQI], 0)</f>
        <v>1121</v>
      </c>
    </row>
    <row r="4444" spans="1:8" x14ac:dyDescent="0.35">
      <c r="A4444" t="s">
        <v>4413</v>
      </c>
      <c r="B4444" t="s">
        <v>4558</v>
      </c>
      <c r="C4444">
        <v>277</v>
      </c>
      <c r="D4444">
        <v>211</v>
      </c>
      <c r="E4444" t="s">
        <v>17</v>
      </c>
      <c r="F4444">
        <f>tbl_AQI[[#This Row],[Most AQI Reached]]-tbl_AQI[[#This Row],[Current AQI]]</f>
        <v>66</v>
      </c>
      <c r="G44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44">
        <f>RANK(tbl_AQI[[#This Row],[Current AQI]], tbl_AQI[Current AQI], 0)</f>
        <v>1268</v>
      </c>
    </row>
    <row r="4445" spans="1:8" x14ac:dyDescent="0.35">
      <c r="A4445" t="s">
        <v>4413</v>
      </c>
      <c r="B4445" t="s">
        <v>4559</v>
      </c>
      <c r="C4445">
        <v>468</v>
      </c>
      <c r="D4445">
        <v>336</v>
      </c>
      <c r="E4445" t="s">
        <v>15</v>
      </c>
      <c r="F4445">
        <f>tbl_AQI[[#This Row],[Most AQI Reached]]-tbl_AQI[[#This Row],[Current AQI]]</f>
        <v>132</v>
      </c>
      <c r="G44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45">
        <f>RANK(tbl_AQI[[#This Row],[Current AQI]], tbl_AQI[Current AQI], 0)</f>
        <v>700</v>
      </c>
    </row>
    <row r="4446" spans="1:8" x14ac:dyDescent="0.35">
      <c r="A4446" t="s">
        <v>4413</v>
      </c>
      <c r="B4446" t="s">
        <v>4560</v>
      </c>
      <c r="C4446">
        <v>382</v>
      </c>
      <c r="D4446">
        <v>248</v>
      </c>
      <c r="E4446" t="s">
        <v>7</v>
      </c>
      <c r="F4446">
        <f>tbl_AQI[[#This Row],[Most AQI Reached]]-tbl_AQI[[#This Row],[Current AQI]]</f>
        <v>134</v>
      </c>
      <c r="G44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46">
        <f>RANK(tbl_AQI[[#This Row],[Current AQI]], tbl_AQI[Current AQI], 0)</f>
        <v>1104</v>
      </c>
    </row>
    <row r="4447" spans="1:8" x14ac:dyDescent="0.35">
      <c r="A4447" t="s">
        <v>4413</v>
      </c>
      <c r="B4447" t="s">
        <v>4561</v>
      </c>
      <c r="C4447">
        <v>445</v>
      </c>
      <c r="D4447">
        <v>249</v>
      </c>
      <c r="E4447" t="s">
        <v>9</v>
      </c>
      <c r="F4447">
        <f>tbl_AQI[[#This Row],[Most AQI Reached]]-tbl_AQI[[#This Row],[Current AQI]]</f>
        <v>196</v>
      </c>
      <c r="G44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47">
        <f>RANK(tbl_AQI[[#This Row],[Current AQI]], tbl_AQI[Current AQI], 0)</f>
        <v>1096</v>
      </c>
    </row>
    <row r="4448" spans="1:8" x14ac:dyDescent="0.35">
      <c r="A4448" t="s">
        <v>4413</v>
      </c>
      <c r="B4448" t="s">
        <v>4562</v>
      </c>
      <c r="C4448">
        <v>490</v>
      </c>
      <c r="D4448">
        <v>193</v>
      </c>
      <c r="E4448" t="s">
        <v>21</v>
      </c>
      <c r="F4448">
        <f>tbl_AQI[[#This Row],[Most AQI Reached]]-tbl_AQI[[#This Row],[Current AQI]]</f>
        <v>297</v>
      </c>
      <c r="G44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48">
        <f>RANK(tbl_AQI[[#This Row],[Current AQI]], tbl_AQI[Current AQI], 0)</f>
        <v>1342</v>
      </c>
    </row>
    <row r="4449" spans="1:8" x14ac:dyDescent="0.35">
      <c r="A4449" t="s">
        <v>4413</v>
      </c>
      <c r="B4449" t="s">
        <v>4563</v>
      </c>
      <c r="C4449">
        <v>292</v>
      </c>
      <c r="D4449">
        <v>242</v>
      </c>
      <c r="E4449" t="s">
        <v>11</v>
      </c>
      <c r="F4449">
        <f>tbl_AQI[[#This Row],[Most AQI Reached]]-tbl_AQI[[#This Row],[Current AQI]]</f>
        <v>50</v>
      </c>
      <c r="G44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49">
        <f>RANK(tbl_AQI[[#This Row],[Current AQI]], tbl_AQI[Current AQI], 0)</f>
        <v>1134</v>
      </c>
    </row>
    <row r="4450" spans="1:8" x14ac:dyDescent="0.35">
      <c r="A4450" t="s">
        <v>4413</v>
      </c>
      <c r="B4450" t="s">
        <v>4564</v>
      </c>
      <c r="C4450">
        <v>438</v>
      </c>
      <c r="D4450">
        <v>326</v>
      </c>
      <c r="E4450" t="s">
        <v>17</v>
      </c>
      <c r="F4450">
        <f>tbl_AQI[[#This Row],[Most AQI Reached]]-tbl_AQI[[#This Row],[Current AQI]]</f>
        <v>112</v>
      </c>
      <c r="G44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50">
        <f>RANK(tbl_AQI[[#This Row],[Current AQI]], tbl_AQI[Current AQI], 0)</f>
        <v>747</v>
      </c>
    </row>
    <row r="4451" spans="1:8" x14ac:dyDescent="0.35">
      <c r="A4451" t="s">
        <v>4413</v>
      </c>
      <c r="B4451" t="s">
        <v>4565</v>
      </c>
      <c r="C4451">
        <v>439</v>
      </c>
      <c r="D4451">
        <v>319</v>
      </c>
      <c r="E4451" t="s">
        <v>11</v>
      </c>
      <c r="F4451">
        <f>tbl_AQI[[#This Row],[Most AQI Reached]]-tbl_AQI[[#This Row],[Current AQI]]</f>
        <v>120</v>
      </c>
      <c r="G44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51">
        <f>RANK(tbl_AQI[[#This Row],[Current AQI]], tbl_AQI[Current AQI], 0)</f>
        <v>782</v>
      </c>
    </row>
    <row r="4452" spans="1:8" x14ac:dyDescent="0.35">
      <c r="A4452" t="s">
        <v>4413</v>
      </c>
      <c r="B4452" t="s">
        <v>4566</v>
      </c>
      <c r="C4452">
        <v>459</v>
      </c>
      <c r="D4452">
        <v>448</v>
      </c>
      <c r="E4452" t="s">
        <v>7</v>
      </c>
      <c r="F4452">
        <f>tbl_AQI[[#This Row],[Most AQI Reached]]-tbl_AQI[[#This Row],[Current AQI]]</f>
        <v>11</v>
      </c>
      <c r="G44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52">
        <f>RANK(tbl_AQI[[#This Row],[Current AQI]], tbl_AQI[Current AQI], 0)</f>
        <v>166</v>
      </c>
    </row>
    <row r="4453" spans="1:8" x14ac:dyDescent="0.35">
      <c r="A4453" t="s">
        <v>4413</v>
      </c>
      <c r="B4453" t="s">
        <v>4567</v>
      </c>
      <c r="C4453">
        <v>467</v>
      </c>
      <c r="D4453">
        <v>428</v>
      </c>
      <c r="E4453" t="s">
        <v>7</v>
      </c>
      <c r="F4453">
        <f>tbl_AQI[[#This Row],[Most AQI Reached]]-tbl_AQI[[#This Row],[Current AQI]]</f>
        <v>39</v>
      </c>
      <c r="G44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53">
        <f>RANK(tbl_AQI[[#This Row],[Current AQI]], tbl_AQI[Current AQI], 0)</f>
        <v>273</v>
      </c>
    </row>
    <row r="4454" spans="1:8" x14ac:dyDescent="0.35">
      <c r="A4454" t="s">
        <v>4413</v>
      </c>
      <c r="B4454" t="s">
        <v>4568</v>
      </c>
      <c r="C4454">
        <v>319</v>
      </c>
      <c r="D4454">
        <v>246</v>
      </c>
      <c r="E4454" t="s">
        <v>17</v>
      </c>
      <c r="F4454">
        <f>tbl_AQI[[#This Row],[Most AQI Reached]]-tbl_AQI[[#This Row],[Current AQI]]</f>
        <v>73</v>
      </c>
      <c r="G44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54">
        <f>RANK(tbl_AQI[[#This Row],[Current AQI]], tbl_AQI[Current AQI], 0)</f>
        <v>1118</v>
      </c>
    </row>
    <row r="4455" spans="1:8" x14ac:dyDescent="0.35">
      <c r="A4455" t="s">
        <v>4413</v>
      </c>
      <c r="B4455" t="s">
        <v>4569</v>
      </c>
      <c r="C4455">
        <v>419</v>
      </c>
      <c r="D4455">
        <v>329</v>
      </c>
      <c r="E4455" t="s">
        <v>17</v>
      </c>
      <c r="F4455">
        <f>tbl_AQI[[#This Row],[Most AQI Reached]]-tbl_AQI[[#This Row],[Current AQI]]</f>
        <v>90</v>
      </c>
      <c r="G44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55">
        <f>RANK(tbl_AQI[[#This Row],[Current AQI]], tbl_AQI[Current AQI], 0)</f>
        <v>738</v>
      </c>
    </row>
    <row r="4456" spans="1:8" x14ac:dyDescent="0.35">
      <c r="A4456" t="s">
        <v>4413</v>
      </c>
      <c r="B4456" t="s">
        <v>4570</v>
      </c>
      <c r="C4456">
        <v>430</v>
      </c>
      <c r="D4456">
        <v>396</v>
      </c>
      <c r="E4456" t="s">
        <v>21</v>
      </c>
      <c r="F4456">
        <f>tbl_AQI[[#This Row],[Most AQI Reached]]-tbl_AQI[[#This Row],[Current AQI]]</f>
        <v>34</v>
      </c>
      <c r="G44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56">
        <f>RANK(tbl_AQI[[#This Row],[Current AQI]], tbl_AQI[Current AQI], 0)</f>
        <v>415</v>
      </c>
    </row>
    <row r="4457" spans="1:8" x14ac:dyDescent="0.35">
      <c r="A4457" t="s">
        <v>4413</v>
      </c>
      <c r="B4457" t="s">
        <v>4571</v>
      </c>
      <c r="C4457">
        <v>454</v>
      </c>
      <c r="D4457">
        <v>284</v>
      </c>
      <c r="E4457" t="s">
        <v>15</v>
      </c>
      <c r="F4457">
        <f>tbl_AQI[[#This Row],[Most AQI Reached]]-tbl_AQI[[#This Row],[Current AQI]]</f>
        <v>170</v>
      </c>
      <c r="G44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57">
        <f>RANK(tbl_AQI[[#This Row],[Current AQI]], tbl_AQI[Current AQI], 0)</f>
        <v>932</v>
      </c>
    </row>
    <row r="4458" spans="1:8" x14ac:dyDescent="0.35">
      <c r="A4458" t="s">
        <v>4413</v>
      </c>
      <c r="B4458" t="s">
        <v>4572</v>
      </c>
      <c r="C4458">
        <v>401</v>
      </c>
      <c r="D4458">
        <v>225</v>
      </c>
      <c r="E4458" t="s">
        <v>17</v>
      </c>
      <c r="F4458">
        <f>tbl_AQI[[#This Row],[Most AQI Reached]]-tbl_AQI[[#This Row],[Current AQI]]</f>
        <v>176</v>
      </c>
      <c r="G44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58">
        <f>RANK(tbl_AQI[[#This Row],[Current AQI]], tbl_AQI[Current AQI], 0)</f>
        <v>1204</v>
      </c>
    </row>
    <row r="4459" spans="1:8" x14ac:dyDescent="0.35">
      <c r="A4459" t="s">
        <v>4413</v>
      </c>
      <c r="B4459" t="s">
        <v>4573</v>
      </c>
      <c r="C4459">
        <v>275</v>
      </c>
      <c r="D4459">
        <v>219</v>
      </c>
      <c r="E4459" t="s">
        <v>21</v>
      </c>
      <c r="F4459">
        <f>tbl_AQI[[#This Row],[Most AQI Reached]]-tbl_AQI[[#This Row],[Current AQI]]</f>
        <v>56</v>
      </c>
      <c r="G44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59">
        <f>RANK(tbl_AQI[[#This Row],[Current AQI]], tbl_AQI[Current AQI], 0)</f>
        <v>1232</v>
      </c>
    </row>
    <row r="4460" spans="1:8" x14ac:dyDescent="0.35">
      <c r="A4460" t="s">
        <v>4413</v>
      </c>
      <c r="B4460" t="s">
        <v>4574</v>
      </c>
      <c r="C4460">
        <v>488</v>
      </c>
      <c r="D4460">
        <v>480</v>
      </c>
      <c r="E4460" t="s">
        <v>7</v>
      </c>
      <c r="F4460">
        <f>tbl_AQI[[#This Row],[Most AQI Reached]]-tbl_AQI[[#This Row],[Current AQI]]</f>
        <v>8</v>
      </c>
      <c r="G44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60">
        <f>RANK(tbl_AQI[[#This Row],[Current AQI]], tbl_AQI[Current AQI], 0)</f>
        <v>1</v>
      </c>
    </row>
    <row r="4461" spans="1:8" x14ac:dyDescent="0.35">
      <c r="A4461" t="s">
        <v>4413</v>
      </c>
      <c r="B4461" t="s">
        <v>4575</v>
      </c>
      <c r="C4461">
        <v>420</v>
      </c>
      <c r="D4461">
        <v>372</v>
      </c>
      <c r="E4461" t="s">
        <v>7</v>
      </c>
      <c r="F4461">
        <f>tbl_AQI[[#This Row],[Most AQI Reached]]-tbl_AQI[[#This Row],[Current AQI]]</f>
        <v>48</v>
      </c>
      <c r="G44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61">
        <f>RANK(tbl_AQI[[#This Row],[Current AQI]], tbl_AQI[Current AQI], 0)</f>
        <v>529</v>
      </c>
    </row>
    <row r="4462" spans="1:8" x14ac:dyDescent="0.35">
      <c r="A4462" t="s">
        <v>4413</v>
      </c>
      <c r="B4462" t="s">
        <v>4576</v>
      </c>
      <c r="C4462">
        <v>360</v>
      </c>
      <c r="D4462">
        <v>324</v>
      </c>
      <c r="E4462" t="s">
        <v>7</v>
      </c>
      <c r="F4462">
        <f>tbl_AQI[[#This Row],[Most AQI Reached]]-tbl_AQI[[#This Row],[Current AQI]]</f>
        <v>36</v>
      </c>
      <c r="G44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62">
        <f>RANK(tbl_AQI[[#This Row],[Current AQI]], tbl_AQI[Current AQI], 0)</f>
        <v>760</v>
      </c>
    </row>
    <row r="4463" spans="1:8" x14ac:dyDescent="0.35">
      <c r="A4463" t="s">
        <v>4413</v>
      </c>
      <c r="B4463" t="s">
        <v>4577</v>
      </c>
      <c r="C4463">
        <v>457</v>
      </c>
      <c r="D4463">
        <v>179</v>
      </c>
      <c r="E4463" t="s">
        <v>33</v>
      </c>
      <c r="F4463">
        <f>tbl_AQI[[#This Row],[Most AQI Reached]]-tbl_AQI[[#This Row],[Current AQI]]</f>
        <v>278</v>
      </c>
      <c r="G44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63">
        <f>RANK(tbl_AQI[[#This Row],[Current AQI]], tbl_AQI[Current AQI], 0)</f>
        <v>1667</v>
      </c>
    </row>
    <row r="4464" spans="1:8" x14ac:dyDescent="0.35">
      <c r="A4464" t="s">
        <v>4413</v>
      </c>
      <c r="B4464" t="s">
        <v>4578</v>
      </c>
      <c r="C4464">
        <v>456</v>
      </c>
      <c r="D4464">
        <v>323</v>
      </c>
      <c r="E4464" t="s">
        <v>17</v>
      </c>
      <c r="F4464">
        <f>tbl_AQI[[#This Row],[Most AQI Reached]]-tbl_AQI[[#This Row],[Current AQI]]</f>
        <v>133</v>
      </c>
      <c r="G44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64">
        <f>RANK(tbl_AQI[[#This Row],[Current AQI]], tbl_AQI[Current AQI], 0)</f>
        <v>765</v>
      </c>
    </row>
    <row r="4465" spans="1:8" x14ac:dyDescent="0.35">
      <c r="A4465" t="s">
        <v>4413</v>
      </c>
      <c r="B4465" t="s">
        <v>4579</v>
      </c>
      <c r="C4465">
        <v>410</v>
      </c>
      <c r="D4465">
        <v>282</v>
      </c>
      <c r="E4465" t="s">
        <v>15</v>
      </c>
      <c r="F4465">
        <f>tbl_AQI[[#This Row],[Most AQI Reached]]-tbl_AQI[[#This Row],[Current AQI]]</f>
        <v>128</v>
      </c>
      <c r="G44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65">
        <f>RANK(tbl_AQI[[#This Row],[Current AQI]], tbl_AQI[Current AQI], 0)</f>
        <v>938</v>
      </c>
    </row>
    <row r="4466" spans="1:8" x14ac:dyDescent="0.35">
      <c r="A4466" t="s">
        <v>4413</v>
      </c>
      <c r="B4466" t="s">
        <v>4580</v>
      </c>
      <c r="C4466">
        <v>211</v>
      </c>
      <c r="D4466">
        <v>180</v>
      </c>
      <c r="E4466" t="s">
        <v>11</v>
      </c>
      <c r="F4466">
        <f>tbl_AQI[[#This Row],[Most AQI Reached]]-tbl_AQI[[#This Row],[Current AQI]]</f>
        <v>31</v>
      </c>
      <c r="G44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66">
        <f>RANK(tbl_AQI[[#This Row],[Current AQI]], tbl_AQI[Current AQI], 0)</f>
        <v>1635</v>
      </c>
    </row>
    <row r="4467" spans="1:8" x14ac:dyDescent="0.35">
      <c r="A4467" t="s">
        <v>4413</v>
      </c>
      <c r="B4467" t="s">
        <v>4581</v>
      </c>
      <c r="C4467">
        <v>425</v>
      </c>
      <c r="D4467">
        <v>400</v>
      </c>
      <c r="E4467" t="s">
        <v>9</v>
      </c>
      <c r="F4467">
        <f>tbl_AQI[[#This Row],[Most AQI Reached]]-tbl_AQI[[#This Row],[Current AQI]]</f>
        <v>25</v>
      </c>
      <c r="G44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67">
        <f>RANK(tbl_AQI[[#This Row],[Current AQI]], tbl_AQI[Current AQI], 0)</f>
        <v>392</v>
      </c>
    </row>
    <row r="4468" spans="1:8" x14ac:dyDescent="0.35">
      <c r="A4468" t="s">
        <v>4413</v>
      </c>
      <c r="B4468" t="s">
        <v>4582</v>
      </c>
      <c r="C4468">
        <v>407</v>
      </c>
      <c r="D4468">
        <v>294</v>
      </c>
      <c r="E4468" t="s">
        <v>11</v>
      </c>
      <c r="F4468">
        <f>tbl_AQI[[#This Row],[Most AQI Reached]]-tbl_AQI[[#This Row],[Current AQI]]</f>
        <v>113</v>
      </c>
      <c r="G44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68">
        <f>RANK(tbl_AQI[[#This Row],[Current AQI]], tbl_AQI[Current AQI], 0)</f>
        <v>884</v>
      </c>
    </row>
    <row r="4469" spans="1:8" x14ac:dyDescent="0.35">
      <c r="A4469" t="s">
        <v>4413</v>
      </c>
      <c r="B4469" t="s">
        <v>4583</v>
      </c>
      <c r="C4469">
        <v>401</v>
      </c>
      <c r="D4469">
        <v>274</v>
      </c>
      <c r="E4469" t="s">
        <v>17</v>
      </c>
      <c r="F4469">
        <f>tbl_AQI[[#This Row],[Most AQI Reached]]-tbl_AQI[[#This Row],[Current AQI]]</f>
        <v>127</v>
      </c>
      <c r="G44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69">
        <f>RANK(tbl_AQI[[#This Row],[Current AQI]], tbl_AQI[Current AQI], 0)</f>
        <v>984</v>
      </c>
    </row>
    <row r="4470" spans="1:8" x14ac:dyDescent="0.35">
      <c r="A4470" t="s">
        <v>4413</v>
      </c>
      <c r="B4470" t="s">
        <v>4584</v>
      </c>
      <c r="C4470">
        <v>471</v>
      </c>
      <c r="D4470">
        <v>370</v>
      </c>
      <c r="E4470" t="s">
        <v>21</v>
      </c>
      <c r="F4470">
        <f>tbl_AQI[[#This Row],[Most AQI Reached]]-tbl_AQI[[#This Row],[Current AQI]]</f>
        <v>101</v>
      </c>
      <c r="G44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70">
        <f>RANK(tbl_AQI[[#This Row],[Current AQI]], tbl_AQI[Current AQI], 0)</f>
        <v>538</v>
      </c>
    </row>
    <row r="4471" spans="1:8" x14ac:dyDescent="0.35">
      <c r="A4471" t="s">
        <v>4413</v>
      </c>
      <c r="B4471" t="s">
        <v>4585</v>
      </c>
      <c r="C4471">
        <v>496</v>
      </c>
      <c r="D4471">
        <v>278</v>
      </c>
      <c r="E4471" t="s">
        <v>17</v>
      </c>
      <c r="F4471">
        <f>tbl_AQI[[#This Row],[Most AQI Reached]]-tbl_AQI[[#This Row],[Current AQI]]</f>
        <v>218</v>
      </c>
      <c r="G44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71">
        <f>RANK(tbl_AQI[[#This Row],[Current AQI]], tbl_AQI[Current AQI], 0)</f>
        <v>964</v>
      </c>
    </row>
    <row r="4472" spans="1:8" x14ac:dyDescent="0.35">
      <c r="A4472" t="s">
        <v>4413</v>
      </c>
      <c r="B4472" t="s">
        <v>4586</v>
      </c>
      <c r="C4472">
        <v>485</v>
      </c>
      <c r="D4472">
        <v>461</v>
      </c>
      <c r="E4472" t="s">
        <v>21</v>
      </c>
      <c r="F4472">
        <f>tbl_AQI[[#This Row],[Most AQI Reached]]-tbl_AQI[[#This Row],[Current AQI]]</f>
        <v>24</v>
      </c>
      <c r="G44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72">
        <f>RANK(tbl_AQI[[#This Row],[Current AQI]], tbl_AQI[Current AQI], 0)</f>
        <v>102</v>
      </c>
    </row>
    <row r="4473" spans="1:8" x14ac:dyDescent="0.35">
      <c r="A4473" t="s">
        <v>4413</v>
      </c>
      <c r="B4473" t="s">
        <v>4587</v>
      </c>
      <c r="C4473">
        <v>471</v>
      </c>
      <c r="D4473">
        <v>470</v>
      </c>
      <c r="E4473" t="s">
        <v>21</v>
      </c>
      <c r="F4473">
        <f>tbl_AQI[[#This Row],[Most AQI Reached]]-tbl_AQI[[#This Row],[Current AQI]]</f>
        <v>1</v>
      </c>
      <c r="G44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73">
        <f>RANK(tbl_AQI[[#This Row],[Current AQI]], tbl_AQI[Current AQI], 0)</f>
        <v>53</v>
      </c>
    </row>
    <row r="4474" spans="1:8" x14ac:dyDescent="0.35">
      <c r="A4474" t="s">
        <v>4413</v>
      </c>
      <c r="B4474" t="s">
        <v>4588</v>
      </c>
      <c r="C4474">
        <v>460</v>
      </c>
      <c r="D4474">
        <v>452</v>
      </c>
      <c r="E4474" t="s">
        <v>7</v>
      </c>
      <c r="F4474">
        <f>tbl_AQI[[#This Row],[Most AQI Reached]]-tbl_AQI[[#This Row],[Current AQI]]</f>
        <v>8</v>
      </c>
      <c r="G44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74">
        <f>RANK(tbl_AQI[[#This Row],[Current AQI]], tbl_AQI[Current AQI], 0)</f>
        <v>150</v>
      </c>
    </row>
    <row r="4475" spans="1:8" x14ac:dyDescent="0.35">
      <c r="A4475" t="s">
        <v>4413</v>
      </c>
      <c r="B4475" t="s">
        <v>4589</v>
      </c>
      <c r="C4475">
        <v>379</v>
      </c>
      <c r="D4475">
        <v>370</v>
      </c>
      <c r="E4475" t="s">
        <v>21</v>
      </c>
      <c r="F4475">
        <f>tbl_AQI[[#This Row],[Most AQI Reached]]-tbl_AQI[[#This Row],[Current AQI]]</f>
        <v>9</v>
      </c>
      <c r="G44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75">
        <f>RANK(tbl_AQI[[#This Row],[Current AQI]], tbl_AQI[Current AQI], 0)</f>
        <v>538</v>
      </c>
    </row>
    <row r="4476" spans="1:8" x14ac:dyDescent="0.35">
      <c r="A4476" t="s">
        <v>4413</v>
      </c>
      <c r="B4476" t="s">
        <v>4590</v>
      </c>
      <c r="C4476">
        <v>321</v>
      </c>
      <c r="D4476">
        <v>188</v>
      </c>
      <c r="E4476" t="s">
        <v>21</v>
      </c>
      <c r="F4476">
        <f>tbl_AQI[[#This Row],[Most AQI Reached]]-tbl_AQI[[#This Row],[Current AQI]]</f>
        <v>133</v>
      </c>
      <c r="G44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76">
        <f>RANK(tbl_AQI[[#This Row],[Current AQI]], tbl_AQI[Current AQI], 0)</f>
        <v>1423</v>
      </c>
    </row>
    <row r="4477" spans="1:8" x14ac:dyDescent="0.35">
      <c r="A4477" t="s">
        <v>4413</v>
      </c>
      <c r="B4477" t="s">
        <v>4591</v>
      </c>
      <c r="C4477">
        <v>488</v>
      </c>
      <c r="D4477">
        <v>454</v>
      </c>
      <c r="E4477" t="s">
        <v>9</v>
      </c>
      <c r="F4477">
        <f>tbl_AQI[[#This Row],[Most AQI Reached]]-tbl_AQI[[#This Row],[Current AQI]]</f>
        <v>34</v>
      </c>
      <c r="G44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77">
        <f>RANK(tbl_AQI[[#This Row],[Current AQI]], tbl_AQI[Current AQI], 0)</f>
        <v>131</v>
      </c>
    </row>
    <row r="4478" spans="1:8" x14ac:dyDescent="0.35">
      <c r="A4478" t="s">
        <v>4413</v>
      </c>
      <c r="B4478" t="s">
        <v>4592</v>
      </c>
      <c r="C4478">
        <v>300</v>
      </c>
      <c r="D4478">
        <v>280</v>
      </c>
      <c r="E4478" t="s">
        <v>11</v>
      </c>
      <c r="F4478">
        <f>tbl_AQI[[#This Row],[Most AQI Reached]]-tbl_AQI[[#This Row],[Current AQI]]</f>
        <v>20</v>
      </c>
      <c r="G44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78">
        <f>RANK(tbl_AQI[[#This Row],[Current AQI]], tbl_AQI[Current AQI], 0)</f>
        <v>954</v>
      </c>
    </row>
    <row r="4479" spans="1:8" x14ac:dyDescent="0.35">
      <c r="A4479" t="s">
        <v>4413</v>
      </c>
      <c r="B4479" t="s">
        <v>4593</v>
      </c>
      <c r="C4479">
        <v>466</v>
      </c>
      <c r="D4479">
        <v>458</v>
      </c>
      <c r="E4479" t="s">
        <v>21</v>
      </c>
      <c r="F4479">
        <f>tbl_AQI[[#This Row],[Most AQI Reached]]-tbl_AQI[[#This Row],[Current AQI]]</f>
        <v>8</v>
      </c>
      <c r="G44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79">
        <f>RANK(tbl_AQI[[#This Row],[Current AQI]], tbl_AQI[Current AQI], 0)</f>
        <v>115</v>
      </c>
    </row>
    <row r="4480" spans="1:8" x14ac:dyDescent="0.35">
      <c r="A4480" t="s">
        <v>4413</v>
      </c>
      <c r="B4480" t="s">
        <v>4594</v>
      </c>
      <c r="C4480">
        <v>493</v>
      </c>
      <c r="D4480">
        <v>421</v>
      </c>
      <c r="E4480" t="s">
        <v>21</v>
      </c>
      <c r="F4480">
        <f>tbl_AQI[[#This Row],[Most AQI Reached]]-tbl_AQI[[#This Row],[Current AQI]]</f>
        <v>72</v>
      </c>
      <c r="G44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80">
        <f>RANK(tbl_AQI[[#This Row],[Current AQI]], tbl_AQI[Current AQI], 0)</f>
        <v>301</v>
      </c>
    </row>
    <row r="4481" spans="1:8" x14ac:dyDescent="0.35">
      <c r="A4481" t="s">
        <v>4413</v>
      </c>
      <c r="B4481" t="s">
        <v>4595</v>
      </c>
      <c r="C4481">
        <v>271</v>
      </c>
      <c r="D4481">
        <v>160</v>
      </c>
      <c r="E4481" t="s">
        <v>9</v>
      </c>
      <c r="F4481">
        <f>tbl_AQI[[#This Row],[Most AQI Reached]]-tbl_AQI[[#This Row],[Current AQI]]</f>
        <v>111</v>
      </c>
      <c r="G44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81">
        <f>RANK(tbl_AQI[[#This Row],[Current AQI]], tbl_AQI[Current AQI], 0)</f>
        <v>2154</v>
      </c>
    </row>
    <row r="4482" spans="1:8" x14ac:dyDescent="0.35">
      <c r="A4482" t="s">
        <v>4413</v>
      </c>
      <c r="B4482" t="s">
        <v>4596</v>
      </c>
      <c r="C4482">
        <v>489</v>
      </c>
      <c r="D4482">
        <v>428</v>
      </c>
      <c r="E4482" t="s">
        <v>7</v>
      </c>
      <c r="F4482">
        <f>tbl_AQI[[#This Row],[Most AQI Reached]]-tbl_AQI[[#This Row],[Current AQI]]</f>
        <v>61</v>
      </c>
      <c r="G44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82">
        <f>RANK(tbl_AQI[[#This Row],[Current AQI]], tbl_AQI[Current AQI], 0)</f>
        <v>273</v>
      </c>
    </row>
    <row r="4483" spans="1:8" x14ac:dyDescent="0.35">
      <c r="A4483" t="s">
        <v>4413</v>
      </c>
      <c r="B4483" t="s">
        <v>4597</v>
      </c>
      <c r="C4483">
        <v>321</v>
      </c>
      <c r="D4483">
        <v>279</v>
      </c>
      <c r="E4483" t="s">
        <v>9</v>
      </c>
      <c r="F4483">
        <f>tbl_AQI[[#This Row],[Most AQI Reached]]-tbl_AQI[[#This Row],[Current AQI]]</f>
        <v>42</v>
      </c>
      <c r="G44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83">
        <f>RANK(tbl_AQI[[#This Row],[Current AQI]], tbl_AQI[Current AQI], 0)</f>
        <v>957</v>
      </c>
    </row>
    <row r="4484" spans="1:8" x14ac:dyDescent="0.35">
      <c r="A4484" t="s">
        <v>4413</v>
      </c>
      <c r="B4484" t="s">
        <v>4598</v>
      </c>
      <c r="C4484">
        <v>452</v>
      </c>
      <c r="D4484">
        <v>438</v>
      </c>
      <c r="E4484" t="s">
        <v>7</v>
      </c>
      <c r="F4484">
        <f>tbl_AQI[[#This Row],[Most AQI Reached]]-tbl_AQI[[#This Row],[Current AQI]]</f>
        <v>14</v>
      </c>
      <c r="G44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84">
        <f>RANK(tbl_AQI[[#This Row],[Current AQI]], tbl_AQI[Current AQI], 0)</f>
        <v>218</v>
      </c>
    </row>
    <row r="4485" spans="1:8" x14ac:dyDescent="0.35">
      <c r="A4485" t="s">
        <v>4413</v>
      </c>
      <c r="B4485" t="s">
        <v>4599</v>
      </c>
      <c r="C4485">
        <v>316</v>
      </c>
      <c r="D4485">
        <v>226</v>
      </c>
      <c r="E4485" t="s">
        <v>33</v>
      </c>
      <c r="F4485">
        <f>tbl_AQI[[#This Row],[Most AQI Reached]]-tbl_AQI[[#This Row],[Current AQI]]</f>
        <v>90</v>
      </c>
      <c r="G44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85">
        <f>RANK(tbl_AQI[[#This Row],[Current AQI]], tbl_AQI[Current AQI], 0)</f>
        <v>1200</v>
      </c>
    </row>
    <row r="4486" spans="1:8" x14ac:dyDescent="0.35">
      <c r="A4486" t="s">
        <v>4413</v>
      </c>
      <c r="B4486" t="s">
        <v>4600</v>
      </c>
      <c r="C4486">
        <v>367</v>
      </c>
      <c r="D4486">
        <v>257</v>
      </c>
      <c r="E4486" t="s">
        <v>9</v>
      </c>
      <c r="F4486">
        <f>tbl_AQI[[#This Row],[Most AQI Reached]]-tbl_AQI[[#This Row],[Current AQI]]</f>
        <v>110</v>
      </c>
      <c r="G44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86">
        <f>RANK(tbl_AQI[[#This Row],[Current AQI]], tbl_AQI[Current AQI], 0)</f>
        <v>1058</v>
      </c>
    </row>
    <row r="4487" spans="1:8" x14ac:dyDescent="0.35">
      <c r="A4487" t="s">
        <v>4413</v>
      </c>
      <c r="B4487" t="s">
        <v>4601</v>
      </c>
      <c r="C4487">
        <v>345</v>
      </c>
      <c r="D4487">
        <v>180</v>
      </c>
      <c r="E4487" t="s">
        <v>21</v>
      </c>
      <c r="F4487">
        <f>tbl_AQI[[#This Row],[Most AQI Reached]]-tbl_AQI[[#This Row],[Current AQI]]</f>
        <v>165</v>
      </c>
      <c r="G44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87">
        <f>RANK(tbl_AQI[[#This Row],[Current AQI]], tbl_AQI[Current AQI], 0)</f>
        <v>1635</v>
      </c>
    </row>
    <row r="4488" spans="1:8" x14ac:dyDescent="0.35">
      <c r="A4488" t="s">
        <v>4413</v>
      </c>
      <c r="B4488" t="s">
        <v>4602</v>
      </c>
      <c r="C4488">
        <v>277</v>
      </c>
      <c r="D4488">
        <v>234</v>
      </c>
      <c r="E4488" t="s">
        <v>17</v>
      </c>
      <c r="F4488">
        <f>tbl_AQI[[#This Row],[Most AQI Reached]]-tbl_AQI[[#This Row],[Current AQI]]</f>
        <v>43</v>
      </c>
      <c r="G44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88">
        <f>RANK(tbl_AQI[[#This Row],[Current AQI]], tbl_AQI[Current AQI], 0)</f>
        <v>1172</v>
      </c>
    </row>
    <row r="4489" spans="1:8" x14ac:dyDescent="0.35">
      <c r="A4489" t="s">
        <v>4413</v>
      </c>
      <c r="B4489" t="s">
        <v>4603</v>
      </c>
      <c r="C4489">
        <v>324</v>
      </c>
      <c r="D4489">
        <v>158</v>
      </c>
      <c r="E4489" t="s">
        <v>15</v>
      </c>
      <c r="F4489">
        <f>tbl_AQI[[#This Row],[Most AQI Reached]]-tbl_AQI[[#This Row],[Current AQI]]</f>
        <v>166</v>
      </c>
      <c r="G44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89">
        <f>RANK(tbl_AQI[[#This Row],[Current AQI]], tbl_AQI[Current AQI], 0)</f>
        <v>2207</v>
      </c>
    </row>
    <row r="4490" spans="1:8" x14ac:dyDescent="0.35">
      <c r="A4490" t="s">
        <v>4413</v>
      </c>
      <c r="B4490" t="s">
        <v>4604</v>
      </c>
      <c r="C4490">
        <v>423</v>
      </c>
      <c r="D4490">
        <v>409</v>
      </c>
      <c r="E4490" t="s">
        <v>9</v>
      </c>
      <c r="F4490">
        <f>tbl_AQI[[#This Row],[Most AQI Reached]]-tbl_AQI[[#This Row],[Current AQI]]</f>
        <v>14</v>
      </c>
      <c r="G44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90">
        <f>RANK(tbl_AQI[[#This Row],[Current AQI]], tbl_AQI[Current AQI], 0)</f>
        <v>348</v>
      </c>
    </row>
    <row r="4491" spans="1:8" x14ac:dyDescent="0.35">
      <c r="A4491" t="s">
        <v>4413</v>
      </c>
      <c r="B4491" t="s">
        <v>4605</v>
      </c>
      <c r="C4491">
        <v>321</v>
      </c>
      <c r="D4491">
        <v>160</v>
      </c>
      <c r="E4491" t="s">
        <v>11</v>
      </c>
      <c r="F4491">
        <f>tbl_AQI[[#This Row],[Most AQI Reached]]-tbl_AQI[[#This Row],[Current AQI]]</f>
        <v>161</v>
      </c>
      <c r="G44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491">
        <f>RANK(tbl_AQI[[#This Row],[Current AQI]], tbl_AQI[Current AQI], 0)</f>
        <v>2154</v>
      </c>
    </row>
    <row r="4492" spans="1:8" x14ac:dyDescent="0.35">
      <c r="A4492" t="s">
        <v>4413</v>
      </c>
      <c r="B4492" t="s">
        <v>4606</v>
      </c>
      <c r="C4492">
        <v>459</v>
      </c>
      <c r="D4492">
        <v>391</v>
      </c>
      <c r="E4492" t="s">
        <v>21</v>
      </c>
      <c r="F4492">
        <f>tbl_AQI[[#This Row],[Most AQI Reached]]-tbl_AQI[[#This Row],[Current AQI]]</f>
        <v>68</v>
      </c>
      <c r="G44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92">
        <f>RANK(tbl_AQI[[#This Row],[Current AQI]], tbl_AQI[Current AQI], 0)</f>
        <v>437</v>
      </c>
    </row>
    <row r="4493" spans="1:8" x14ac:dyDescent="0.35">
      <c r="A4493" t="s">
        <v>4413</v>
      </c>
      <c r="B4493" t="s">
        <v>4607</v>
      </c>
      <c r="C4493">
        <v>419</v>
      </c>
      <c r="D4493">
        <v>417</v>
      </c>
      <c r="E4493" t="s">
        <v>9</v>
      </c>
      <c r="F4493">
        <f>tbl_AQI[[#This Row],[Most AQI Reached]]-tbl_AQI[[#This Row],[Current AQI]]</f>
        <v>2</v>
      </c>
      <c r="G44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93">
        <f>RANK(tbl_AQI[[#This Row],[Current AQI]], tbl_AQI[Current AQI], 0)</f>
        <v>316</v>
      </c>
    </row>
    <row r="4494" spans="1:8" x14ac:dyDescent="0.35">
      <c r="A4494" t="s">
        <v>4413</v>
      </c>
      <c r="B4494" t="s">
        <v>4608</v>
      </c>
      <c r="C4494">
        <v>477</v>
      </c>
      <c r="D4494">
        <v>282</v>
      </c>
      <c r="E4494" t="s">
        <v>21</v>
      </c>
      <c r="F4494">
        <f>tbl_AQI[[#This Row],[Most AQI Reached]]-tbl_AQI[[#This Row],[Current AQI]]</f>
        <v>195</v>
      </c>
      <c r="G44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94">
        <f>RANK(tbl_AQI[[#This Row],[Current AQI]], tbl_AQI[Current AQI], 0)</f>
        <v>938</v>
      </c>
    </row>
    <row r="4495" spans="1:8" x14ac:dyDescent="0.35">
      <c r="A4495" t="s">
        <v>4413</v>
      </c>
      <c r="B4495" t="s">
        <v>4609</v>
      </c>
      <c r="C4495">
        <v>323</v>
      </c>
      <c r="D4495">
        <v>251</v>
      </c>
      <c r="E4495" t="s">
        <v>15</v>
      </c>
      <c r="F4495">
        <f>tbl_AQI[[#This Row],[Most AQI Reached]]-tbl_AQI[[#This Row],[Current AQI]]</f>
        <v>72</v>
      </c>
      <c r="G44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495">
        <f>RANK(tbl_AQI[[#This Row],[Current AQI]], tbl_AQI[Current AQI], 0)</f>
        <v>1087</v>
      </c>
    </row>
    <row r="4496" spans="1:8" x14ac:dyDescent="0.35">
      <c r="A4496" t="s">
        <v>4413</v>
      </c>
      <c r="B4496" t="s">
        <v>4610</v>
      </c>
      <c r="C4496">
        <v>430</v>
      </c>
      <c r="D4496">
        <v>308</v>
      </c>
      <c r="E4496" t="s">
        <v>21</v>
      </c>
      <c r="F4496">
        <f>tbl_AQI[[#This Row],[Most AQI Reached]]-tbl_AQI[[#This Row],[Current AQI]]</f>
        <v>122</v>
      </c>
      <c r="G44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96">
        <f>RANK(tbl_AQI[[#This Row],[Current AQI]], tbl_AQI[Current AQI], 0)</f>
        <v>824</v>
      </c>
    </row>
    <row r="4497" spans="1:8" x14ac:dyDescent="0.35">
      <c r="A4497" t="s">
        <v>4413</v>
      </c>
      <c r="B4497" t="s">
        <v>4611</v>
      </c>
      <c r="C4497">
        <v>491</v>
      </c>
      <c r="D4497">
        <v>416</v>
      </c>
      <c r="E4497" t="s">
        <v>7</v>
      </c>
      <c r="F4497">
        <f>tbl_AQI[[#This Row],[Most AQI Reached]]-tbl_AQI[[#This Row],[Current AQI]]</f>
        <v>75</v>
      </c>
      <c r="G44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497">
        <f>RANK(tbl_AQI[[#This Row],[Current AQI]], tbl_AQI[Current AQI], 0)</f>
        <v>322</v>
      </c>
    </row>
    <row r="4498" spans="1:8" x14ac:dyDescent="0.35">
      <c r="A4498" t="s">
        <v>4413</v>
      </c>
      <c r="B4498" t="s">
        <v>4612</v>
      </c>
      <c r="C4498">
        <v>451</v>
      </c>
      <c r="D4498">
        <v>332</v>
      </c>
      <c r="E4498" t="s">
        <v>21</v>
      </c>
      <c r="F4498">
        <f>tbl_AQI[[#This Row],[Most AQI Reached]]-tbl_AQI[[#This Row],[Current AQI]]</f>
        <v>119</v>
      </c>
      <c r="G44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98">
        <f>RANK(tbl_AQI[[#This Row],[Current AQI]], tbl_AQI[Current AQI], 0)</f>
        <v>725</v>
      </c>
    </row>
    <row r="4499" spans="1:8" x14ac:dyDescent="0.35">
      <c r="A4499" t="s">
        <v>4413</v>
      </c>
      <c r="B4499" t="s">
        <v>4613</v>
      </c>
      <c r="C4499">
        <v>394</v>
      </c>
      <c r="D4499">
        <v>352</v>
      </c>
      <c r="E4499" t="s">
        <v>9</v>
      </c>
      <c r="F4499">
        <f>tbl_AQI[[#This Row],[Most AQI Reached]]-tbl_AQI[[#This Row],[Current AQI]]</f>
        <v>42</v>
      </c>
      <c r="G44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499">
        <f>RANK(tbl_AQI[[#This Row],[Current AQI]], tbl_AQI[Current AQI], 0)</f>
        <v>614</v>
      </c>
    </row>
    <row r="4500" spans="1:8" x14ac:dyDescent="0.35">
      <c r="A4500" t="s">
        <v>4413</v>
      </c>
      <c r="B4500" t="s">
        <v>4614</v>
      </c>
      <c r="C4500">
        <v>483</v>
      </c>
      <c r="D4500">
        <v>472</v>
      </c>
      <c r="E4500" t="s">
        <v>7</v>
      </c>
      <c r="F4500">
        <f>tbl_AQI[[#This Row],[Most AQI Reached]]-tbl_AQI[[#This Row],[Current AQI]]</f>
        <v>11</v>
      </c>
      <c r="G45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00">
        <f>RANK(tbl_AQI[[#This Row],[Current AQI]], tbl_AQI[Current AQI], 0)</f>
        <v>43</v>
      </c>
    </row>
    <row r="4501" spans="1:8" x14ac:dyDescent="0.35">
      <c r="A4501" t="s">
        <v>4413</v>
      </c>
      <c r="B4501" t="s">
        <v>4615</v>
      </c>
      <c r="C4501">
        <v>473</v>
      </c>
      <c r="D4501">
        <v>434</v>
      </c>
      <c r="E4501" t="s">
        <v>21</v>
      </c>
      <c r="F4501">
        <f>tbl_AQI[[#This Row],[Most AQI Reached]]-tbl_AQI[[#This Row],[Current AQI]]</f>
        <v>39</v>
      </c>
      <c r="G45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01">
        <f>RANK(tbl_AQI[[#This Row],[Current AQI]], tbl_AQI[Current AQI], 0)</f>
        <v>242</v>
      </c>
    </row>
    <row r="4502" spans="1:8" x14ac:dyDescent="0.35">
      <c r="A4502" t="s">
        <v>4413</v>
      </c>
      <c r="B4502" t="s">
        <v>4616</v>
      </c>
      <c r="C4502">
        <v>499</v>
      </c>
      <c r="D4502">
        <v>450</v>
      </c>
      <c r="E4502" t="s">
        <v>21</v>
      </c>
      <c r="F4502">
        <f>tbl_AQI[[#This Row],[Most AQI Reached]]-tbl_AQI[[#This Row],[Current AQI]]</f>
        <v>49</v>
      </c>
      <c r="G45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02">
        <f>RANK(tbl_AQI[[#This Row],[Current AQI]], tbl_AQI[Current AQI], 0)</f>
        <v>159</v>
      </c>
    </row>
    <row r="4503" spans="1:8" x14ac:dyDescent="0.35">
      <c r="A4503" t="s">
        <v>4413</v>
      </c>
      <c r="B4503" t="s">
        <v>4617</v>
      </c>
      <c r="C4503">
        <v>370</v>
      </c>
      <c r="D4503">
        <v>206</v>
      </c>
      <c r="E4503" t="s">
        <v>7</v>
      </c>
      <c r="F4503">
        <f>tbl_AQI[[#This Row],[Most AQI Reached]]-tbl_AQI[[#This Row],[Current AQI]]</f>
        <v>164</v>
      </c>
      <c r="G45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03">
        <f>RANK(tbl_AQI[[#This Row],[Current AQI]], tbl_AQI[Current AQI], 0)</f>
        <v>1294</v>
      </c>
    </row>
    <row r="4504" spans="1:8" x14ac:dyDescent="0.35">
      <c r="A4504" t="s">
        <v>4413</v>
      </c>
      <c r="B4504" t="s">
        <v>4618</v>
      </c>
      <c r="C4504">
        <v>413</v>
      </c>
      <c r="D4504">
        <v>312</v>
      </c>
      <c r="E4504" t="s">
        <v>33</v>
      </c>
      <c r="F4504">
        <f>tbl_AQI[[#This Row],[Most AQI Reached]]-tbl_AQI[[#This Row],[Current AQI]]</f>
        <v>101</v>
      </c>
      <c r="G45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04">
        <f>RANK(tbl_AQI[[#This Row],[Current AQI]], tbl_AQI[Current AQI], 0)</f>
        <v>812</v>
      </c>
    </row>
    <row r="4505" spans="1:8" x14ac:dyDescent="0.35">
      <c r="A4505" t="s">
        <v>4413</v>
      </c>
      <c r="B4505" t="s">
        <v>4619</v>
      </c>
      <c r="C4505">
        <v>485</v>
      </c>
      <c r="D4505">
        <v>440</v>
      </c>
      <c r="E4505" t="s">
        <v>21</v>
      </c>
      <c r="F4505">
        <f>tbl_AQI[[#This Row],[Most AQI Reached]]-tbl_AQI[[#This Row],[Current AQI]]</f>
        <v>45</v>
      </c>
      <c r="G45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05">
        <f>RANK(tbl_AQI[[#This Row],[Current AQI]], tbl_AQI[Current AQI], 0)</f>
        <v>208</v>
      </c>
    </row>
    <row r="4506" spans="1:8" x14ac:dyDescent="0.35">
      <c r="A4506" t="s">
        <v>4413</v>
      </c>
      <c r="B4506" t="s">
        <v>4620</v>
      </c>
      <c r="C4506">
        <v>467</v>
      </c>
      <c r="D4506">
        <v>400</v>
      </c>
      <c r="E4506" t="s">
        <v>9</v>
      </c>
      <c r="F4506">
        <f>tbl_AQI[[#This Row],[Most AQI Reached]]-tbl_AQI[[#This Row],[Current AQI]]</f>
        <v>67</v>
      </c>
      <c r="G45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06">
        <f>RANK(tbl_AQI[[#This Row],[Current AQI]], tbl_AQI[Current AQI], 0)</f>
        <v>392</v>
      </c>
    </row>
    <row r="4507" spans="1:8" x14ac:dyDescent="0.35">
      <c r="A4507" t="s">
        <v>4413</v>
      </c>
      <c r="B4507" t="s">
        <v>4621</v>
      </c>
      <c r="C4507">
        <v>420</v>
      </c>
      <c r="D4507">
        <v>397</v>
      </c>
      <c r="E4507" t="s">
        <v>21</v>
      </c>
      <c r="F4507">
        <f>tbl_AQI[[#This Row],[Most AQI Reached]]-tbl_AQI[[#This Row],[Current AQI]]</f>
        <v>23</v>
      </c>
      <c r="G45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07">
        <f>RANK(tbl_AQI[[#This Row],[Current AQI]], tbl_AQI[Current AQI], 0)</f>
        <v>412</v>
      </c>
    </row>
    <row r="4508" spans="1:8" x14ac:dyDescent="0.35">
      <c r="A4508" t="s">
        <v>4413</v>
      </c>
      <c r="B4508" t="s">
        <v>4622</v>
      </c>
      <c r="C4508">
        <v>477</v>
      </c>
      <c r="D4508">
        <v>171</v>
      </c>
      <c r="E4508" t="s">
        <v>7</v>
      </c>
      <c r="F4508">
        <f>tbl_AQI[[#This Row],[Most AQI Reached]]-tbl_AQI[[#This Row],[Current AQI]]</f>
        <v>306</v>
      </c>
      <c r="G45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08">
        <f>RANK(tbl_AQI[[#This Row],[Current AQI]], tbl_AQI[Current AQI], 0)</f>
        <v>1866</v>
      </c>
    </row>
    <row r="4509" spans="1:8" x14ac:dyDescent="0.35">
      <c r="A4509" t="s">
        <v>4413</v>
      </c>
      <c r="B4509" t="s">
        <v>4623</v>
      </c>
      <c r="C4509">
        <v>494</v>
      </c>
      <c r="D4509">
        <v>341</v>
      </c>
      <c r="E4509" t="s">
        <v>7</v>
      </c>
      <c r="F4509">
        <f>tbl_AQI[[#This Row],[Most AQI Reached]]-tbl_AQI[[#This Row],[Current AQI]]</f>
        <v>153</v>
      </c>
      <c r="G45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09">
        <f>RANK(tbl_AQI[[#This Row],[Current AQI]], tbl_AQI[Current AQI], 0)</f>
        <v>674</v>
      </c>
    </row>
    <row r="4510" spans="1:8" x14ac:dyDescent="0.35">
      <c r="A4510" t="s">
        <v>4413</v>
      </c>
      <c r="B4510" t="s">
        <v>4624</v>
      </c>
      <c r="C4510">
        <v>481</v>
      </c>
      <c r="D4510">
        <v>373</v>
      </c>
      <c r="E4510" t="s">
        <v>9</v>
      </c>
      <c r="F4510">
        <f>tbl_AQI[[#This Row],[Most AQI Reached]]-tbl_AQI[[#This Row],[Current AQI]]</f>
        <v>108</v>
      </c>
      <c r="G45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10">
        <f>RANK(tbl_AQI[[#This Row],[Current AQI]], tbl_AQI[Current AQI], 0)</f>
        <v>526</v>
      </c>
    </row>
    <row r="4511" spans="1:8" x14ac:dyDescent="0.35">
      <c r="A4511" t="s">
        <v>4413</v>
      </c>
      <c r="B4511" t="s">
        <v>4625</v>
      </c>
      <c r="C4511">
        <v>415</v>
      </c>
      <c r="D4511">
        <v>293</v>
      </c>
      <c r="E4511" t="s">
        <v>7</v>
      </c>
      <c r="F4511">
        <f>tbl_AQI[[#This Row],[Most AQI Reached]]-tbl_AQI[[#This Row],[Current AQI]]</f>
        <v>122</v>
      </c>
      <c r="G45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11">
        <f>RANK(tbl_AQI[[#This Row],[Current AQI]], tbl_AQI[Current AQI], 0)</f>
        <v>888</v>
      </c>
    </row>
    <row r="4512" spans="1:8" x14ac:dyDescent="0.35">
      <c r="A4512" t="s">
        <v>4413</v>
      </c>
      <c r="B4512" t="s">
        <v>4626</v>
      </c>
      <c r="C4512">
        <v>454</v>
      </c>
      <c r="D4512">
        <v>453</v>
      </c>
      <c r="E4512" t="s">
        <v>9</v>
      </c>
      <c r="F4512">
        <f>tbl_AQI[[#This Row],[Most AQI Reached]]-tbl_AQI[[#This Row],[Current AQI]]</f>
        <v>1</v>
      </c>
      <c r="G45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12">
        <f>RANK(tbl_AQI[[#This Row],[Current AQI]], tbl_AQI[Current AQI], 0)</f>
        <v>141</v>
      </c>
    </row>
    <row r="4513" spans="1:8" x14ac:dyDescent="0.35">
      <c r="A4513" t="s">
        <v>4413</v>
      </c>
      <c r="B4513" t="s">
        <v>4627</v>
      </c>
      <c r="C4513">
        <v>354</v>
      </c>
      <c r="D4513">
        <v>292</v>
      </c>
      <c r="E4513" t="s">
        <v>15</v>
      </c>
      <c r="F4513">
        <f>tbl_AQI[[#This Row],[Most AQI Reached]]-tbl_AQI[[#This Row],[Current AQI]]</f>
        <v>62</v>
      </c>
      <c r="G45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13">
        <f>RANK(tbl_AQI[[#This Row],[Current AQI]], tbl_AQI[Current AQI], 0)</f>
        <v>892</v>
      </c>
    </row>
    <row r="4514" spans="1:8" x14ac:dyDescent="0.35">
      <c r="A4514" t="s">
        <v>4413</v>
      </c>
      <c r="B4514" t="s">
        <v>4628</v>
      </c>
      <c r="C4514">
        <v>470</v>
      </c>
      <c r="D4514">
        <v>464</v>
      </c>
      <c r="E4514" t="s">
        <v>21</v>
      </c>
      <c r="F4514">
        <f>tbl_AQI[[#This Row],[Most AQI Reached]]-tbl_AQI[[#This Row],[Current AQI]]</f>
        <v>6</v>
      </c>
      <c r="G45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14">
        <f>RANK(tbl_AQI[[#This Row],[Current AQI]], tbl_AQI[Current AQI], 0)</f>
        <v>86</v>
      </c>
    </row>
    <row r="4515" spans="1:8" x14ac:dyDescent="0.35">
      <c r="A4515" t="s">
        <v>4413</v>
      </c>
      <c r="B4515" t="s">
        <v>4629</v>
      </c>
      <c r="C4515">
        <v>412</v>
      </c>
      <c r="D4515">
        <v>392</v>
      </c>
      <c r="E4515" t="s">
        <v>9</v>
      </c>
      <c r="F4515">
        <f>tbl_AQI[[#This Row],[Most AQI Reached]]-tbl_AQI[[#This Row],[Current AQI]]</f>
        <v>20</v>
      </c>
      <c r="G45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15">
        <f>RANK(tbl_AQI[[#This Row],[Current AQI]], tbl_AQI[Current AQI], 0)</f>
        <v>431</v>
      </c>
    </row>
    <row r="4516" spans="1:8" x14ac:dyDescent="0.35">
      <c r="A4516" t="s">
        <v>4413</v>
      </c>
      <c r="B4516" t="s">
        <v>4630</v>
      </c>
      <c r="C4516">
        <v>453</v>
      </c>
      <c r="D4516">
        <v>299</v>
      </c>
      <c r="E4516" t="s">
        <v>21</v>
      </c>
      <c r="F4516">
        <f>tbl_AQI[[#This Row],[Most AQI Reached]]-tbl_AQI[[#This Row],[Current AQI]]</f>
        <v>154</v>
      </c>
      <c r="G45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16">
        <f>RANK(tbl_AQI[[#This Row],[Current AQI]], tbl_AQI[Current AQI], 0)</f>
        <v>860</v>
      </c>
    </row>
    <row r="4517" spans="1:8" x14ac:dyDescent="0.35">
      <c r="A4517" t="s">
        <v>4413</v>
      </c>
      <c r="B4517" t="s">
        <v>4631</v>
      </c>
      <c r="C4517">
        <v>399</v>
      </c>
      <c r="D4517">
        <v>348</v>
      </c>
      <c r="E4517" t="s">
        <v>15</v>
      </c>
      <c r="F4517">
        <f>tbl_AQI[[#This Row],[Most AQI Reached]]-tbl_AQI[[#This Row],[Current AQI]]</f>
        <v>51</v>
      </c>
      <c r="G45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17">
        <f>RANK(tbl_AQI[[#This Row],[Current AQI]], tbl_AQI[Current AQI], 0)</f>
        <v>641</v>
      </c>
    </row>
    <row r="4518" spans="1:8" x14ac:dyDescent="0.35">
      <c r="A4518" t="s">
        <v>4413</v>
      </c>
      <c r="B4518" t="s">
        <v>4632</v>
      </c>
      <c r="C4518">
        <v>388</v>
      </c>
      <c r="D4518">
        <v>378</v>
      </c>
      <c r="E4518" t="s">
        <v>9</v>
      </c>
      <c r="F4518">
        <f>tbl_AQI[[#This Row],[Most AQI Reached]]-tbl_AQI[[#This Row],[Current AQI]]</f>
        <v>10</v>
      </c>
      <c r="G45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18">
        <f>RANK(tbl_AQI[[#This Row],[Current AQI]], tbl_AQI[Current AQI], 0)</f>
        <v>493</v>
      </c>
    </row>
    <row r="4519" spans="1:8" x14ac:dyDescent="0.35">
      <c r="A4519" t="s">
        <v>4413</v>
      </c>
      <c r="B4519" t="s">
        <v>4633</v>
      </c>
      <c r="C4519">
        <v>436</v>
      </c>
      <c r="D4519">
        <v>430</v>
      </c>
      <c r="E4519" t="s">
        <v>21</v>
      </c>
      <c r="F4519">
        <f>tbl_AQI[[#This Row],[Most AQI Reached]]-tbl_AQI[[#This Row],[Current AQI]]</f>
        <v>6</v>
      </c>
      <c r="G45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19">
        <f>RANK(tbl_AQI[[#This Row],[Current AQI]], tbl_AQI[Current AQI], 0)</f>
        <v>263</v>
      </c>
    </row>
    <row r="4520" spans="1:8" x14ac:dyDescent="0.35">
      <c r="A4520" t="s">
        <v>4413</v>
      </c>
      <c r="B4520" t="s">
        <v>4634</v>
      </c>
      <c r="C4520">
        <v>488</v>
      </c>
      <c r="D4520">
        <v>472</v>
      </c>
      <c r="E4520" t="s">
        <v>21</v>
      </c>
      <c r="F4520">
        <f>tbl_AQI[[#This Row],[Most AQI Reached]]-tbl_AQI[[#This Row],[Current AQI]]</f>
        <v>16</v>
      </c>
      <c r="G45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20">
        <f>RANK(tbl_AQI[[#This Row],[Current AQI]], tbl_AQI[Current AQI], 0)</f>
        <v>43</v>
      </c>
    </row>
    <row r="4521" spans="1:8" x14ac:dyDescent="0.35">
      <c r="A4521" t="s">
        <v>4413</v>
      </c>
      <c r="B4521" t="s">
        <v>4635</v>
      </c>
      <c r="C4521">
        <v>445</v>
      </c>
      <c r="D4521">
        <v>391</v>
      </c>
      <c r="E4521" t="s">
        <v>7</v>
      </c>
      <c r="F4521">
        <f>tbl_AQI[[#This Row],[Most AQI Reached]]-tbl_AQI[[#This Row],[Current AQI]]</f>
        <v>54</v>
      </c>
      <c r="G45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21">
        <f>RANK(tbl_AQI[[#This Row],[Current AQI]], tbl_AQI[Current AQI], 0)</f>
        <v>437</v>
      </c>
    </row>
    <row r="4522" spans="1:8" x14ac:dyDescent="0.35">
      <c r="A4522" t="s">
        <v>4413</v>
      </c>
      <c r="B4522" t="s">
        <v>4636</v>
      </c>
      <c r="C4522">
        <v>492</v>
      </c>
      <c r="D4522">
        <v>190</v>
      </c>
      <c r="E4522" t="s">
        <v>17</v>
      </c>
      <c r="F4522">
        <f>tbl_AQI[[#This Row],[Most AQI Reached]]-tbl_AQI[[#This Row],[Current AQI]]</f>
        <v>302</v>
      </c>
      <c r="G45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22">
        <f>RANK(tbl_AQI[[#This Row],[Current AQI]], tbl_AQI[Current AQI], 0)</f>
        <v>1355</v>
      </c>
    </row>
    <row r="4523" spans="1:8" x14ac:dyDescent="0.35">
      <c r="A4523" t="s">
        <v>4413</v>
      </c>
      <c r="B4523" t="s">
        <v>4637</v>
      </c>
      <c r="C4523">
        <v>377</v>
      </c>
      <c r="D4523">
        <v>272</v>
      </c>
      <c r="E4523" t="s">
        <v>33</v>
      </c>
      <c r="F4523">
        <f>tbl_AQI[[#This Row],[Most AQI Reached]]-tbl_AQI[[#This Row],[Current AQI]]</f>
        <v>105</v>
      </c>
      <c r="G45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23">
        <f>RANK(tbl_AQI[[#This Row],[Current AQI]], tbl_AQI[Current AQI], 0)</f>
        <v>991</v>
      </c>
    </row>
    <row r="4524" spans="1:8" x14ac:dyDescent="0.35">
      <c r="A4524" t="s">
        <v>4413</v>
      </c>
      <c r="B4524" t="s">
        <v>4638</v>
      </c>
      <c r="C4524">
        <v>422</v>
      </c>
      <c r="D4524">
        <v>296</v>
      </c>
      <c r="E4524" t="s">
        <v>17</v>
      </c>
      <c r="F4524">
        <f>tbl_AQI[[#This Row],[Most AQI Reached]]-tbl_AQI[[#This Row],[Current AQI]]</f>
        <v>126</v>
      </c>
      <c r="G45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24">
        <f>RANK(tbl_AQI[[#This Row],[Current AQI]], tbl_AQI[Current AQI], 0)</f>
        <v>874</v>
      </c>
    </row>
    <row r="4525" spans="1:8" x14ac:dyDescent="0.35">
      <c r="A4525" t="s">
        <v>4413</v>
      </c>
      <c r="B4525" t="s">
        <v>4639</v>
      </c>
      <c r="C4525">
        <v>458</v>
      </c>
      <c r="D4525">
        <v>443</v>
      </c>
      <c r="E4525" t="s">
        <v>7</v>
      </c>
      <c r="F4525">
        <f>tbl_AQI[[#This Row],[Most AQI Reached]]-tbl_AQI[[#This Row],[Current AQI]]</f>
        <v>15</v>
      </c>
      <c r="G45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25">
        <f>RANK(tbl_AQI[[#This Row],[Current AQI]], tbl_AQI[Current AQI], 0)</f>
        <v>188</v>
      </c>
    </row>
    <row r="4526" spans="1:8" x14ac:dyDescent="0.35">
      <c r="A4526" t="s">
        <v>4413</v>
      </c>
      <c r="B4526" t="s">
        <v>4640</v>
      </c>
      <c r="C4526">
        <v>308</v>
      </c>
      <c r="D4526">
        <v>260</v>
      </c>
      <c r="E4526" t="s">
        <v>9</v>
      </c>
      <c r="F4526">
        <f>tbl_AQI[[#This Row],[Most AQI Reached]]-tbl_AQI[[#This Row],[Current AQI]]</f>
        <v>48</v>
      </c>
      <c r="G45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26">
        <f>RANK(tbl_AQI[[#This Row],[Current AQI]], tbl_AQI[Current AQI], 0)</f>
        <v>1040</v>
      </c>
    </row>
    <row r="4527" spans="1:8" x14ac:dyDescent="0.35">
      <c r="A4527" t="s">
        <v>4413</v>
      </c>
      <c r="B4527" t="s">
        <v>4641</v>
      </c>
      <c r="C4527">
        <v>485</v>
      </c>
      <c r="D4527">
        <v>478</v>
      </c>
      <c r="E4527" t="s">
        <v>21</v>
      </c>
      <c r="F4527">
        <f>tbl_AQI[[#This Row],[Most AQI Reached]]-tbl_AQI[[#This Row],[Current AQI]]</f>
        <v>7</v>
      </c>
      <c r="G45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27">
        <f>RANK(tbl_AQI[[#This Row],[Current AQI]], tbl_AQI[Current AQI], 0)</f>
        <v>11</v>
      </c>
    </row>
    <row r="4528" spans="1:8" x14ac:dyDescent="0.35">
      <c r="A4528" t="s">
        <v>4413</v>
      </c>
      <c r="B4528" t="s">
        <v>4642</v>
      </c>
      <c r="C4528">
        <v>444</v>
      </c>
      <c r="D4528">
        <v>283</v>
      </c>
      <c r="E4528" t="s">
        <v>33</v>
      </c>
      <c r="F4528">
        <f>tbl_AQI[[#This Row],[Most AQI Reached]]-tbl_AQI[[#This Row],[Current AQI]]</f>
        <v>161</v>
      </c>
      <c r="G45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28">
        <f>RANK(tbl_AQI[[#This Row],[Current AQI]], tbl_AQI[Current AQI], 0)</f>
        <v>933</v>
      </c>
    </row>
    <row r="4529" spans="1:8" x14ac:dyDescent="0.35">
      <c r="A4529" t="s">
        <v>4413</v>
      </c>
      <c r="B4529" t="s">
        <v>4643</v>
      </c>
      <c r="C4529">
        <v>349</v>
      </c>
      <c r="D4529">
        <v>326</v>
      </c>
      <c r="E4529" t="s">
        <v>21</v>
      </c>
      <c r="F4529">
        <f>tbl_AQI[[#This Row],[Most AQI Reached]]-tbl_AQI[[#This Row],[Current AQI]]</f>
        <v>23</v>
      </c>
      <c r="G45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29">
        <f>RANK(tbl_AQI[[#This Row],[Current AQI]], tbl_AQI[Current AQI], 0)</f>
        <v>747</v>
      </c>
    </row>
    <row r="4530" spans="1:8" x14ac:dyDescent="0.35">
      <c r="A4530" t="s">
        <v>4413</v>
      </c>
      <c r="B4530" t="s">
        <v>4644</v>
      </c>
      <c r="C4530">
        <v>432</v>
      </c>
      <c r="D4530">
        <v>356</v>
      </c>
      <c r="E4530" t="s">
        <v>7</v>
      </c>
      <c r="F4530">
        <f>tbl_AQI[[#This Row],[Most AQI Reached]]-tbl_AQI[[#This Row],[Current AQI]]</f>
        <v>76</v>
      </c>
      <c r="G45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30">
        <f>RANK(tbl_AQI[[#This Row],[Current AQI]], tbl_AQI[Current AQI], 0)</f>
        <v>597</v>
      </c>
    </row>
    <row r="4531" spans="1:8" x14ac:dyDescent="0.35">
      <c r="A4531" t="s">
        <v>4413</v>
      </c>
      <c r="B4531" t="s">
        <v>1460</v>
      </c>
      <c r="C4531">
        <v>385</v>
      </c>
      <c r="D4531">
        <v>186</v>
      </c>
      <c r="E4531" t="s">
        <v>9</v>
      </c>
      <c r="F4531">
        <f>tbl_AQI[[#This Row],[Most AQI Reached]]-tbl_AQI[[#This Row],[Current AQI]]</f>
        <v>199</v>
      </c>
      <c r="G45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31">
        <f>RANK(tbl_AQI[[#This Row],[Current AQI]], tbl_AQI[Current AQI], 0)</f>
        <v>1478</v>
      </c>
    </row>
    <row r="4532" spans="1:8" x14ac:dyDescent="0.35">
      <c r="A4532" t="s">
        <v>4413</v>
      </c>
      <c r="B4532" t="s">
        <v>1461</v>
      </c>
      <c r="C4532">
        <v>428</v>
      </c>
      <c r="D4532">
        <v>427</v>
      </c>
      <c r="E4532" t="s">
        <v>7</v>
      </c>
      <c r="F4532">
        <f>tbl_AQI[[#This Row],[Most AQI Reached]]-tbl_AQI[[#This Row],[Current AQI]]</f>
        <v>1</v>
      </c>
      <c r="G45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32">
        <f>RANK(tbl_AQI[[#This Row],[Current AQI]], tbl_AQI[Current AQI], 0)</f>
        <v>281</v>
      </c>
    </row>
    <row r="4533" spans="1:8" x14ac:dyDescent="0.35">
      <c r="A4533" t="s">
        <v>4413</v>
      </c>
      <c r="B4533" t="s">
        <v>1462</v>
      </c>
      <c r="C4533">
        <v>304</v>
      </c>
      <c r="D4533">
        <v>281</v>
      </c>
      <c r="E4533" t="s">
        <v>9</v>
      </c>
      <c r="F4533">
        <f>tbl_AQI[[#This Row],[Most AQI Reached]]-tbl_AQI[[#This Row],[Current AQI]]</f>
        <v>23</v>
      </c>
      <c r="G45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33">
        <f>RANK(tbl_AQI[[#This Row],[Current AQI]], tbl_AQI[Current AQI], 0)</f>
        <v>946</v>
      </c>
    </row>
    <row r="4534" spans="1:8" x14ac:dyDescent="0.35">
      <c r="A4534" t="s">
        <v>4413</v>
      </c>
      <c r="B4534" t="s">
        <v>1463</v>
      </c>
      <c r="C4534">
        <v>486</v>
      </c>
      <c r="D4534">
        <v>466</v>
      </c>
      <c r="E4534" t="s">
        <v>7</v>
      </c>
      <c r="F4534">
        <f>tbl_AQI[[#This Row],[Most AQI Reached]]-tbl_AQI[[#This Row],[Current AQI]]</f>
        <v>20</v>
      </c>
      <c r="G45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34">
        <f>RANK(tbl_AQI[[#This Row],[Current AQI]], tbl_AQI[Current AQI], 0)</f>
        <v>74</v>
      </c>
    </row>
    <row r="4535" spans="1:8" x14ac:dyDescent="0.35">
      <c r="A4535" t="s">
        <v>4413</v>
      </c>
      <c r="B4535" t="s">
        <v>1464</v>
      </c>
      <c r="C4535">
        <v>433</v>
      </c>
      <c r="D4535">
        <v>433</v>
      </c>
      <c r="E4535" t="s">
        <v>7</v>
      </c>
      <c r="F4535">
        <f>tbl_AQI[[#This Row],[Most AQI Reached]]-tbl_AQI[[#This Row],[Current AQI]]</f>
        <v>0</v>
      </c>
      <c r="G45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35">
        <f>RANK(tbl_AQI[[#This Row],[Current AQI]], tbl_AQI[Current AQI], 0)</f>
        <v>250</v>
      </c>
    </row>
    <row r="4536" spans="1:8" x14ac:dyDescent="0.35">
      <c r="A4536" t="s">
        <v>4413</v>
      </c>
      <c r="B4536" t="s">
        <v>1465</v>
      </c>
      <c r="C4536">
        <v>297</v>
      </c>
      <c r="D4536">
        <v>266</v>
      </c>
      <c r="E4536" t="s">
        <v>33</v>
      </c>
      <c r="F4536">
        <f>tbl_AQI[[#This Row],[Most AQI Reached]]-tbl_AQI[[#This Row],[Current AQI]]</f>
        <v>31</v>
      </c>
      <c r="G45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36">
        <f>RANK(tbl_AQI[[#This Row],[Current AQI]], tbl_AQI[Current AQI], 0)</f>
        <v>1018</v>
      </c>
    </row>
    <row r="4537" spans="1:8" x14ac:dyDescent="0.35">
      <c r="A4537" t="s">
        <v>4413</v>
      </c>
      <c r="B4537" t="s">
        <v>1466</v>
      </c>
      <c r="C4537">
        <v>469</v>
      </c>
      <c r="D4537">
        <v>356</v>
      </c>
      <c r="E4537" t="s">
        <v>21</v>
      </c>
      <c r="F4537">
        <f>tbl_AQI[[#This Row],[Most AQI Reached]]-tbl_AQI[[#This Row],[Current AQI]]</f>
        <v>113</v>
      </c>
      <c r="G45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37">
        <f>RANK(tbl_AQI[[#This Row],[Current AQI]], tbl_AQI[Current AQI], 0)</f>
        <v>597</v>
      </c>
    </row>
    <row r="4538" spans="1:8" x14ac:dyDescent="0.35">
      <c r="A4538" t="s">
        <v>4413</v>
      </c>
      <c r="B4538" t="s">
        <v>4645</v>
      </c>
      <c r="C4538">
        <v>257</v>
      </c>
      <c r="D4538">
        <v>186</v>
      </c>
      <c r="E4538" t="s">
        <v>33</v>
      </c>
      <c r="F4538">
        <f>tbl_AQI[[#This Row],[Most AQI Reached]]-tbl_AQI[[#This Row],[Current AQI]]</f>
        <v>71</v>
      </c>
      <c r="G45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38">
        <f>RANK(tbl_AQI[[#This Row],[Current AQI]], tbl_AQI[Current AQI], 0)</f>
        <v>1478</v>
      </c>
    </row>
    <row r="4539" spans="1:8" x14ac:dyDescent="0.35">
      <c r="A4539" t="s">
        <v>4413</v>
      </c>
      <c r="B4539" t="s">
        <v>4646</v>
      </c>
      <c r="C4539">
        <v>343</v>
      </c>
      <c r="D4539">
        <v>235</v>
      </c>
      <c r="E4539" t="s">
        <v>17</v>
      </c>
      <c r="F4539">
        <f>tbl_AQI[[#This Row],[Most AQI Reached]]-tbl_AQI[[#This Row],[Current AQI]]</f>
        <v>108</v>
      </c>
      <c r="G45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39">
        <f>RANK(tbl_AQI[[#This Row],[Current AQI]], tbl_AQI[Current AQI], 0)</f>
        <v>1166</v>
      </c>
    </row>
    <row r="4540" spans="1:8" x14ac:dyDescent="0.35">
      <c r="A4540" t="s">
        <v>4413</v>
      </c>
      <c r="B4540" t="s">
        <v>4647</v>
      </c>
      <c r="C4540">
        <v>354</v>
      </c>
      <c r="D4540">
        <v>188</v>
      </c>
      <c r="E4540" t="s">
        <v>7</v>
      </c>
      <c r="F4540">
        <f>tbl_AQI[[#This Row],[Most AQI Reached]]-tbl_AQI[[#This Row],[Current AQI]]</f>
        <v>166</v>
      </c>
      <c r="G45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40">
        <f>RANK(tbl_AQI[[#This Row],[Current AQI]], tbl_AQI[Current AQI], 0)</f>
        <v>1423</v>
      </c>
    </row>
    <row r="4541" spans="1:8" x14ac:dyDescent="0.35">
      <c r="A4541" t="s">
        <v>4413</v>
      </c>
      <c r="B4541" t="s">
        <v>4648</v>
      </c>
      <c r="C4541">
        <v>250</v>
      </c>
      <c r="D4541">
        <v>249</v>
      </c>
      <c r="E4541" t="s">
        <v>11</v>
      </c>
      <c r="F4541">
        <f>tbl_AQI[[#This Row],[Most AQI Reached]]-tbl_AQI[[#This Row],[Current AQI]]</f>
        <v>1</v>
      </c>
      <c r="G45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41">
        <f>RANK(tbl_AQI[[#This Row],[Current AQI]], tbl_AQI[Current AQI], 0)</f>
        <v>1096</v>
      </c>
    </row>
    <row r="4542" spans="1:8" x14ac:dyDescent="0.35">
      <c r="A4542" t="s">
        <v>4413</v>
      </c>
      <c r="B4542" t="s">
        <v>4649</v>
      </c>
      <c r="C4542">
        <v>368</v>
      </c>
      <c r="D4542">
        <v>343</v>
      </c>
      <c r="E4542" t="s">
        <v>7</v>
      </c>
      <c r="F4542">
        <f>tbl_AQI[[#This Row],[Most AQI Reached]]-tbl_AQI[[#This Row],[Current AQI]]</f>
        <v>25</v>
      </c>
      <c r="G45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42">
        <f>RANK(tbl_AQI[[#This Row],[Current AQI]], tbl_AQI[Current AQI], 0)</f>
        <v>662</v>
      </c>
    </row>
    <row r="4543" spans="1:8" x14ac:dyDescent="0.35">
      <c r="A4543" t="s">
        <v>4413</v>
      </c>
      <c r="B4543" t="s">
        <v>4650</v>
      </c>
      <c r="C4543">
        <v>490</v>
      </c>
      <c r="D4543">
        <v>388</v>
      </c>
      <c r="E4543" t="s">
        <v>9</v>
      </c>
      <c r="F4543">
        <f>tbl_AQI[[#This Row],[Most AQI Reached]]-tbl_AQI[[#This Row],[Current AQI]]</f>
        <v>102</v>
      </c>
      <c r="G45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43">
        <f>RANK(tbl_AQI[[#This Row],[Current AQI]], tbl_AQI[Current AQI], 0)</f>
        <v>448</v>
      </c>
    </row>
    <row r="4544" spans="1:8" x14ac:dyDescent="0.35">
      <c r="A4544" t="s">
        <v>4413</v>
      </c>
      <c r="B4544" t="s">
        <v>4651</v>
      </c>
      <c r="C4544">
        <v>307</v>
      </c>
      <c r="D4544">
        <v>278</v>
      </c>
      <c r="E4544" t="s">
        <v>11</v>
      </c>
      <c r="F4544">
        <f>tbl_AQI[[#This Row],[Most AQI Reached]]-tbl_AQI[[#This Row],[Current AQI]]</f>
        <v>29</v>
      </c>
      <c r="G45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44">
        <f>RANK(tbl_AQI[[#This Row],[Current AQI]], tbl_AQI[Current AQI], 0)</f>
        <v>964</v>
      </c>
    </row>
    <row r="4545" spans="1:8" x14ac:dyDescent="0.35">
      <c r="A4545" t="s">
        <v>4413</v>
      </c>
      <c r="B4545" t="s">
        <v>4652</v>
      </c>
      <c r="C4545">
        <v>460</v>
      </c>
      <c r="D4545">
        <v>407</v>
      </c>
      <c r="E4545" t="s">
        <v>9</v>
      </c>
      <c r="F4545">
        <f>tbl_AQI[[#This Row],[Most AQI Reached]]-tbl_AQI[[#This Row],[Current AQI]]</f>
        <v>53</v>
      </c>
      <c r="G45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45">
        <f>RANK(tbl_AQI[[#This Row],[Current AQI]], tbl_AQI[Current AQI], 0)</f>
        <v>354</v>
      </c>
    </row>
    <row r="4546" spans="1:8" x14ac:dyDescent="0.35">
      <c r="A4546" t="s">
        <v>4413</v>
      </c>
      <c r="B4546" t="s">
        <v>4653</v>
      </c>
      <c r="C4546">
        <v>304</v>
      </c>
      <c r="D4546">
        <v>201</v>
      </c>
      <c r="E4546" t="s">
        <v>11</v>
      </c>
      <c r="F4546">
        <f>tbl_AQI[[#This Row],[Most AQI Reached]]-tbl_AQI[[#This Row],[Current AQI]]</f>
        <v>103</v>
      </c>
      <c r="G45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46">
        <f>RANK(tbl_AQI[[#This Row],[Current AQI]], tbl_AQI[Current AQI], 0)</f>
        <v>1305</v>
      </c>
    </row>
    <row r="4547" spans="1:8" x14ac:dyDescent="0.35">
      <c r="A4547" t="s">
        <v>4413</v>
      </c>
      <c r="B4547" t="s">
        <v>4654</v>
      </c>
      <c r="C4547">
        <v>199</v>
      </c>
      <c r="D4547">
        <v>174</v>
      </c>
      <c r="E4547" t="s">
        <v>11</v>
      </c>
      <c r="F4547">
        <f>tbl_AQI[[#This Row],[Most AQI Reached]]-tbl_AQI[[#This Row],[Current AQI]]</f>
        <v>25</v>
      </c>
      <c r="G45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47">
        <f>RANK(tbl_AQI[[#This Row],[Current AQI]], tbl_AQI[Current AQI], 0)</f>
        <v>1803</v>
      </c>
    </row>
    <row r="4548" spans="1:8" x14ac:dyDescent="0.35">
      <c r="A4548" t="s">
        <v>4413</v>
      </c>
      <c r="B4548" t="s">
        <v>4655</v>
      </c>
      <c r="C4548">
        <v>307</v>
      </c>
      <c r="D4548">
        <v>239</v>
      </c>
      <c r="E4548" t="s">
        <v>9</v>
      </c>
      <c r="F4548">
        <f>tbl_AQI[[#This Row],[Most AQI Reached]]-tbl_AQI[[#This Row],[Current AQI]]</f>
        <v>68</v>
      </c>
      <c r="G45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48">
        <f>RANK(tbl_AQI[[#This Row],[Current AQI]], tbl_AQI[Current AQI], 0)</f>
        <v>1145</v>
      </c>
    </row>
    <row r="4549" spans="1:8" x14ac:dyDescent="0.35">
      <c r="A4549" t="s">
        <v>4413</v>
      </c>
      <c r="B4549" t="s">
        <v>4656</v>
      </c>
      <c r="C4549">
        <v>489</v>
      </c>
      <c r="D4549">
        <v>465</v>
      </c>
      <c r="E4549" t="s">
        <v>21</v>
      </c>
      <c r="F4549">
        <f>tbl_AQI[[#This Row],[Most AQI Reached]]-tbl_AQI[[#This Row],[Current AQI]]</f>
        <v>24</v>
      </c>
      <c r="G45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49">
        <f>RANK(tbl_AQI[[#This Row],[Current AQI]], tbl_AQI[Current AQI], 0)</f>
        <v>78</v>
      </c>
    </row>
    <row r="4550" spans="1:8" x14ac:dyDescent="0.35">
      <c r="A4550" t="s">
        <v>4413</v>
      </c>
      <c r="B4550" t="s">
        <v>4657</v>
      </c>
      <c r="C4550">
        <v>441</v>
      </c>
      <c r="D4550">
        <v>437</v>
      </c>
      <c r="E4550" t="s">
        <v>7</v>
      </c>
      <c r="F4550">
        <f>tbl_AQI[[#This Row],[Most AQI Reached]]-tbl_AQI[[#This Row],[Current AQI]]</f>
        <v>4</v>
      </c>
      <c r="G45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50">
        <f>RANK(tbl_AQI[[#This Row],[Current AQI]], tbl_AQI[Current AQI], 0)</f>
        <v>225</v>
      </c>
    </row>
    <row r="4551" spans="1:8" x14ac:dyDescent="0.35">
      <c r="A4551" t="s">
        <v>4413</v>
      </c>
      <c r="B4551" t="s">
        <v>4658</v>
      </c>
      <c r="C4551">
        <v>477</v>
      </c>
      <c r="D4551">
        <v>297</v>
      </c>
      <c r="E4551" t="s">
        <v>15</v>
      </c>
      <c r="F4551">
        <f>tbl_AQI[[#This Row],[Most AQI Reached]]-tbl_AQI[[#This Row],[Current AQI]]</f>
        <v>180</v>
      </c>
      <c r="G45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51">
        <f>RANK(tbl_AQI[[#This Row],[Current AQI]], tbl_AQI[Current AQI], 0)</f>
        <v>868</v>
      </c>
    </row>
    <row r="4552" spans="1:8" x14ac:dyDescent="0.35">
      <c r="A4552" t="s">
        <v>4413</v>
      </c>
      <c r="B4552" t="s">
        <v>4659</v>
      </c>
      <c r="C4552">
        <v>485</v>
      </c>
      <c r="D4552">
        <v>297</v>
      </c>
      <c r="E4552" t="s">
        <v>15</v>
      </c>
      <c r="F4552">
        <f>tbl_AQI[[#This Row],[Most AQI Reached]]-tbl_AQI[[#This Row],[Current AQI]]</f>
        <v>188</v>
      </c>
      <c r="G45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52">
        <f>RANK(tbl_AQI[[#This Row],[Current AQI]], tbl_AQI[Current AQI], 0)</f>
        <v>868</v>
      </c>
    </row>
    <row r="4553" spans="1:8" x14ac:dyDescent="0.35">
      <c r="A4553" t="s">
        <v>4413</v>
      </c>
      <c r="B4553" t="s">
        <v>4660</v>
      </c>
      <c r="C4553">
        <v>475</v>
      </c>
      <c r="D4553">
        <v>437</v>
      </c>
      <c r="E4553" t="s">
        <v>9</v>
      </c>
      <c r="F4553">
        <f>tbl_AQI[[#This Row],[Most AQI Reached]]-tbl_AQI[[#This Row],[Current AQI]]</f>
        <v>38</v>
      </c>
      <c r="G45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53">
        <f>RANK(tbl_AQI[[#This Row],[Current AQI]], tbl_AQI[Current AQI], 0)</f>
        <v>225</v>
      </c>
    </row>
    <row r="4554" spans="1:8" x14ac:dyDescent="0.35">
      <c r="A4554" t="s">
        <v>4413</v>
      </c>
      <c r="B4554" t="s">
        <v>4661</v>
      </c>
      <c r="C4554">
        <v>393</v>
      </c>
      <c r="D4554">
        <v>358</v>
      </c>
      <c r="E4554" t="s">
        <v>9</v>
      </c>
      <c r="F4554">
        <f>tbl_AQI[[#This Row],[Most AQI Reached]]-tbl_AQI[[#This Row],[Current AQI]]</f>
        <v>35</v>
      </c>
      <c r="G45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54">
        <f>RANK(tbl_AQI[[#This Row],[Current AQI]], tbl_AQI[Current AQI], 0)</f>
        <v>586</v>
      </c>
    </row>
    <row r="4555" spans="1:8" x14ac:dyDescent="0.35">
      <c r="A4555" t="s">
        <v>4413</v>
      </c>
      <c r="B4555" t="s">
        <v>4662</v>
      </c>
      <c r="C4555">
        <v>291</v>
      </c>
      <c r="D4555">
        <v>281</v>
      </c>
      <c r="E4555" t="s">
        <v>11</v>
      </c>
      <c r="F4555">
        <f>tbl_AQI[[#This Row],[Most AQI Reached]]-tbl_AQI[[#This Row],[Current AQI]]</f>
        <v>10</v>
      </c>
      <c r="G45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55">
        <f>RANK(tbl_AQI[[#This Row],[Current AQI]], tbl_AQI[Current AQI], 0)</f>
        <v>946</v>
      </c>
    </row>
    <row r="4556" spans="1:8" x14ac:dyDescent="0.35">
      <c r="A4556" t="s">
        <v>4413</v>
      </c>
      <c r="B4556" t="s">
        <v>4663</v>
      </c>
      <c r="C4556">
        <v>421</v>
      </c>
      <c r="D4556">
        <v>337</v>
      </c>
      <c r="E4556" t="s">
        <v>7</v>
      </c>
      <c r="F4556">
        <f>tbl_AQI[[#This Row],[Most AQI Reached]]-tbl_AQI[[#This Row],[Current AQI]]</f>
        <v>84</v>
      </c>
      <c r="G45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56">
        <f>RANK(tbl_AQI[[#This Row],[Current AQI]], tbl_AQI[Current AQI], 0)</f>
        <v>694</v>
      </c>
    </row>
    <row r="4557" spans="1:8" x14ac:dyDescent="0.35">
      <c r="A4557" t="s">
        <v>4413</v>
      </c>
      <c r="B4557" t="s">
        <v>4664</v>
      </c>
      <c r="C4557">
        <v>485</v>
      </c>
      <c r="D4557">
        <v>473</v>
      </c>
      <c r="E4557" t="s">
        <v>9</v>
      </c>
      <c r="F4557">
        <f>tbl_AQI[[#This Row],[Most AQI Reached]]-tbl_AQI[[#This Row],[Current AQI]]</f>
        <v>12</v>
      </c>
      <c r="G45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57">
        <f>RANK(tbl_AQI[[#This Row],[Current AQI]], tbl_AQI[Current AQI], 0)</f>
        <v>33</v>
      </c>
    </row>
    <row r="4558" spans="1:8" x14ac:dyDescent="0.35">
      <c r="A4558" t="s">
        <v>4413</v>
      </c>
      <c r="B4558" t="s">
        <v>4665</v>
      </c>
      <c r="C4558">
        <v>214</v>
      </c>
      <c r="D4558">
        <v>154</v>
      </c>
      <c r="E4558" t="s">
        <v>21</v>
      </c>
      <c r="F4558">
        <f>tbl_AQI[[#This Row],[Most AQI Reached]]-tbl_AQI[[#This Row],[Current AQI]]</f>
        <v>60</v>
      </c>
      <c r="G45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58">
        <f>RANK(tbl_AQI[[#This Row],[Current AQI]], tbl_AQI[Current AQI], 0)</f>
        <v>2307</v>
      </c>
    </row>
    <row r="4559" spans="1:8" x14ac:dyDescent="0.35">
      <c r="A4559" t="s">
        <v>4413</v>
      </c>
      <c r="B4559" t="s">
        <v>4666</v>
      </c>
      <c r="C4559">
        <v>469</v>
      </c>
      <c r="D4559">
        <v>235</v>
      </c>
      <c r="E4559" t="s">
        <v>7</v>
      </c>
      <c r="F4559">
        <f>tbl_AQI[[#This Row],[Most AQI Reached]]-tbl_AQI[[#This Row],[Current AQI]]</f>
        <v>234</v>
      </c>
      <c r="G45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59">
        <f>RANK(tbl_AQI[[#This Row],[Current AQI]], tbl_AQI[Current AQI], 0)</f>
        <v>1166</v>
      </c>
    </row>
    <row r="4560" spans="1:8" x14ac:dyDescent="0.35">
      <c r="A4560" t="s">
        <v>4413</v>
      </c>
      <c r="B4560" t="s">
        <v>4667</v>
      </c>
      <c r="C4560">
        <v>380</v>
      </c>
      <c r="D4560">
        <v>168</v>
      </c>
      <c r="E4560" t="s">
        <v>9</v>
      </c>
      <c r="F4560">
        <f>tbl_AQI[[#This Row],[Most AQI Reached]]-tbl_AQI[[#This Row],[Current AQI]]</f>
        <v>212</v>
      </c>
      <c r="G45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60">
        <f>RANK(tbl_AQI[[#This Row],[Current AQI]], tbl_AQI[Current AQI], 0)</f>
        <v>1954</v>
      </c>
    </row>
    <row r="4561" spans="1:8" x14ac:dyDescent="0.35">
      <c r="A4561" t="s">
        <v>4413</v>
      </c>
      <c r="B4561" t="s">
        <v>4668</v>
      </c>
      <c r="C4561">
        <v>381</v>
      </c>
      <c r="D4561">
        <v>279</v>
      </c>
      <c r="E4561" t="s">
        <v>17</v>
      </c>
      <c r="F4561">
        <f>tbl_AQI[[#This Row],[Most AQI Reached]]-tbl_AQI[[#This Row],[Current AQI]]</f>
        <v>102</v>
      </c>
      <c r="G45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61">
        <f>RANK(tbl_AQI[[#This Row],[Current AQI]], tbl_AQI[Current AQI], 0)</f>
        <v>957</v>
      </c>
    </row>
    <row r="4562" spans="1:8" x14ac:dyDescent="0.35">
      <c r="A4562" t="s">
        <v>4413</v>
      </c>
      <c r="B4562" t="s">
        <v>4669</v>
      </c>
      <c r="C4562">
        <v>474</v>
      </c>
      <c r="D4562">
        <v>287</v>
      </c>
      <c r="E4562" t="s">
        <v>7</v>
      </c>
      <c r="F4562">
        <f>tbl_AQI[[#This Row],[Most AQI Reached]]-tbl_AQI[[#This Row],[Current AQI]]</f>
        <v>187</v>
      </c>
      <c r="G45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62">
        <f>RANK(tbl_AQI[[#This Row],[Current AQI]], tbl_AQI[Current AQI], 0)</f>
        <v>920</v>
      </c>
    </row>
    <row r="4563" spans="1:8" x14ac:dyDescent="0.35">
      <c r="A4563" t="s">
        <v>4413</v>
      </c>
      <c r="B4563" t="s">
        <v>4670</v>
      </c>
      <c r="C4563">
        <v>385</v>
      </c>
      <c r="D4563">
        <v>350</v>
      </c>
      <c r="E4563" t="s">
        <v>17</v>
      </c>
      <c r="F4563">
        <f>tbl_AQI[[#This Row],[Most AQI Reached]]-tbl_AQI[[#This Row],[Current AQI]]</f>
        <v>35</v>
      </c>
      <c r="G45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63">
        <f>RANK(tbl_AQI[[#This Row],[Current AQI]], tbl_AQI[Current AQI], 0)</f>
        <v>621</v>
      </c>
    </row>
    <row r="4564" spans="1:8" x14ac:dyDescent="0.35">
      <c r="A4564" t="s">
        <v>4413</v>
      </c>
      <c r="B4564" t="s">
        <v>4671</v>
      </c>
      <c r="C4564">
        <v>466</v>
      </c>
      <c r="D4564">
        <v>453</v>
      </c>
      <c r="E4564" t="s">
        <v>7</v>
      </c>
      <c r="F4564">
        <f>tbl_AQI[[#This Row],[Most AQI Reached]]-tbl_AQI[[#This Row],[Current AQI]]</f>
        <v>13</v>
      </c>
      <c r="G45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64">
        <f>RANK(tbl_AQI[[#This Row],[Current AQI]], tbl_AQI[Current AQI], 0)</f>
        <v>141</v>
      </c>
    </row>
    <row r="4565" spans="1:8" x14ac:dyDescent="0.35">
      <c r="A4565" t="s">
        <v>4413</v>
      </c>
      <c r="B4565" t="s">
        <v>4672</v>
      </c>
      <c r="C4565">
        <v>437</v>
      </c>
      <c r="D4565">
        <v>434</v>
      </c>
      <c r="E4565" t="s">
        <v>7</v>
      </c>
      <c r="F4565">
        <f>tbl_AQI[[#This Row],[Most AQI Reached]]-tbl_AQI[[#This Row],[Current AQI]]</f>
        <v>3</v>
      </c>
      <c r="G45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65">
        <f>RANK(tbl_AQI[[#This Row],[Current AQI]], tbl_AQI[Current AQI], 0)</f>
        <v>242</v>
      </c>
    </row>
    <row r="4566" spans="1:8" x14ac:dyDescent="0.35">
      <c r="A4566" t="s">
        <v>4413</v>
      </c>
      <c r="B4566" t="s">
        <v>4673</v>
      </c>
      <c r="C4566">
        <v>419</v>
      </c>
      <c r="D4566">
        <v>335</v>
      </c>
      <c r="E4566" t="s">
        <v>17</v>
      </c>
      <c r="F4566">
        <f>tbl_AQI[[#This Row],[Most AQI Reached]]-tbl_AQI[[#This Row],[Current AQI]]</f>
        <v>84</v>
      </c>
      <c r="G45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66">
        <f>RANK(tbl_AQI[[#This Row],[Current AQI]], tbl_AQI[Current AQI], 0)</f>
        <v>712</v>
      </c>
    </row>
    <row r="4567" spans="1:8" x14ac:dyDescent="0.35">
      <c r="A4567" t="s">
        <v>4413</v>
      </c>
      <c r="B4567" t="s">
        <v>4674</v>
      </c>
      <c r="C4567">
        <v>475</v>
      </c>
      <c r="D4567">
        <v>376</v>
      </c>
      <c r="E4567" t="s">
        <v>21</v>
      </c>
      <c r="F4567">
        <f>tbl_AQI[[#This Row],[Most AQI Reached]]-tbl_AQI[[#This Row],[Current AQI]]</f>
        <v>99</v>
      </c>
      <c r="G45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67">
        <f>RANK(tbl_AQI[[#This Row],[Current AQI]], tbl_AQI[Current AQI], 0)</f>
        <v>507</v>
      </c>
    </row>
    <row r="4568" spans="1:8" x14ac:dyDescent="0.35">
      <c r="A4568" t="s">
        <v>4413</v>
      </c>
      <c r="B4568" t="s">
        <v>4675</v>
      </c>
      <c r="C4568">
        <v>465</v>
      </c>
      <c r="D4568">
        <v>374</v>
      </c>
      <c r="E4568" t="s">
        <v>9</v>
      </c>
      <c r="F4568">
        <f>tbl_AQI[[#This Row],[Most AQI Reached]]-tbl_AQI[[#This Row],[Current AQI]]</f>
        <v>91</v>
      </c>
      <c r="G45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68">
        <f>RANK(tbl_AQI[[#This Row],[Current AQI]], tbl_AQI[Current AQI], 0)</f>
        <v>521</v>
      </c>
    </row>
    <row r="4569" spans="1:8" x14ac:dyDescent="0.35">
      <c r="A4569" t="s">
        <v>4413</v>
      </c>
      <c r="B4569" t="s">
        <v>4676</v>
      </c>
      <c r="C4569">
        <v>422</v>
      </c>
      <c r="D4569">
        <v>374</v>
      </c>
      <c r="E4569" t="s">
        <v>7</v>
      </c>
      <c r="F4569">
        <f>tbl_AQI[[#This Row],[Most AQI Reached]]-tbl_AQI[[#This Row],[Current AQI]]</f>
        <v>48</v>
      </c>
      <c r="G45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69">
        <f>RANK(tbl_AQI[[#This Row],[Current AQI]], tbl_AQI[Current AQI], 0)</f>
        <v>521</v>
      </c>
    </row>
    <row r="4570" spans="1:8" x14ac:dyDescent="0.35">
      <c r="A4570" t="s">
        <v>4413</v>
      </c>
      <c r="B4570" t="s">
        <v>4677</v>
      </c>
      <c r="C4570">
        <v>350</v>
      </c>
      <c r="D4570">
        <v>193</v>
      </c>
      <c r="E4570" t="s">
        <v>21</v>
      </c>
      <c r="F4570">
        <f>tbl_AQI[[#This Row],[Most AQI Reached]]-tbl_AQI[[#This Row],[Current AQI]]</f>
        <v>157</v>
      </c>
      <c r="G45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70">
        <f>RANK(tbl_AQI[[#This Row],[Current AQI]], tbl_AQI[Current AQI], 0)</f>
        <v>1342</v>
      </c>
    </row>
    <row r="4571" spans="1:8" x14ac:dyDescent="0.35">
      <c r="A4571" t="s">
        <v>4413</v>
      </c>
      <c r="B4571" t="s">
        <v>4678</v>
      </c>
      <c r="C4571">
        <v>480</v>
      </c>
      <c r="D4571">
        <v>458</v>
      </c>
      <c r="E4571" t="s">
        <v>9</v>
      </c>
      <c r="F4571">
        <f>tbl_AQI[[#This Row],[Most AQI Reached]]-tbl_AQI[[#This Row],[Current AQI]]</f>
        <v>22</v>
      </c>
      <c r="G45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71">
        <f>RANK(tbl_AQI[[#This Row],[Current AQI]], tbl_AQI[Current AQI], 0)</f>
        <v>115</v>
      </c>
    </row>
    <row r="4572" spans="1:8" x14ac:dyDescent="0.35">
      <c r="A4572" t="s">
        <v>4413</v>
      </c>
      <c r="B4572" t="s">
        <v>4679</v>
      </c>
      <c r="C4572">
        <v>392</v>
      </c>
      <c r="D4572">
        <v>231</v>
      </c>
      <c r="E4572" t="s">
        <v>21</v>
      </c>
      <c r="F4572">
        <f>tbl_AQI[[#This Row],[Most AQI Reached]]-tbl_AQI[[#This Row],[Current AQI]]</f>
        <v>161</v>
      </c>
      <c r="G45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72">
        <f>RANK(tbl_AQI[[#This Row],[Current AQI]], tbl_AQI[Current AQI], 0)</f>
        <v>1179</v>
      </c>
    </row>
    <row r="4573" spans="1:8" x14ac:dyDescent="0.35">
      <c r="A4573" t="s">
        <v>4413</v>
      </c>
      <c r="B4573" t="s">
        <v>4680</v>
      </c>
      <c r="C4573">
        <v>281</v>
      </c>
      <c r="D4573">
        <v>230</v>
      </c>
      <c r="E4573" t="s">
        <v>15</v>
      </c>
      <c r="F4573">
        <f>tbl_AQI[[#This Row],[Most AQI Reached]]-tbl_AQI[[#This Row],[Current AQI]]</f>
        <v>51</v>
      </c>
      <c r="G45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73">
        <f>RANK(tbl_AQI[[#This Row],[Current AQI]], tbl_AQI[Current AQI], 0)</f>
        <v>1184</v>
      </c>
    </row>
    <row r="4574" spans="1:8" x14ac:dyDescent="0.35">
      <c r="A4574" t="s">
        <v>4413</v>
      </c>
      <c r="B4574" t="s">
        <v>4681</v>
      </c>
      <c r="C4574">
        <v>293</v>
      </c>
      <c r="D4574">
        <v>286</v>
      </c>
      <c r="E4574" t="s">
        <v>17</v>
      </c>
      <c r="F4574">
        <f>tbl_AQI[[#This Row],[Most AQI Reached]]-tbl_AQI[[#This Row],[Current AQI]]</f>
        <v>7</v>
      </c>
      <c r="G45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74">
        <f>RANK(tbl_AQI[[#This Row],[Current AQI]], tbl_AQI[Current AQI], 0)</f>
        <v>925</v>
      </c>
    </row>
    <row r="4575" spans="1:8" x14ac:dyDescent="0.35">
      <c r="A4575" t="s">
        <v>4413</v>
      </c>
      <c r="B4575" t="s">
        <v>4682</v>
      </c>
      <c r="C4575">
        <v>485</v>
      </c>
      <c r="D4575">
        <v>403</v>
      </c>
      <c r="E4575" t="s">
        <v>9</v>
      </c>
      <c r="F4575">
        <f>tbl_AQI[[#This Row],[Most AQI Reached]]-tbl_AQI[[#This Row],[Current AQI]]</f>
        <v>82</v>
      </c>
      <c r="G45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75">
        <f>RANK(tbl_AQI[[#This Row],[Current AQI]], tbl_AQI[Current AQI], 0)</f>
        <v>378</v>
      </c>
    </row>
    <row r="4576" spans="1:8" x14ac:dyDescent="0.35">
      <c r="A4576" t="s">
        <v>4413</v>
      </c>
      <c r="B4576" t="s">
        <v>4683</v>
      </c>
      <c r="C4576">
        <v>500</v>
      </c>
      <c r="D4576">
        <v>479</v>
      </c>
      <c r="E4576" t="s">
        <v>9</v>
      </c>
      <c r="F4576">
        <f>tbl_AQI[[#This Row],[Most AQI Reached]]-tbl_AQI[[#This Row],[Current AQI]]</f>
        <v>21</v>
      </c>
      <c r="G45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76">
        <f>RANK(tbl_AQI[[#This Row],[Current AQI]], tbl_AQI[Current AQI], 0)</f>
        <v>6</v>
      </c>
    </row>
    <row r="4577" spans="1:8" x14ac:dyDescent="0.35">
      <c r="A4577" t="s">
        <v>4413</v>
      </c>
      <c r="B4577" t="s">
        <v>4684</v>
      </c>
      <c r="C4577">
        <v>303</v>
      </c>
      <c r="D4577">
        <v>259</v>
      </c>
      <c r="E4577" t="s">
        <v>21</v>
      </c>
      <c r="F4577">
        <f>tbl_AQI[[#This Row],[Most AQI Reached]]-tbl_AQI[[#This Row],[Current AQI]]</f>
        <v>44</v>
      </c>
      <c r="G45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77">
        <f>RANK(tbl_AQI[[#This Row],[Current AQI]], tbl_AQI[Current AQI], 0)</f>
        <v>1046</v>
      </c>
    </row>
    <row r="4578" spans="1:8" x14ac:dyDescent="0.35">
      <c r="A4578" t="s">
        <v>4413</v>
      </c>
      <c r="B4578" t="s">
        <v>4685</v>
      </c>
      <c r="C4578">
        <v>409</v>
      </c>
      <c r="D4578">
        <v>270</v>
      </c>
      <c r="E4578" t="s">
        <v>11</v>
      </c>
      <c r="F4578">
        <f>tbl_AQI[[#This Row],[Most AQI Reached]]-tbl_AQI[[#This Row],[Current AQI]]</f>
        <v>139</v>
      </c>
      <c r="G45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78">
        <f>RANK(tbl_AQI[[#This Row],[Current AQI]], tbl_AQI[Current AQI], 0)</f>
        <v>999</v>
      </c>
    </row>
    <row r="4579" spans="1:8" x14ac:dyDescent="0.35">
      <c r="A4579" t="s">
        <v>4413</v>
      </c>
      <c r="B4579" t="s">
        <v>4686</v>
      </c>
      <c r="C4579">
        <v>326</v>
      </c>
      <c r="D4579">
        <v>316</v>
      </c>
      <c r="E4579" t="s">
        <v>33</v>
      </c>
      <c r="F4579">
        <f>tbl_AQI[[#This Row],[Most AQI Reached]]-tbl_AQI[[#This Row],[Current AQI]]</f>
        <v>10</v>
      </c>
      <c r="G45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79">
        <f>RANK(tbl_AQI[[#This Row],[Current AQI]], tbl_AQI[Current AQI], 0)</f>
        <v>799</v>
      </c>
    </row>
    <row r="4580" spans="1:8" x14ac:dyDescent="0.35">
      <c r="A4580" t="s">
        <v>4413</v>
      </c>
      <c r="B4580" t="s">
        <v>4687</v>
      </c>
      <c r="C4580">
        <v>255</v>
      </c>
      <c r="D4580">
        <v>218</v>
      </c>
      <c r="E4580" t="s">
        <v>9</v>
      </c>
      <c r="F4580">
        <f>tbl_AQI[[#This Row],[Most AQI Reached]]-tbl_AQI[[#This Row],[Current AQI]]</f>
        <v>37</v>
      </c>
      <c r="G45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80">
        <f>RANK(tbl_AQI[[#This Row],[Current AQI]], tbl_AQI[Current AQI], 0)</f>
        <v>1238</v>
      </c>
    </row>
    <row r="4581" spans="1:8" x14ac:dyDescent="0.35">
      <c r="A4581" t="s">
        <v>4413</v>
      </c>
      <c r="B4581" t="s">
        <v>4688</v>
      </c>
      <c r="C4581">
        <v>369</v>
      </c>
      <c r="D4581">
        <v>356</v>
      </c>
      <c r="E4581" t="s">
        <v>7</v>
      </c>
      <c r="F4581">
        <f>tbl_AQI[[#This Row],[Most AQI Reached]]-tbl_AQI[[#This Row],[Current AQI]]</f>
        <v>13</v>
      </c>
      <c r="G45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81">
        <f>RANK(tbl_AQI[[#This Row],[Current AQI]], tbl_AQI[Current AQI], 0)</f>
        <v>597</v>
      </c>
    </row>
    <row r="4582" spans="1:8" x14ac:dyDescent="0.35">
      <c r="A4582" t="s">
        <v>4413</v>
      </c>
      <c r="B4582" t="s">
        <v>4689</v>
      </c>
      <c r="C4582">
        <v>442</v>
      </c>
      <c r="D4582">
        <v>327</v>
      </c>
      <c r="E4582" t="s">
        <v>9</v>
      </c>
      <c r="F4582">
        <f>tbl_AQI[[#This Row],[Most AQI Reached]]-tbl_AQI[[#This Row],[Current AQI]]</f>
        <v>115</v>
      </c>
      <c r="G45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82">
        <f>RANK(tbl_AQI[[#This Row],[Current AQI]], tbl_AQI[Current AQI], 0)</f>
        <v>744</v>
      </c>
    </row>
    <row r="4583" spans="1:8" x14ac:dyDescent="0.35">
      <c r="A4583" t="s">
        <v>4413</v>
      </c>
      <c r="B4583" t="s">
        <v>4690</v>
      </c>
      <c r="C4583">
        <v>318</v>
      </c>
      <c r="D4583">
        <v>300</v>
      </c>
      <c r="E4583" t="s">
        <v>11</v>
      </c>
      <c r="F4583">
        <f>tbl_AQI[[#This Row],[Most AQI Reached]]-tbl_AQI[[#This Row],[Current AQI]]</f>
        <v>18</v>
      </c>
      <c r="G45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83">
        <f>RANK(tbl_AQI[[#This Row],[Current AQI]], tbl_AQI[Current AQI], 0)</f>
        <v>851</v>
      </c>
    </row>
    <row r="4584" spans="1:8" x14ac:dyDescent="0.35">
      <c r="A4584" t="s">
        <v>4413</v>
      </c>
      <c r="B4584" t="s">
        <v>4691</v>
      </c>
      <c r="C4584">
        <v>327</v>
      </c>
      <c r="D4584">
        <v>297</v>
      </c>
      <c r="E4584" t="s">
        <v>9</v>
      </c>
      <c r="F4584">
        <f>tbl_AQI[[#This Row],[Most AQI Reached]]-tbl_AQI[[#This Row],[Current AQI]]</f>
        <v>30</v>
      </c>
      <c r="G45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84">
        <f>RANK(tbl_AQI[[#This Row],[Current AQI]], tbl_AQI[Current AQI], 0)</f>
        <v>868</v>
      </c>
    </row>
    <row r="4585" spans="1:8" x14ac:dyDescent="0.35">
      <c r="A4585" t="s">
        <v>4413</v>
      </c>
      <c r="B4585" t="s">
        <v>4692</v>
      </c>
      <c r="C4585">
        <v>481</v>
      </c>
      <c r="D4585">
        <v>349</v>
      </c>
      <c r="E4585" t="s">
        <v>15</v>
      </c>
      <c r="F4585">
        <f>tbl_AQI[[#This Row],[Most AQI Reached]]-tbl_AQI[[#This Row],[Current AQI]]</f>
        <v>132</v>
      </c>
      <c r="G45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85">
        <f>RANK(tbl_AQI[[#This Row],[Current AQI]], tbl_AQI[Current AQI], 0)</f>
        <v>631</v>
      </c>
    </row>
    <row r="4586" spans="1:8" x14ac:dyDescent="0.35">
      <c r="A4586" t="s">
        <v>4413</v>
      </c>
      <c r="B4586" t="s">
        <v>4693</v>
      </c>
      <c r="C4586">
        <v>464</v>
      </c>
      <c r="D4586">
        <v>407</v>
      </c>
      <c r="E4586" t="s">
        <v>7</v>
      </c>
      <c r="F4586">
        <f>tbl_AQI[[#This Row],[Most AQI Reached]]-tbl_AQI[[#This Row],[Current AQI]]</f>
        <v>57</v>
      </c>
      <c r="G45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586">
        <f>RANK(tbl_AQI[[#This Row],[Current AQI]], tbl_AQI[Current AQI], 0)</f>
        <v>354</v>
      </c>
    </row>
    <row r="4587" spans="1:8" x14ac:dyDescent="0.35">
      <c r="A4587" t="s">
        <v>4413</v>
      </c>
      <c r="B4587" t="s">
        <v>4694</v>
      </c>
      <c r="C4587">
        <v>449</v>
      </c>
      <c r="D4587">
        <v>253</v>
      </c>
      <c r="E4587" t="s">
        <v>21</v>
      </c>
      <c r="F4587">
        <f>tbl_AQI[[#This Row],[Most AQI Reached]]-tbl_AQI[[#This Row],[Current AQI]]</f>
        <v>196</v>
      </c>
      <c r="G45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87">
        <f>RANK(tbl_AQI[[#This Row],[Current AQI]], tbl_AQI[Current AQI], 0)</f>
        <v>1080</v>
      </c>
    </row>
    <row r="4588" spans="1:8" x14ac:dyDescent="0.35">
      <c r="A4588" t="s">
        <v>4413</v>
      </c>
      <c r="B4588" t="s">
        <v>4695</v>
      </c>
      <c r="C4588">
        <v>367</v>
      </c>
      <c r="D4588">
        <v>201</v>
      </c>
      <c r="E4588" t="s">
        <v>9</v>
      </c>
      <c r="F4588">
        <f>tbl_AQI[[#This Row],[Most AQI Reached]]-tbl_AQI[[#This Row],[Current AQI]]</f>
        <v>166</v>
      </c>
      <c r="G45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88">
        <f>RANK(tbl_AQI[[#This Row],[Current AQI]], tbl_AQI[Current AQI], 0)</f>
        <v>1305</v>
      </c>
    </row>
    <row r="4589" spans="1:8" x14ac:dyDescent="0.35">
      <c r="A4589" t="s">
        <v>4413</v>
      </c>
      <c r="B4589" t="s">
        <v>4696</v>
      </c>
      <c r="C4589">
        <v>445</v>
      </c>
      <c r="D4589">
        <v>150</v>
      </c>
      <c r="E4589" t="s">
        <v>21</v>
      </c>
      <c r="F4589">
        <f>tbl_AQI[[#This Row],[Most AQI Reached]]-tbl_AQI[[#This Row],[Current AQI]]</f>
        <v>295</v>
      </c>
      <c r="G45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89">
        <f>RANK(tbl_AQI[[#This Row],[Current AQI]], tbl_AQI[Current AQI], 0)</f>
        <v>2400</v>
      </c>
    </row>
    <row r="4590" spans="1:8" x14ac:dyDescent="0.35">
      <c r="A4590" t="s">
        <v>4413</v>
      </c>
      <c r="B4590" t="s">
        <v>4697</v>
      </c>
      <c r="C4590">
        <v>348</v>
      </c>
      <c r="D4590">
        <v>230</v>
      </c>
      <c r="E4590" t="s">
        <v>9</v>
      </c>
      <c r="F4590">
        <f>tbl_AQI[[#This Row],[Most AQI Reached]]-tbl_AQI[[#This Row],[Current AQI]]</f>
        <v>118</v>
      </c>
      <c r="G45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90">
        <f>RANK(tbl_AQI[[#This Row],[Current AQI]], tbl_AQI[Current AQI], 0)</f>
        <v>1184</v>
      </c>
    </row>
    <row r="4591" spans="1:8" x14ac:dyDescent="0.35">
      <c r="A4591" t="s">
        <v>4413</v>
      </c>
      <c r="B4591" t="s">
        <v>4698</v>
      </c>
      <c r="C4591">
        <v>311</v>
      </c>
      <c r="D4591">
        <v>153</v>
      </c>
      <c r="E4591" t="s">
        <v>33</v>
      </c>
      <c r="F4591">
        <f>tbl_AQI[[#This Row],[Most AQI Reached]]-tbl_AQI[[#This Row],[Current AQI]]</f>
        <v>158</v>
      </c>
      <c r="G45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91">
        <f>RANK(tbl_AQI[[#This Row],[Current AQI]], tbl_AQI[Current AQI], 0)</f>
        <v>2329</v>
      </c>
    </row>
    <row r="4592" spans="1:8" x14ac:dyDescent="0.35">
      <c r="A4592" t="s">
        <v>4413</v>
      </c>
      <c r="B4592" t="s">
        <v>4699</v>
      </c>
      <c r="C4592">
        <v>465</v>
      </c>
      <c r="D4592">
        <v>179</v>
      </c>
      <c r="E4592" t="s">
        <v>7</v>
      </c>
      <c r="F4592">
        <f>tbl_AQI[[#This Row],[Most AQI Reached]]-tbl_AQI[[#This Row],[Current AQI]]</f>
        <v>286</v>
      </c>
      <c r="G45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92">
        <f>RANK(tbl_AQI[[#This Row],[Current AQI]], tbl_AQI[Current AQI], 0)</f>
        <v>1667</v>
      </c>
    </row>
    <row r="4593" spans="1:8" x14ac:dyDescent="0.35">
      <c r="A4593" t="s">
        <v>4413</v>
      </c>
      <c r="B4593" t="s">
        <v>4700</v>
      </c>
      <c r="C4593">
        <v>473</v>
      </c>
      <c r="D4593">
        <v>340</v>
      </c>
      <c r="E4593" t="s">
        <v>21</v>
      </c>
      <c r="F4593">
        <f>tbl_AQI[[#This Row],[Most AQI Reached]]-tbl_AQI[[#This Row],[Current AQI]]</f>
        <v>133</v>
      </c>
      <c r="G45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593">
        <f>RANK(tbl_AQI[[#This Row],[Current AQI]], tbl_AQI[Current AQI], 0)</f>
        <v>678</v>
      </c>
    </row>
    <row r="4594" spans="1:8" x14ac:dyDescent="0.35">
      <c r="A4594" t="s">
        <v>4413</v>
      </c>
      <c r="B4594" t="s">
        <v>4701</v>
      </c>
      <c r="C4594">
        <v>366</v>
      </c>
      <c r="D4594">
        <v>156</v>
      </c>
      <c r="E4594" t="s">
        <v>21</v>
      </c>
      <c r="F4594">
        <f>tbl_AQI[[#This Row],[Most AQI Reached]]-tbl_AQI[[#This Row],[Current AQI]]</f>
        <v>210</v>
      </c>
      <c r="G45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94">
        <f>RANK(tbl_AQI[[#This Row],[Current AQI]], tbl_AQI[Current AQI], 0)</f>
        <v>2251</v>
      </c>
    </row>
    <row r="4595" spans="1:8" x14ac:dyDescent="0.35">
      <c r="A4595" t="s">
        <v>4413</v>
      </c>
      <c r="B4595" t="s">
        <v>4702</v>
      </c>
      <c r="C4595">
        <v>376</v>
      </c>
      <c r="D4595">
        <v>263</v>
      </c>
      <c r="E4595" t="s">
        <v>33</v>
      </c>
      <c r="F4595">
        <f>tbl_AQI[[#This Row],[Most AQI Reached]]-tbl_AQI[[#This Row],[Current AQI]]</f>
        <v>113</v>
      </c>
      <c r="G45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95">
        <f>RANK(tbl_AQI[[#This Row],[Current AQI]], tbl_AQI[Current AQI], 0)</f>
        <v>1031</v>
      </c>
    </row>
    <row r="4596" spans="1:8" x14ac:dyDescent="0.35">
      <c r="A4596" t="s">
        <v>4413</v>
      </c>
      <c r="B4596" t="s">
        <v>4703</v>
      </c>
      <c r="C4596">
        <v>436</v>
      </c>
      <c r="D4596">
        <v>249</v>
      </c>
      <c r="E4596" t="s">
        <v>17</v>
      </c>
      <c r="F4596">
        <f>tbl_AQI[[#This Row],[Most AQI Reached]]-tbl_AQI[[#This Row],[Current AQI]]</f>
        <v>187</v>
      </c>
      <c r="G45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96">
        <f>RANK(tbl_AQI[[#This Row],[Current AQI]], tbl_AQI[Current AQI], 0)</f>
        <v>1096</v>
      </c>
    </row>
    <row r="4597" spans="1:8" x14ac:dyDescent="0.35">
      <c r="A4597" t="s">
        <v>4413</v>
      </c>
      <c r="B4597" t="s">
        <v>4704</v>
      </c>
      <c r="C4597">
        <v>257</v>
      </c>
      <c r="D4597">
        <v>211</v>
      </c>
      <c r="E4597" t="s">
        <v>17</v>
      </c>
      <c r="F4597">
        <f>tbl_AQI[[#This Row],[Most AQI Reached]]-tbl_AQI[[#This Row],[Current AQI]]</f>
        <v>46</v>
      </c>
      <c r="G45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97">
        <f>RANK(tbl_AQI[[#This Row],[Current AQI]], tbl_AQI[Current AQI], 0)</f>
        <v>1268</v>
      </c>
    </row>
    <row r="4598" spans="1:8" x14ac:dyDescent="0.35">
      <c r="A4598" t="s">
        <v>4413</v>
      </c>
      <c r="B4598" t="s">
        <v>4705</v>
      </c>
      <c r="C4598">
        <v>373</v>
      </c>
      <c r="D4598">
        <v>169</v>
      </c>
      <c r="E4598" t="s">
        <v>21</v>
      </c>
      <c r="F4598">
        <f>tbl_AQI[[#This Row],[Most AQI Reached]]-tbl_AQI[[#This Row],[Current AQI]]</f>
        <v>204</v>
      </c>
      <c r="G45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598">
        <f>RANK(tbl_AQI[[#This Row],[Current AQI]], tbl_AQI[Current AQI], 0)</f>
        <v>1925</v>
      </c>
    </row>
    <row r="4599" spans="1:8" x14ac:dyDescent="0.35">
      <c r="A4599" t="s">
        <v>4413</v>
      </c>
      <c r="B4599" t="s">
        <v>4706</v>
      </c>
      <c r="C4599">
        <v>323</v>
      </c>
      <c r="D4599">
        <v>283</v>
      </c>
      <c r="E4599" t="s">
        <v>21</v>
      </c>
      <c r="F4599">
        <f>tbl_AQI[[#This Row],[Most AQI Reached]]-tbl_AQI[[#This Row],[Current AQI]]</f>
        <v>40</v>
      </c>
      <c r="G45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599">
        <f>RANK(tbl_AQI[[#This Row],[Current AQI]], tbl_AQI[Current AQI], 0)</f>
        <v>933</v>
      </c>
    </row>
    <row r="4600" spans="1:8" x14ac:dyDescent="0.35">
      <c r="A4600" t="s">
        <v>4413</v>
      </c>
      <c r="B4600" t="s">
        <v>4707</v>
      </c>
      <c r="C4600">
        <v>422</v>
      </c>
      <c r="D4600">
        <v>376</v>
      </c>
      <c r="E4600" t="s">
        <v>21</v>
      </c>
      <c r="F4600">
        <f>tbl_AQI[[#This Row],[Most AQI Reached]]-tbl_AQI[[#This Row],[Current AQI]]</f>
        <v>46</v>
      </c>
      <c r="G46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00">
        <f>RANK(tbl_AQI[[#This Row],[Current AQI]], tbl_AQI[Current AQI], 0)</f>
        <v>507</v>
      </c>
    </row>
    <row r="4601" spans="1:8" x14ac:dyDescent="0.35">
      <c r="A4601" t="s">
        <v>4413</v>
      </c>
      <c r="B4601" t="s">
        <v>4708</v>
      </c>
      <c r="C4601">
        <v>476</v>
      </c>
      <c r="D4601">
        <v>472</v>
      </c>
      <c r="E4601" t="s">
        <v>7</v>
      </c>
      <c r="F4601">
        <f>tbl_AQI[[#This Row],[Most AQI Reached]]-tbl_AQI[[#This Row],[Current AQI]]</f>
        <v>4</v>
      </c>
      <c r="G46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01">
        <f>RANK(tbl_AQI[[#This Row],[Current AQI]], tbl_AQI[Current AQI], 0)</f>
        <v>43</v>
      </c>
    </row>
    <row r="4602" spans="1:8" x14ac:dyDescent="0.35">
      <c r="A4602" t="s">
        <v>4413</v>
      </c>
      <c r="B4602" t="s">
        <v>4709</v>
      </c>
      <c r="C4602">
        <v>355</v>
      </c>
      <c r="D4602">
        <v>296</v>
      </c>
      <c r="E4602" t="s">
        <v>33</v>
      </c>
      <c r="F4602">
        <f>tbl_AQI[[#This Row],[Most AQI Reached]]-tbl_AQI[[#This Row],[Current AQI]]</f>
        <v>59</v>
      </c>
      <c r="G46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02">
        <f>RANK(tbl_AQI[[#This Row],[Current AQI]], tbl_AQI[Current AQI], 0)</f>
        <v>874</v>
      </c>
    </row>
    <row r="4603" spans="1:8" x14ac:dyDescent="0.35">
      <c r="A4603" t="s">
        <v>4413</v>
      </c>
      <c r="B4603" t="s">
        <v>4710</v>
      </c>
      <c r="C4603">
        <v>391</v>
      </c>
      <c r="D4603">
        <v>364</v>
      </c>
      <c r="E4603" t="s">
        <v>9</v>
      </c>
      <c r="F4603">
        <f>tbl_AQI[[#This Row],[Most AQI Reached]]-tbl_AQI[[#This Row],[Current AQI]]</f>
        <v>27</v>
      </c>
      <c r="G46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03">
        <f>RANK(tbl_AQI[[#This Row],[Current AQI]], tbl_AQI[Current AQI], 0)</f>
        <v>561</v>
      </c>
    </row>
    <row r="4604" spans="1:8" x14ac:dyDescent="0.35">
      <c r="A4604" t="s">
        <v>4413</v>
      </c>
      <c r="B4604" t="s">
        <v>4711</v>
      </c>
      <c r="C4604">
        <v>364</v>
      </c>
      <c r="D4604">
        <v>354</v>
      </c>
      <c r="E4604" t="s">
        <v>7</v>
      </c>
      <c r="F4604">
        <f>tbl_AQI[[#This Row],[Most AQI Reached]]-tbl_AQI[[#This Row],[Current AQI]]</f>
        <v>10</v>
      </c>
      <c r="G46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04">
        <f>RANK(tbl_AQI[[#This Row],[Current AQI]], tbl_AQI[Current AQI], 0)</f>
        <v>602</v>
      </c>
    </row>
    <row r="4605" spans="1:8" x14ac:dyDescent="0.35">
      <c r="A4605" t="s">
        <v>4413</v>
      </c>
      <c r="B4605" t="s">
        <v>4712</v>
      </c>
      <c r="C4605">
        <v>359</v>
      </c>
      <c r="D4605">
        <v>277</v>
      </c>
      <c r="E4605" t="s">
        <v>33</v>
      </c>
      <c r="F4605">
        <f>tbl_AQI[[#This Row],[Most AQI Reached]]-tbl_AQI[[#This Row],[Current AQI]]</f>
        <v>82</v>
      </c>
      <c r="G46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05">
        <f>RANK(tbl_AQI[[#This Row],[Current AQI]], tbl_AQI[Current AQI], 0)</f>
        <v>968</v>
      </c>
    </row>
    <row r="4606" spans="1:8" x14ac:dyDescent="0.35">
      <c r="A4606" t="s">
        <v>4413</v>
      </c>
      <c r="B4606" t="s">
        <v>4713</v>
      </c>
      <c r="C4606">
        <v>404</v>
      </c>
      <c r="D4606">
        <v>295</v>
      </c>
      <c r="E4606" t="s">
        <v>7</v>
      </c>
      <c r="F4606">
        <f>tbl_AQI[[#This Row],[Most AQI Reached]]-tbl_AQI[[#This Row],[Current AQI]]</f>
        <v>109</v>
      </c>
      <c r="G46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06">
        <f>RANK(tbl_AQI[[#This Row],[Current AQI]], tbl_AQI[Current AQI], 0)</f>
        <v>881</v>
      </c>
    </row>
    <row r="4607" spans="1:8" x14ac:dyDescent="0.35">
      <c r="A4607" t="s">
        <v>4413</v>
      </c>
      <c r="B4607" t="s">
        <v>4714</v>
      </c>
      <c r="C4607">
        <v>445</v>
      </c>
      <c r="D4607">
        <v>270</v>
      </c>
      <c r="E4607" t="s">
        <v>21</v>
      </c>
      <c r="F4607">
        <f>tbl_AQI[[#This Row],[Most AQI Reached]]-tbl_AQI[[#This Row],[Current AQI]]</f>
        <v>175</v>
      </c>
      <c r="G46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07">
        <f>RANK(tbl_AQI[[#This Row],[Current AQI]], tbl_AQI[Current AQI], 0)</f>
        <v>999</v>
      </c>
    </row>
    <row r="4608" spans="1:8" x14ac:dyDescent="0.35">
      <c r="A4608" t="s">
        <v>4413</v>
      </c>
      <c r="B4608" t="s">
        <v>4715</v>
      </c>
      <c r="C4608">
        <v>300</v>
      </c>
      <c r="D4608">
        <v>152</v>
      </c>
      <c r="E4608" t="s">
        <v>33</v>
      </c>
      <c r="F4608">
        <f>tbl_AQI[[#This Row],[Most AQI Reached]]-tbl_AQI[[#This Row],[Current AQI]]</f>
        <v>148</v>
      </c>
      <c r="G46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08">
        <f>RANK(tbl_AQI[[#This Row],[Current AQI]], tbl_AQI[Current AQI], 0)</f>
        <v>2349</v>
      </c>
    </row>
    <row r="4609" spans="1:8" x14ac:dyDescent="0.35">
      <c r="A4609" t="s">
        <v>4413</v>
      </c>
      <c r="B4609" t="s">
        <v>4716</v>
      </c>
      <c r="C4609">
        <v>366</v>
      </c>
      <c r="D4609">
        <v>190</v>
      </c>
      <c r="E4609" t="s">
        <v>33</v>
      </c>
      <c r="F4609">
        <f>tbl_AQI[[#This Row],[Most AQI Reached]]-tbl_AQI[[#This Row],[Current AQI]]</f>
        <v>176</v>
      </c>
      <c r="G46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09">
        <f>RANK(tbl_AQI[[#This Row],[Current AQI]], tbl_AQI[Current AQI], 0)</f>
        <v>1355</v>
      </c>
    </row>
    <row r="4610" spans="1:8" x14ac:dyDescent="0.35">
      <c r="A4610" t="s">
        <v>4413</v>
      </c>
      <c r="B4610" t="s">
        <v>4717</v>
      </c>
      <c r="C4610">
        <v>460</v>
      </c>
      <c r="D4610">
        <v>379</v>
      </c>
      <c r="E4610" t="s">
        <v>7</v>
      </c>
      <c r="F4610">
        <f>tbl_AQI[[#This Row],[Most AQI Reached]]-tbl_AQI[[#This Row],[Current AQI]]</f>
        <v>81</v>
      </c>
      <c r="G46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10">
        <f>RANK(tbl_AQI[[#This Row],[Current AQI]], tbl_AQI[Current AQI], 0)</f>
        <v>485</v>
      </c>
    </row>
    <row r="4611" spans="1:8" x14ac:dyDescent="0.35">
      <c r="A4611" t="s">
        <v>4413</v>
      </c>
      <c r="B4611" t="s">
        <v>4718</v>
      </c>
      <c r="C4611">
        <v>428</v>
      </c>
      <c r="D4611">
        <v>226</v>
      </c>
      <c r="E4611" t="s">
        <v>21</v>
      </c>
      <c r="F4611">
        <f>tbl_AQI[[#This Row],[Most AQI Reached]]-tbl_AQI[[#This Row],[Current AQI]]</f>
        <v>202</v>
      </c>
      <c r="G46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11">
        <f>RANK(tbl_AQI[[#This Row],[Current AQI]], tbl_AQI[Current AQI], 0)</f>
        <v>1200</v>
      </c>
    </row>
    <row r="4612" spans="1:8" x14ac:dyDescent="0.35">
      <c r="A4612" t="s">
        <v>4413</v>
      </c>
      <c r="B4612" t="s">
        <v>4719</v>
      </c>
      <c r="C4612">
        <v>178</v>
      </c>
      <c r="D4612">
        <v>170</v>
      </c>
      <c r="E4612" t="s">
        <v>17</v>
      </c>
      <c r="F4612">
        <f>tbl_AQI[[#This Row],[Most AQI Reached]]-tbl_AQI[[#This Row],[Current AQI]]</f>
        <v>8</v>
      </c>
      <c r="G46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12">
        <f>RANK(tbl_AQI[[#This Row],[Current AQI]], tbl_AQI[Current AQI], 0)</f>
        <v>1898</v>
      </c>
    </row>
    <row r="4613" spans="1:8" x14ac:dyDescent="0.35">
      <c r="A4613" t="s">
        <v>4413</v>
      </c>
      <c r="B4613" t="s">
        <v>4720</v>
      </c>
      <c r="C4613">
        <v>489</v>
      </c>
      <c r="D4613">
        <v>465</v>
      </c>
      <c r="E4613" t="s">
        <v>9</v>
      </c>
      <c r="F4613">
        <f>tbl_AQI[[#This Row],[Most AQI Reached]]-tbl_AQI[[#This Row],[Current AQI]]</f>
        <v>24</v>
      </c>
      <c r="G46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13">
        <f>RANK(tbl_AQI[[#This Row],[Current AQI]], tbl_AQI[Current AQI], 0)</f>
        <v>78</v>
      </c>
    </row>
    <row r="4614" spans="1:8" x14ac:dyDescent="0.35">
      <c r="A4614" t="s">
        <v>4413</v>
      </c>
      <c r="B4614" t="s">
        <v>4721</v>
      </c>
      <c r="C4614">
        <v>367</v>
      </c>
      <c r="D4614">
        <v>277</v>
      </c>
      <c r="E4614" t="s">
        <v>17</v>
      </c>
      <c r="F4614">
        <f>tbl_AQI[[#This Row],[Most AQI Reached]]-tbl_AQI[[#This Row],[Current AQI]]</f>
        <v>90</v>
      </c>
      <c r="G46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14">
        <f>RANK(tbl_AQI[[#This Row],[Current AQI]], tbl_AQI[Current AQI], 0)</f>
        <v>968</v>
      </c>
    </row>
    <row r="4615" spans="1:8" x14ac:dyDescent="0.35">
      <c r="A4615" t="s">
        <v>4413</v>
      </c>
      <c r="B4615" t="s">
        <v>4722</v>
      </c>
      <c r="C4615">
        <v>497</v>
      </c>
      <c r="D4615">
        <v>362</v>
      </c>
      <c r="E4615" t="s">
        <v>9</v>
      </c>
      <c r="F4615">
        <f>tbl_AQI[[#This Row],[Most AQI Reached]]-tbl_AQI[[#This Row],[Current AQI]]</f>
        <v>135</v>
      </c>
      <c r="G46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15">
        <f>RANK(tbl_AQI[[#This Row],[Current AQI]], tbl_AQI[Current AQI], 0)</f>
        <v>567</v>
      </c>
    </row>
    <row r="4616" spans="1:8" x14ac:dyDescent="0.35">
      <c r="A4616" t="s">
        <v>4413</v>
      </c>
      <c r="B4616" t="s">
        <v>4723</v>
      </c>
      <c r="C4616">
        <v>417</v>
      </c>
      <c r="D4616">
        <v>336</v>
      </c>
      <c r="E4616" t="s">
        <v>33</v>
      </c>
      <c r="F4616">
        <f>tbl_AQI[[#This Row],[Most AQI Reached]]-tbl_AQI[[#This Row],[Current AQI]]</f>
        <v>81</v>
      </c>
      <c r="G46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16">
        <f>RANK(tbl_AQI[[#This Row],[Current AQI]], tbl_AQI[Current AQI], 0)</f>
        <v>700</v>
      </c>
    </row>
    <row r="4617" spans="1:8" x14ac:dyDescent="0.35">
      <c r="A4617" t="s">
        <v>4413</v>
      </c>
      <c r="B4617" t="s">
        <v>4724</v>
      </c>
      <c r="C4617">
        <v>390</v>
      </c>
      <c r="D4617">
        <v>317</v>
      </c>
      <c r="E4617" t="s">
        <v>33</v>
      </c>
      <c r="F4617">
        <f>tbl_AQI[[#This Row],[Most AQI Reached]]-tbl_AQI[[#This Row],[Current AQI]]</f>
        <v>73</v>
      </c>
      <c r="G46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17">
        <f>RANK(tbl_AQI[[#This Row],[Current AQI]], tbl_AQI[Current AQI], 0)</f>
        <v>791</v>
      </c>
    </row>
    <row r="4618" spans="1:8" x14ac:dyDescent="0.35">
      <c r="A4618" t="s">
        <v>4413</v>
      </c>
      <c r="B4618" t="s">
        <v>4725</v>
      </c>
      <c r="C4618">
        <v>480</v>
      </c>
      <c r="D4618">
        <v>464</v>
      </c>
      <c r="E4618" t="s">
        <v>7</v>
      </c>
      <c r="F4618">
        <f>tbl_AQI[[#This Row],[Most AQI Reached]]-tbl_AQI[[#This Row],[Current AQI]]</f>
        <v>16</v>
      </c>
      <c r="G46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18">
        <f>RANK(tbl_AQI[[#This Row],[Current AQI]], tbl_AQI[Current AQI], 0)</f>
        <v>86</v>
      </c>
    </row>
    <row r="4619" spans="1:8" x14ac:dyDescent="0.35">
      <c r="A4619" t="s">
        <v>4413</v>
      </c>
      <c r="B4619" t="s">
        <v>4726</v>
      </c>
      <c r="C4619">
        <v>210</v>
      </c>
      <c r="D4619">
        <v>157</v>
      </c>
      <c r="E4619" t="s">
        <v>7</v>
      </c>
      <c r="F4619">
        <f>tbl_AQI[[#This Row],[Most AQI Reached]]-tbl_AQI[[#This Row],[Current AQI]]</f>
        <v>53</v>
      </c>
      <c r="G46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19">
        <f>RANK(tbl_AQI[[#This Row],[Current AQI]], tbl_AQI[Current AQI], 0)</f>
        <v>2239</v>
      </c>
    </row>
    <row r="4620" spans="1:8" x14ac:dyDescent="0.35">
      <c r="A4620" t="s">
        <v>4413</v>
      </c>
      <c r="B4620" t="s">
        <v>4727</v>
      </c>
      <c r="C4620">
        <v>473</v>
      </c>
      <c r="D4620">
        <v>453</v>
      </c>
      <c r="E4620" t="s">
        <v>21</v>
      </c>
      <c r="F4620">
        <f>tbl_AQI[[#This Row],[Most AQI Reached]]-tbl_AQI[[#This Row],[Current AQI]]</f>
        <v>20</v>
      </c>
      <c r="G46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20">
        <f>RANK(tbl_AQI[[#This Row],[Current AQI]], tbl_AQI[Current AQI], 0)</f>
        <v>141</v>
      </c>
    </row>
    <row r="4621" spans="1:8" x14ac:dyDescent="0.35">
      <c r="A4621" t="s">
        <v>4413</v>
      </c>
      <c r="B4621" t="s">
        <v>4728</v>
      </c>
      <c r="C4621">
        <v>322</v>
      </c>
      <c r="D4621">
        <v>264</v>
      </c>
      <c r="E4621" t="s">
        <v>33</v>
      </c>
      <c r="F4621">
        <f>tbl_AQI[[#This Row],[Most AQI Reached]]-tbl_AQI[[#This Row],[Current AQI]]</f>
        <v>58</v>
      </c>
      <c r="G46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21">
        <f>RANK(tbl_AQI[[#This Row],[Current AQI]], tbl_AQI[Current AQI], 0)</f>
        <v>1028</v>
      </c>
    </row>
    <row r="4622" spans="1:8" x14ac:dyDescent="0.35">
      <c r="A4622" t="s">
        <v>4413</v>
      </c>
      <c r="B4622" t="s">
        <v>4729</v>
      </c>
      <c r="C4622">
        <v>484</v>
      </c>
      <c r="D4622">
        <v>479</v>
      </c>
      <c r="E4622" t="s">
        <v>7</v>
      </c>
      <c r="F4622">
        <f>tbl_AQI[[#This Row],[Most AQI Reached]]-tbl_AQI[[#This Row],[Current AQI]]</f>
        <v>5</v>
      </c>
      <c r="G46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22">
        <f>RANK(tbl_AQI[[#This Row],[Current AQI]], tbl_AQI[Current AQI], 0)</f>
        <v>6</v>
      </c>
    </row>
    <row r="4623" spans="1:8" x14ac:dyDescent="0.35">
      <c r="A4623" t="s">
        <v>4413</v>
      </c>
      <c r="B4623" t="s">
        <v>4730</v>
      </c>
      <c r="C4623">
        <v>479</v>
      </c>
      <c r="D4623">
        <v>319</v>
      </c>
      <c r="E4623" t="s">
        <v>17</v>
      </c>
      <c r="F4623">
        <f>tbl_AQI[[#This Row],[Most AQI Reached]]-tbl_AQI[[#This Row],[Current AQI]]</f>
        <v>160</v>
      </c>
      <c r="G46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23">
        <f>RANK(tbl_AQI[[#This Row],[Current AQI]], tbl_AQI[Current AQI], 0)</f>
        <v>782</v>
      </c>
    </row>
    <row r="4624" spans="1:8" x14ac:dyDescent="0.35">
      <c r="A4624" t="s">
        <v>4413</v>
      </c>
      <c r="B4624" t="s">
        <v>4731</v>
      </c>
      <c r="C4624">
        <v>467</v>
      </c>
      <c r="D4624">
        <v>443</v>
      </c>
      <c r="E4624" t="s">
        <v>7</v>
      </c>
      <c r="F4624">
        <f>tbl_AQI[[#This Row],[Most AQI Reached]]-tbl_AQI[[#This Row],[Current AQI]]</f>
        <v>24</v>
      </c>
      <c r="G46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24">
        <f>RANK(tbl_AQI[[#This Row],[Current AQI]], tbl_AQI[Current AQI], 0)</f>
        <v>188</v>
      </c>
    </row>
    <row r="4625" spans="1:8" x14ac:dyDescent="0.35">
      <c r="A4625" t="s">
        <v>4413</v>
      </c>
      <c r="B4625" t="s">
        <v>4732</v>
      </c>
      <c r="C4625">
        <v>352</v>
      </c>
      <c r="D4625">
        <v>348</v>
      </c>
      <c r="E4625" t="s">
        <v>33</v>
      </c>
      <c r="F4625">
        <f>tbl_AQI[[#This Row],[Most AQI Reached]]-tbl_AQI[[#This Row],[Current AQI]]</f>
        <v>4</v>
      </c>
      <c r="G46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25">
        <f>RANK(tbl_AQI[[#This Row],[Current AQI]], tbl_AQI[Current AQI], 0)</f>
        <v>641</v>
      </c>
    </row>
    <row r="4626" spans="1:8" x14ac:dyDescent="0.35">
      <c r="A4626" t="s">
        <v>4413</v>
      </c>
      <c r="B4626" t="s">
        <v>4733</v>
      </c>
      <c r="C4626">
        <v>474</v>
      </c>
      <c r="D4626">
        <v>452</v>
      </c>
      <c r="E4626" t="s">
        <v>7</v>
      </c>
      <c r="F4626">
        <f>tbl_AQI[[#This Row],[Most AQI Reached]]-tbl_AQI[[#This Row],[Current AQI]]</f>
        <v>22</v>
      </c>
      <c r="G46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26">
        <f>RANK(tbl_AQI[[#This Row],[Current AQI]], tbl_AQI[Current AQI], 0)</f>
        <v>150</v>
      </c>
    </row>
    <row r="4627" spans="1:8" x14ac:dyDescent="0.35">
      <c r="A4627" t="s">
        <v>4413</v>
      </c>
      <c r="B4627" t="s">
        <v>4734</v>
      </c>
      <c r="C4627">
        <v>448</v>
      </c>
      <c r="D4627">
        <v>435</v>
      </c>
      <c r="E4627" t="s">
        <v>9</v>
      </c>
      <c r="F4627">
        <f>tbl_AQI[[#This Row],[Most AQI Reached]]-tbl_AQI[[#This Row],[Current AQI]]</f>
        <v>13</v>
      </c>
      <c r="G46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27">
        <f>RANK(tbl_AQI[[#This Row],[Current AQI]], tbl_AQI[Current AQI], 0)</f>
        <v>238</v>
      </c>
    </row>
    <row r="4628" spans="1:8" x14ac:dyDescent="0.35">
      <c r="A4628" t="s">
        <v>4413</v>
      </c>
      <c r="B4628" t="s">
        <v>4735</v>
      </c>
      <c r="C4628">
        <v>418</v>
      </c>
      <c r="D4628">
        <v>415</v>
      </c>
      <c r="E4628" t="s">
        <v>21</v>
      </c>
      <c r="F4628">
        <f>tbl_AQI[[#This Row],[Most AQI Reached]]-tbl_AQI[[#This Row],[Current AQI]]</f>
        <v>3</v>
      </c>
      <c r="G46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28">
        <f>RANK(tbl_AQI[[#This Row],[Current AQI]], tbl_AQI[Current AQI], 0)</f>
        <v>325</v>
      </c>
    </row>
    <row r="4629" spans="1:8" x14ac:dyDescent="0.35">
      <c r="A4629" t="s">
        <v>4413</v>
      </c>
      <c r="B4629" t="s">
        <v>4736</v>
      </c>
      <c r="C4629">
        <v>259</v>
      </c>
      <c r="D4629">
        <v>194</v>
      </c>
      <c r="E4629" t="s">
        <v>33</v>
      </c>
      <c r="F4629">
        <f>tbl_AQI[[#This Row],[Most AQI Reached]]-tbl_AQI[[#This Row],[Current AQI]]</f>
        <v>65</v>
      </c>
      <c r="G46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29">
        <f>RANK(tbl_AQI[[#This Row],[Current AQI]], tbl_AQI[Current AQI], 0)</f>
        <v>1334</v>
      </c>
    </row>
    <row r="4630" spans="1:8" x14ac:dyDescent="0.35">
      <c r="A4630" t="s">
        <v>4413</v>
      </c>
      <c r="B4630" t="s">
        <v>4737</v>
      </c>
      <c r="C4630">
        <v>472</v>
      </c>
      <c r="D4630">
        <v>433</v>
      </c>
      <c r="E4630" t="s">
        <v>9</v>
      </c>
      <c r="F4630">
        <f>tbl_AQI[[#This Row],[Most AQI Reached]]-tbl_AQI[[#This Row],[Current AQI]]</f>
        <v>39</v>
      </c>
      <c r="G46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30">
        <f>RANK(tbl_AQI[[#This Row],[Current AQI]], tbl_AQI[Current AQI], 0)</f>
        <v>250</v>
      </c>
    </row>
    <row r="4631" spans="1:8" x14ac:dyDescent="0.35">
      <c r="A4631" t="s">
        <v>4413</v>
      </c>
      <c r="B4631" t="s">
        <v>4738</v>
      </c>
      <c r="C4631">
        <v>339</v>
      </c>
      <c r="D4631">
        <v>181</v>
      </c>
      <c r="E4631" t="s">
        <v>21</v>
      </c>
      <c r="F4631">
        <f>tbl_AQI[[#This Row],[Most AQI Reached]]-tbl_AQI[[#This Row],[Current AQI]]</f>
        <v>158</v>
      </c>
      <c r="G46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31">
        <f>RANK(tbl_AQI[[#This Row],[Current AQI]], tbl_AQI[Current AQI], 0)</f>
        <v>1609</v>
      </c>
    </row>
    <row r="4632" spans="1:8" x14ac:dyDescent="0.35">
      <c r="A4632" t="s">
        <v>4413</v>
      </c>
      <c r="B4632" t="s">
        <v>4739</v>
      </c>
      <c r="C4632">
        <v>484</v>
      </c>
      <c r="D4632">
        <v>334</v>
      </c>
      <c r="E4632" t="s">
        <v>15</v>
      </c>
      <c r="F4632">
        <f>tbl_AQI[[#This Row],[Most AQI Reached]]-tbl_AQI[[#This Row],[Current AQI]]</f>
        <v>150</v>
      </c>
      <c r="G46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32">
        <f>RANK(tbl_AQI[[#This Row],[Current AQI]], tbl_AQI[Current AQI], 0)</f>
        <v>717</v>
      </c>
    </row>
    <row r="4633" spans="1:8" x14ac:dyDescent="0.35">
      <c r="A4633" t="s">
        <v>4413</v>
      </c>
      <c r="B4633" t="s">
        <v>4740</v>
      </c>
      <c r="C4633">
        <v>341</v>
      </c>
      <c r="D4633">
        <v>338</v>
      </c>
      <c r="E4633" t="s">
        <v>7</v>
      </c>
      <c r="F4633">
        <f>tbl_AQI[[#This Row],[Most AQI Reached]]-tbl_AQI[[#This Row],[Current AQI]]</f>
        <v>3</v>
      </c>
      <c r="G46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33">
        <f>RANK(tbl_AQI[[#This Row],[Current AQI]], tbl_AQI[Current AQI], 0)</f>
        <v>687</v>
      </c>
    </row>
    <row r="4634" spans="1:8" x14ac:dyDescent="0.35">
      <c r="A4634" t="s">
        <v>4413</v>
      </c>
      <c r="B4634" t="s">
        <v>4741</v>
      </c>
      <c r="C4634">
        <v>484</v>
      </c>
      <c r="D4634">
        <v>470</v>
      </c>
      <c r="E4634" t="s">
        <v>7</v>
      </c>
      <c r="F4634">
        <f>tbl_AQI[[#This Row],[Most AQI Reached]]-tbl_AQI[[#This Row],[Current AQI]]</f>
        <v>14</v>
      </c>
      <c r="G46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34">
        <f>RANK(tbl_AQI[[#This Row],[Current AQI]], tbl_AQI[Current AQI], 0)</f>
        <v>53</v>
      </c>
    </row>
    <row r="4635" spans="1:8" x14ac:dyDescent="0.35">
      <c r="A4635" t="s">
        <v>4413</v>
      </c>
      <c r="B4635" t="s">
        <v>4742</v>
      </c>
      <c r="C4635">
        <v>465</v>
      </c>
      <c r="D4635">
        <v>413</v>
      </c>
      <c r="E4635" t="s">
        <v>7</v>
      </c>
      <c r="F4635">
        <f>tbl_AQI[[#This Row],[Most AQI Reached]]-tbl_AQI[[#This Row],[Current AQI]]</f>
        <v>52</v>
      </c>
      <c r="G46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35">
        <f>RANK(tbl_AQI[[#This Row],[Current AQI]], tbl_AQI[Current AQI], 0)</f>
        <v>332</v>
      </c>
    </row>
    <row r="4636" spans="1:8" x14ac:dyDescent="0.35">
      <c r="A4636" t="s">
        <v>4413</v>
      </c>
      <c r="B4636" t="s">
        <v>4743</v>
      </c>
      <c r="C4636">
        <v>465</v>
      </c>
      <c r="D4636">
        <v>302</v>
      </c>
      <c r="E4636" t="s">
        <v>21</v>
      </c>
      <c r="F4636">
        <f>tbl_AQI[[#This Row],[Most AQI Reached]]-tbl_AQI[[#This Row],[Current AQI]]</f>
        <v>163</v>
      </c>
      <c r="G46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36">
        <f>RANK(tbl_AQI[[#This Row],[Current AQI]], tbl_AQI[Current AQI], 0)</f>
        <v>839</v>
      </c>
    </row>
    <row r="4637" spans="1:8" x14ac:dyDescent="0.35">
      <c r="A4637" t="s">
        <v>4413</v>
      </c>
      <c r="B4637" t="s">
        <v>4744</v>
      </c>
      <c r="C4637">
        <v>251</v>
      </c>
      <c r="D4637">
        <v>197</v>
      </c>
      <c r="E4637" t="s">
        <v>9</v>
      </c>
      <c r="F4637">
        <f>tbl_AQI[[#This Row],[Most AQI Reached]]-tbl_AQI[[#This Row],[Current AQI]]</f>
        <v>54</v>
      </c>
      <c r="G46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37">
        <f>RANK(tbl_AQI[[#This Row],[Current AQI]], tbl_AQI[Current AQI], 0)</f>
        <v>1323</v>
      </c>
    </row>
    <row r="4638" spans="1:8" x14ac:dyDescent="0.35">
      <c r="A4638" t="s">
        <v>4413</v>
      </c>
      <c r="B4638" t="s">
        <v>4745</v>
      </c>
      <c r="C4638">
        <v>394</v>
      </c>
      <c r="D4638">
        <v>291</v>
      </c>
      <c r="E4638" t="s">
        <v>15</v>
      </c>
      <c r="F4638">
        <f>tbl_AQI[[#This Row],[Most AQI Reached]]-tbl_AQI[[#This Row],[Current AQI]]</f>
        <v>103</v>
      </c>
      <c r="G46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38">
        <f>RANK(tbl_AQI[[#This Row],[Current AQI]], tbl_AQI[Current AQI], 0)</f>
        <v>898</v>
      </c>
    </row>
    <row r="4639" spans="1:8" x14ac:dyDescent="0.35">
      <c r="A4639" t="s">
        <v>4413</v>
      </c>
      <c r="B4639" t="s">
        <v>4746</v>
      </c>
      <c r="C4639">
        <v>495</v>
      </c>
      <c r="D4639">
        <v>477</v>
      </c>
      <c r="E4639" t="s">
        <v>21</v>
      </c>
      <c r="F4639">
        <f>tbl_AQI[[#This Row],[Most AQI Reached]]-tbl_AQI[[#This Row],[Current AQI]]</f>
        <v>18</v>
      </c>
      <c r="G46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39">
        <f>RANK(tbl_AQI[[#This Row],[Current AQI]], tbl_AQI[Current AQI], 0)</f>
        <v>17</v>
      </c>
    </row>
    <row r="4640" spans="1:8" x14ac:dyDescent="0.35">
      <c r="A4640" t="s">
        <v>4413</v>
      </c>
      <c r="B4640" t="s">
        <v>4747</v>
      </c>
      <c r="C4640">
        <v>343</v>
      </c>
      <c r="D4640">
        <v>323</v>
      </c>
      <c r="E4640" t="s">
        <v>15</v>
      </c>
      <c r="F4640">
        <f>tbl_AQI[[#This Row],[Most AQI Reached]]-tbl_AQI[[#This Row],[Current AQI]]</f>
        <v>20</v>
      </c>
      <c r="G46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40">
        <f>RANK(tbl_AQI[[#This Row],[Current AQI]], tbl_AQI[Current AQI], 0)</f>
        <v>765</v>
      </c>
    </row>
    <row r="4641" spans="1:8" x14ac:dyDescent="0.35">
      <c r="A4641" t="s">
        <v>4413</v>
      </c>
      <c r="B4641" t="s">
        <v>4748</v>
      </c>
      <c r="C4641">
        <v>465</v>
      </c>
      <c r="D4641">
        <v>207</v>
      </c>
      <c r="E4641" t="s">
        <v>15</v>
      </c>
      <c r="F4641">
        <f>tbl_AQI[[#This Row],[Most AQI Reached]]-tbl_AQI[[#This Row],[Current AQI]]</f>
        <v>258</v>
      </c>
      <c r="G46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41">
        <f>RANK(tbl_AQI[[#This Row],[Current AQI]], tbl_AQI[Current AQI], 0)</f>
        <v>1287</v>
      </c>
    </row>
    <row r="4642" spans="1:8" x14ac:dyDescent="0.35">
      <c r="A4642" t="s">
        <v>4413</v>
      </c>
      <c r="B4642" t="s">
        <v>4749</v>
      </c>
      <c r="C4642">
        <v>473</v>
      </c>
      <c r="D4642">
        <v>445</v>
      </c>
      <c r="E4642" t="s">
        <v>7</v>
      </c>
      <c r="F4642">
        <f>tbl_AQI[[#This Row],[Most AQI Reached]]-tbl_AQI[[#This Row],[Current AQI]]</f>
        <v>28</v>
      </c>
      <c r="G46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42">
        <f>RANK(tbl_AQI[[#This Row],[Current AQI]], tbl_AQI[Current AQI], 0)</f>
        <v>185</v>
      </c>
    </row>
    <row r="4643" spans="1:8" x14ac:dyDescent="0.35">
      <c r="A4643" t="s">
        <v>4413</v>
      </c>
      <c r="B4643" t="s">
        <v>4750</v>
      </c>
      <c r="C4643">
        <v>467</v>
      </c>
      <c r="D4643">
        <v>454</v>
      </c>
      <c r="E4643" t="s">
        <v>7</v>
      </c>
      <c r="F4643">
        <f>tbl_AQI[[#This Row],[Most AQI Reached]]-tbl_AQI[[#This Row],[Current AQI]]</f>
        <v>13</v>
      </c>
      <c r="G46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43">
        <f>RANK(tbl_AQI[[#This Row],[Current AQI]], tbl_AQI[Current AQI], 0)</f>
        <v>131</v>
      </c>
    </row>
    <row r="4644" spans="1:8" x14ac:dyDescent="0.35">
      <c r="A4644" t="s">
        <v>4413</v>
      </c>
      <c r="B4644" t="s">
        <v>4751</v>
      </c>
      <c r="C4644">
        <v>457</v>
      </c>
      <c r="D4644">
        <v>215</v>
      </c>
      <c r="E4644" t="s">
        <v>11</v>
      </c>
      <c r="F4644">
        <f>tbl_AQI[[#This Row],[Most AQI Reached]]-tbl_AQI[[#This Row],[Current AQI]]</f>
        <v>242</v>
      </c>
      <c r="G46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44">
        <f>RANK(tbl_AQI[[#This Row],[Current AQI]], tbl_AQI[Current AQI], 0)</f>
        <v>1251</v>
      </c>
    </row>
    <row r="4645" spans="1:8" x14ac:dyDescent="0.35">
      <c r="A4645" t="s">
        <v>4413</v>
      </c>
      <c r="B4645" t="s">
        <v>4752</v>
      </c>
      <c r="C4645">
        <v>470</v>
      </c>
      <c r="D4645">
        <v>466</v>
      </c>
      <c r="E4645" t="s">
        <v>9</v>
      </c>
      <c r="F4645">
        <f>tbl_AQI[[#This Row],[Most AQI Reached]]-tbl_AQI[[#This Row],[Current AQI]]</f>
        <v>4</v>
      </c>
      <c r="G46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45">
        <f>RANK(tbl_AQI[[#This Row],[Current AQI]], tbl_AQI[Current AQI], 0)</f>
        <v>74</v>
      </c>
    </row>
    <row r="4646" spans="1:8" x14ac:dyDescent="0.35">
      <c r="A4646" t="s">
        <v>4413</v>
      </c>
      <c r="B4646" t="s">
        <v>4753</v>
      </c>
      <c r="C4646">
        <v>492</v>
      </c>
      <c r="D4646">
        <v>345</v>
      </c>
      <c r="E4646" t="s">
        <v>9</v>
      </c>
      <c r="F4646">
        <f>tbl_AQI[[#This Row],[Most AQI Reached]]-tbl_AQI[[#This Row],[Current AQI]]</f>
        <v>147</v>
      </c>
      <c r="G46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46">
        <f>RANK(tbl_AQI[[#This Row],[Current AQI]], tbl_AQI[Current AQI], 0)</f>
        <v>651</v>
      </c>
    </row>
    <row r="4647" spans="1:8" x14ac:dyDescent="0.35">
      <c r="A4647" t="s">
        <v>4413</v>
      </c>
      <c r="B4647" t="s">
        <v>4754</v>
      </c>
      <c r="C4647">
        <v>488</v>
      </c>
      <c r="D4647">
        <v>480</v>
      </c>
      <c r="E4647" t="s">
        <v>9</v>
      </c>
      <c r="F4647">
        <f>tbl_AQI[[#This Row],[Most AQI Reached]]-tbl_AQI[[#This Row],[Current AQI]]</f>
        <v>8</v>
      </c>
      <c r="G46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47">
        <f>RANK(tbl_AQI[[#This Row],[Current AQI]], tbl_AQI[Current AQI], 0)</f>
        <v>1</v>
      </c>
    </row>
    <row r="4648" spans="1:8" x14ac:dyDescent="0.35">
      <c r="A4648" t="s">
        <v>4413</v>
      </c>
      <c r="B4648" t="s">
        <v>4755</v>
      </c>
      <c r="C4648">
        <v>420</v>
      </c>
      <c r="D4648">
        <v>385</v>
      </c>
      <c r="E4648" t="s">
        <v>21</v>
      </c>
      <c r="F4648">
        <f>tbl_AQI[[#This Row],[Most AQI Reached]]-tbl_AQI[[#This Row],[Current AQI]]</f>
        <v>35</v>
      </c>
      <c r="G46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48">
        <f>RANK(tbl_AQI[[#This Row],[Current AQI]], tbl_AQI[Current AQI], 0)</f>
        <v>459</v>
      </c>
    </row>
    <row r="4649" spans="1:8" x14ac:dyDescent="0.35">
      <c r="A4649" t="s">
        <v>4413</v>
      </c>
      <c r="B4649" t="s">
        <v>4756</v>
      </c>
      <c r="C4649">
        <v>458</v>
      </c>
      <c r="D4649">
        <v>306</v>
      </c>
      <c r="E4649" t="s">
        <v>11</v>
      </c>
      <c r="F4649">
        <f>tbl_AQI[[#This Row],[Most AQI Reached]]-tbl_AQI[[#This Row],[Current AQI]]</f>
        <v>152</v>
      </c>
      <c r="G46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49">
        <f>RANK(tbl_AQI[[#This Row],[Current AQI]], tbl_AQI[Current AQI], 0)</f>
        <v>829</v>
      </c>
    </row>
    <row r="4650" spans="1:8" x14ac:dyDescent="0.35">
      <c r="A4650" t="s">
        <v>4413</v>
      </c>
      <c r="B4650" t="s">
        <v>4757</v>
      </c>
      <c r="C4650">
        <v>471</v>
      </c>
      <c r="D4650">
        <v>222</v>
      </c>
      <c r="E4650" t="s">
        <v>33</v>
      </c>
      <c r="F4650">
        <f>tbl_AQI[[#This Row],[Most AQI Reached]]-tbl_AQI[[#This Row],[Current AQI]]</f>
        <v>249</v>
      </c>
      <c r="G46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50">
        <f>RANK(tbl_AQI[[#This Row],[Current AQI]], tbl_AQI[Current AQI], 0)</f>
        <v>1222</v>
      </c>
    </row>
    <row r="4651" spans="1:8" x14ac:dyDescent="0.35">
      <c r="A4651" t="s">
        <v>4413</v>
      </c>
      <c r="B4651" t="s">
        <v>4758</v>
      </c>
      <c r="C4651">
        <v>387</v>
      </c>
      <c r="D4651">
        <v>165</v>
      </c>
      <c r="E4651" t="s">
        <v>17</v>
      </c>
      <c r="F4651">
        <f>tbl_AQI[[#This Row],[Most AQI Reached]]-tbl_AQI[[#This Row],[Current AQI]]</f>
        <v>222</v>
      </c>
      <c r="G46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51">
        <f>RANK(tbl_AQI[[#This Row],[Current AQI]], tbl_AQI[Current AQI], 0)</f>
        <v>2028</v>
      </c>
    </row>
    <row r="4652" spans="1:8" x14ac:dyDescent="0.35">
      <c r="A4652" t="s">
        <v>4413</v>
      </c>
      <c r="B4652" t="s">
        <v>4759</v>
      </c>
      <c r="C4652">
        <v>309</v>
      </c>
      <c r="D4652">
        <v>172</v>
      </c>
      <c r="E4652" t="s">
        <v>17</v>
      </c>
      <c r="F4652">
        <f>tbl_AQI[[#This Row],[Most AQI Reached]]-tbl_AQI[[#This Row],[Current AQI]]</f>
        <v>137</v>
      </c>
      <c r="G46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52">
        <f>RANK(tbl_AQI[[#This Row],[Current AQI]], tbl_AQI[Current AQI], 0)</f>
        <v>1852</v>
      </c>
    </row>
    <row r="4653" spans="1:8" x14ac:dyDescent="0.35">
      <c r="A4653" t="s">
        <v>4413</v>
      </c>
      <c r="B4653" t="s">
        <v>4760</v>
      </c>
      <c r="C4653">
        <v>377</v>
      </c>
      <c r="D4653">
        <v>360</v>
      </c>
      <c r="E4653" t="s">
        <v>21</v>
      </c>
      <c r="F4653">
        <f>tbl_AQI[[#This Row],[Most AQI Reached]]-tbl_AQI[[#This Row],[Current AQI]]</f>
        <v>17</v>
      </c>
      <c r="G46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53">
        <f>RANK(tbl_AQI[[#This Row],[Current AQI]], tbl_AQI[Current AQI], 0)</f>
        <v>574</v>
      </c>
    </row>
    <row r="4654" spans="1:8" x14ac:dyDescent="0.35">
      <c r="A4654" t="s">
        <v>4413</v>
      </c>
      <c r="B4654" t="s">
        <v>4761</v>
      </c>
      <c r="C4654">
        <v>468</v>
      </c>
      <c r="D4654">
        <v>210</v>
      </c>
      <c r="E4654" t="s">
        <v>33</v>
      </c>
      <c r="F4654">
        <f>tbl_AQI[[#This Row],[Most AQI Reached]]-tbl_AQI[[#This Row],[Current AQI]]</f>
        <v>258</v>
      </c>
      <c r="G46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54">
        <f>RANK(tbl_AQI[[#This Row],[Current AQI]], tbl_AQI[Current AQI], 0)</f>
        <v>1272</v>
      </c>
    </row>
    <row r="4655" spans="1:8" x14ac:dyDescent="0.35">
      <c r="A4655" t="s">
        <v>4413</v>
      </c>
      <c r="B4655" t="s">
        <v>4762</v>
      </c>
      <c r="C4655">
        <v>343</v>
      </c>
      <c r="D4655">
        <v>331</v>
      </c>
      <c r="E4655" t="s">
        <v>9</v>
      </c>
      <c r="F4655">
        <f>tbl_AQI[[#This Row],[Most AQI Reached]]-tbl_AQI[[#This Row],[Current AQI]]</f>
        <v>12</v>
      </c>
      <c r="G46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55">
        <f>RANK(tbl_AQI[[#This Row],[Current AQI]], tbl_AQI[Current AQI], 0)</f>
        <v>731</v>
      </c>
    </row>
    <row r="4656" spans="1:8" x14ac:dyDescent="0.35">
      <c r="A4656" t="s">
        <v>4413</v>
      </c>
      <c r="B4656" t="s">
        <v>4763</v>
      </c>
      <c r="C4656">
        <v>415</v>
      </c>
      <c r="D4656">
        <v>346</v>
      </c>
      <c r="E4656" t="s">
        <v>17</v>
      </c>
      <c r="F4656">
        <f>tbl_AQI[[#This Row],[Most AQI Reached]]-tbl_AQI[[#This Row],[Current AQI]]</f>
        <v>69</v>
      </c>
      <c r="G46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56">
        <f>RANK(tbl_AQI[[#This Row],[Current AQI]], tbl_AQI[Current AQI], 0)</f>
        <v>646</v>
      </c>
    </row>
    <row r="4657" spans="1:8" x14ac:dyDescent="0.35">
      <c r="A4657" t="s">
        <v>4413</v>
      </c>
      <c r="B4657" t="s">
        <v>4764</v>
      </c>
      <c r="C4657">
        <v>417</v>
      </c>
      <c r="D4657">
        <v>359</v>
      </c>
      <c r="E4657" t="s">
        <v>21</v>
      </c>
      <c r="F4657">
        <f>tbl_AQI[[#This Row],[Most AQI Reached]]-tbl_AQI[[#This Row],[Current AQI]]</f>
        <v>58</v>
      </c>
      <c r="G46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57">
        <f>RANK(tbl_AQI[[#This Row],[Current AQI]], tbl_AQI[Current AQI], 0)</f>
        <v>582</v>
      </c>
    </row>
    <row r="4658" spans="1:8" x14ac:dyDescent="0.35">
      <c r="A4658" t="s">
        <v>4413</v>
      </c>
      <c r="B4658" t="s">
        <v>4765</v>
      </c>
      <c r="C4658">
        <v>451</v>
      </c>
      <c r="D4658">
        <v>315</v>
      </c>
      <c r="E4658" t="s">
        <v>21</v>
      </c>
      <c r="F4658">
        <f>tbl_AQI[[#This Row],[Most AQI Reached]]-tbl_AQI[[#This Row],[Current AQI]]</f>
        <v>136</v>
      </c>
      <c r="G46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58">
        <f>RANK(tbl_AQI[[#This Row],[Current AQI]], tbl_AQI[Current AQI], 0)</f>
        <v>804</v>
      </c>
    </row>
    <row r="4659" spans="1:8" x14ac:dyDescent="0.35">
      <c r="A4659" t="s">
        <v>4413</v>
      </c>
      <c r="B4659" t="s">
        <v>4766</v>
      </c>
      <c r="C4659">
        <v>474</v>
      </c>
      <c r="D4659">
        <v>459</v>
      </c>
      <c r="E4659" t="s">
        <v>9</v>
      </c>
      <c r="F4659">
        <f>tbl_AQI[[#This Row],[Most AQI Reached]]-tbl_AQI[[#This Row],[Current AQI]]</f>
        <v>15</v>
      </c>
      <c r="G46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59">
        <f>RANK(tbl_AQI[[#This Row],[Current AQI]], tbl_AQI[Current AQI], 0)</f>
        <v>112</v>
      </c>
    </row>
    <row r="4660" spans="1:8" x14ac:dyDescent="0.35">
      <c r="A4660" t="s">
        <v>4413</v>
      </c>
      <c r="B4660" t="s">
        <v>4767</v>
      </c>
      <c r="C4660">
        <v>304</v>
      </c>
      <c r="D4660">
        <v>249</v>
      </c>
      <c r="E4660" t="s">
        <v>21</v>
      </c>
      <c r="F4660">
        <f>tbl_AQI[[#This Row],[Most AQI Reached]]-tbl_AQI[[#This Row],[Current AQI]]</f>
        <v>55</v>
      </c>
      <c r="G46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60">
        <f>RANK(tbl_AQI[[#This Row],[Current AQI]], tbl_AQI[Current AQI], 0)</f>
        <v>1096</v>
      </c>
    </row>
    <row r="4661" spans="1:8" x14ac:dyDescent="0.35">
      <c r="A4661" t="s">
        <v>4413</v>
      </c>
      <c r="B4661" t="s">
        <v>4768</v>
      </c>
      <c r="C4661">
        <v>472</v>
      </c>
      <c r="D4661">
        <v>403</v>
      </c>
      <c r="E4661" t="s">
        <v>9</v>
      </c>
      <c r="F4661">
        <f>tbl_AQI[[#This Row],[Most AQI Reached]]-tbl_AQI[[#This Row],[Current AQI]]</f>
        <v>69</v>
      </c>
      <c r="G46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61">
        <f>RANK(tbl_AQI[[#This Row],[Current AQI]], tbl_AQI[Current AQI], 0)</f>
        <v>378</v>
      </c>
    </row>
    <row r="4662" spans="1:8" x14ac:dyDescent="0.35">
      <c r="A4662" t="s">
        <v>4413</v>
      </c>
      <c r="B4662" t="s">
        <v>4769</v>
      </c>
      <c r="C4662">
        <v>459</v>
      </c>
      <c r="D4662">
        <v>457</v>
      </c>
      <c r="E4662" t="s">
        <v>21</v>
      </c>
      <c r="F4662">
        <f>tbl_AQI[[#This Row],[Most AQI Reached]]-tbl_AQI[[#This Row],[Current AQI]]</f>
        <v>2</v>
      </c>
      <c r="G46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62">
        <f>RANK(tbl_AQI[[#This Row],[Current AQI]], tbl_AQI[Current AQI], 0)</f>
        <v>120</v>
      </c>
    </row>
    <row r="4663" spans="1:8" x14ac:dyDescent="0.35">
      <c r="A4663" t="s">
        <v>4413</v>
      </c>
      <c r="B4663" t="s">
        <v>4770</v>
      </c>
      <c r="C4663">
        <v>321</v>
      </c>
      <c r="D4663">
        <v>287</v>
      </c>
      <c r="E4663" t="s">
        <v>33</v>
      </c>
      <c r="F4663">
        <f>tbl_AQI[[#This Row],[Most AQI Reached]]-tbl_AQI[[#This Row],[Current AQI]]</f>
        <v>34</v>
      </c>
      <c r="G46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63">
        <f>RANK(tbl_AQI[[#This Row],[Current AQI]], tbl_AQI[Current AQI], 0)</f>
        <v>920</v>
      </c>
    </row>
    <row r="4664" spans="1:8" x14ac:dyDescent="0.35">
      <c r="A4664" t="s">
        <v>4413</v>
      </c>
      <c r="B4664" t="s">
        <v>4771</v>
      </c>
      <c r="C4664">
        <v>396</v>
      </c>
      <c r="D4664">
        <v>336</v>
      </c>
      <c r="E4664" t="s">
        <v>33</v>
      </c>
      <c r="F4664">
        <f>tbl_AQI[[#This Row],[Most AQI Reached]]-tbl_AQI[[#This Row],[Current AQI]]</f>
        <v>60</v>
      </c>
      <c r="G46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64">
        <f>RANK(tbl_AQI[[#This Row],[Current AQI]], tbl_AQI[Current AQI], 0)</f>
        <v>700</v>
      </c>
    </row>
    <row r="4665" spans="1:8" x14ac:dyDescent="0.35">
      <c r="A4665" t="s">
        <v>4413</v>
      </c>
      <c r="B4665" t="s">
        <v>4772</v>
      </c>
      <c r="C4665">
        <v>456</v>
      </c>
      <c r="D4665">
        <v>202</v>
      </c>
      <c r="E4665" t="s">
        <v>9</v>
      </c>
      <c r="F4665">
        <f>tbl_AQI[[#This Row],[Most AQI Reached]]-tbl_AQI[[#This Row],[Current AQI]]</f>
        <v>254</v>
      </c>
      <c r="G46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65">
        <f>RANK(tbl_AQI[[#This Row],[Current AQI]], tbl_AQI[Current AQI], 0)</f>
        <v>1301</v>
      </c>
    </row>
    <row r="4666" spans="1:8" x14ac:dyDescent="0.35">
      <c r="A4666" t="s">
        <v>4413</v>
      </c>
      <c r="B4666" t="s">
        <v>4773</v>
      </c>
      <c r="C4666">
        <v>421</v>
      </c>
      <c r="D4666">
        <v>313</v>
      </c>
      <c r="E4666" t="s">
        <v>17</v>
      </c>
      <c r="F4666">
        <f>tbl_AQI[[#This Row],[Most AQI Reached]]-tbl_AQI[[#This Row],[Current AQI]]</f>
        <v>108</v>
      </c>
      <c r="G46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66">
        <f>RANK(tbl_AQI[[#This Row],[Current AQI]], tbl_AQI[Current AQI], 0)</f>
        <v>809</v>
      </c>
    </row>
    <row r="4667" spans="1:8" x14ac:dyDescent="0.35">
      <c r="A4667" t="s">
        <v>4413</v>
      </c>
      <c r="B4667" t="s">
        <v>4774</v>
      </c>
      <c r="C4667">
        <v>452</v>
      </c>
      <c r="D4667">
        <v>428</v>
      </c>
      <c r="E4667" t="s">
        <v>9</v>
      </c>
      <c r="F4667">
        <f>tbl_AQI[[#This Row],[Most AQI Reached]]-tbl_AQI[[#This Row],[Current AQI]]</f>
        <v>24</v>
      </c>
      <c r="G46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67">
        <f>RANK(tbl_AQI[[#This Row],[Current AQI]], tbl_AQI[Current AQI], 0)</f>
        <v>273</v>
      </c>
    </row>
    <row r="4668" spans="1:8" x14ac:dyDescent="0.35">
      <c r="A4668" t="s">
        <v>4413</v>
      </c>
      <c r="B4668" t="s">
        <v>4775</v>
      </c>
      <c r="C4668">
        <v>483</v>
      </c>
      <c r="D4668">
        <v>476</v>
      </c>
      <c r="E4668" t="s">
        <v>21</v>
      </c>
      <c r="F4668">
        <f>tbl_AQI[[#This Row],[Most AQI Reached]]-tbl_AQI[[#This Row],[Current AQI]]</f>
        <v>7</v>
      </c>
      <c r="G46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68">
        <f>RANK(tbl_AQI[[#This Row],[Current AQI]], tbl_AQI[Current AQI], 0)</f>
        <v>18</v>
      </c>
    </row>
    <row r="4669" spans="1:8" x14ac:dyDescent="0.35">
      <c r="A4669" t="s">
        <v>4413</v>
      </c>
      <c r="B4669" t="s">
        <v>4776</v>
      </c>
      <c r="C4669">
        <v>433</v>
      </c>
      <c r="D4669">
        <v>360</v>
      </c>
      <c r="E4669" t="s">
        <v>9</v>
      </c>
      <c r="F4669">
        <f>tbl_AQI[[#This Row],[Most AQI Reached]]-tbl_AQI[[#This Row],[Current AQI]]</f>
        <v>73</v>
      </c>
      <c r="G46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69">
        <f>RANK(tbl_AQI[[#This Row],[Current AQI]], tbl_AQI[Current AQI], 0)</f>
        <v>574</v>
      </c>
    </row>
    <row r="4670" spans="1:8" x14ac:dyDescent="0.35">
      <c r="A4670" t="s">
        <v>4413</v>
      </c>
      <c r="B4670" t="s">
        <v>4777</v>
      </c>
      <c r="C4670">
        <v>336</v>
      </c>
      <c r="D4670">
        <v>171</v>
      </c>
      <c r="E4670" t="s">
        <v>9</v>
      </c>
      <c r="F4670">
        <f>tbl_AQI[[#This Row],[Most AQI Reached]]-tbl_AQI[[#This Row],[Current AQI]]</f>
        <v>165</v>
      </c>
      <c r="G46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70">
        <f>RANK(tbl_AQI[[#This Row],[Current AQI]], tbl_AQI[Current AQI], 0)</f>
        <v>1866</v>
      </c>
    </row>
    <row r="4671" spans="1:8" x14ac:dyDescent="0.35">
      <c r="A4671" t="s">
        <v>4413</v>
      </c>
      <c r="B4671" t="s">
        <v>4778</v>
      </c>
      <c r="C4671">
        <v>350</v>
      </c>
      <c r="D4671">
        <v>184</v>
      </c>
      <c r="E4671" t="s">
        <v>7</v>
      </c>
      <c r="F4671">
        <f>tbl_AQI[[#This Row],[Most AQI Reached]]-tbl_AQI[[#This Row],[Current AQI]]</f>
        <v>166</v>
      </c>
      <c r="G46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71">
        <f>RANK(tbl_AQI[[#This Row],[Current AQI]], tbl_AQI[Current AQI], 0)</f>
        <v>1544</v>
      </c>
    </row>
    <row r="4672" spans="1:8" x14ac:dyDescent="0.35">
      <c r="A4672" t="s">
        <v>4413</v>
      </c>
      <c r="B4672" t="s">
        <v>4779</v>
      </c>
      <c r="C4672">
        <v>500</v>
      </c>
      <c r="D4672">
        <v>334</v>
      </c>
      <c r="E4672" t="s">
        <v>21</v>
      </c>
      <c r="F4672">
        <f>tbl_AQI[[#This Row],[Most AQI Reached]]-tbl_AQI[[#This Row],[Current AQI]]</f>
        <v>166</v>
      </c>
      <c r="G46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72">
        <f>RANK(tbl_AQI[[#This Row],[Current AQI]], tbl_AQI[Current AQI], 0)</f>
        <v>717</v>
      </c>
    </row>
    <row r="4673" spans="1:8" x14ac:dyDescent="0.35">
      <c r="A4673" t="s">
        <v>4413</v>
      </c>
      <c r="B4673" t="s">
        <v>4780</v>
      </c>
      <c r="C4673">
        <v>402</v>
      </c>
      <c r="D4673">
        <v>361</v>
      </c>
      <c r="E4673" t="s">
        <v>21</v>
      </c>
      <c r="F4673">
        <f>tbl_AQI[[#This Row],[Most AQI Reached]]-tbl_AQI[[#This Row],[Current AQI]]</f>
        <v>41</v>
      </c>
      <c r="G46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73">
        <f>RANK(tbl_AQI[[#This Row],[Current AQI]], tbl_AQI[Current AQI], 0)</f>
        <v>570</v>
      </c>
    </row>
    <row r="4674" spans="1:8" x14ac:dyDescent="0.35">
      <c r="A4674" t="s">
        <v>4413</v>
      </c>
      <c r="B4674" t="s">
        <v>4781</v>
      </c>
      <c r="C4674">
        <v>492</v>
      </c>
      <c r="D4674">
        <v>253</v>
      </c>
      <c r="E4674" t="s">
        <v>11</v>
      </c>
      <c r="F4674">
        <f>tbl_AQI[[#This Row],[Most AQI Reached]]-tbl_AQI[[#This Row],[Current AQI]]</f>
        <v>239</v>
      </c>
      <c r="G46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74">
        <f>RANK(tbl_AQI[[#This Row],[Current AQI]], tbl_AQI[Current AQI], 0)</f>
        <v>1080</v>
      </c>
    </row>
    <row r="4675" spans="1:8" x14ac:dyDescent="0.35">
      <c r="A4675" t="s">
        <v>4413</v>
      </c>
      <c r="B4675" t="s">
        <v>4782</v>
      </c>
      <c r="C4675">
        <v>444</v>
      </c>
      <c r="D4675">
        <v>250</v>
      </c>
      <c r="E4675" t="s">
        <v>33</v>
      </c>
      <c r="F4675">
        <f>tbl_AQI[[#This Row],[Most AQI Reached]]-tbl_AQI[[#This Row],[Current AQI]]</f>
        <v>194</v>
      </c>
      <c r="G46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75">
        <f>RANK(tbl_AQI[[#This Row],[Current AQI]], tbl_AQI[Current AQI], 0)</f>
        <v>1092</v>
      </c>
    </row>
    <row r="4676" spans="1:8" x14ac:dyDescent="0.35">
      <c r="A4676" t="s">
        <v>4413</v>
      </c>
      <c r="B4676" t="s">
        <v>4783</v>
      </c>
      <c r="C4676">
        <v>458</v>
      </c>
      <c r="D4676">
        <v>452</v>
      </c>
      <c r="E4676" t="s">
        <v>7</v>
      </c>
      <c r="F4676">
        <f>tbl_AQI[[#This Row],[Most AQI Reached]]-tbl_AQI[[#This Row],[Current AQI]]</f>
        <v>6</v>
      </c>
      <c r="G46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76">
        <f>RANK(tbl_AQI[[#This Row],[Current AQI]], tbl_AQI[Current AQI], 0)</f>
        <v>150</v>
      </c>
    </row>
    <row r="4677" spans="1:8" x14ac:dyDescent="0.35">
      <c r="A4677" t="s">
        <v>4413</v>
      </c>
      <c r="B4677" t="s">
        <v>4784</v>
      </c>
      <c r="C4677">
        <v>499</v>
      </c>
      <c r="D4677">
        <v>305</v>
      </c>
      <c r="E4677" t="s">
        <v>21</v>
      </c>
      <c r="F4677">
        <f>tbl_AQI[[#This Row],[Most AQI Reached]]-tbl_AQI[[#This Row],[Current AQI]]</f>
        <v>194</v>
      </c>
      <c r="G46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77">
        <f>RANK(tbl_AQI[[#This Row],[Current AQI]], tbl_AQI[Current AQI], 0)</f>
        <v>833</v>
      </c>
    </row>
    <row r="4678" spans="1:8" x14ac:dyDescent="0.35">
      <c r="A4678" t="s">
        <v>4413</v>
      </c>
      <c r="B4678" t="s">
        <v>4785</v>
      </c>
      <c r="C4678">
        <v>418</v>
      </c>
      <c r="D4678">
        <v>417</v>
      </c>
      <c r="E4678" t="s">
        <v>7</v>
      </c>
      <c r="F4678">
        <f>tbl_AQI[[#This Row],[Most AQI Reached]]-tbl_AQI[[#This Row],[Current AQI]]</f>
        <v>1</v>
      </c>
      <c r="G46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78">
        <f>RANK(tbl_AQI[[#This Row],[Current AQI]], tbl_AQI[Current AQI], 0)</f>
        <v>316</v>
      </c>
    </row>
    <row r="4679" spans="1:8" x14ac:dyDescent="0.35">
      <c r="A4679" t="s">
        <v>4413</v>
      </c>
      <c r="B4679" t="s">
        <v>4786</v>
      </c>
      <c r="C4679">
        <v>323</v>
      </c>
      <c r="D4679">
        <v>164</v>
      </c>
      <c r="E4679" t="s">
        <v>7</v>
      </c>
      <c r="F4679">
        <f>tbl_AQI[[#This Row],[Most AQI Reached]]-tbl_AQI[[#This Row],[Current AQI]]</f>
        <v>159</v>
      </c>
      <c r="G46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79">
        <f>RANK(tbl_AQI[[#This Row],[Current AQI]], tbl_AQI[Current AQI], 0)</f>
        <v>2049</v>
      </c>
    </row>
    <row r="4680" spans="1:8" x14ac:dyDescent="0.35">
      <c r="A4680" t="s">
        <v>4413</v>
      </c>
      <c r="B4680" t="s">
        <v>4787</v>
      </c>
      <c r="C4680">
        <v>442</v>
      </c>
      <c r="D4680">
        <v>185</v>
      </c>
      <c r="E4680" t="s">
        <v>9</v>
      </c>
      <c r="F4680">
        <f>tbl_AQI[[#This Row],[Most AQI Reached]]-tbl_AQI[[#This Row],[Current AQI]]</f>
        <v>257</v>
      </c>
      <c r="G46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80">
        <f>RANK(tbl_AQI[[#This Row],[Current AQI]], tbl_AQI[Current AQI], 0)</f>
        <v>1517</v>
      </c>
    </row>
    <row r="4681" spans="1:8" x14ac:dyDescent="0.35">
      <c r="A4681" t="s">
        <v>4413</v>
      </c>
      <c r="B4681" t="s">
        <v>4788</v>
      </c>
      <c r="C4681">
        <v>450</v>
      </c>
      <c r="D4681">
        <v>258</v>
      </c>
      <c r="E4681" t="s">
        <v>11</v>
      </c>
      <c r="F4681">
        <f>tbl_AQI[[#This Row],[Most AQI Reached]]-tbl_AQI[[#This Row],[Current AQI]]</f>
        <v>192</v>
      </c>
      <c r="G46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81">
        <f>RANK(tbl_AQI[[#This Row],[Current AQI]], tbl_AQI[Current AQI], 0)</f>
        <v>1052</v>
      </c>
    </row>
    <row r="4682" spans="1:8" x14ac:dyDescent="0.35">
      <c r="A4682" t="s">
        <v>4413</v>
      </c>
      <c r="B4682" t="s">
        <v>4789</v>
      </c>
      <c r="C4682">
        <v>499</v>
      </c>
      <c r="D4682">
        <v>401</v>
      </c>
      <c r="E4682" t="s">
        <v>9</v>
      </c>
      <c r="F4682">
        <f>tbl_AQI[[#This Row],[Most AQI Reached]]-tbl_AQI[[#This Row],[Current AQI]]</f>
        <v>98</v>
      </c>
      <c r="G46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82">
        <f>RANK(tbl_AQI[[#This Row],[Current AQI]], tbl_AQI[Current AQI], 0)</f>
        <v>388</v>
      </c>
    </row>
    <row r="4683" spans="1:8" x14ac:dyDescent="0.35">
      <c r="A4683" t="s">
        <v>4413</v>
      </c>
      <c r="B4683" t="s">
        <v>4790</v>
      </c>
      <c r="C4683">
        <v>412</v>
      </c>
      <c r="D4683">
        <v>366</v>
      </c>
      <c r="E4683" t="s">
        <v>21</v>
      </c>
      <c r="F4683">
        <f>tbl_AQI[[#This Row],[Most AQI Reached]]-tbl_AQI[[#This Row],[Current AQI]]</f>
        <v>46</v>
      </c>
      <c r="G46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83">
        <f>RANK(tbl_AQI[[#This Row],[Current AQI]], tbl_AQI[Current AQI], 0)</f>
        <v>555</v>
      </c>
    </row>
    <row r="4684" spans="1:8" x14ac:dyDescent="0.35">
      <c r="A4684" t="s">
        <v>4413</v>
      </c>
      <c r="B4684" t="s">
        <v>4791</v>
      </c>
      <c r="C4684">
        <v>249</v>
      </c>
      <c r="D4684">
        <v>186</v>
      </c>
      <c r="E4684" t="s">
        <v>9</v>
      </c>
      <c r="F4684">
        <f>tbl_AQI[[#This Row],[Most AQI Reached]]-tbl_AQI[[#This Row],[Current AQI]]</f>
        <v>63</v>
      </c>
      <c r="G46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84">
        <f>RANK(tbl_AQI[[#This Row],[Current AQI]], tbl_AQI[Current AQI], 0)</f>
        <v>1478</v>
      </c>
    </row>
    <row r="4685" spans="1:8" x14ac:dyDescent="0.35">
      <c r="A4685" t="s">
        <v>4413</v>
      </c>
      <c r="B4685" t="s">
        <v>4792</v>
      </c>
      <c r="C4685">
        <v>337</v>
      </c>
      <c r="D4685">
        <v>239</v>
      </c>
      <c r="E4685" t="s">
        <v>7</v>
      </c>
      <c r="F4685">
        <f>tbl_AQI[[#This Row],[Most AQI Reached]]-tbl_AQI[[#This Row],[Current AQI]]</f>
        <v>98</v>
      </c>
      <c r="G46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85">
        <f>RANK(tbl_AQI[[#This Row],[Current AQI]], tbl_AQI[Current AQI], 0)</f>
        <v>1145</v>
      </c>
    </row>
    <row r="4686" spans="1:8" x14ac:dyDescent="0.35">
      <c r="A4686" t="s">
        <v>4413</v>
      </c>
      <c r="B4686" t="s">
        <v>4793</v>
      </c>
      <c r="C4686">
        <v>350</v>
      </c>
      <c r="D4686">
        <v>316</v>
      </c>
      <c r="E4686" t="s">
        <v>7</v>
      </c>
      <c r="F4686">
        <f>tbl_AQI[[#This Row],[Most AQI Reached]]-tbl_AQI[[#This Row],[Current AQI]]</f>
        <v>34</v>
      </c>
      <c r="G46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86">
        <f>RANK(tbl_AQI[[#This Row],[Current AQI]], tbl_AQI[Current AQI], 0)</f>
        <v>799</v>
      </c>
    </row>
    <row r="4687" spans="1:8" x14ac:dyDescent="0.35">
      <c r="A4687" t="s">
        <v>4413</v>
      </c>
      <c r="B4687" t="s">
        <v>4794</v>
      </c>
      <c r="C4687">
        <v>471</v>
      </c>
      <c r="D4687">
        <v>299</v>
      </c>
      <c r="E4687" t="s">
        <v>17</v>
      </c>
      <c r="F4687">
        <f>tbl_AQI[[#This Row],[Most AQI Reached]]-tbl_AQI[[#This Row],[Current AQI]]</f>
        <v>172</v>
      </c>
      <c r="G46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87">
        <f>RANK(tbl_AQI[[#This Row],[Current AQI]], tbl_AQI[Current AQI], 0)</f>
        <v>860</v>
      </c>
    </row>
    <row r="4688" spans="1:8" x14ac:dyDescent="0.35">
      <c r="A4688" t="s">
        <v>4413</v>
      </c>
      <c r="B4688" t="s">
        <v>4795</v>
      </c>
      <c r="C4688">
        <v>363</v>
      </c>
      <c r="D4688">
        <v>329</v>
      </c>
      <c r="E4688" t="s">
        <v>17</v>
      </c>
      <c r="F4688">
        <f>tbl_AQI[[#This Row],[Most AQI Reached]]-tbl_AQI[[#This Row],[Current AQI]]</f>
        <v>34</v>
      </c>
      <c r="G46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88">
        <f>RANK(tbl_AQI[[#This Row],[Current AQI]], tbl_AQI[Current AQI], 0)</f>
        <v>738</v>
      </c>
    </row>
    <row r="4689" spans="1:8" x14ac:dyDescent="0.35">
      <c r="A4689" t="s">
        <v>4413</v>
      </c>
      <c r="B4689" t="s">
        <v>4796</v>
      </c>
      <c r="C4689">
        <v>372</v>
      </c>
      <c r="D4689">
        <v>359</v>
      </c>
      <c r="E4689" t="s">
        <v>21</v>
      </c>
      <c r="F4689">
        <f>tbl_AQI[[#This Row],[Most AQI Reached]]-tbl_AQI[[#This Row],[Current AQI]]</f>
        <v>13</v>
      </c>
      <c r="G46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89">
        <f>RANK(tbl_AQI[[#This Row],[Current AQI]], tbl_AQI[Current AQI], 0)</f>
        <v>582</v>
      </c>
    </row>
    <row r="4690" spans="1:8" x14ac:dyDescent="0.35">
      <c r="A4690" t="s">
        <v>4413</v>
      </c>
      <c r="B4690" t="s">
        <v>4797</v>
      </c>
      <c r="C4690">
        <v>388</v>
      </c>
      <c r="D4690">
        <v>154</v>
      </c>
      <c r="E4690" t="s">
        <v>33</v>
      </c>
      <c r="F4690">
        <f>tbl_AQI[[#This Row],[Most AQI Reached]]-tbl_AQI[[#This Row],[Current AQI]]</f>
        <v>234</v>
      </c>
      <c r="G46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90">
        <f>RANK(tbl_AQI[[#This Row],[Current AQI]], tbl_AQI[Current AQI], 0)</f>
        <v>2307</v>
      </c>
    </row>
    <row r="4691" spans="1:8" x14ac:dyDescent="0.35">
      <c r="A4691" t="s">
        <v>4413</v>
      </c>
      <c r="B4691" t="s">
        <v>4798</v>
      </c>
      <c r="C4691">
        <v>433</v>
      </c>
      <c r="D4691">
        <v>382</v>
      </c>
      <c r="E4691" t="s">
        <v>21</v>
      </c>
      <c r="F4691">
        <f>tbl_AQI[[#This Row],[Most AQI Reached]]-tbl_AQI[[#This Row],[Current AQI]]</f>
        <v>51</v>
      </c>
      <c r="G46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91">
        <f>RANK(tbl_AQI[[#This Row],[Current AQI]], tbl_AQI[Current AQI], 0)</f>
        <v>471</v>
      </c>
    </row>
    <row r="4692" spans="1:8" x14ac:dyDescent="0.35">
      <c r="A4692" t="s">
        <v>4413</v>
      </c>
      <c r="B4692" t="s">
        <v>4799</v>
      </c>
      <c r="C4692">
        <v>495</v>
      </c>
      <c r="D4692">
        <v>300</v>
      </c>
      <c r="E4692" t="s">
        <v>11</v>
      </c>
      <c r="F4692">
        <f>tbl_AQI[[#This Row],[Most AQI Reached]]-tbl_AQI[[#This Row],[Current AQI]]</f>
        <v>195</v>
      </c>
      <c r="G46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92">
        <f>RANK(tbl_AQI[[#This Row],[Current AQI]], tbl_AQI[Current AQI], 0)</f>
        <v>851</v>
      </c>
    </row>
    <row r="4693" spans="1:8" x14ac:dyDescent="0.35">
      <c r="A4693" t="s">
        <v>4413</v>
      </c>
      <c r="B4693" t="s">
        <v>4800</v>
      </c>
      <c r="C4693">
        <v>441</v>
      </c>
      <c r="D4693">
        <v>387</v>
      </c>
      <c r="E4693" t="s">
        <v>7</v>
      </c>
      <c r="F4693">
        <f>tbl_AQI[[#This Row],[Most AQI Reached]]-tbl_AQI[[#This Row],[Current AQI]]</f>
        <v>54</v>
      </c>
      <c r="G46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93">
        <f>RANK(tbl_AQI[[#This Row],[Current AQI]], tbl_AQI[Current AQI], 0)</f>
        <v>451</v>
      </c>
    </row>
    <row r="4694" spans="1:8" x14ac:dyDescent="0.35">
      <c r="A4694" t="s">
        <v>4413</v>
      </c>
      <c r="B4694" t="s">
        <v>4801</v>
      </c>
      <c r="C4694">
        <v>466</v>
      </c>
      <c r="D4694">
        <v>408</v>
      </c>
      <c r="E4694" t="s">
        <v>7</v>
      </c>
      <c r="F4694">
        <f>tbl_AQI[[#This Row],[Most AQI Reached]]-tbl_AQI[[#This Row],[Current AQI]]</f>
        <v>58</v>
      </c>
      <c r="G46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94">
        <f>RANK(tbl_AQI[[#This Row],[Current AQI]], tbl_AQI[Current AQI], 0)</f>
        <v>353</v>
      </c>
    </row>
    <row r="4695" spans="1:8" x14ac:dyDescent="0.35">
      <c r="A4695" t="s">
        <v>4413</v>
      </c>
      <c r="B4695" t="s">
        <v>4802</v>
      </c>
      <c r="C4695">
        <v>409</v>
      </c>
      <c r="D4695">
        <v>185</v>
      </c>
      <c r="E4695" t="s">
        <v>17</v>
      </c>
      <c r="F4695">
        <f>tbl_AQI[[#This Row],[Most AQI Reached]]-tbl_AQI[[#This Row],[Current AQI]]</f>
        <v>224</v>
      </c>
      <c r="G46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695">
        <f>RANK(tbl_AQI[[#This Row],[Current AQI]], tbl_AQI[Current AQI], 0)</f>
        <v>1517</v>
      </c>
    </row>
    <row r="4696" spans="1:8" x14ac:dyDescent="0.35">
      <c r="A4696" t="s">
        <v>4413</v>
      </c>
      <c r="B4696" t="s">
        <v>4803</v>
      </c>
      <c r="C4696">
        <v>437</v>
      </c>
      <c r="D4696">
        <v>301</v>
      </c>
      <c r="E4696" t="s">
        <v>17</v>
      </c>
      <c r="F4696">
        <f>tbl_AQI[[#This Row],[Most AQI Reached]]-tbl_AQI[[#This Row],[Current AQI]]</f>
        <v>136</v>
      </c>
      <c r="G46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96">
        <f>RANK(tbl_AQI[[#This Row],[Current AQI]], tbl_AQI[Current AQI], 0)</f>
        <v>844</v>
      </c>
    </row>
    <row r="4697" spans="1:8" x14ac:dyDescent="0.35">
      <c r="A4697" t="s">
        <v>4413</v>
      </c>
      <c r="B4697" t="s">
        <v>4804</v>
      </c>
      <c r="C4697">
        <v>420</v>
      </c>
      <c r="D4697">
        <v>207</v>
      </c>
      <c r="E4697" t="s">
        <v>11</v>
      </c>
      <c r="F4697">
        <f>tbl_AQI[[#This Row],[Most AQI Reached]]-tbl_AQI[[#This Row],[Current AQI]]</f>
        <v>213</v>
      </c>
      <c r="G46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697">
        <f>RANK(tbl_AQI[[#This Row],[Current AQI]], tbl_AQI[Current AQI], 0)</f>
        <v>1287</v>
      </c>
    </row>
    <row r="4698" spans="1:8" x14ac:dyDescent="0.35">
      <c r="A4698" t="s">
        <v>4413</v>
      </c>
      <c r="B4698" t="s">
        <v>4805</v>
      </c>
      <c r="C4698">
        <v>404</v>
      </c>
      <c r="D4698">
        <v>308</v>
      </c>
      <c r="E4698" t="s">
        <v>9</v>
      </c>
      <c r="F4698">
        <f>tbl_AQI[[#This Row],[Most AQI Reached]]-tbl_AQI[[#This Row],[Current AQI]]</f>
        <v>96</v>
      </c>
      <c r="G46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698">
        <f>RANK(tbl_AQI[[#This Row],[Current AQI]], tbl_AQI[Current AQI], 0)</f>
        <v>824</v>
      </c>
    </row>
    <row r="4699" spans="1:8" x14ac:dyDescent="0.35">
      <c r="A4699" t="s">
        <v>4413</v>
      </c>
      <c r="B4699" t="s">
        <v>4806</v>
      </c>
      <c r="C4699">
        <v>458</v>
      </c>
      <c r="D4699">
        <v>427</v>
      </c>
      <c r="E4699" t="s">
        <v>21</v>
      </c>
      <c r="F4699">
        <f>tbl_AQI[[#This Row],[Most AQI Reached]]-tbl_AQI[[#This Row],[Current AQI]]</f>
        <v>31</v>
      </c>
      <c r="G46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699">
        <f>RANK(tbl_AQI[[#This Row],[Current AQI]], tbl_AQI[Current AQI], 0)</f>
        <v>281</v>
      </c>
    </row>
    <row r="4700" spans="1:8" x14ac:dyDescent="0.35">
      <c r="A4700" t="s">
        <v>4413</v>
      </c>
      <c r="B4700" t="s">
        <v>4807</v>
      </c>
      <c r="C4700">
        <v>387</v>
      </c>
      <c r="D4700">
        <v>190</v>
      </c>
      <c r="E4700" t="s">
        <v>9</v>
      </c>
      <c r="F4700">
        <f>tbl_AQI[[#This Row],[Most AQI Reached]]-tbl_AQI[[#This Row],[Current AQI]]</f>
        <v>197</v>
      </c>
      <c r="G47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00">
        <f>RANK(tbl_AQI[[#This Row],[Current AQI]], tbl_AQI[Current AQI], 0)</f>
        <v>1355</v>
      </c>
    </row>
    <row r="4701" spans="1:8" x14ac:dyDescent="0.35">
      <c r="A4701" t="s">
        <v>4413</v>
      </c>
      <c r="B4701" t="s">
        <v>4808</v>
      </c>
      <c r="C4701">
        <v>447</v>
      </c>
      <c r="D4701">
        <v>360</v>
      </c>
      <c r="E4701" t="s">
        <v>21</v>
      </c>
      <c r="F4701">
        <f>tbl_AQI[[#This Row],[Most AQI Reached]]-tbl_AQI[[#This Row],[Current AQI]]</f>
        <v>87</v>
      </c>
      <c r="G47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01">
        <f>RANK(tbl_AQI[[#This Row],[Current AQI]], tbl_AQI[Current AQI], 0)</f>
        <v>574</v>
      </c>
    </row>
    <row r="4702" spans="1:8" x14ac:dyDescent="0.35">
      <c r="A4702" t="s">
        <v>4413</v>
      </c>
      <c r="B4702" t="s">
        <v>4809</v>
      </c>
      <c r="C4702">
        <v>427</v>
      </c>
      <c r="D4702">
        <v>345</v>
      </c>
      <c r="E4702" t="s">
        <v>21</v>
      </c>
      <c r="F4702">
        <f>tbl_AQI[[#This Row],[Most AQI Reached]]-tbl_AQI[[#This Row],[Current AQI]]</f>
        <v>82</v>
      </c>
      <c r="G47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02">
        <f>RANK(tbl_AQI[[#This Row],[Current AQI]], tbl_AQI[Current AQI], 0)</f>
        <v>651</v>
      </c>
    </row>
    <row r="4703" spans="1:8" x14ac:dyDescent="0.35">
      <c r="A4703" t="s">
        <v>4413</v>
      </c>
      <c r="B4703" t="s">
        <v>4810</v>
      </c>
      <c r="C4703">
        <v>333</v>
      </c>
      <c r="D4703">
        <v>184</v>
      </c>
      <c r="E4703" t="s">
        <v>15</v>
      </c>
      <c r="F4703">
        <f>tbl_AQI[[#This Row],[Most AQI Reached]]-tbl_AQI[[#This Row],[Current AQI]]</f>
        <v>149</v>
      </c>
      <c r="G47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03">
        <f>RANK(tbl_AQI[[#This Row],[Current AQI]], tbl_AQI[Current AQI], 0)</f>
        <v>1544</v>
      </c>
    </row>
    <row r="4704" spans="1:8" x14ac:dyDescent="0.35">
      <c r="A4704" t="s">
        <v>4413</v>
      </c>
      <c r="B4704" t="s">
        <v>4811</v>
      </c>
      <c r="C4704">
        <v>354</v>
      </c>
      <c r="D4704">
        <v>264</v>
      </c>
      <c r="E4704" t="s">
        <v>7</v>
      </c>
      <c r="F4704">
        <f>tbl_AQI[[#This Row],[Most AQI Reached]]-tbl_AQI[[#This Row],[Current AQI]]</f>
        <v>90</v>
      </c>
      <c r="G47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04">
        <f>RANK(tbl_AQI[[#This Row],[Current AQI]], tbl_AQI[Current AQI], 0)</f>
        <v>1028</v>
      </c>
    </row>
    <row r="4705" spans="1:8" x14ac:dyDescent="0.35">
      <c r="A4705" t="s">
        <v>4413</v>
      </c>
      <c r="B4705" t="s">
        <v>4812</v>
      </c>
      <c r="C4705">
        <v>445</v>
      </c>
      <c r="D4705">
        <v>365</v>
      </c>
      <c r="E4705" t="s">
        <v>9</v>
      </c>
      <c r="F4705">
        <f>tbl_AQI[[#This Row],[Most AQI Reached]]-tbl_AQI[[#This Row],[Current AQI]]</f>
        <v>80</v>
      </c>
      <c r="G47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05">
        <f>RANK(tbl_AQI[[#This Row],[Current AQI]], tbl_AQI[Current AQI], 0)</f>
        <v>556</v>
      </c>
    </row>
    <row r="4706" spans="1:8" x14ac:dyDescent="0.35">
      <c r="A4706" t="s">
        <v>4413</v>
      </c>
      <c r="B4706" t="s">
        <v>4813</v>
      </c>
      <c r="C4706">
        <v>442</v>
      </c>
      <c r="D4706">
        <v>394</v>
      </c>
      <c r="E4706" t="s">
        <v>21</v>
      </c>
      <c r="F4706">
        <f>tbl_AQI[[#This Row],[Most AQI Reached]]-tbl_AQI[[#This Row],[Current AQI]]</f>
        <v>48</v>
      </c>
      <c r="G47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06">
        <f>RANK(tbl_AQI[[#This Row],[Current AQI]], tbl_AQI[Current AQI], 0)</f>
        <v>425</v>
      </c>
    </row>
    <row r="4707" spans="1:8" x14ac:dyDescent="0.35">
      <c r="A4707" t="s">
        <v>4413</v>
      </c>
      <c r="B4707" t="s">
        <v>4814</v>
      </c>
      <c r="C4707">
        <v>468</v>
      </c>
      <c r="D4707">
        <v>343</v>
      </c>
      <c r="E4707" t="s">
        <v>7</v>
      </c>
      <c r="F4707">
        <f>tbl_AQI[[#This Row],[Most AQI Reached]]-tbl_AQI[[#This Row],[Current AQI]]</f>
        <v>125</v>
      </c>
      <c r="G47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07">
        <f>RANK(tbl_AQI[[#This Row],[Current AQI]], tbl_AQI[Current AQI], 0)</f>
        <v>662</v>
      </c>
    </row>
    <row r="4708" spans="1:8" x14ac:dyDescent="0.35">
      <c r="A4708" t="s">
        <v>4413</v>
      </c>
      <c r="B4708" t="s">
        <v>4815</v>
      </c>
      <c r="C4708">
        <v>326</v>
      </c>
      <c r="D4708">
        <v>286</v>
      </c>
      <c r="E4708" t="s">
        <v>15</v>
      </c>
      <c r="F4708">
        <f>tbl_AQI[[#This Row],[Most AQI Reached]]-tbl_AQI[[#This Row],[Current AQI]]</f>
        <v>40</v>
      </c>
      <c r="G47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08">
        <f>RANK(tbl_AQI[[#This Row],[Current AQI]], tbl_AQI[Current AQI], 0)</f>
        <v>925</v>
      </c>
    </row>
    <row r="4709" spans="1:8" x14ac:dyDescent="0.35">
      <c r="A4709" t="s">
        <v>4413</v>
      </c>
      <c r="B4709" t="s">
        <v>4816</v>
      </c>
      <c r="C4709">
        <v>475</v>
      </c>
      <c r="D4709">
        <v>244</v>
      </c>
      <c r="E4709" t="s">
        <v>33</v>
      </c>
      <c r="F4709">
        <f>tbl_AQI[[#This Row],[Most AQI Reached]]-tbl_AQI[[#This Row],[Current AQI]]</f>
        <v>231</v>
      </c>
      <c r="G47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09">
        <f>RANK(tbl_AQI[[#This Row],[Current AQI]], tbl_AQI[Current AQI], 0)</f>
        <v>1127</v>
      </c>
    </row>
    <row r="4710" spans="1:8" x14ac:dyDescent="0.35">
      <c r="A4710" t="s">
        <v>4413</v>
      </c>
      <c r="B4710" t="s">
        <v>4817</v>
      </c>
      <c r="C4710">
        <v>487</v>
      </c>
      <c r="D4710">
        <v>185</v>
      </c>
      <c r="E4710" t="s">
        <v>33</v>
      </c>
      <c r="F4710">
        <f>tbl_AQI[[#This Row],[Most AQI Reached]]-tbl_AQI[[#This Row],[Current AQI]]</f>
        <v>302</v>
      </c>
      <c r="G47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10">
        <f>RANK(tbl_AQI[[#This Row],[Current AQI]], tbl_AQI[Current AQI], 0)</f>
        <v>1517</v>
      </c>
    </row>
    <row r="4711" spans="1:8" x14ac:dyDescent="0.35">
      <c r="A4711" t="s">
        <v>4413</v>
      </c>
      <c r="B4711" t="s">
        <v>4818</v>
      </c>
      <c r="C4711">
        <v>419</v>
      </c>
      <c r="D4711">
        <v>381</v>
      </c>
      <c r="E4711" t="s">
        <v>21</v>
      </c>
      <c r="F4711">
        <f>tbl_AQI[[#This Row],[Most AQI Reached]]-tbl_AQI[[#This Row],[Current AQI]]</f>
        <v>38</v>
      </c>
      <c r="G47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11">
        <f>RANK(tbl_AQI[[#This Row],[Current AQI]], tbl_AQI[Current AQI], 0)</f>
        <v>478</v>
      </c>
    </row>
    <row r="4712" spans="1:8" x14ac:dyDescent="0.35">
      <c r="A4712" t="s">
        <v>4413</v>
      </c>
      <c r="B4712" t="s">
        <v>4819</v>
      </c>
      <c r="C4712">
        <v>497</v>
      </c>
      <c r="D4712">
        <v>451</v>
      </c>
      <c r="E4712" t="s">
        <v>21</v>
      </c>
      <c r="F4712">
        <f>tbl_AQI[[#This Row],[Most AQI Reached]]-tbl_AQI[[#This Row],[Current AQI]]</f>
        <v>46</v>
      </c>
      <c r="G47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12">
        <f>RANK(tbl_AQI[[#This Row],[Current AQI]], tbl_AQI[Current AQI], 0)</f>
        <v>158</v>
      </c>
    </row>
    <row r="4713" spans="1:8" x14ac:dyDescent="0.35">
      <c r="A4713" t="s">
        <v>4413</v>
      </c>
      <c r="B4713" t="s">
        <v>3736</v>
      </c>
      <c r="C4713">
        <v>487</v>
      </c>
      <c r="D4713">
        <v>381</v>
      </c>
      <c r="E4713" t="s">
        <v>7</v>
      </c>
      <c r="F4713">
        <f>tbl_AQI[[#This Row],[Most AQI Reached]]-tbl_AQI[[#This Row],[Current AQI]]</f>
        <v>106</v>
      </c>
      <c r="G47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13">
        <f>RANK(tbl_AQI[[#This Row],[Current AQI]], tbl_AQI[Current AQI], 0)</f>
        <v>478</v>
      </c>
    </row>
    <row r="4714" spans="1:8" x14ac:dyDescent="0.35">
      <c r="A4714" t="s">
        <v>4413</v>
      </c>
      <c r="B4714" t="s">
        <v>3737</v>
      </c>
      <c r="C4714">
        <v>489</v>
      </c>
      <c r="D4714">
        <v>379</v>
      </c>
      <c r="E4714" t="s">
        <v>21</v>
      </c>
      <c r="F4714">
        <f>tbl_AQI[[#This Row],[Most AQI Reached]]-tbl_AQI[[#This Row],[Current AQI]]</f>
        <v>110</v>
      </c>
      <c r="G47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14">
        <f>RANK(tbl_AQI[[#This Row],[Current AQI]], tbl_AQI[Current AQI], 0)</f>
        <v>485</v>
      </c>
    </row>
    <row r="4715" spans="1:8" x14ac:dyDescent="0.35">
      <c r="A4715" t="s">
        <v>4413</v>
      </c>
      <c r="B4715" t="s">
        <v>3738</v>
      </c>
      <c r="C4715">
        <v>454</v>
      </c>
      <c r="D4715">
        <v>206</v>
      </c>
      <c r="E4715" t="s">
        <v>33</v>
      </c>
      <c r="F4715">
        <f>tbl_AQI[[#This Row],[Most AQI Reached]]-tbl_AQI[[#This Row],[Current AQI]]</f>
        <v>248</v>
      </c>
      <c r="G47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15">
        <f>RANK(tbl_AQI[[#This Row],[Current AQI]], tbl_AQI[Current AQI], 0)</f>
        <v>1294</v>
      </c>
    </row>
    <row r="4716" spans="1:8" x14ac:dyDescent="0.35">
      <c r="A4716" t="s">
        <v>4413</v>
      </c>
      <c r="B4716" t="s">
        <v>3739</v>
      </c>
      <c r="C4716">
        <v>393</v>
      </c>
      <c r="D4716">
        <v>223</v>
      </c>
      <c r="E4716" t="s">
        <v>21</v>
      </c>
      <c r="F4716">
        <f>tbl_AQI[[#This Row],[Most AQI Reached]]-tbl_AQI[[#This Row],[Current AQI]]</f>
        <v>170</v>
      </c>
      <c r="G47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16">
        <f>RANK(tbl_AQI[[#This Row],[Current AQI]], tbl_AQI[Current AQI], 0)</f>
        <v>1220</v>
      </c>
    </row>
    <row r="4717" spans="1:8" x14ac:dyDescent="0.35">
      <c r="A4717" t="s">
        <v>4413</v>
      </c>
      <c r="B4717" t="s">
        <v>3740</v>
      </c>
      <c r="C4717">
        <v>487</v>
      </c>
      <c r="D4717">
        <v>473</v>
      </c>
      <c r="E4717" t="s">
        <v>9</v>
      </c>
      <c r="F4717">
        <f>tbl_AQI[[#This Row],[Most AQI Reached]]-tbl_AQI[[#This Row],[Current AQI]]</f>
        <v>14</v>
      </c>
      <c r="G47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17">
        <f>RANK(tbl_AQI[[#This Row],[Current AQI]], tbl_AQI[Current AQI], 0)</f>
        <v>33</v>
      </c>
    </row>
    <row r="4718" spans="1:8" x14ac:dyDescent="0.35">
      <c r="A4718" t="s">
        <v>4413</v>
      </c>
      <c r="B4718" t="s">
        <v>3741</v>
      </c>
      <c r="C4718">
        <v>410</v>
      </c>
      <c r="D4718">
        <v>400</v>
      </c>
      <c r="E4718" t="s">
        <v>9</v>
      </c>
      <c r="F4718">
        <f>tbl_AQI[[#This Row],[Most AQI Reached]]-tbl_AQI[[#This Row],[Current AQI]]</f>
        <v>10</v>
      </c>
      <c r="G47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18">
        <f>RANK(tbl_AQI[[#This Row],[Current AQI]], tbl_AQI[Current AQI], 0)</f>
        <v>392</v>
      </c>
    </row>
    <row r="4719" spans="1:8" x14ac:dyDescent="0.35">
      <c r="A4719" t="s">
        <v>4413</v>
      </c>
      <c r="B4719" t="s">
        <v>3742</v>
      </c>
      <c r="C4719">
        <v>484</v>
      </c>
      <c r="D4719">
        <v>443</v>
      </c>
      <c r="E4719" t="s">
        <v>21</v>
      </c>
      <c r="F4719">
        <f>tbl_AQI[[#This Row],[Most AQI Reached]]-tbl_AQI[[#This Row],[Current AQI]]</f>
        <v>41</v>
      </c>
      <c r="G47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19">
        <f>RANK(tbl_AQI[[#This Row],[Current AQI]], tbl_AQI[Current AQI], 0)</f>
        <v>188</v>
      </c>
    </row>
    <row r="4720" spans="1:8" x14ac:dyDescent="0.35">
      <c r="A4720" t="s">
        <v>4413</v>
      </c>
      <c r="B4720" t="s">
        <v>4820</v>
      </c>
      <c r="C4720">
        <v>447</v>
      </c>
      <c r="D4720">
        <v>296</v>
      </c>
      <c r="E4720" t="s">
        <v>15</v>
      </c>
      <c r="F4720">
        <f>tbl_AQI[[#This Row],[Most AQI Reached]]-tbl_AQI[[#This Row],[Current AQI]]</f>
        <v>151</v>
      </c>
      <c r="G47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20">
        <f>RANK(tbl_AQI[[#This Row],[Current AQI]], tbl_AQI[Current AQI], 0)</f>
        <v>874</v>
      </c>
    </row>
    <row r="4721" spans="1:8" x14ac:dyDescent="0.35">
      <c r="A4721" t="s">
        <v>4413</v>
      </c>
      <c r="B4721" t="s">
        <v>4821</v>
      </c>
      <c r="C4721">
        <v>473</v>
      </c>
      <c r="D4721">
        <v>310</v>
      </c>
      <c r="E4721" t="s">
        <v>15</v>
      </c>
      <c r="F4721">
        <f>tbl_AQI[[#This Row],[Most AQI Reached]]-tbl_AQI[[#This Row],[Current AQI]]</f>
        <v>163</v>
      </c>
      <c r="G47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21">
        <f>RANK(tbl_AQI[[#This Row],[Current AQI]], tbl_AQI[Current AQI], 0)</f>
        <v>818</v>
      </c>
    </row>
    <row r="4722" spans="1:8" x14ac:dyDescent="0.35">
      <c r="A4722" t="s">
        <v>4413</v>
      </c>
      <c r="B4722" t="s">
        <v>4822</v>
      </c>
      <c r="C4722">
        <v>453</v>
      </c>
      <c r="D4722">
        <v>319</v>
      </c>
      <c r="E4722" t="s">
        <v>11</v>
      </c>
      <c r="F4722">
        <f>tbl_AQI[[#This Row],[Most AQI Reached]]-tbl_AQI[[#This Row],[Current AQI]]</f>
        <v>134</v>
      </c>
      <c r="G47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22">
        <f>RANK(tbl_AQI[[#This Row],[Current AQI]], tbl_AQI[Current AQI], 0)</f>
        <v>782</v>
      </c>
    </row>
    <row r="4723" spans="1:8" x14ac:dyDescent="0.35">
      <c r="A4723" t="s">
        <v>4413</v>
      </c>
      <c r="B4723" t="s">
        <v>4823</v>
      </c>
      <c r="C4723">
        <v>491</v>
      </c>
      <c r="D4723">
        <v>468</v>
      </c>
      <c r="E4723" t="s">
        <v>21</v>
      </c>
      <c r="F4723">
        <f>tbl_AQI[[#This Row],[Most AQI Reached]]-tbl_AQI[[#This Row],[Current AQI]]</f>
        <v>23</v>
      </c>
      <c r="G47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23">
        <f>RANK(tbl_AQI[[#This Row],[Current AQI]], tbl_AQI[Current AQI], 0)</f>
        <v>66</v>
      </c>
    </row>
    <row r="4724" spans="1:8" x14ac:dyDescent="0.35">
      <c r="A4724" t="s">
        <v>4413</v>
      </c>
      <c r="B4724" t="s">
        <v>4824</v>
      </c>
      <c r="C4724">
        <v>460</v>
      </c>
      <c r="D4724">
        <v>330</v>
      </c>
      <c r="E4724" t="s">
        <v>17</v>
      </c>
      <c r="F4724">
        <f>tbl_AQI[[#This Row],[Most AQI Reached]]-tbl_AQI[[#This Row],[Current AQI]]</f>
        <v>130</v>
      </c>
      <c r="G47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24">
        <f>RANK(tbl_AQI[[#This Row],[Current AQI]], tbl_AQI[Current AQI], 0)</f>
        <v>734</v>
      </c>
    </row>
    <row r="4725" spans="1:8" x14ac:dyDescent="0.35">
      <c r="A4725" t="s">
        <v>4413</v>
      </c>
      <c r="B4725" t="s">
        <v>4825</v>
      </c>
      <c r="C4725">
        <v>230</v>
      </c>
      <c r="D4725">
        <v>193</v>
      </c>
      <c r="E4725" t="s">
        <v>9</v>
      </c>
      <c r="F4725">
        <f>tbl_AQI[[#This Row],[Most AQI Reached]]-tbl_AQI[[#This Row],[Current AQI]]</f>
        <v>37</v>
      </c>
      <c r="G47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25">
        <f>RANK(tbl_AQI[[#This Row],[Current AQI]], tbl_AQI[Current AQI], 0)</f>
        <v>1342</v>
      </c>
    </row>
    <row r="4726" spans="1:8" x14ac:dyDescent="0.35">
      <c r="A4726" t="s">
        <v>4413</v>
      </c>
      <c r="B4726" t="s">
        <v>4826</v>
      </c>
      <c r="C4726">
        <v>478</v>
      </c>
      <c r="D4726">
        <v>352</v>
      </c>
      <c r="E4726" t="s">
        <v>7</v>
      </c>
      <c r="F4726">
        <f>tbl_AQI[[#This Row],[Most AQI Reached]]-tbl_AQI[[#This Row],[Current AQI]]</f>
        <v>126</v>
      </c>
      <c r="G47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26">
        <f>RANK(tbl_AQI[[#This Row],[Current AQI]], tbl_AQI[Current AQI], 0)</f>
        <v>614</v>
      </c>
    </row>
    <row r="4727" spans="1:8" x14ac:dyDescent="0.35">
      <c r="A4727" t="s">
        <v>4413</v>
      </c>
      <c r="B4727" t="s">
        <v>4827</v>
      </c>
      <c r="C4727">
        <v>469</v>
      </c>
      <c r="D4727">
        <v>467</v>
      </c>
      <c r="E4727" t="s">
        <v>7</v>
      </c>
      <c r="F4727">
        <f>tbl_AQI[[#This Row],[Most AQI Reached]]-tbl_AQI[[#This Row],[Current AQI]]</f>
        <v>2</v>
      </c>
      <c r="G47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27">
        <f>RANK(tbl_AQI[[#This Row],[Current AQI]], tbl_AQI[Current AQI], 0)</f>
        <v>70</v>
      </c>
    </row>
    <row r="4728" spans="1:8" x14ac:dyDescent="0.35">
      <c r="A4728" t="s">
        <v>4413</v>
      </c>
      <c r="B4728" t="s">
        <v>4828</v>
      </c>
      <c r="C4728">
        <v>480</v>
      </c>
      <c r="D4728">
        <v>480</v>
      </c>
      <c r="E4728" t="s">
        <v>7</v>
      </c>
      <c r="F4728">
        <f>tbl_AQI[[#This Row],[Most AQI Reached]]-tbl_AQI[[#This Row],[Current AQI]]</f>
        <v>0</v>
      </c>
      <c r="G47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28">
        <f>RANK(tbl_AQI[[#This Row],[Current AQI]], tbl_AQI[Current AQI], 0)</f>
        <v>1</v>
      </c>
    </row>
    <row r="4729" spans="1:8" x14ac:dyDescent="0.35">
      <c r="A4729" t="s">
        <v>4413</v>
      </c>
      <c r="B4729" t="s">
        <v>4829</v>
      </c>
      <c r="C4729">
        <v>492</v>
      </c>
      <c r="D4729">
        <v>442</v>
      </c>
      <c r="E4729" t="s">
        <v>9</v>
      </c>
      <c r="F4729">
        <f>tbl_AQI[[#This Row],[Most AQI Reached]]-tbl_AQI[[#This Row],[Current AQI]]</f>
        <v>50</v>
      </c>
      <c r="G47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29">
        <f>RANK(tbl_AQI[[#This Row],[Current AQI]], tbl_AQI[Current AQI], 0)</f>
        <v>198</v>
      </c>
    </row>
    <row r="4730" spans="1:8" x14ac:dyDescent="0.35">
      <c r="A4730" t="s">
        <v>4413</v>
      </c>
      <c r="B4730" t="s">
        <v>4830</v>
      </c>
      <c r="C4730">
        <v>478</v>
      </c>
      <c r="D4730">
        <v>468</v>
      </c>
      <c r="E4730" t="s">
        <v>21</v>
      </c>
      <c r="F4730">
        <f>tbl_AQI[[#This Row],[Most AQI Reached]]-tbl_AQI[[#This Row],[Current AQI]]</f>
        <v>10</v>
      </c>
      <c r="G47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30">
        <f>RANK(tbl_AQI[[#This Row],[Current AQI]], tbl_AQI[Current AQI], 0)</f>
        <v>66</v>
      </c>
    </row>
    <row r="4731" spans="1:8" x14ac:dyDescent="0.35">
      <c r="A4731" t="s">
        <v>4413</v>
      </c>
      <c r="B4731" t="s">
        <v>4831</v>
      </c>
      <c r="C4731">
        <v>300</v>
      </c>
      <c r="D4731">
        <v>299</v>
      </c>
      <c r="E4731" t="s">
        <v>11</v>
      </c>
      <c r="F4731">
        <f>tbl_AQI[[#This Row],[Most AQI Reached]]-tbl_AQI[[#This Row],[Current AQI]]</f>
        <v>1</v>
      </c>
      <c r="G47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31">
        <f>RANK(tbl_AQI[[#This Row],[Current AQI]], tbl_AQI[Current AQI], 0)</f>
        <v>860</v>
      </c>
    </row>
    <row r="4732" spans="1:8" x14ac:dyDescent="0.35">
      <c r="A4732" t="s">
        <v>4413</v>
      </c>
      <c r="B4732" t="s">
        <v>4832</v>
      </c>
      <c r="C4732">
        <v>450</v>
      </c>
      <c r="D4732">
        <v>246</v>
      </c>
      <c r="E4732" t="s">
        <v>9</v>
      </c>
      <c r="F4732">
        <f>tbl_AQI[[#This Row],[Most AQI Reached]]-tbl_AQI[[#This Row],[Current AQI]]</f>
        <v>204</v>
      </c>
      <c r="G47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32">
        <f>RANK(tbl_AQI[[#This Row],[Current AQI]], tbl_AQI[Current AQI], 0)</f>
        <v>1118</v>
      </c>
    </row>
    <row r="4733" spans="1:8" x14ac:dyDescent="0.35">
      <c r="A4733" t="s">
        <v>4413</v>
      </c>
      <c r="B4733" t="s">
        <v>4833</v>
      </c>
      <c r="C4733">
        <v>318</v>
      </c>
      <c r="D4733">
        <v>248</v>
      </c>
      <c r="E4733" t="s">
        <v>11</v>
      </c>
      <c r="F4733">
        <f>tbl_AQI[[#This Row],[Most AQI Reached]]-tbl_AQI[[#This Row],[Current AQI]]</f>
        <v>70</v>
      </c>
      <c r="G47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33">
        <f>RANK(tbl_AQI[[#This Row],[Current AQI]], tbl_AQI[Current AQI], 0)</f>
        <v>1104</v>
      </c>
    </row>
    <row r="4734" spans="1:8" x14ac:dyDescent="0.35">
      <c r="A4734" t="s">
        <v>4413</v>
      </c>
      <c r="B4734" t="s">
        <v>4834</v>
      </c>
      <c r="C4734">
        <v>426</v>
      </c>
      <c r="D4734">
        <v>378</v>
      </c>
      <c r="E4734" t="s">
        <v>21</v>
      </c>
      <c r="F4734">
        <f>tbl_AQI[[#This Row],[Most AQI Reached]]-tbl_AQI[[#This Row],[Current AQI]]</f>
        <v>48</v>
      </c>
      <c r="G47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34">
        <f>RANK(tbl_AQI[[#This Row],[Current AQI]], tbl_AQI[Current AQI], 0)</f>
        <v>493</v>
      </c>
    </row>
    <row r="4735" spans="1:8" x14ac:dyDescent="0.35">
      <c r="A4735" t="s">
        <v>4413</v>
      </c>
      <c r="B4735" t="s">
        <v>4835</v>
      </c>
      <c r="C4735">
        <v>285</v>
      </c>
      <c r="D4735">
        <v>265</v>
      </c>
      <c r="E4735" t="s">
        <v>15</v>
      </c>
      <c r="F4735">
        <f>tbl_AQI[[#This Row],[Most AQI Reached]]-tbl_AQI[[#This Row],[Current AQI]]</f>
        <v>20</v>
      </c>
      <c r="G47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35">
        <f>RANK(tbl_AQI[[#This Row],[Current AQI]], tbl_AQI[Current AQI], 0)</f>
        <v>1022</v>
      </c>
    </row>
    <row r="4736" spans="1:8" x14ac:dyDescent="0.35">
      <c r="A4736" t="s">
        <v>4413</v>
      </c>
      <c r="B4736" t="s">
        <v>4836</v>
      </c>
      <c r="C4736">
        <v>460</v>
      </c>
      <c r="D4736">
        <v>399</v>
      </c>
      <c r="E4736" t="s">
        <v>21</v>
      </c>
      <c r="F4736">
        <f>tbl_AQI[[#This Row],[Most AQI Reached]]-tbl_AQI[[#This Row],[Current AQI]]</f>
        <v>61</v>
      </c>
      <c r="G47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36">
        <f>RANK(tbl_AQI[[#This Row],[Current AQI]], tbl_AQI[Current AQI], 0)</f>
        <v>399</v>
      </c>
    </row>
    <row r="4737" spans="1:8" x14ac:dyDescent="0.35">
      <c r="A4737" t="s">
        <v>4413</v>
      </c>
      <c r="B4737" t="s">
        <v>4837</v>
      </c>
      <c r="C4737">
        <v>437</v>
      </c>
      <c r="D4737">
        <v>436</v>
      </c>
      <c r="E4737" t="s">
        <v>9</v>
      </c>
      <c r="F4737">
        <f>tbl_AQI[[#This Row],[Most AQI Reached]]-tbl_AQI[[#This Row],[Current AQI]]</f>
        <v>1</v>
      </c>
      <c r="G47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37">
        <f>RANK(tbl_AQI[[#This Row],[Current AQI]], tbl_AQI[Current AQI], 0)</f>
        <v>230</v>
      </c>
    </row>
    <row r="4738" spans="1:8" x14ac:dyDescent="0.35">
      <c r="A4738" t="s">
        <v>4413</v>
      </c>
      <c r="B4738" t="s">
        <v>4838</v>
      </c>
      <c r="C4738">
        <v>489</v>
      </c>
      <c r="D4738">
        <v>410</v>
      </c>
      <c r="E4738" t="s">
        <v>21</v>
      </c>
      <c r="F4738">
        <f>tbl_AQI[[#This Row],[Most AQI Reached]]-tbl_AQI[[#This Row],[Current AQI]]</f>
        <v>79</v>
      </c>
      <c r="G47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38">
        <f>RANK(tbl_AQI[[#This Row],[Current AQI]], tbl_AQI[Current AQI], 0)</f>
        <v>341</v>
      </c>
    </row>
    <row r="4739" spans="1:8" x14ac:dyDescent="0.35">
      <c r="A4739" t="s">
        <v>4413</v>
      </c>
      <c r="B4739" t="s">
        <v>4839</v>
      </c>
      <c r="C4739">
        <v>491</v>
      </c>
      <c r="D4739">
        <v>237</v>
      </c>
      <c r="E4739" t="s">
        <v>17</v>
      </c>
      <c r="F4739">
        <f>tbl_AQI[[#This Row],[Most AQI Reached]]-tbl_AQI[[#This Row],[Current AQI]]</f>
        <v>254</v>
      </c>
      <c r="G47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39">
        <f>RANK(tbl_AQI[[#This Row],[Current AQI]], tbl_AQI[Current AQI], 0)</f>
        <v>1157</v>
      </c>
    </row>
    <row r="4740" spans="1:8" x14ac:dyDescent="0.35">
      <c r="A4740" t="s">
        <v>4413</v>
      </c>
      <c r="B4740" t="s">
        <v>4840</v>
      </c>
      <c r="C4740">
        <v>444</v>
      </c>
      <c r="D4740">
        <v>393</v>
      </c>
      <c r="E4740" t="s">
        <v>21</v>
      </c>
      <c r="F4740">
        <f>tbl_AQI[[#This Row],[Most AQI Reached]]-tbl_AQI[[#This Row],[Current AQI]]</f>
        <v>51</v>
      </c>
      <c r="G47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40">
        <f>RANK(tbl_AQI[[#This Row],[Current AQI]], tbl_AQI[Current AQI], 0)</f>
        <v>428</v>
      </c>
    </row>
    <row r="4741" spans="1:8" x14ac:dyDescent="0.35">
      <c r="A4741" t="s">
        <v>4413</v>
      </c>
      <c r="B4741" t="s">
        <v>4841</v>
      </c>
      <c r="C4741">
        <v>349</v>
      </c>
      <c r="D4741">
        <v>279</v>
      </c>
      <c r="E4741" t="s">
        <v>11</v>
      </c>
      <c r="F4741">
        <f>tbl_AQI[[#This Row],[Most AQI Reached]]-tbl_AQI[[#This Row],[Current AQI]]</f>
        <v>70</v>
      </c>
      <c r="G47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41">
        <f>RANK(tbl_AQI[[#This Row],[Current AQI]], tbl_AQI[Current AQI], 0)</f>
        <v>957</v>
      </c>
    </row>
    <row r="4742" spans="1:8" x14ac:dyDescent="0.35">
      <c r="A4742" t="s">
        <v>4413</v>
      </c>
      <c r="B4742" t="s">
        <v>4842</v>
      </c>
      <c r="C4742">
        <v>417</v>
      </c>
      <c r="D4742">
        <v>377</v>
      </c>
      <c r="E4742" t="s">
        <v>7</v>
      </c>
      <c r="F4742">
        <f>tbl_AQI[[#This Row],[Most AQI Reached]]-tbl_AQI[[#This Row],[Current AQI]]</f>
        <v>40</v>
      </c>
      <c r="G47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42">
        <f>RANK(tbl_AQI[[#This Row],[Current AQI]], tbl_AQI[Current AQI], 0)</f>
        <v>500</v>
      </c>
    </row>
    <row r="4743" spans="1:8" x14ac:dyDescent="0.35">
      <c r="A4743" t="s">
        <v>4413</v>
      </c>
      <c r="B4743" t="s">
        <v>4843</v>
      </c>
      <c r="C4743">
        <v>453</v>
      </c>
      <c r="D4743">
        <v>402</v>
      </c>
      <c r="E4743" t="s">
        <v>7</v>
      </c>
      <c r="F4743">
        <f>tbl_AQI[[#This Row],[Most AQI Reached]]-tbl_AQI[[#This Row],[Current AQI]]</f>
        <v>51</v>
      </c>
      <c r="G47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43">
        <f>RANK(tbl_AQI[[#This Row],[Current AQI]], tbl_AQI[Current AQI], 0)</f>
        <v>386</v>
      </c>
    </row>
    <row r="4744" spans="1:8" x14ac:dyDescent="0.35">
      <c r="A4744" t="s">
        <v>4413</v>
      </c>
      <c r="B4744" t="s">
        <v>4844</v>
      </c>
      <c r="C4744">
        <v>286</v>
      </c>
      <c r="D4744">
        <v>254</v>
      </c>
      <c r="E4744" t="s">
        <v>11</v>
      </c>
      <c r="F4744">
        <f>tbl_AQI[[#This Row],[Most AQI Reached]]-tbl_AQI[[#This Row],[Current AQI]]</f>
        <v>32</v>
      </c>
      <c r="G47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44">
        <f>RANK(tbl_AQI[[#This Row],[Current AQI]], tbl_AQI[Current AQI], 0)</f>
        <v>1073</v>
      </c>
    </row>
    <row r="4745" spans="1:8" x14ac:dyDescent="0.35">
      <c r="A4745" t="s">
        <v>4413</v>
      </c>
      <c r="B4745" t="s">
        <v>4845</v>
      </c>
      <c r="C4745">
        <v>424</v>
      </c>
      <c r="D4745">
        <v>282</v>
      </c>
      <c r="E4745" t="s">
        <v>21</v>
      </c>
      <c r="F4745">
        <f>tbl_AQI[[#This Row],[Most AQI Reached]]-tbl_AQI[[#This Row],[Current AQI]]</f>
        <v>142</v>
      </c>
      <c r="G47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45">
        <f>RANK(tbl_AQI[[#This Row],[Current AQI]], tbl_AQI[Current AQI], 0)</f>
        <v>938</v>
      </c>
    </row>
    <row r="4746" spans="1:8" x14ac:dyDescent="0.35">
      <c r="A4746" t="s">
        <v>4413</v>
      </c>
      <c r="B4746" t="s">
        <v>4846</v>
      </c>
      <c r="C4746">
        <v>426</v>
      </c>
      <c r="D4746">
        <v>186</v>
      </c>
      <c r="E4746" t="s">
        <v>17</v>
      </c>
      <c r="F4746">
        <f>tbl_AQI[[#This Row],[Most AQI Reached]]-tbl_AQI[[#This Row],[Current AQI]]</f>
        <v>240</v>
      </c>
      <c r="G47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46">
        <f>RANK(tbl_AQI[[#This Row],[Current AQI]], tbl_AQI[Current AQI], 0)</f>
        <v>1478</v>
      </c>
    </row>
    <row r="4747" spans="1:8" x14ac:dyDescent="0.35">
      <c r="A4747" t="s">
        <v>4413</v>
      </c>
      <c r="B4747" t="s">
        <v>4847</v>
      </c>
      <c r="C4747">
        <v>484</v>
      </c>
      <c r="D4747">
        <v>371</v>
      </c>
      <c r="E4747" t="s">
        <v>21</v>
      </c>
      <c r="F4747">
        <f>tbl_AQI[[#This Row],[Most AQI Reached]]-tbl_AQI[[#This Row],[Current AQI]]</f>
        <v>113</v>
      </c>
      <c r="G47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47">
        <f>RANK(tbl_AQI[[#This Row],[Current AQI]], tbl_AQI[Current AQI], 0)</f>
        <v>533</v>
      </c>
    </row>
    <row r="4748" spans="1:8" x14ac:dyDescent="0.35">
      <c r="A4748" t="s">
        <v>4413</v>
      </c>
      <c r="B4748" t="s">
        <v>4848</v>
      </c>
      <c r="C4748">
        <v>394</v>
      </c>
      <c r="D4748">
        <v>317</v>
      </c>
      <c r="E4748" t="s">
        <v>9</v>
      </c>
      <c r="F4748">
        <f>tbl_AQI[[#This Row],[Most AQI Reached]]-tbl_AQI[[#This Row],[Current AQI]]</f>
        <v>77</v>
      </c>
      <c r="G47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48">
        <f>RANK(tbl_AQI[[#This Row],[Current AQI]], tbl_AQI[Current AQI], 0)</f>
        <v>791</v>
      </c>
    </row>
    <row r="4749" spans="1:8" x14ac:dyDescent="0.35">
      <c r="A4749" t="s">
        <v>4413</v>
      </c>
      <c r="B4749" t="s">
        <v>4849</v>
      </c>
      <c r="C4749">
        <v>449</v>
      </c>
      <c r="D4749">
        <v>283</v>
      </c>
      <c r="E4749" t="s">
        <v>17</v>
      </c>
      <c r="F4749">
        <f>tbl_AQI[[#This Row],[Most AQI Reached]]-tbl_AQI[[#This Row],[Current AQI]]</f>
        <v>166</v>
      </c>
      <c r="G47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49">
        <f>RANK(tbl_AQI[[#This Row],[Current AQI]], tbl_AQI[Current AQI], 0)</f>
        <v>933</v>
      </c>
    </row>
    <row r="4750" spans="1:8" x14ac:dyDescent="0.35">
      <c r="A4750" t="s">
        <v>4413</v>
      </c>
      <c r="B4750" t="s">
        <v>4850</v>
      </c>
      <c r="C4750">
        <v>419</v>
      </c>
      <c r="D4750">
        <v>248</v>
      </c>
      <c r="E4750" t="s">
        <v>9</v>
      </c>
      <c r="F4750">
        <f>tbl_AQI[[#This Row],[Most AQI Reached]]-tbl_AQI[[#This Row],[Current AQI]]</f>
        <v>171</v>
      </c>
      <c r="G47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50">
        <f>RANK(tbl_AQI[[#This Row],[Current AQI]], tbl_AQI[Current AQI], 0)</f>
        <v>1104</v>
      </c>
    </row>
    <row r="4751" spans="1:8" x14ac:dyDescent="0.35">
      <c r="A4751" t="s">
        <v>4413</v>
      </c>
      <c r="B4751" t="s">
        <v>4851</v>
      </c>
      <c r="C4751">
        <v>325</v>
      </c>
      <c r="D4751">
        <v>286</v>
      </c>
      <c r="E4751" t="s">
        <v>9</v>
      </c>
      <c r="F4751">
        <f>tbl_AQI[[#This Row],[Most AQI Reached]]-tbl_AQI[[#This Row],[Current AQI]]</f>
        <v>39</v>
      </c>
      <c r="G47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51">
        <f>RANK(tbl_AQI[[#This Row],[Current AQI]], tbl_AQI[Current AQI], 0)</f>
        <v>925</v>
      </c>
    </row>
    <row r="4752" spans="1:8" x14ac:dyDescent="0.35">
      <c r="A4752" t="s">
        <v>4413</v>
      </c>
      <c r="B4752" t="s">
        <v>4852</v>
      </c>
      <c r="C4752">
        <v>284</v>
      </c>
      <c r="D4752">
        <v>275</v>
      </c>
      <c r="E4752" t="s">
        <v>33</v>
      </c>
      <c r="F4752">
        <f>tbl_AQI[[#This Row],[Most AQI Reached]]-tbl_AQI[[#This Row],[Current AQI]]</f>
        <v>9</v>
      </c>
      <c r="G47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52">
        <f>RANK(tbl_AQI[[#This Row],[Current AQI]], tbl_AQI[Current AQI], 0)</f>
        <v>980</v>
      </c>
    </row>
    <row r="4753" spans="1:8" x14ac:dyDescent="0.35">
      <c r="A4753" t="s">
        <v>4413</v>
      </c>
      <c r="B4753" t="s">
        <v>4853</v>
      </c>
      <c r="C4753">
        <v>404</v>
      </c>
      <c r="D4753">
        <v>386</v>
      </c>
      <c r="E4753" t="s">
        <v>7</v>
      </c>
      <c r="F4753">
        <f>tbl_AQI[[#This Row],[Most AQI Reached]]-tbl_AQI[[#This Row],[Current AQI]]</f>
        <v>18</v>
      </c>
      <c r="G47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53">
        <f>RANK(tbl_AQI[[#This Row],[Current AQI]], tbl_AQI[Current AQI], 0)</f>
        <v>456</v>
      </c>
    </row>
    <row r="4754" spans="1:8" x14ac:dyDescent="0.35">
      <c r="A4754" t="s">
        <v>4413</v>
      </c>
      <c r="B4754" t="s">
        <v>4854</v>
      </c>
      <c r="C4754">
        <v>401</v>
      </c>
      <c r="D4754">
        <v>170</v>
      </c>
      <c r="E4754" t="s">
        <v>9</v>
      </c>
      <c r="F4754">
        <f>tbl_AQI[[#This Row],[Most AQI Reached]]-tbl_AQI[[#This Row],[Current AQI]]</f>
        <v>231</v>
      </c>
      <c r="G47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54">
        <f>RANK(tbl_AQI[[#This Row],[Current AQI]], tbl_AQI[Current AQI], 0)</f>
        <v>1898</v>
      </c>
    </row>
    <row r="4755" spans="1:8" x14ac:dyDescent="0.35">
      <c r="A4755" t="s">
        <v>4413</v>
      </c>
      <c r="B4755" t="s">
        <v>4855</v>
      </c>
      <c r="C4755">
        <v>344</v>
      </c>
      <c r="D4755">
        <v>246</v>
      </c>
      <c r="E4755" t="s">
        <v>17</v>
      </c>
      <c r="F4755">
        <f>tbl_AQI[[#This Row],[Most AQI Reached]]-tbl_AQI[[#This Row],[Current AQI]]</f>
        <v>98</v>
      </c>
      <c r="G47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55">
        <f>RANK(tbl_AQI[[#This Row],[Current AQI]], tbl_AQI[Current AQI], 0)</f>
        <v>1118</v>
      </c>
    </row>
    <row r="4756" spans="1:8" x14ac:dyDescent="0.35">
      <c r="A4756" t="s">
        <v>4413</v>
      </c>
      <c r="B4756" t="s">
        <v>4856</v>
      </c>
      <c r="C4756">
        <v>253</v>
      </c>
      <c r="D4756">
        <v>203</v>
      </c>
      <c r="E4756" t="s">
        <v>33</v>
      </c>
      <c r="F4756">
        <f>tbl_AQI[[#This Row],[Most AQI Reached]]-tbl_AQI[[#This Row],[Current AQI]]</f>
        <v>50</v>
      </c>
      <c r="G47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56">
        <f>RANK(tbl_AQI[[#This Row],[Current AQI]], tbl_AQI[Current AQI], 0)</f>
        <v>1299</v>
      </c>
    </row>
    <row r="4757" spans="1:8" x14ac:dyDescent="0.35">
      <c r="A4757" t="s">
        <v>4413</v>
      </c>
      <c r="B4757" t="s">
        <v>4857</v>
      </c>
      <c r="C4757">
        <v>466</v>
      </c>
      <c r="D4757">
        <v>396</v>
      </c>
      <c r="E4757" t="s">
        <v>7</v>
      </c>
      <c r="F4757">
        <f>tbl_AQI[[#This Row],[Most AQI Reached]]-tbl_AQI[[#This Row],[Current AQI]]</f>
        <v>70</v>
      </c>
      <c r="G47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57">
        <f>RANK(tbl_AQI[[#This Row],[Current AQI]], tbl_AQI[Current AQI], 0)</f>
        <v>415</v>
      </c>
    </row>
    <row r="4758" spans="1:8" x14ac:dyDescent="0.35">
      <c r="A4758" t="s">
        <v>4413</v>
      </c>
      <c r="B4758" t="s">
        <v>4858</v>
      </c>
      <c r="C4758">
        <v>174</v>
      </c>
      <c r="D4758">
        <v>165</v>
      </c>
      <c r="E4758" t="s">
        <v>21</v>
      </c>
      <c r="F4758">
        <f>tbl_AQI[[#This Row],[Most AQI Reached]]-tbl_AQI[[#This Row],[Current AQI]]</f>
        <v>9</v>
      </c>
      <c r="G47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58">
        <f>RANK(tbl_AQI[[#This Row],[Current AQI]], tbl_AQI[Current AQI], 0)</f>
        <v>2028</v>
      </c>
    </row>
    <row r="4759" spans="1:8" x14ac:dyDescent="0.35">
      <c r="A4759" t="s">
        <v>4413</v>
      </c>
      <c r="B4759" t="s">
        <v>4859</v>
      </c>
      <c r="C4759">
        <v>328</v>
      </c>
      <c r="D4759">
        <v>249</v>
      </c>
      <c r="E4759" t="s">
        <v>33</v>
      </c>
      <c r="F4759">
        <f>tbl_AQI[[#This Row],[Most AQI Reached]]-tbl_AQI[[#This Row],[Current AQI]]</f>
        <v>79</v>
      </c>
      <c r="G47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59">
        <f>RANK(tbl_AQI[[#This Row],[Current AQI]], tbl_AQI[Current AQI], 0)</f>
        <v>1096</v>
      </c>
    </row>
    <row r="4760" spans="1:8" x14ac:dyDescent="0.35">
      <c r="A4760" t="s">
        <v>4413</v>
      </c>
      <c r="B4760" t="s">
        <v>4860</v>
      </c>
      <c r="C4760">
        <v>420</v>
      </c>
      <c r="D4760">
        <v>283</v>
      </c>
      <c r="E4760" t="s">
        <v>9</v>
      </c>
      <c r="F4760">
        <f>tbl_AQI[[#This Row],[Most AQI Reached]]-tbl_AQI[[#This Row],[Current AQI]]</f>
        <v>137</v>
      </c>
      <c r="G47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60">
        <f>RANK(tbl_AQI[[#This Row],[Current AQI]], tbl_AQI[Current AQI], 0)</f>
        <v>933</v>
      </c>
    </row>
    <row r="4761" spans="1:8" x14ac:dyDescent="0.35">
      <c r="A4761" t="s">
        <v>4413</v>
      </c>
      <c r="B4761" t="s">
        <v>4861</v>
      </c>
      <c r="C4761">
        <v>399</v>
      </c>
      <c r="D4761">
        <v>395</v>
      </c>
      <c r="E4761" t="s">
        <v>21</v>
      </c>
      <c r="F4761">
        <f>tbl_AQI[[#This Row],[Most AQI Reached]]-tbl_AQI[[#This Row],[Current AQI]]</f>
        <v>4</v>
      </c>
      <c r="G47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61">
        <f>RANK(tbl_AQI[[#This Row],[Current AQI]], tbl_AQI[Current AQI], 0)</f>
        <v>420</v>
      </c>
    </row>
    <row r="4762" spans="1:8" x14ac:dyDescent="0.35">
      <c r="A4762" t="s">
        <v>4413</v>
      </c>
      <c r="B4762" t="s">
        <v>4862</v>
      </c>
      <c r="C4762">
        <v>439</v>
      </c>
      <c r="D4762">
        <v>405</v>
      </c>
      <c r="E4762" t="s">
        <v>7</v>
      </c>
      <c r="F4762">
        <f>tbl_AQI[[#This Row],[Most AQI Reached]]-tbl_AQI[[#This Row],[Current AQI]]</f>
        <v>34</v>
      </c>
      <c r="G47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62">
        <f>RANK(tbl_AQI[[#This Row],[Current AQI]], tbl_AQI[Current AQI], 0)</f>
        <v>370</v>
      </c>
    </row>
    <row r="4763" spans="1:8" x14ac:dyDescent="0.35">
      <c r="A4763" t="s">
        <v>4413</v>
      </c>
      <c r="B4763" t="s">
        <v>4863</v>
      </c>
      <c r="C4763">
        <v>492</v>
      </c>
      <c r="D4763">
        <v>358</v>
      </c>
      <c r="E4763" t="s">
        <v>7</v>
      </c>
      <c r="F4763">
        <f>tbl_AQI[[#This Row],[Most AQI Reached]]-tbl_AQI[[#This Row],[Current AQI]]</f>
        <v>134</v>
      </c>
      <c r="G47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63">
        <f>RANK(tbl_AQI[[#This Row],[Current AQI]], tbl_AQI[Current AQI], 0)</f>
        <v>586</v>
      </c>
    </row>
    <row r="4764" spans="1:8" x14ac:dyDescent="0.35">
      <c r="A4764" t="s">
        <v>4413</v>
      </c>
      <c r="B4764" t="s">
        <v>4864</v>
      </c>
      <c r="C4764">
        <v>444</v>
      </c>
      <c r="D4764">
        <v>407</v>
      </c>
      <c r="E4764" t="s">
        <v>21</v>
      </c>
      <c r="F4764">
        <f>tbl_AQI[[#This Row],[Most AQI Reached]]-tbl_AQI[[#This Row],[Current AQI]]</f>
        <v>37</v>
      </c>
      <c r="G47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64">
        <f>RANK(tbl_AQI[[#This Row],[Current AQI]], tbl_AQI[Current AQI], 0)</f>
        <v>354</v>
      </c>
    </row>
    <row r="4765" spans="1:8" x14ac:dyDescent="0.35">
      <c r="A4765" t="s">
        <v>4413</v>
      </c>
      <c r="B4765" t="s">
        <v>4865</v>
      </c>
      <c r="C4765">
        <v>486</v>
      </c>
      <c r="D4765">
        <v>349</v>
      </c>
      <c r="E4765" t="s">
        <v>7</v>
      </c>
      <c r="F4765">
        <f>tbl_AQI[[#This Row],[Most AQI Reached]]-tbl_AQI[[#This Row],[Current AQI]]</f>
        <v>137</v>
      </c>
      <c r="G47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65">
        <f>RANK(tbl_AQI[[#This Row],[Current AQI]], tbl_AQI[Current AQI], 0)</f>
        <v>631</v>
      </c>
    </row>
    <row r="4766" spans="1:8" x14ac:dyDescent="0.35">
      <c r="A4766" t="s">
        <v>4413</v>
      </c>
      <c r="B4766" t="s">
        <v>4866</v>
      </c>
      <c r="C4766">
        <v>367</v>
      </c>
      <c r="D4766">
        <v>311</v>
      </c>
      <c r="E4766" t="s">
        <v>7</v>
      </c>
      <c r="F4766">
        <f>tbl_AQI[[#This Row],[Most AQI Reached]]-tbl_AQI[[#This Row],[Current AQI]]</f>
        <v>56</v>
      </c>
      <c r="G47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66">
        <f>RANK(tbl_AQI[[#This Row],[Current AQI]], tbl_AQI[Current AQI], 0)</f>
        <v>815</v>
      </c>
    </row>
    <row r="4767" spans="1:8" x14ac:dyDescent="0.35">
      <c r="A4767" t="s">
        <v>4413</v>
      </c>
      <c r="B4767" t="s">
        <v>4867</v>
      </c>
      <c r="C4767">
        <v>461</v>
      </c>
      <c r="D4767">
        <v>407</v>
      </c>
      <c r="E4767" t="s">
        <v>21</v>
      </c>
      <c r="F4767">
        <f>tbl_AQI[[#This Row],[Most AQI Reached]]-tbl_AQI[[#This Row],[Current AQI]]</f>
        <v>54</v>
      </c>
      <c r="G47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67">
        <f>RANK(tbl_AQI[[#This Row],[Current AQI]], tbl_AQI[Current AQI], 0)</f>
        <v>354</v>
      </c>
    </row>
    <row r="4768" spans="1:8" x14ac:dyDescent="0.35">
      <c r="A4768" t="s">
        <v>4413</v>
      </c>
      <c r="B4768" t="s">
        <v>4868</v>
      </c>
      <c r="C4768">
        <v>439</v>
      </c>
      <c r="D4768">
        <v>224</v>
      </c>
      <c r="E4768" t="s">
        <v>7</v>
      </c>
      <c r="F4768">
        <f>tbl_AQI[[#This Row],[Most AQI Reached]]-tbl_AQI[[#This Row],[Current AQI]]</f>
        <v>215</v>
      </c>
      <c r="G47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68">
        <f>RANK(tbl_AQI[[#This Row],[Current AQI]], tbl_AQI[Current AQI], 0)</f>
        <v>1211</v>
      </c>
    </row>
    <row r="4769" spans="1:8" x14ac:dyDescent="0.35">
      <c r="A4769" t="s">
        <v>4413</v>
      </c>
      <c r="B4769" t="s">
        <v>4869</v>
      </c>
      <c r="C4769">
        <v>457</v>
      </c>
      <c r="D4769">
        <v>410</v>
      </c>
      <c r="E4769" t="s">
        <v>9</v>
      </c>
      <c r="F4769">
        <f>tbl_AQI[[#This Row],[Most AQI Reached]]-tbl_AQI[[#This Row],[Current AQI]]</f>
        <v>47</v>
      </c>
      <c r="G47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69">
        <f>RANK(tbl_AQI[[#This Row],[Current AQI]], tbl_AQI[Current AQI], 0)</f>
        <v>341</v>
      </c>
    </row>
    <row r="4770" spans="1:8" x14ac:dyDescent="0.35">
      <c r="A4770" t="s">
        <v>4413</v>
      </c>
      <c r="B4770" t="s">
        <v>4870</v>
      </c>
      <c r="C4770">
        <v>471</v>
      </c>
      <c r="D4770">
        <v>256</v>
      </c>
      <c r="E4770" t="s">
        <v>17</v>
      </c>
      <c r="F4770">
        <f>tbl_AQI[[#This Row],[Most AQI Reached]]-tbl_AQI[[#This Row],[Current AQI]]</f>
        <v>215</v>
      </c>
      <c r="G47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70">
        <f>RANK(tbl_AQI[[#This Row],[Current AQI]], tbl_AQI[Current AQI], 0)</f>
        <v>1063</v>
      </c>
    </row>
    <row r="4771" spans="1:8" x14ac:dyDescent="0.35">
      <c r="A4771" t="s">
        <v>4413</v>
      </c>
      <c r="B4771" t="s">
        <v>4871</v>
      </c>
      <c r="C4771">
        <v>268</v>
      </c>
      <c r="D4771">
        <v>168</v>
      </c>
      <c r="E4771" t="s">
        <v>33</v>
      </c>
      <c r="F4771">
        <f>tbl_AQI[[#This Row],[Most AQI Reached]]-tbl_AQI[[#This Row],[Current AQI]]</f>
        <v>100</v>
      </c>
      <c r="G47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71">
        <f>RANK(tbl_AQI[[#This Row],[Current AQI]], tbl_AQI[Current AQI], 0)</f>
        <v>1954</v>
      </c>
    </row>
    <row r="4772" spans="1:8" x14ac:dyDescent="0.35">
      <c r="A4772" t="s">
        <v>4413</v>
      </c>
      <c r="B4772" t="s">
        <v>4872</v>
      </c>
      <c r="C4772">
        <v>317</v>
      </c>
      <c r="D4772">
        <v>263</v>
      </c>
      <c r="E4772" t="s">
        <v>9</v>
      </c>
      <c r="F4772">
        <f>tbl_AQI[[#This Row],[Most AQI Reached]]-tbl_AQI[[#This Row],[Current AQI]]</f>
        <v>54</v>
      </c>
      <c r="G47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72">
        <f>RANK(tbl_AQI[[#This Row],[Current AQI]], tbl_AQI[Current AQI], 0)</f>
        <v>1031</v>
      </c>
    </row>
    <row r="4773" spans="1:8" x14ac:dyDescent="0.35">
      <c r="A4773" t="s">
        <v>4413</v>
      </c>
      <c r="B4773" t="s">
        <v>4873</v>
      </c>
      <c r="C4773">
        <v>419</v>
      </c>
      <c r="D4773">
        <v>190</v>
      </c>
      <c r="E4773" t="s">
        <v>7</v>
      </c>
      <c r="F4773">
        <f>tbl_AQI[[#This Row],[Most AQI Reached]]-tbl_AQI[[#This Row],[Current AQI]]</f>
        <v>229</v>
      </c>
      <c r="G47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73">
        <f>RANK(tbl_AQI[[#This Row],[Current AQI]], tbl_AQI[Current AQI], 0)</f>
        <v>1355</v>
      </c>
    </row>
    <row r="4774" spans="1:8" x14ac:dyDescent="0.35">
      <c r="A4774" t="s">
        <v>4413</v>
      </c>
      <c r="B4774" t="s">
        <v>4874</v>
      </c>
      <c r="C4774">
        <v>364</v>
      </c>
      <c r="D4774">
        <v>353</v>
      </c>
      <c r="E4774" t="s">
        <v>9</v>
      </c>
      <c r="F4774">
        <f>tbl_AQI[[#This Row],[Most AQI Reached]]-tbl_AQI[[#This Row],[Current AQI]]</f>
        <v>11</v>
      </c>
      <c r="G47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74">
        <f>RANK(tbl_AQI[[#This Row],[Current AQI]], tbl_AQI[Current AQI], 0)</f>
        <v>611</v>
      </c>
    </row>
    <row r="4775" spans="1:8" x14ac:dyDescent="0.35">
      <c r="A4775" t="s">
        <v>4413</v>
      </c>
      <c r="B4775" t="s">
        <v>4875</v>
      </c>
      <c r="C4775">
        <v>469</v>
      </c>
      <c r="D4775">
        <v>423</v>
      </c>
      <c r="E4775" t="s">
        <v>7</v>
      </c>
      <c r="F4775">
        <f>tbl_AQI[[#This Row],[Most AQI Reached]]-tbl_AQI[[#This Row],[Current AQI]]</f>
        <v>46</v>
      </c>
      <c r="G47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75">
        <f>RANK(tbl_AQI[[#This Row],[Current AQI]], tbl_AQI[Current AQI], 0)</f>
        <v>295</v>
      </c>
    </row>
    <row r="4776" spans="1:8" x14ac:dyDescent="0.35">
      <c r="A4776" t="s">
        <v>4413</v>
      </c>
      <c r="B4776" t="s">
        <v>4876</v>
      </c>
      <c r="C4776">
        <v>438</v>
      </c>
      <c r="D4776">
        <v>392</v>
      </c>
      <c r="E4776" t="s">
        <v>21</v>
      </c>
      <c r="F4776">
        <f>tbl_AQI[[#This Row],[Most AQI Reached]]-tbl_AQI[[#This Row],[Current AQI]]</f>
        <v>46</v>
      </c>
      <c r="G47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76">
        <f>RANK(tbl_AQI[[#This Row],[Current AQI]], tbl_AQI[Current AQI], 0)</f>
        <v>431</v>
      </c>
    </row>
    <row r="4777" spans="1:8" x14ac:dyDescent="0.35">
      <c r="A4777" t="s">
        <v>4413</v>
      </c>
      <c r="B4777" t="s">
        <v>4877</v>
      </c>
      <c r="C4777">
        <v>468</v>
      </c>
      <c r="D4777">
        <v>390</v>
      </c>
      <c r="E4777" t="s">
        <v>9</v>
      </c>
      <c r="F4777">
        <f>tbl_AQI[[#This Row],[Most AQI Reached]]-tbl_AQI[[#This Row],[Current AQI]]</f>
        <v>78</v>
      </c>
      <c r="G47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77">
        <f>RANK(tbl_AQI[[#This Row],[Current AQI]], tbl_AQI[Current AQI], 0)</f>
        <v>441</v>
      </c>
    </row>
    <row r="4778" spans="1:8" x14ac:dyDescent="0.35">
      <c r="A4778" t="s">
        <v>4413</v>
      </c>
      <c r="B4778" t="s">
        <v>4878</v>
      </c>
      <c r="C4778">
        <v>456</v>
      </c>
      <c r="D4778">
        <v>376</v>
      </c>
      <c r="E4778" t="s">
        <v>9</v>
      </c>
      <c r="F4778">
        <f>tbl_AQI[[#This Row],[Most AQI Reached]]-tbl_AQI[[#This Row],[Current AQI]]</f>
        <v>80</v>
      </c>
      <c r="G47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78">
        <f>RANK(tbl_AQI[[#This Row],[Current AQI]], tbl_AQI[Current AQI], 0)</f>
        <v>507</v>
      </c>
    </row>
    <row r="4779" spans="1:8" x14ac:dyDescent="0.35">
      <c r="A4779" t="s">
        <v>4413</v>
      </c>
      <c r="B4779" t="s">
        <v>4879</v>
      </c>
      <c r="C4779">
        <v>471</v>
      </c>
      <c r="D4779">
        <v>199</v>
      </c>
      <c r="E4779" t="s">
        <v>9</v>
      </c>
      <c r="F4779">
        <f>tbl_AQI[[#This Row],[Most AQI Reached]]-tbl_AQI[[#This Row],[Current AQI]]</f>
        <v>272</v>
      </c>
      <c r="G47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79">
        <f>RANK(tbl_AQI[[#This Row],[Current AQI]], tbl_AQI[Current AQI], 0)</f>
        <v>1314</v>
      </c>
    </row>
    <row r="4780" spans="1:8" x14ac:dyDescent="0.35">
      <c r="A4780" t="s">
        <v>4413</v>
      </c>
      <c r="B4780" t="s">
        <v>4880</v>
      </c>
      <c r="C4780">
        <v>353</v>
      </c>
      <c r="D4780">
        <v>294</v>
      </c>
      <c r="E4780" t="s">
        <v>7</v>
      </c>
      <c r="F4780">
        <f>tbl_AQI[[#This Row],[Most AQI Reached]]-tbl_AQI[[#This Row],[Current AQI]]</f>
        <v>59</v>
      </c>
      <c r="G47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80">
        <f>RANK(tbl_AQI[[#This Row],[Current AQI]], tbl_AQI[Current AQI], 0)</f>
        <v>884</v>
      </c>
    </row>
    <row r="4781" spans="1:8" x14ac:dyDescent="0.35">
      <c r="A4781" t="s">
        <v>4413</v>
      </c>
      <c r="B4781" t="s">
        <v>4881</v>
      </c>
      <c r="C4781">
        <v>322</v>
      </c>
      <c r="D4781">
        <v>225</v>
      </c>
      <c r="E4781" t="s">
        <v>11</v>
      </c>
      <c r="F4781">
        <f>tbl_AQI[[#This Row],[Most AQI Reached]]-tbl_AQI[[#This Row],[Current AQI]]</f>
        <v>97</v>
      </c>
      <c r="G47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81">
        <f>RANK(tbl_AQI[[#This Row],[Current AQI]], tbl_AQI[Current AQI], 0)</f>
        <v>1204</v>
      </c>
    </row>
    <row r="4782" spans="1:8" x14ac:dyDescent="0.35">
      <c r="A4782" t="s">
        <v>4413</v>
      </c>
      <c r="B4782" t="s">
        <v>4882</v>
      </c>
      <c r="C4782">
        <v>430</v>
      </c>
      <c r="D4782">
        <v>386</v>
      </c>
      <c r="E4782" t="s">
        <v>7</v>
      </c>
      <c r="F4782">
        <f>tbl_AQI[[#This Row],[Most AQI Reached]]-tbl_AQI[[#This Row],[Current AQI]]</f>
        <v>44</v>
      </c>
      <c r="G47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82">
        <f>RANK(tbl_AQI[[#This Row],[Current AQI]], tbl_AQI[Current AQI], 0)</f>
        <v>456</v>
      </c>
    </row>
    <row r="4783" spans="1:8" x14ac:dyDescent="0.35">
      <c r="A4783" t="s">
        <v>4413</v>
      </c>
      <c r="B4783" t="s">
        <v>4883</v>
      </c>
      <c r="C4783">
        <v>412</v>
      </c>
      <c r="D4783">
        <v>355</v>
      </c>
      <c r="E4783" t="s">
        <v>7</v>
      </c>
      <c r="F4783">
        <f>tbl_AQI[[#This Row],[Most AQI Reached]]-tbl_AQI[[#This Row],[Current AQI]]</f>
        <v>57</v>
      </c>
      <c r="G47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83">
        <f>RANK(tbl_AQI[[#This Row],[Current AQI]], tbl_AQI[Current AQI], 0)</f>
        <v>600</v>
      </c>
    </row>
    <row r="4784" spans="1:8" x14ac:dyDescent="0.35">
      <c r="A4784" t="s">
        <v>4413</v>
      </c>
      <c r="B4784" t="s">
        <v>4884</v>
      </c>
      <c r="C4784">
        <v>329</v>
      </c>
      <c r="D4784">
        <v>277</v>
      </c>
      <c r="E4784" t="s">
        <v>15</v>
      </c>
      <c r="F4784">
        <f>tbl_AQI[[#This Row],[Most AQI Reached]]-tbl_AQI[[#This Row],[Current AQI]]</f>
        <v>52</v>
      </c>
      <c r="G47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84">
        <f>RANK(tbl_AQI[[#This Row],[Current AQI]], tbl_AQI[Current AQI], 0)</f>
        <v>968</v>
      </c>
    </row>
    <row r="4785" spans="1:8" x14ac:dyDescent="0.35">
      <c r="A4785" t="s">
        <v>4413</v>
      </c>
      <c r="B4785" t="s">
        <v>4885</v>
      </c>
      <c r="C4785">
        <v>498</v>
      </c>
      <c r="D4785">
        <v>150</v>
      </c>
      <c r="E4785" t="s">
        <v>7</v>
      </c>
      <c r="F4785">
        <f>tbl_AQI[[#This Row],[Most AQI Reached]]-tbl_AQI[[#This Row],[Current AQI]]</f>
        <v>348</v>
      </c>
      <c r="G47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85">
        <f>RANK(tbl_AQI[[#This Row],[Current AQI]], tbl_AQI[Current AQI], 0)</f>
        <v>2400</v>
      </c>
    </row>
    <row r="4786" spans="1:8" x14ac:dyDescent="0.35">
      <c r="A4786" t="s">
        <v>4413</v>
      </c>
      <c r="B4786" t="s">
        <v>4886</v>
      </c>
      <c r="C4786">
        <v>466</v>
      </c>
      <c r="D4786">
        <v>302</v>
      </c>
      <c r="E4786" t="s">
        <v>11</v>
      </c>
      <c r="F4786">
        <f>tbl_AQI[[#This Row],[Most AQI Reached]]-tbl_AQI[[#This Row],[Current AQI]]</f>
        <v>164</v>
      </c>
      <c r="G47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86">
        <f>RANK(tbl_AQI[[#This Row],[Current AQI]], tbl_AQI[Current AQI], 0)</f>
        <v>839</v>
      </c>
    </row>
    <row r="4787" spans="1:8" x14ac:dyDescent="0.35">
      <c r="A4787" t="s">
        <v>4413</v>
      </c>
      <c r="B4787" t="s">
        <v>4887</v>
      </c>
      <c r="C4787">
        <v>499</v>
      </c>
      <c r="D4787">
        <v>462</v>
      </c>
      <c r="E4787" t="s">
        <v>9</v>
      </c>
      <c r="F4787">
        <f>tbl_AQI[[#This Row],[Most AQI Reached]]-tbl_AQI[[#This Row],[Current AQI]]</f>
        <v>37</v>
      </c>
      <c r="G47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87">
        <f>RANK(tbl_AQI[[#This Row],[Current AQI]], tbl_AQI[Current AQI], 0)</f>
        <v>92</v>
      </c>
    </row>
    <row r="4788" spans="1:8" x14ac:dyDescent="0.35">
      <c r="A4788" t="s">
        <v>4413</v>
      </c>
      <c r="B4788" t="s">
        <v>4888</v>
      </c>
      <c r="C4788">
        <v>486</v>
      </c>
      <c r="D4788">
        <v>430</v>
      </c>
      <c r="E4788" t="s">
        <v>9</v>
      </c>
      <c r="F4788">
        <f>tbl_AQI[[#This Row],[Most AQI Reached]]-tbl_AQI[[#This Row],[Current AQI]]</f>
        <v>56</v>
      </c>
      <c r="G47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88">
        <f>RANK(tbl_AQI[[#This Row],[Current AQI]], tbl_AQI[Current AQI], 0)</f>
        <v>263</v>
      </c>
    </row>
    <row r="4789" spans="1:8" x14ac:dyDescent="0.35">
      <c r="A4789" t="s">
        <v>4413</v>
      </c>
      <c r="B4789" t="s">
        <v>4889</v>
      </c>
      <c r="C4789">
        <v>482</v>
      </c>
      <c r="D4789">
        <v>427</v>
      </c>
      <c r="E4789" t="s">
        <v>21</v>
      </c>
      <c r="F4789">
        <f>tbl_AQI[[#This Row],[Most AQI Reached]]-tbl_AQI[[#This Row],[Current AQI]]</f>
        <v>55</v>
      </c>
      <c r="G47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89">
        <f>RANK(tbl_AQI[[#This Row],[Current AQI]], tbl_AQI[Current AQI], 0)</f>
        <v>281</v>
      </c>
    </row>
    <row r="4790" spans="1:8" x14ac:dyDescent="0.35">
      <c r="A4790" t="s">
        <v>4413</v>
      </c>
      <c r="B4790" t="s">
        <v>4890</v>
      </c>
      <c r="C4790">
        <v>490</v>
      </c>
      <c r="D4790">
        <v>426</v>
      </c>
      <c r="E4790" t="s">
        <v>21</v>
      </c>
      <c r="F4790">
        <f>tbl_AQI[[#This Row],[Most AQI Reached]]-tbl_AQI[[#This Row],[Current AQI]]</f>
        <v>64</v>
      </c>
      <c r="G47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90">
        <f>RANK(tbl_AQI[[#This Row],[Current AQI]], tbl_AQI[Current AQI], 0)</f>
        <v>288</v>
      </c>
    </row>
    <row r="4791" spans="1:8" x14ac:dyDescent="0.35">
      <c r="A4791" t="s">
        <v>4413</v>
      </c>
      <c r="B4791" t="s">
        <v>4891</v>
      </c>
      <c r="C4791">
        <v>457</v>
      </c>
      <c r="D4791">
        <v>438</v>
      </c>
      <c r="E4791" t="s">
        <v>21</v>
      </c>
      <c r="F4791">
        <f>tbl_AQI[[#This Row],[Most AQI Reached]]-tbl_AQI[[#This Row],[Current AQI]]</f>
        <v>19</v>
      </c>
      <c r="G47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91">
        <f>RANK(tbl_AQI[[#This Row],[Current AQI]], tbl_AQI[Current AQI], 0)</f>
        <v>218</v>
      </c>
    </row>
    <row r="4792" spans="1:8" x14ac:dyDescent="0.35">
      <c r="A4792" t="s">
        <v>4413</v>
      </c>
      <c r="B4792" t="s">
        <v>4892</v>
      </c>
      <c r="C4792">
        <v>263</v>
      </c>
      <c r="D4792">
        <v>178</v>
      </c>
      <c r="E4792" t="s">
        <v>33</v>
      </c>
      <c r="F4792">
        <f>tbl_AQI[[#This Row],[Most AQI Reached]]-tbl_AQI[[#This Row],[Current AQI]]</f>
        <v>85</v>
      </c>
      <c r="G47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792">
        <f>RANK(tbl_AQI[[#This Row],[Current AQI]], tbl_AQI[Current AQI], 0)</f>
        <v>1702</v>
      </c>
    </row>
    <row r="4793" spans="1:8" x14ac:dyDescent="0.35">
      <c r="A4793" t="s">
        <v>4413</v>
      </c>
      <c r="B4793" t="s">
        <v>4893</v>
      </c>
      <c r="C4793">
        <v>459</v>
      </c>
      <c r="D4793">
        <v>392</v>
      </c>
      <c r="E4793" t="s">
        <v>21</v>
      </c>
      <c r="F4793">
        <f>tbl_AQI[[#This Row],[Most AQI Reached]]-tbl_AQI[[#This Row],[Current AQI]]</f>
        <v>67</v>
      </c>
      <c r="G47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93">
        <f>RANK(tbl_AQI[[#This Row],[Current AQI]], tbl_AQI[Current AQI], 0)</f>
        <v>431</v>
      </c>
    </row>
    <row r="4794" spans="1:8" x14ac:dyDescent="0.35">
      <c r="A4794" t="s">
        <v>4413</v>
      </c>
      <c r="B4794" t="s">
        <v>4894</v>
      </c>
      <c r="C4794">
        <v>489</v>
      </c>
      <c r="D4794">
        <v>467</v>
      </c>
      <c r="E4794" t="s">
        <v>21</v>
      </c>
      <c r="F4794">
        <f>tbl_AQI[[#This Row],[Most AQI Reached]]-tbl_AQI[[#This Row],[Current AQI]]</f>
        <v>22</v>
      </c>
      <c r="G47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94">
        <f>RANK(tbl_AQI[[#This Row],[Current AQI]], tbl_AQI[Current AQI], 0)</f>
        <v>70</v>
      </c>
    </row>
    <row r="4795" spans="1:8" x14ac:dyDescent="0.35">
      <c r="A4795" t="s">
        <v>4413</v>
      </c>
      <c r="B4795" t="s">
        <v>4895</v>
      </c>
      <c r="C4795">
        <v>434</v>
      </c>
      <c r="D4795">
        <v>350</v>
      </c>
      <c r="E4795" t="s">
        <v>33</v>
      </c>
      <c r="F4795">
        <f>tbl_AQI[[#This Row],[Most AQI Reached]]-tbl_AQI[[#This Row],[Current AQI]]</f>
        <v>84</v>
      </c>
      <c r="G47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95">
        <f>RANK(tbl_AQI[[#This Row],[Current AQI]], tbl_AQI[Current AQI], 0)</f>
        <v>621</v>
      </c>
    </row>
    <row r="4796" spans="1:8" x14ac:dyDescent="0.35">
      <c r="A4796" t="s">
        <v>4413</v>
      </c>
      <c r="B4796" t="s">
        <v>4896</v>
      </c>
      <c r="C4796">
        <v>386</v>
      </c>
      <c r="D4796">
        <v>365</v>
      </c>
      <c r="E4796" t="s">
        <v>21</v>
      </c>
      <c r="F4796">
        <f>tbl_AQI[[#This Row],[Most AQI Reached]]-tbl_AQI[[#This Row],[Current AQI]]</f>
        <v>21</v>
      </c>
      <c r="G47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96">
        <f>RANK(tbl_AQI[[#This Row],[Current AQI]], tbl_AQI[Current AQI], 0)</f>
        <v>556</v>
      </c>
    </row>
    <row r="4797" spans="1:8" x14ac:dyDescent="0.35">
      <c r="A4797" t="s">
        <v>4413</v>
      </c>
      <c r="B4797" t="s">
        <v>4897</v>
      </c>
      <c r="C4797">
        <v>495</v>
      </c>
      <c r="D4797">
        <v>429</v>
      </c>
      <c r="E4797" t="s">
        <v>9</v>
      </c>
      <c r="F4797">
        <f>tbl_AQI[[#This Row],[Most AQI Reached]]-tbl_AQI[[#This Row],[Current AQI]]</f>
        <v>66</v>
      </c>
      <c r="G47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797">
        <f>RANK(tbl_AQI[[#This Row],[Current AQI]], tbl_AQI[Current AQI], 0)</f>
        <v>270</v>
      </c>
    </row>
    <row r="4798" spans="1:8" x14ac:dyDescent="0.35">
      <c r="A4798" t="s">
        <v>4413</v>
      </c>
      <c r="B4798" t="s">
        <v>4898</v>
      </c>
      <c r="C4798">
        <v>444</v>
      </c>
      <c r="D4798">
        <v>362</v>
      </c>
      <c r="E4798" t="s">
        <v>7</v>
      </c>
      <c r="F4798">
        <f>tbl_AQI[[#This Row],[Most AQI Reached]]-tbl_AQI[[#This Row],[Current AQI]]</f>
        <v>82</v>
      </c>
      <c r="G47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798">
        <f>RANK(tbl_AQI[[#This Row],[Current AQI]], tbl_AQI[Current AQI], 0)</f>
        <v>567</v>
      </c>
    </row>
    <row r="4799" spans="1:8" x14ac:dyDescent="0.35">
      <c r="A4799" t="s">
        <v>4413</v>
      </c>
      <c r="B4799" t="s">
        <v>4899</v>
      </c>
      <c r="C4799">
        <v>301</v>
      </c>
      <c r="D4799">
        <v>258</v>
      </c>
      <c r="E4799" t="s">
        <v>33</v>
      </c>
      <c r="F4799">
        <f>tbl_AQI[[#This Row],[Most AQI Reached]]-tbl_AQI[[#This Row],[Current AQI]]</f>
        <v>43</v>
      </c>
      <c r="G47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799">
        <f>RANK(tbl_AQI[[#This Row],[Current AQI]], tbl_AQI[Current AQI], 0)</f>
        <v>1052</v>
      </c>
    </row>
    <row r="4800" spans="1:8" x14ac:dyDescent="0.35">
      <c r="A4800" t="s">
        <v>4413</v>
      </c>
      <c r="B4800" t="s">
        <v>4900</v>
      </c>
      <c r="C4800">
        <v>395</v>
      </c>
      <c r="D4800">
        <v>319</v>
      </c>
      <c r="E4800" t="s">
        <v>21</v>
      </c>
      <c r="F4800">
        <f>tbl_AQI[[#This Row],[Most AQI Reached]]-tbl_AQI[[#This Row],[Current AQI]]</f>
        <v>76</v>
      </c>
      <c r="G48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800">
        <f>RANK(tbl_AQI[[#This Row],[Current AQI]], tbl_AQI[Current AQI], 0)</f>
        <v>782</v>
      </c>
    </row>
    <row r="4801" spans="1:8" x14ac:dyDescent="0.35">
      <c r="A4801" t="s">
        <v>4413</v>
      </c>
      <c r="B4801" t="s">
        <v>4901</v>
      </c>
      <c r="C4801">
        <v>361</v>
      </c>
      <c r="D4801">
        <v>357</v>
      </c>
      <c r="E4801" t="s">
        <v>21</v>
      </c>
      <c r="F4801">
        <f>tbl_AQI[[#This Row],[Most AQI Reached]]-tbl_AQI[[#This Row],[Current AQI]]</f>
        <v>4</v>
      </c>
      <c r="G48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801">
        <f>RANK(tbl_AQI[[#This Row],[Current AQI]], tbl_AQI[Current AQI], 0)</f>
        <v>592</v>
      </c>
    </row>
    <row r="4802" spans="1:8" x14ac:dyDescent="0.35">
      <c r="A4802" t="s">
        <v>4413</v>
      </c>
      <c r="B4802" t="s">
        <v>4902</v>
      </c>
      <c r="C4802">
        <v>385</v>
      </c>
      <c r="D4802">
        <v>344</v>
      </c>
      <c r="E4802" t="s">
        <v>21</v>
      </c>
      <c r="F4802">
        <f>tbl_AQI[[#This Row],[Most AQI Reached]]-tbl_AQI[[#This Row],[Current AQI]]</f>
        <v>41</v>
      </c>
      <c r="G48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802">
        <f>RANK(tbl_AQI[[#This Row],[Current AQI]], tbl_AQI[Current AQI], 0)</f>
        <v>656</v>
      </c>
    </row>
    <row r="4803" spans="1:8" x14ac:dyDescent="0.35">
      <c r="A4803" t="s">
        <v>4413</v>
      </c>
      <c r="B4803" t="s">
        <v>4903</v>
      </c>
      <c r="C4803">
        <v>481</v>
      </c>
      <c r="D4803">
        <v>300</v>
      </c>
      <c r="E4803" t="s">
        <v>7</v>
      </c>
      <c r="F4803">
        <f>tbl_AQI[[#This Row],[Most AQI Reached]]-tbl_AQI[[#This Row],[Current AQI]]</f>
        <v>181</v>
      </c>
      <c r="G48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03">
        <f>RANK(tbl_AQI[[#This Row],[Current AQI]], tbl_AQI[Current AQI], 0)</f>
        <v>851</v>
      </c>
    </row>
    <row r="4804" spans="1:8" x14ac:dyDescent="0.35">
      <c r="A4804" t="s">
        <v>4413</v>
      </c>
      <c r="B4804" t="s">
        <v>4904</v>
      </c>
      <c r="C4804">
        <v>449</v>
      </c>
      <c r="D4804">
        <v>401</v>
      </c>
      <c r="E4804" t="s">
        <v>9</v>
      </c>
      <c r="F4804">
        <f>tbl_AQI[[#This Row],[Most AQI Reached]]-tbl_AQI[[#This Row],[Current AQI]]</f>
        <v>48</v>
      </c>
      <c r="G48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804">
        <f>RANK(tbl_AQI[[#This Row],[Current AQI]], tbl_AQI[Current AQI], 0)</f>
        <v>388</v>
      </c>
    </row>
    <row r="4805" spans="1:8" x14ac:dyDescent="0.35">
      <c r="A4805" t="s">
        <v>4413</v>
      </c>
      <c r="B4805" t="s">
        <v>4905</v>
      </c>
      <c r="C4805">
        <v>473</v>
      </c>
      <c r="D4805">
        <v>470</v>
      </c>
      <c r="E4805" t="s">
        <v>9</v>
      </c>
      <c r="F4805">
        <f>tbl_AQI[[#This Row],[Most AQI Reached]]-tbl_AQI[[#This Row],[Current AQI]]</f>
        <v>3</v>
      </c>
      <c r="G48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805">
        <f>RANK(tbl_AQI[[#This Row],[Current AQI]], tbl_AQI[Current AQI], 0)</f>
        <v>53</v>
      </c>
    </row>
    <row r="4806" spans="1:8" x14ac:dyDescent="0.35">
      <c r="A4806" t="s">
        <v>4413</v>
      </c>
      <c r="B4806" t="s">
        <v>4906</v>
      </c>
      <c r="C4806">
        <v>489</v>
      </c>
      <c r="D4806">
        <v>406</v>
      </c>
      <c r="E4806" t="s">
        <v>7</v>
      </c>
      <c r="F4806">
        <f>tbl_AQI[[#This Row],[Most AQI Reached]]-tbl_AQI[[#This Row],[Current AQI]]</f>
        <v>83</v>
      </c>
      <c r="G48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806">
        <f>RANK(tbl_AQI[[#This Row],[Current AQI]], tbl_AQI[Current AQI], 0)</f>
        <v>366</v>
      </c>
    </row>
    <row r="4807" spans="1:8" x14ac:dyDescent="0.35">
      <c r="A4807" t="s">
        <v>4413</v>
      </c>
      <c r="B4807" t="s">
        <v>4907</v>
      </c>
      <c r="C4807">
        <v>497</v>
      </c>
      <c r="D4807">
        <v>231</v>
      </c>
      <c r="E4807" t="s">
        <v>15</v>
      </c>
      <c r="F4807">
        <f>tbl_AQI[[#This Row],[Most AQI Reached]]-tbl_AQI[[#This Row],[Current AQI]]</f>
        <v>266</v>
      </c>
      <c r="G48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07">
        <f>RANK(tbl_AQI[[#This Row],[Current AQI]], tbl_AQI[Current AQI], 0)</f>
        <v>1179</v>
      </c>
    </row>
    <row r="4808" spans="1:8" x14ac:dyDescent="0.35">
      <c r="A4808" t="s">
        <v>4413</v>
      </c>
      <c r="B4808" t="s">
        <v>4908</v>
      </c>
      <c r="C4808">
        <v>275</v>
      </c>
      <c r="D4808">
        <v>236</v>
      </c>
      <c r="E4808" t="s">
        <v>17</v>
      </c>
      <c r="F4808">
        <f>tbl_AQI[[#This Row],[Most AQI Reached]]-tbl_AQI[[#This Row],[Current AQI]]</f>
        <v>39</v>
      </c>
      <c r="G48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08">
        <f>RANK(tbl_AQI[[#This Row],[Current AQI]], tbl_AQI[Current AQI], 0)</f>
        <v>1162</v>
      </c>
    </row>
    <row r="4809" spans="1:8" x14ac:dyDescent="0.35">
      <c r="A4809" t="s">
        <v>4413</v>
      </c>
      <c r="B4809" t="s">
        <v>4909</v>
      </c>
      <c r="C4809">
        <v>290</v>
      </c>
      <c r="D4809">
        <v>179</v>
      </c>
      <c r="E4809" t="s">
        <v>7</v>
      </c>
      <c r="F4809">
        <f>tbl_AQI[[#This Row],[Most AQI Reached]]-tbl_AQI[[#This Row],[Current AQI]]</f>
        <v>111</v>
      </c>
      <c r="G48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09">
        <f>RANK(tbl_AQI[[#This Row],[Current AQI]], tbl_AQI[Current AQI], 0)</f>
        <v>1667</v>
      </c>
    </row>
    <row r="4810" spans="1:8" x14ac:dyDescent="0.35">
      <c r="A4810" t="s">
        <v>4413</v>
      </c>
      <c r="B4810" t="s">
        <v>4910</v>
      </c>
      <c r="C4810">
        <v>470</v>
      </c>
      <c r="D4810">
        <v>431</v>
      </c>
      <c r="E4810" t="s">
        <v>9</v>
      </c>
      <c r="F4810">
        <f>tbl_AQI[[#This Row],[Most AQI Reached]]-tbl_AQI[[#This Row],[Current AQI]]</f>
        <v>39</v>
      </c>
      <c r="G48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Severe</v>
      </c>
      <c r="H4810">
        <f>RANK(tbl_AQI[[#This Row],[Current AQI]], tbl_AQI[Current AQI], 0)</f>
        <v>260</v>
      </c>
    </row>
    <row r="4811" spans="1:8" x14ac:dyDescent="0.35">
      <c r="A4811" t="s">
        <v>4413</v>
      </c>
      <c r="B4811" t="s">
        <v>4911</v>
      </c>
      <c r="C4811">
        <v>309</v>
      </c>
      <c r="D4811">
        <v>198</v>
      </c>
      <c r="E4811" t="s">
        <v>15</v>
      </c>
      <c r="F4811">
        <f>tbl_AQI[[#This Row],[Most AQI Reached]]-tbl_AQI[[#This Row],[Current AQI]]</f>
        <v>111</v>
      </c>
      <c r="G48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11">
        <f>RANK(tbl_AQI[[#This Row],[Current AQI]], tbl_AQI[Current AQI], 0)</f>
        <v>1319</v>
      </c>
    </row>
    <row r="4812" spans="1:8" x14ac:dyDescent="0.35">
      <c r="A4812" t="s">
        <v>4413</v>
      </c>
      <c r="B4812" t="s">
        <v>4912</v>
      </c>
      <c r="C4812">
        <v>468</v>
      </c>
      <c r="D4812">
        <v>225</v>
      </c>
      <c r="E4812" t="s">
        <v>21</v>
      </c>
      <c r="F4812">
        <f>tbl_AQI[[#This Row],[Most AQI Reached]]-tbl_AQI[[#This Row],[Current AQI]]</f>
        <v>243</v>
      </c>
      <c r="G48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12">
        <f>RANK(tbl_AQI[[#This Row],[Current AQI]], tbl_AQI[Current AQI], 0)</f>
        <v>1204</v>
      </c>
    </row>
    <row r="4813" spans="1:8" x14ac:dyDescent="0.35">
      <c r="A4813" t="s">
        <v>4413</v>
      </c>
      <c r="B4813" t="s">
        <v>4913</v>
      </c>
      <c r="C4813">
        <v>257</v>
      </c>
      <c r="D4813">
        <v>235</v>
      </c>
      <c r="E4813" t="s">
        <v>11</v>
      </c>
      <c r="F4813">
        <f>tbl_AQI[[#This Row],[Most AQI Reached]]-tbl_AQI[[#This Row],[Current AQI]]</f>
        <v>22</v>
      </c>
      <c r="G48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13">
        <f>RANK(tbl_AQI[[#This Row],[Current AQI]], tbl_AQI[Current AQI], 0)</f>
        <v>1166</v>
      </c>
    </row>
    <row r="4814" spans="1:8" x14ac:dyDescent="0.35">
      <c r="A4814" t="s">
        <v>4413</v>
      </c>
      <c r="B4814" t="s">
        <v>4914</v>
      </c>
      <c r="C4814">
        <v>488</v>
      </c>
      <c r="D4814">
        <v>307</v>
      </c>
      <c r="E4814" t="s">
        <v>15</v>
      </c>
      <c r="F4814">
        <f>tbl_AQI[[#This Row],[Most AQI Reached]]-tbl_AQI[[#This Row],[Current AQI]]</f>
        <v>181</v>
      </c>
      <c r="G48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814">
        <f>RANK(tbl_AQI[[#This Row],[Current AQI]], tbl_AQI[Current AQI], 0)</f>
        <v>828</v>
      </c>
    </row>
    <row r="4815" spans="1:8" x14ac:dyDescent="0.35">
      <c r="A4815" t="s">
        <v>4413</v>
      </c>
      <c r="B4815" t="s">
        <v>4915</v>
      </c>
      <c r="C4815">
        <v>391</v>
      </c>
      <c r="D4815">
        <v>327</v>
      </c>
      <c r="E4815" t="s">
        <v>15</v>
      </c>
      <c r="F4815">
        <f>tbl_AQI[[#This Row],[Most AQI Reached]]-tbl_AQI[[#This Row],[Current AQI]]</f>
        <v>64</v>
      </c>
      <c r="G48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Very Poor</v>
      </c>
      <c r="H4815">
        <f>RANK(tbl_AQI[[#This Row],[Current AQI]], tbl_AQI[Current AQI], 0)</f>
        <v>744</v>
      </c>
    </row>
    <row r="4816" spans="1:8" x14ac:dyDescent="0.35">
      <c r="A4816" t="s">
        <v>4413</v>
      </c>
      <c r="B4816" t="s">
        <v>4916</v>
      </c>
      <c r="C4816">
        <v>267</v>
      </c>
      <c r="D4816">
        <v>241</v>
      </c>
      <c r="E4816" t="s">
        <v>7</v>
      </c>
      <c r="F4816">
        <f>tbl_AQI[[#This Row],[Most AQI Reached]]-tbl_AQI[[#This Row],[Current AQI]]</f>
        <v>26</v>
      </c>
      <c r="G48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16">
        <f>RANK(tbl_AQI[[#This Row],[Current AQI]], tbl_AQI[Current AQI], 0)</f>
        <v>1139</v>
      </c>
    </row>
    <row r="4817" spans="1:8" x14ac:dyDescent="0.35">
      <c r="A4817" t="s">
        <v>4413</v>
      </c>
      <c r="B4817" t="s">
        <v>4917</v>
      </c>
      <c r="C4817">
        <v>451</v>
      </c>
      <c r="D4817">
        <v>253</v>
      </c>
      <c r="E4817" t="s">
        <v>33</v>
      </c>
      <c r="F4817">
        <f>tbl_AQI[[#This Row],[Most AQI Reached]]-tbl_AQI[[#This Row],[Current AQI]]</f>
        <v>198</v>
      </c>
      <c r="G48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Poor</v>
      </c>
      <c r="H4817">
        <f>RANK(tbl_AQI[[#This Row],[Current AQI]], tbl_AQI[Current AQI], 0)</f>
        <v>1080</v>
      </c>
    </row>
    <row r="4818" spans="1:8" x14ac:dyDescent="0.35">
      <c r="A4818" t="s">
        <v>4321</v>
      </c>
      <c r="B4818" t="s">
        <v>4322</v>
      </c>
      <c r="C4818">
        <v>217</v>
      </c>
      <c r="D4818">
        <v>178</v>
      </c>
      <c r="E4818" t="s">
        <v>17</v>
      </c>
      <c r="F4818">
        <f>tbl_AQI[[#This Row],[Most AQI Reached]]-tbl_AQI[[#This Row],[Current AQI]]</f>
        <v>39</v>
      </c>
      <c r="G48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18">
        <f>RANK(tbl_AQI[[#This Row],[Current AQI]], tbl_AQI[Current AQI], 0)</f>
        <v>1702</v>
      </c>
    </row>
    <row r="4819" spans="1:8" x14ac:dyDescent="0.35">
      <c r="A4819" t="s">
        <v>4321</v>
      </c>
      <c r="B4819" t="s">
        <v>4323</v>
      </c>
      <c r="C4819">
        <v>148</v>
      </c>
      <c r="D4819">
        <v>128</v>
      </c>
      <c r="E4819" t="s">
        <v>7</v>
      </c>
      <c r="F4819">
        <f>tbl_AQI[[#This Row],[Most AQI Reached]]-tbl_AQI[[#This Row],[Current AQI]]</f>
        <v>20</v>
      </c>
      <c r="G48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19">
        <f>RANK(tbl_AQI[[#This Row],[Current AQI]], tbl_AQI[Current AQI], 0)</f>
        <v>2872</v>
      </c>
    </row>
    <row r="4820" spans="1:8" x14ac:dyDescent="0.35">
      <c r="A4820" t="s">
        <v>4321</v>
      </c>
      <c r="B4820" t="s">
        <v>4324</v>
      </c>
      <c r="C4820">
        <v>146</v>
      </c>
      <c r="D4820">
        <v>34</v>
      </c>
      <c r="E4820" t="s">
        <v>17</v>
      </c>
      <c r="F4820">
        <f>tbl_AQI[[#This Row],[Most AQI Reached]]-tbl_AQI[[#This Row],[Current AQI]]</f>
        <v>112</v>
      </c>
      <c r="G48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20">
        <f>RANK(tbl_AQI[[#This Row],[Current AQI]], tbl_AQI[Current AQI], 0)</f>
        <v>4944</v>
      </c>
    </row>
    <row r="4821" spans="1:8" x14ac:dyDescent="0.35">
      <c r="A4821" t="s">
        <v>4321</v>
      </c>
      <c r="B4821" t="s">
        <v>4325</v>
      </c>
      <c r="C4821">
        <v>287</v>
      </c>
      <c r="D4821">
        <v>176</v>
      </c>
      <c r="E4821" t="s">
        <v>21</v>
      </c>
      <c r="F4821">
        <f>tbl_AQI[[#This Row],[Most AQI Reached]]-tbl_AQI[[#This Row],[Current AQI]]</f>
        <v>111</v>
      </c>
      <c r="G48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21">
        <f>RANK(tbl_AQI[[#This Row],[Current AQI]], tbl_AQI[Current AQI], 0)</f>
        <v>1754</v>
      </c>
    </row>
    <row r="4822" spans="1:8" x14ac:dyDescent="0.35">
      <c r="A4822" t="s">
        <v>4321</v>
      </c>
      <c r="B4822" t="s">
        <v>4326</v>
      </c>
      <c r="C4822">
        <v>312</v>
      </c>
      <c r="D4822">
        <v>128</v>
      </c>
      <c r="E4822" t="s">
        <v>21</v>
      </c>
      <c r="F4822">
        <f>tbl_AQI[[#This Row],[Most AQI Reached]]-tbl_AQI[[#This Row],[Current AQI]]</f>
        <v>184</v>
      </c>
      <c r="G48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22">
        <f>RANK(tbl_AQI[[#This Row],[Current AQI]], tbl_AQI[Current AQI], 0)</f>
        <v>2872</v>
      </c>
    </row>
    <row r="4823" spans="1:8" x14ac:dyDescent="0.35">
      <c r="A4823" t="s">
        <v>4321</v>
      </c>
      <c r="B4823" t="s">
        <v>4327</v>
      </c>
      <c r="C4823">
        <v>231</v>
      </c>
      <c r="D4823">
        <v>165</v>
      </c>
      <c r="E4823" t="s">
        <v>9</v>
      </c>
      <c r="F4823">
        <f>tbl_AQI[[#This Row],[Most AQI Reached]]-tbl_AQI[[#This Row],[Current AQI]]</f>
        <v>66</v>
      </c>
      <c r="G48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23">
        <f>RANK(tbl_AQI[[#This Row],[Current AQI]], tbl_AQI[Current AQI], 0)</f>
        <v>2028</v>
      </c>
    </row>
    <row r="4824" spans="1:8" x14ac:dyDescent="0.35">
      <c r="A4824" t="s">
        <v>4321</v>
      </c>
      <c r="B4824" t="s">
        <v>4328</v>
      </c>
      <c r="C4824">
        <v>297</v>
      </c>
      <c r="D4824">
        <v>46</v>
      </c>
      <c r="E4824" t="s">
        <v>15</v>
      </c>
      <c r="F4824">
        <f>tbl_AQI[[#This Row],[Most AQI Reached]]-tbl_AQI[[#This Row],[Current AQI]]</f>
        <v>251</v>
      </c>
      <c r="G48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24">
        <f>RANK(tbl_AQI[[#This Row],[Current AQI]], tbl_AQI[Current AQI], 0)</f>
        <v>4680</v>
      </c>
    </row>
    <row r="4825" spans="1:8" x14ac:dyDescent="0.35">
      <c r="A4825" t="s">
        <v>4321</v>
      </c>
      <c r="B4825" t="s">
        <v>4329</v>
      </c>
      <c r="C4825">
        <v>181</v>
      </c>
      <c r="D4825">
        <v>125</v>
      </c>
      <c r="E4825" t="s">
        <v>33</v>
      </c>
      <c r="F4825">
        <f>tbl_AQI[[#This Row],[Most AQI Reached]]-tbl_AQI[[#This Row],[Current AQI]]</f>
        <v>56</v>
      </c>
      <c r="G48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25">
        <f>RANK(tbl_AQI[[#This Row],[Current AQI]], tbl_AQI[Current AQI], 0)</f>
        <v>2951</v>
      </c>
    </row>
    <row r="4826" spans="1:8" x14ac:dyDescent="0.35">
      <c r="A4826" t="s">
        <v>4321</v>
      </c>
      <c r="B4826" t="s">
        <v>4330</v>
      </c>
      <c r="C4826">
        <v>131</v>
      </c>
      <c r="D4826">
        <v>107</v>
      </c>
      <c r="E4826" t="s">
        <v>33</v>
      </c>
      <c r="F4826">
        <f>tbl_AQI[[#This Row],[Most AQI Reached]]-tbl_AQI[[#This Row],[Current AQI]]</f>
        <v>24</v>
      </c>
      <c r="G48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26">
        <f>RANK(tbl_AQI[[#This Row],[Current AQI]], tbl_AQI[Current AQI], 0)</f>
        <v>3387</v>
      </c>
    </row>
    <row r="4827" spans="1:8" x14ac:dyDescent="0.35">
      <c r="A4827" t="s">
        <v>4321</v>
      </c>
      <c r="B4827" t="s">
        <v>4331</v>
      </c>
      <c r="C4827">
        <v>281</v>
      </c>
      <c r="D4827">
        <v>125</v>
      </c>
      <c r="E4827" t="s">
        <v>33</v>
      </c>
      <c r="F4827">
        <f>tbl_AQI[[#This Row],[Most AQI Reached]]-tbl_AQI[[#This Row],[Current AQI]]</f>
        <v>156</v>
      </c>
      <c r="G48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27">
        <f>RANK(tbl_AQI[[#This Row],[Current AQI]], tbl_AQI[Current AQI], 0)</f>
        <v>2951</v>
      </c>
    </row>
    <row r="4828" spans="1:8" x14ac:dyDescent="0.35">
      <c r="A4828" t="s">
        <v>4321</v>
      </c>
      <c r="B4828" t="s">
        <v>4332</v>
      </c>
      <c r="C4828">
        <v>183</v>
      </c>
      <c r="D4828">
        <v>94</v>
      </c>
      <c r="E4828" t="s">
        <v>11</v>
      </c>
      <c r="F4828">
        <f>tbl_AQI[[#This Row],[Most AQI Reached]]-tbl_AQI[[#This Row],[Current AQI]]</f>
        <v>89</v>
      </c>
      <c r="G48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28">
        <f>RANK(tbl_AQI[[#This Row],[Current AQI]], tbl_AQI[Current AQI], 0)</f>
        <v>3654</v>
      </c>
    </row>
    <row r="4829" spans="1:8" x14ac:dyDescent="0.35">
      <c r="A4829" t="s">
        <v>4321</v>
      </c>
      <c r="B4829" t="s">
        <v>4333</v>
      </c>
      <c r="C4829">
        <v>240</v>
      </c>
      <c r="D4829">
        <v>65</v>
      </c>
      <c r="E4829" t="s">
        <v>7</v>
      </c>
      <c r="F4829">
        <f>tbl_AQI[[#This Row],[Most AQI Reached]]-tbl_AQI[[#This Row],[Current AQI]]</f>
        <v>175</v>
      </c>
      <c r="G48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29">
        <f>RANK(tbl_AQI[[#This Row],[Current AQI]], tbl_AQI[Current AQI], 0)</f>
        <v>4267</v>
      </c>
    </row>
    <row r="4830" spans="1:8" x14ac:dyDescent="0.35">
      <c r="A4830" t="s">
        <v>4321</v>
      </c>
      <c r="B4830" t="s">
        <v>4334</v>
      </c>
      <c r="C4830">
        <v>258</v>
      </c>
      <c r="D4830">
        <v>177</v>
      </c>
      <c r="E4830" t="s">
        <v>15</v>
      </c>
      <c r="F4830">
        <f>tbl_AQI[[#This Row],[Most AQI Reached]]-tbl_AQI[[#This Row],[Current AQI]]</f>
        <v>81</v>
      </c>
      <c r="G48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30">
        <f>RANK(tbl_AQI[[#This Row],[Current AQI]], tbl_AQI[Current AQI], 0)</f>
        <v>1733</v>
      </c>
    </row>
    <row r="4831" spans="1:8" x14ac:dyDescent="0.35">
      <c r="A4831" t="s">
        <v>4321</v>
      </c>
      <c r="B4831" t="s">
        <v>4335</v>
      </c>
      <c r="C4831">
        <v>100</v>
      </c>
      <c r="D4831">
        <v>93</v>
      </c>
      <c r="E4831" t="s">
        <v>9</v>
      </c>
      <c r="F4831">
        <f>tbl_AQI[[#This Row],[Most AQI Reached]]-tbl_AQI[[#This Row],[Current AQI]]</f>
        <v>7</v>
      </c>
      <c r="G48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31">
        <f>RANK(tbl_AQI[[#This Row],[Current AQI]], tbl_AQI[Current AQI], 0)</f>
        <v>3678</v>
      </c>
    </row>
    <row r="4832" spans="1:8" x14ac:dyDescent="0.35">
      <c r="A4832" t="s">
        <v>4321</v>
      </c>
      <c r="B4832" t="s">
        <v>4336</v>
      </c>
      <c r="C4832">
        <v>187</v>
      </c>
      <c r="D4832">
        <v>169</v>
      </c>
      <c r="E4832" t="s">
        <v>9</v>
      </c>
      <c r="F4832">
        <f>tbl_AQI[[#This Row],[Most AQI Reached]]-tbl_AQI[[#This Row],[Current AQI]]</f>
        <v>18</v>
      </c>
      <c r="G48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32">
        <f>RANK(tbl_AQI[[#This Row],[Current AQI]], tbl_AQI[Current AQI], 0)</f>
        <v>1925</v>
      </c>
    </row>
    <row r="4833" spans="1:8" x14ac:dyDescent="0.35">
      <c r="A4833" t="s">
        <v>4321</v>
      </c>
      <c r="B4833" t="s">
        <v>4337</v>
      </c>
      <c r="C4833">
        <v>253</v>
      </c>
      <c r="D4833">
        <v>34</v>
      </c>
      <c r="E4833" t="s">
        <v>9</v>
      </c>
      <c r="F4833">
        <f>tbl_AQI[[#This Row],[Most AQI Reached]]-tbl_AQI[[#This Row],[Current AQI]]</f>
        <v>219</v>
      </c>
      <c r="G48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33">
        <f>RANK(tbl_AQI[[#This Row],[Current AQI]], tbl_AQI[Current AQI], 0)</f>
        <v>4944</v>
      </c>
    </row>
    <row r="4834" spans="1:8" x14ac:dyDescent="0.35">
      <c r="A4834" t="s">
        <v>4321</v>
      </c>
      <c r="B4834" t="s">
        <v>4338</v>
      </c>
      <c r="C4834">
        <v>225</v>
      </c>
      <c r="D4834">
        <v>143</v>
      </c>
      <c r="E4834" t="s">
        <v>7</v>
      </c>
      <c r="F4834">
        <f>tbl_AQI[[#This Row],[Most AQI Reached]]-tbl_AQI[[#This Row],[Current AQI]]</f>
        <v>82</v>
      </c>
      <c r="G48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34">
        <f>RANK(tbl_AQI[[#This Row],[Current AQI]], tbl_AQI[Current AQI], 0)</f>
        <v>2567</v>
      </c>
    </row>
    <row r="4835" spans="1:8" x14ac:dyDescent="0.35">
      <c r="A4835" t="s">
        <v>4321</v>
      </c>
      <c r="B4835" t="s">
        <v>4339</v>
      </c>
      <c r="C4835">
        <v>270</v>
      </c>
      <c r="D4835">
        <v>112</v>
      </c>
      <c r="E4835" t="s">
        <v>21</v>
      </c>
      <c r="F4835">
        <f>tbl_AQI[[#This Row],[Most AQI Reached]]-tbl_AQI[[#This Row],[Current AQI]]</f>
        <v>158</v>
      </c>
      <c r="G48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35">
        <f>RANK(tbl_AQI[[#This Row],[Current AQI]], tbl_AQI[Current AQI], 0)</f>
        <v>3267</v>
      </c>
    </row>
    <row r="4836" spans="1:8" x14ac:dyDescent="0.35">
      <c r="A4836" t="s">
        <v>4321</v>
      </c>
      <c r="B4836" t="s">
        <v>4340</v>
      </c>
      <c r="C4836">
        <v>205</v>
      </c>
      <c r="D4836">
        <v>96</v>
      </c>
      <c r="E4836" t="s">
        <v>15</v>
      </c>
      <c r="F4836">
        <f>tbl_AQI[[#This Row],[Most AQI Reached]]-tbl_AQI[[#This Row],[Current AQI]]</f>
        <v>109</v>
      </c>
      <c r="G48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36">
        <f>RANK(tbl_AQI[[#This Row],[Current AQI]], tbl_AQI[Current AQI], 0)</f>
        <v>3616</v>
      </c>
    </row>
    <row r="4837" spans="1:8" x14ac:dyDescent="0.35">
      <c r="A4837" t="s">
        <v>4321</v>
      </c>
      <c r="B4837" t="s">
        <v>4341</v>
      </c>
      <c r="C4837">
        <v>198</v>
      </c>
      <c r="D4837">
        <v>145</v>
      </c>
      <c r="E4837" t="s">
        <v>21</v>
      </c>
      <c r="F4837">
        <f>tbl_AQI[[#This Row],[Most AQI Reached]]-tbl_AQI[[#This Row],[Current AQI]]</f>
        <v>53</v>
      </c>
      <c r="G48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37">
        <f>RANK(tbl_AQI[[#This Row],[Current AQI]], tbl_AQI[Current AQI], 0)</f>
        <v>2526</v>
      </c>
    </row>
    <row r="4838" spans="1:8" x14ac:dyDescent="0.35">
      <c r="A4838" t="s">
        <v>4321</v>
      </c>
      <c r="B4838" t="s">
        <v>4342</v>
      </c>
      <c r="C4838">
        <v>267</v>
      </c>
      <c r="D4838">
        <v>160</v>
      </c>
      <c r="E4838" t="s">
        <v>7</v>
      </c>
      <c r="F4838">
        <f>tbl_AQI[[#This Row],[Most AQI Reached]]-tbl_AQI[[#This Row],[Current AQI]]</f>
        <v>107</v>
      </c>
      <c r="G48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38">
        <f>RANK(tbl_AQI[[#This Row],[Current AQI]], tbl_AQI[Current AQI], 0)</f>
        <v>2154</v>
      </c>
    </row>
    <row r="4839" spans="1:8" x14ac:dyDescent="0.35">
      <c r="A4839" t="s">
        <v>4321</v>
      </c>
      <c r="B4839" t="s">
        <v>4343</v>
      </c>
      <c r="C4839">
        <v>213</v>
      </c>
      <c r="D4839">
        <v>43</v>
      </c>
      <c r="E4839" t="s">
        <v>15</v>
      </c>
      <c r="F4839">
        <f>tbl_AQI[[#This Row],[Most AQI Reached]]-tbl_AQI[[#This Row],[Current AQI]]</f>
        <v>170</v>
      </c>
      <c r="G48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39">
        <f>RANK(tbl_AQI[[#This Row],[Current AQI]], tbl_AQI[Current AQI], 0)</f>
        <v>4752</v>
      </c>
    </row>
    <row r="4840" spans="1:8" x14ac:dyDescent="0.35">
      <c r="A4840" t="s">
        <v>4321</v>
      </c>
      <c r="B4840" t="s">
        <v>4344</v>
      </c>
      <c r="C4840">
        <v>307</v>
      </c>
      <c r="D4840">
        <v>125</v>
      </c>
      <c r="E4840" t="s">
        <v>11</v>
      </c>
      <c r="F4840">
        <f>tbl_AQI[[#This Row],[Most AQI Reached]]-tbl_AQI[[#This Row],[Current AQI]]</f>
        <v>182</v>
      </c>
      <c r="G48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40">
        <f>RANK(tbl_AQI[[#This Row],[Current AQI]], tbl_AQI[Current AQI], 0)</f>
        <v>2951</v>
      </c>
    </row>
    <row r="4841" spans="1:8" x14ac:dyDescent="0.35">
      <c r="A4841" t="s">
        <v>4321</v>
      </c>
      <c r="B4841" t="s">
        <v>4345</v>
      </c>
      <c r="C4841">
        <v>235</v>
      </c>
      <c r="D4841">
        <v>153</v>
      </c>
      <c r="E4841" t="s">
        <v>7</v>
      </c>
      <c r="F4841">
        <f>tbl_AQI[[#This Row],[Most AQI Reached]]-tbl_AQI[[#This Row],[Current AQI]]</f>
        <v>82</v>
      </c>
      <c r="G48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41">
        <f>RANK(tbl_AQI[[#This Row],[Current AQI]], tbl_AQI[Current AQI], 0)</f>
        <v>2329</v>
      </c>
    </row>
    <row r="4842" spans="1:8" x14ac:dyDescent="0.35">
      <c r="A4842" t="s">
        <v>4321</v>
      </c>
      <c r="B4842" t="s">
        <v>4346</v>
      </c>
      <c r="C4842">
        <v>142</v>
      </c>
      <c r="D4842">
        <v>54</v>
      </c>
      <c r="E4842" t="s">
        <v>9</v>
      </c>
      <c r="F4842">
        <f>tbl_AQI[[#This Row],[Most AQI Reached]]-tbl_AQI[[#This Row],[Current AQI]]</f>
        <v>88</v>
      </c>
      <c r="G48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42">
        <f>RANK(tbl_AQI[[#This Row],[Current AQI]], tbl_AQI[Current AQI], 0)</f>
        <v>4523</v>
      </c>
    </row>
    <row r="4843" spans="1:8" x14ac:dyDescent="0.35">
      <c r="A4843" t="s">
        <v>4321</v>
      </c>
      <c r="B4843" t="s">
        <v>4347</v>
      </c>
      <c r="C4843">
        <v>214</v>
      </c>
      <c r="D4843">
        <v>81</v>
      </c>
      <c r="E4843" t="s">
        <v>9</v>
      </c>
      <c r="F4843">
        <f>tbl_AQI[[#This Row],[Most AQI Reached]]-tbl_AQI[[#This Row],[Current AQI]]</f>
        <v>133</v>
      </c>
      <c r="G48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43">
        <f>RANK(tbl_AQI[[#This Row],[Current AQI]], tbl_AQI[Current AQI], 0)</f>
        <v>3923</v>
      </c>
    </row>
    <row r="4844" spans="1:8" x14ac:dyDescent="0.35">
      <c r="A4844" t="s">
        <v>4321</v>
      </c>
      <c r="B4844" t="s">
        <v>4348</v>
      </c>
      <c r="C4844">
        <v>235</v>
      </c>
      <c r="D4844">
        <v>115</v>
      </c>
      <c r="E4844" t="s">
        <v>11</v>
      </c>
      <c r="F4844">
        <f>tbl_AQI[[#This Row],[Most AQI Reached]]-tbl_AQI[[#This Row],[Current AQI]]</f>
        <v>120</v>
      </c>
      <c r="G48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44">
        <f>RANK(tbl_AQI[[#This Row],[Current AQI]], tbl_AQI[Current AQI], 0)</f>
        <v>3206</v>
      </c>
    </row>
    <row r="4845" spans="1:8" x14ac:dyDescent="0.35">
      <c r="A4845" t="s">
        <v>4321</v>
      </c>
      <c r="B4845" t="s">
        <v>4349</v>
      </c>
      <c r="C4845">
        <v>215</v>
      </c>
      <c r="D4845">
        <v>56</v>
      </c>
      <c r="E4845" t="s">
        <v>15</v>
      </c>
      <c r="F4845">
        <f>tbl_AQI[[#This Row],[Most AQI Reached]]-tbl_AQI[[#This Row],[Current AQI]]</f>
        <v>159</v>
      </c>
      <c r="G48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45">
        <f>RANK(tbl_AQI[[#This Row],[Current AQI]], tbl_AQI[Current AQI], 0)</f>
        <v>4474</v>
      </c>
    </row>
    <row r="4846" spans="1:8" x14ac:dyDescent="0.35">
      <c r="A4846" t="s">
        <v>4321</v>
      </c>
      <c r="B4846" t="s">
        <v>4350</v>
      </c>
      <c r="C4846">
        <v>139</v>
      </c>
      <c r="D4846">
        <v>130</v>
      </c>
      <c r="E4846" t="s">
        <v>9</v>
      </c>
      <c r="F4846">
        <f>tbl_AQI[[#This Row],[Most AQI Reached]]-tbl_AQI[[#This Row],[Current AQI]]</f>
        <v>9</v>
      </c>
      <c r="G48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46">
        <f>RANK(tbl_AQI[[#This Row],[Current AQI]], tbl_AQI[Current AQI], 0)</f>
        <v>2832</v>
      </c>
    </row>
    <row r="4847" spans="1:8" x14ac:dyDescent="0.35">
      <c r="A4847" t="s">
        <v>4321</v>
      </c>
      <c r="B4847" t="s">
        <v>4351</v>
      </c>
      <c r="C4847">
        <v>315</v>
      </c>
      <c r="D4847">
        <v>124</v>
      </c>
      <c r="E4847" t="s">
        <v>17</v>
      </c>
      <c r="F4847">
        <f>tbl_AQI[[#This Row],[Most AQI Reached]]-tbl_AQI[[#This Row],[Current AQI]]</f>
        <v>191</v>
      </c>
      <c r="G48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47">
        <f>RANK(tbl_AQI[[#This Row],[Current AQI]], tbl_AQI[Current AQI], 0)</f>
        <v>2971</v>
      </c>
    </row>
    <row r="4848" spans="1:8" x14ac:dyDescent="0.35">
      <c r="A4848" t="s">
        <v>4321</v>
      </c>
      <c r="B4848" t="s">
        <v>4352</v>
      </c>
      <c r="C4848">
        <v>70</v>
      </c>
      <c r="D4848">
        <v>58</v>
      </c>
      <c r="E4848" t="s">
        <v>17</v>
      </c>
      <c r="F4848">
        <f>tbl_AQI[[#This Row],[Most AQI Reached]]-tbl_AQI[[#This Row],[Current AQI]]</f>
        <v>12</v>
      </c>
      <c r="G48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48">
        <f>RANK(tbl_AQI[[#This Row],[Current AQI]], tbl_AQI[Current AQI], 0)</f>
        <v>4431</v>
      </c>
    </row>
    <row r="4849" spans="1:8" x14ac:dyDescent="0.35">
      <c r="A4849" t="s">
        <v>4321</v>
      </c>
      <c r="B4849" t="s">
        <v>4353</v>
      </c>
      <c r="C4849">
        <v>178</v>
      </c>
      <c r="D4849">
        <v>31</v>
      </c>
      <c r="E4849" t="s">
        <v>9</v>
      </c>
      <c r="F4849">
        <f>tbl_AQI[[#This Row],[Most AQI Reached]]-tbl_AQI[[#This Row],[Current AQI]]</f>
        <v>147</v>
      </c>
      <c r="G48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49">
        <f>RANK(tbl_AQI[[#This Row],[Current AQI]], tbl_AQI[Current AQI], 0)</f>
        <v>5016</v>
      </c>
    </row>
    <row r="4850" spans="1:8" x14ac:dyDescent="0.35">
      <c r="A4850" t="s">
        <v>4321</v>
      </c>
      <c r="B4850" t="s">
        <v>4354</v>
      </c>
      <c r="C4850">
        <v>293</v>
      </c>
      <c r="D4850">
        <v>156</v>
      </c>
      <c r="E4850" t="s">
        <v>33</v>
      </c>
      <c r="F4850">
        <f>tbl_AQI[[#This Row],[Most AQI Reached]]-tbl_AQI[[#This Row],[Current AQI]]</f>
        <v>137</v>
      </c>
      <c r="G48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50">
        <f>RANK(tbl_AQI[[#This Row],[Current AQI]], tbl_AQI[Current AQI], 0)</f>
        <v>2251</v>
      </c>
    </row>
    <row r="4851" spans="1:8" x14ac:dyDescent="0.35">
      <c r="A4851" t="s">
        <v>4321</v>
      </c>
      <c r="B4851" t="s">
        <v>4355</v>
      </c>
      <c r="C4851">
        <v>290</v>
      </c>
      <c r="D4851">
        <v>81</v>
      </c>
      <c r="E4851" t="s">
        <v>17</v>
      </c>
      <c r="F4851">
        <f>tbl_AQI[[#This Row],[Most AQI Reached]]-tbl_AQI[[#This Row],[Current AQI]]</f>
        <v>209</v>
      </c>
      <c r="G48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51">
        <f>RANK(tbl_AQI[[#This Row],[Current AQI]], tbl_AQI[Current AQI], 0)</f>
        <v>3923</v>
      </c>
    </row>
    <row r="4852" spans="1:8" x14ac:dyDescent="0.35">
      <c r="A4852" t="s">
        <v>4321</v>
      </c>
      <c r="B4852" t="s">
        <v>4356</v>
      </c>
      <c r="C4852">
        <v>170</v>
      </c>
      <c r="D4852">
        <v>118</v>
      </c>
      <c r="E4852" t="s">
        <v>21</v>
      </c>
      <c r="F4852">
        <f>tbl_AQI[[#This Row],[Most AQI Reached]]-tbl_AQI[[#This Row],[Current AQI]]</f>
        <v>52</v>
      </c>
      <c r="G48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52">
        <f>RANK(tbl_AQI[[#This Row],[Current AQI]], tbl_AQI[Current AQI], 0)</f>
        <v>3122</v>
      </c>
    </row>
    <row r="4853" spans="1:8" x14ac:dyDescent="0.35">
      <c r="A4853" t="s">
        <v>4321</v>
      </c>
      <c r="B4853" t="s">
        <v>4357</v>
      </c>
      <c r="C4853">
        <v>188</v>
      </c>
      <c r="D4853">
        <v>148</v>
      </c>
      <c r="E4853" t="s">
        <v>7</v>
      </c>
      <c r="F4853">
        <f>tbl_AQI[[#This Row],[Most AQI Reached]]-tbl_AQI[[#This Row],[Current AQI]]</f>
        <v>40</v>
      </c>
      <c r="G48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53">
        <f>RANK(tbl_AQI[[#This Row],[Current AQI]], tbl_AQI[Current AQI], 0)</f>
        <v>2446</v>
      </c>
    </row>
    <row r="4854" spans="1:8" x14ac:dyDescent="0.35">
      <c r="A4854" t="s">
        <v>4321</v>
      </c>
      <c r="B4854" t="s">
        <v>4358</v>
      </c>
      <c r="C4854">
        <v>180</v>
      </c>
      <c r="D4854">
        <v>45</v>
      </c>
      <c r="E4854" t="s">
        <v>21</v>
      </c>
      <c r="F4854">
        <f>tbl_AQI[[#This Row],[Most AQI Reached]]-tbl_AQI[[#This Row],[Current AQI]]</f>
        <v>135</v>
      </c>
      <c r="G48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54">
        <f>RANK(tbl_AQI[[#This Row],[Current AQI]], tbl_AQI[Current AQI], 0)</f>
        <v>4702</v>
      </c>
    </row>
    <row r="4855" spans="1:8" x14ac:dyDescent="0.35">
      <c r="A4855" t="s">
        <v>4321</v>
      </c>
      <c r="B4855" t="s">
        <v>4359</v>
      </c>
      <c r="C4855">
        <v>278</v>
      </c>
      <c r="D4855">
        <v>175</v>
      </c>
      <c r="E4855" t="s">
        <v>17</v>
      </c>
      <c r="F4855">
        <f>tbl_AQI[[#This Row],[Most AQI Reached]]-tbl_AQI[[#This Row],[Current AQI]]</f>
        <v>103</v>
      </c>
      <c r="G48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55">
        <f>RANK(tbl_AQI[[#This Row],[Current AQI]], tbl_AQI[Current AQI], 0)</f>
        <v>1780</v>
      </c>
    </row>
    <row r="4856" spans="1:8" x14ac:dyDescent="0.35">
      <c r="A4856" t="s">
        <v>4321</v>
      </c>
      <c r="B4856" t="s">
        <v>4360</v>
      </c>
      <c r="C4856">
        <v>284</v>
      </c>
      <c r="D4856">
        <v>90</v>
      </c>
      <c r="E4856" t="s">
        <v>33</v>
      </c>
      <c r="F4856">
        <f>tbl_AQI[[#This Row],[Most AQI Reached]]-tbl_AQI[[#This Row],[Current AQI]]</f>
        <v>194</v>
      </c>
      <c r="G48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56">
        <f>RANK(tbl_AQI[[#This Row],[Current AQI]], tbl_AQI[Current AQI], 0)</f>
        <v>3750</v>
      </c>
    </row>
    <row r="4857" spans="1:8" x14ac:dyDescent="0.35">
      <c r="A4857" t="s">
        <v>4321</v>
      </c>
      <c r="B4857" t="s">
        <v>4361</v>
      </c>
      <c r="C4857">
        <v>268</v>
      </c>
      <c r="D4857">
        <v>126</v>
      </c>
      <c r="E4857" t="s">
        <v>11</v>
      </c>
      <c r="F4857">
        <f>tbl_AQI[[#This Row],[Most AQI Reached]]-tbl_AQI[[#This Row],[Current AQI]]</f>
        <v>142</v>
      </c>
      <c r="G48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57">
        <f>RANK(tbl_AQI[[#This Row],[Current AQI]], tbl_AQI[Current AQI], 0)</f>
        <v>2934</v>
      </c>
    </row>
    <row r="4858" spans="1:8" x14ac:dyDescent="0.35">
      <c r="A4858" t="s">
        <v>4321</v>
      </c>
      <c r="B4858" t="s">
        <v>4362</v>
      </c>
      <c r="C4858">
        <v>291</v>
      </c>
      <c r="D4858">
        <v>158</v>
      </c>
      <c r="E4858" t="s">
        <v>33</v>
      </c>
      <c r="F4858">
        <f>tbl_AQI[[#This Row],[Most AQI Reached]]-tbl_AQI[[#This Row],[Current AQI]]</f>
        <v>133</v>
      </c>
      <c r="G48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58">
        <f>RANK(tbl_AQI[[#This Row],[Current AQI]], tbl_AQI[Current AQI], 0)</f>
        <v>2207</v>
      </c>
    </row>
    <row r="4859" spans="1:8" x14ac:dyDescent="0.35">
      <c r="A4859" t="s">
        <v>4321</v>
      </c>
      <c r="B4859" t="s">
        <v>4363</v>
      </c>
      <c r="C4859">
        <v>177</v>
      </c>
      <c r="D4859">
        <v>152</v>
      </c>
      <c r="E4859" t="s">
        <v>11</v>
      </c>
      <c r="F4859">
        <f>tbl_AQI[[#This Row],[Most AQI Reached]]-tbl_AQI[[#This Row],[Current AQI]]</f>
        <v>25</v>
      </c>
      <c r="G48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59">
        <f>RANK(tbl_AQI[[#This Row],[Current AQI]], tbl_AQI[Current AQI], 0)</f>
        <v>2349</v>
      </c>
    </row>
    <row r="4860" spans="1:8" x14ac:dyDescent="0.35">
      <c r="A4860" t="s">
        <v>4321</v>
      </c>
      <c r="B4860" t="s">
        <v>4364</v>
      </c>
      <c r="C4860">
        <v>132</v>
      </c>
      <c r="D4860">
        <v>66</v>
      </c>
      <c r="E4860" t="s">
        <v>9</v>
      </c>
      <c r="F4860">
        <f>tbl_AQI[[#This Row],[Most AQI Reached]]-tbl_AQI[[#This Row],[Current AQI]]</f>
        <v>66</v>
      </c>
      <c r="G48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60">
        <f>RANK(tbl_AQI[[#This Row],[Current AQI]], tbl_AQI[Current AQI], 0)</f>
        <v>4247</v>
      </c>
    </row>
    <row r="4861" spans="1:8" x14ac:dyDescent="0.35">
      <c r="A4861" t="s">
        <v>4321</v>
      </c>
      <c r="B4861" t="s">
        <v>4365</v>
      </c>
      <c r="C4861">
        <v>298</v>
      </c>
      <c r="D4861">
        <v>40</v>
      </c>
      <c r="E4861" t="s">
        <v>17</v>
      </c>
      <c r="F4861">
        <f>tbl_AQI[[#This Row],[Most AQI Reached]]-tbl_AQI[[#This Row],[Current AQI]]</f>
        <v>258</v>
      </c>
      <c r="G48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61">
        <f>RANK(tbl_AQI[[#This Row],[Current AQI]], tbl_AQI[Current AQI], 0)</f>
        <v>4808</v>
      </c>
    </row>
    <row r="4862" spans="1:8" x14ac:dyDescent="0.35">
      <c r="A4862" t="s">
        <v>4321</v>
      </c>
      <c r="B4862" t="s">
        <v>4366</v>
      </c>
      <c r="C4862">
        <v>255</v>
      </c>
      <c r="D4862">
        <v>127</v>
      </c>
      <c r="E4862" t="s">
        <v>7</v>
      </c>
      <c r="F4862">
        <f>tbl_AQI[[#This Row],[Most AQI Reached]]-tbl_AQI[[#This Row],[Current AQI]]</f>
        <v>128</v>
      </c>
      <c r="G48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62">
        <f>RANK(tbl_AQI[[#This Row],[Current AQI]], tbl_AQI[Current AQI], 0)</f>
        <v>2909</v>
      </c>
    </row>
    <row r="4863" spans="1:8" x14ac:dyDescent="0.35">
      <c r="A4863" t="s">
        <v>4321</v>
      </c>
      <c r="B4863" t="s">
        <v>4367</v>
      </c>
      <c r="C4863">
        <v>163</v>
      </c>
      <c r="D4863">
        <v>144</v>
      </c>
      <c r="E4863" t="s">
        <v>21</v>
      </c>
      <c r="F4863">
        <f>tbl_AQI[[#This Row],[Most AQI Reached]]-tbl_AQI[[#This Row],[Current AQI]]</f>
        <v>19</v>
      </c>
      <c r="G48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63">
        <f>RANK(tbl_AQI[[#This Row],[Current AQI]], tbl_AQI[Current AQI], 0)</f>
        <v>2550</v>
      </c>
    </row>
    <row r="4864" spans="1:8" x14ac:dyDescent="0.35">
      <c r="A4864" t="s">
        <v>4321</v>
      </c>
      <c r="B4864" t="s">
        <v>4368</v>
      </c>
      <c r="C4864">
        <v>283</v>
      </c>
      <c r="D4864">
        <v>98</v>
      </c>
      <c r="E4864" t="s">
        <v>17</v>
      </c>
      <c r="F4864">
        <f>tbl_AQI[[#This Row],[Most AQI Reached]]-tbl_AQI[[#This Row],[Current AQI]]</f>
        <v>185</v>
      </c>
      <c r="G48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64">
        <f>RANK(tbl_AQI[[#This Row],[Current AQI]], tbl_AQI[Current AQI], 0)</f>
        <v>3574</v>
      </c>
    </row>
    <row r="4865" spans="1:8" x14ac:dyDescent="0.35">
      <c r="A4865" t="s">
        <v>4321</v>
      </c>
      <c r="B4865" t="s">
        <v>4369</v>
      </c>
      <c r="C4865">
        <v>276</v>
      </c>
      <c r="D4865">
        <v>183</v>
      </c>
      <c r="E4865" t="s">
        <v>33</v>
      </c>
      <c r="F4865">
        <f>tbl_AQI[[#This Row],[Most AQI Reached]]-tbl_AQI[[#This Row],[Current AQI]]</f>
        <v>93</v>
      </c>
      <c r="G48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65">
        <f>RANK(tbl_AQI[[#This Row],[Current AQI]], tbl_AQI[Current AQI], 0)</f>
        <v>1572</v>
      </c>
    </row>
    <row r="4866" spans="1:8" x14ac:dyDescent="0.35">
      <c r="A4866" t="s">
        <v>4321</v>
      </c>
      <c r="B4866" t="s">
        <v>4370</v>
      </c>
      <c r="C4866">
        <v>232</v>
      </c>
      <c r="D4866">
        <v>129</v>
      </c>
      <c r="E4866" t="s">
        <v>15</v>
      </c>
      <c r="F4866">
        <f>tbl_AQI[[#This Row],[Most AQI Reached]]-tbl_AQI[[#This Row],[Current AQI]]</f>
        <v>103</v>
      </c>
      <c r="G48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66">
        <f>RANK(tbl_AQI[[#This Row],[Current AQI]], tbl_AQI[Current AQI], 0)</f>
        <v>2852</v>
      </c>
    </row>
    <row r="4867" spans="1:8" x14ac:dyDescent="0.35">
      <c r="A4867" t="s">
        <v>4321</v>
      </c>
      <c r="B4867" t="s">
        <v>4371</v>
      </c>
      <c r="C4867">
        <v>253</v>
      </c>
      <c r="D4867">
        <v>148</v>
      </c>
      <c r="E4867" t="s">
        <v>17</v>
      </c>
      <c r="F4867">
        <f>tbl_AQI[[#This Row],[Most AQI Reached]]-tbl_AQI[[#This Row],[Current AQI]]</f>
        <v>105</v>
      </c>
      <c r="G48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67">
        <f>RANK(tbl_AQI[[#This Row],[Current AQI]], tbl_AQI[Current AQI], 0)</f>
        <v>2446</v>
      </c>
    </row>
    <row r="4868" spans="1:8" x14ac:dyDescent="0.35">
      <c r="A4868" t="s">
        <v>4321</v>
      </c>
      <c r="B4868" t="s">
        <v>4372</v>
      </c>
      <c r="C4868">
        <v>198</v>
      </c>
      <c r="D4868">
        <v>135</v>
      </c>
      <c r="E4868" t="s">
        <v>7</v>
      </c>
      <c r="F4868">
        <f>tbl_AQI[[#This Row],[Most AQI Reached]]-tbl_AQI[[#This Row],[Current AQI]]</f>
        <v>63</v>
      </c>
      <c r="G48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68">
        <f>RANK(tbl_AQI[[#This Row],[Current AQI]], tbl_AQI[Current AQI], 0)</f>
        <v>2714</v>
      </c>
    </row>
    <row r="4869" spans="1:8" x14ac:dyDescent="0.35">
      <c r="A4869" t="s">
        <v>4321</v>
      </c>
      <c r="B4869" t="s">
        <v>4373</v>
      </c>
      <c r="C4869">
        <v>300</v>
      </c>
      <c r="D4869">
        <v>33</v>
      </c>
      <c r="E4869" t="s">
        <v>17</v>
      </c>
      <c r="F4869">
        <f>tbl_AQI[[#This Row],[Most AQI Reached]]-tbl_AQI[[#This Row],[Current AQI]]</f>
        <v>267</v>
      </c>
      <c r="G48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69">
        <f>RANK(tbl_AQI[[#This Row],[Current AQI]], tbl_AQI[Current AQI], 0)</f>
        <v>4964</v>
      </c>
    </row>
    <row r="4870" spans="1:8" x14ac:dyDescent="0.35">
      <c r="A4870" t="s">
        <v>4321</v>
      </c>
      <c r="B4870" t="s">
        <v>4374</v>
      </c>
      <c r="C4870">
        <v>232</v>
      </c>
      <c r="D4870">
        <v>57</v>
      </c>
      <c r="E4870" t="s">
        <v>33</v>
      </c>
      <c r="F4870">
        <f>tbl_AQI[[#This Row],[Most AQI Reached]]-tbl_AQI[[#This Row],[Current AQI]]</f>
        <v>175</v>
      </c>
      <c r="G48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70">
        <f>RANK(tbl_AQI[[#This Row],[Current AQI]], tbl_AQI[Current AQI], 0)</f>
        <v>4452</v>
      </c>
    </row>
    <row r="4871" spans="1:8" x14ac:dyDescent="0.35">
      <c r="A4871" t="s">
        <v>4321</v>
      </c>
      <c r="B4871" t="s">
        <v>4375</v>
      </c>
      <c r="C4871">
        <v>262</v>
      </c>
      <c r="D4871">
        <v>77</v>
      </c>
      <c r="E4871" t="s">
        <v>33</v>
      </c>
      <c r="F4871">
        <f>tbl_AQI[[#This Row],[Most AQI Reached]]-tbl_AQI[[#This Row],[Current AQI]]</f>
        <v>185</v>
      </c>
      <c r="G48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71">
        <f>RANK(tbl_AQI[[#This Row],[Current AQI]], tbl_AQI[Current AQI], 0)</f>
        <v>4006</v>
      </c>
    </row>
    <row r="4872" spans="1:8" x14ac:dyDescent="0.35">
      <c r="A4872" t="s">
        <v>4321</v>
      </c>
      <c r="B4872" t="s">
        <v>4376</v>
      </c>
      <c r="C4872">
        <v>66</v>
      </c>
      <c r="D4872">
        <v>39</v>
      </c>
      <c r="E4872" t="s">
        <v>11</v>
      </c>
      <c r="F4872">
        <f>tbl_AQI[[#This Row],[Most AQI Reached]]-tbl_AQI[[#This Row],[Current AQI]]</f>
        <v>27</v>
      </c>
      <c r="G48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72">
        <f>RANK(tbl_AQI[[#This Row],[Current AQI]], tbl_AQI[Current AQI], 0)</f>
        <v>4829</v>
      </c>
    </row>
    <row r="4873" spans="1:8" x14ac:dyDescent="0.35">
      <c r="A4873" t="s">
        <v>4321</v>
      </c>
      <c r="B4873" t="s">
        <v>4377</v>
      </c>
      <c r="C4873">
        <v>151</v>
      </c>
      <c r="D4873">
        <v>88</v>
      </c>
      <c r="E4873" t="s">
        <v>17</v>
      </c>
      <c r="F4873">
        <f>tbl_AQI[[#This Row],[Most AQI Reached]]-tbl_AQI[[#This Row],[Current AQI]]</f>
        <v>63</v>
      </c>
      <c r="G48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73">
        <f>RANK(tbl_AQI[[#This Row],[Current AQI]], tbl_AQI[Current AQI], 0)</f>
        <v>3792</v>
      </c>
    </row>
    <row r="4874" spans="1:8" x14ac:dyDescent="0.35">
      <c r="A4874" t="s">
        <v>4321</v>
      </c>
      <c r="B4874" t="s">
        <v>4378</v>
      </c>
      <c r="C4874">
        <v>213</v>
      </c>
      <c r="D4874">
        <v>55</v>
      </c>
      <c r="E4874" t="s">
        <v>21</v>
      </c>
      <c r="F4874">
        <f>tbl_AQI[[#This Row],[Most AQI Reached]]-tbl_AQI[[#This Row],[Current AQI]]</f>
        <v>158</v>
      </c>
      <c r="G48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74">
        <f>RANK(tbl_AQI[[#This Row],[Current AQI]], tbl_AQI[Current AQI], 0)</f>
        <v>4497</v>
      </c>
    </row>
    <row r="4875" spans="1:8" x14ac:dyDescent="0.35">
      <c r="A4875" t="s">
        <v>4321</v>
      </c>
      <c r="B4875" t="s">
        <v>4379</v>
      </c>
      <c r="C4875">
        <v>220</v>
      </c>
      <c r="D4875">
        <v>58</v>
      </c>
      <c r="E4875" t="s">
        <v>11</v>
      </c>
      <c r="F4875">
        <f>tbl_AQI[[#This Row],[Most AQI Reached]]-tbl_AQI[[#This Row],[Current AQI]]</f>
        <v>162</v>
      </c>
      <c r="G48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75">
        <f>RANK(tbl_AQI[[#This Row],[Current AQI]], tbl_AQI[Current AQI], 0)</f>
        <v>4431</v>
      </c>
    </row>
    <row r="4876" spans="1:8" x14ac:dyDescent="0.35">
      <c r="A4876" t="s">
        <v>4321</v>
      </c>
      <c r="B4876" t="s">
        <v>4380</v>
      </c>
      <c r="C4876">
        <v>159</v>
      </c>
      <c r="D4876">
        <v>152</v>
      </c>
      <c r="E4876" t="s">
        <v>17</v>
      </c>
      <c r="F4876">
        <f>tbl_AQI[[#This Row],[Most AQI Reached]]-tbl_AQI[[#This Row],[Current AQI]]</f>
        <v>7</v>
      </c>
      <c r="G48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76">
        <f>RANK(tbl_AQI[[#This Row],[Current AQI]], tbl_AQI[Current AQI], 0)</f>
        <v>2349</v>
      </c>
    </row>
    <row r="4877" spans="1:8" x14ac:dyDescent="0.35">
      <c r="A4877" t="s">
        <v>4321</v>
      </c>
      <c r="B4877" t="s">
        <v>4381</v>
      </c>
      <c r="C4877">
        <v>237</v>
      </c>
      <c r="D4877">
        <v>68</v>
      </c>
      <c r="E4877" t="s">
        <v>7</v>
      </c>
      <c r="F4877">
        <f>tbl_AQI[[#This Row],[Most AQI Reached]]-tbl_AQI[[#This Row],[Current AQI]]</f>
        <v>169</v>
      </c>
      <c r="G48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77">
        <f>RANK(tbl_AQI[[#This Row],[Current AQI]], tbl_AQI[Current AQI], 0)</f>
        <v>4204</v>
      </c>
    </row>
    <row r="4878" spans="1:8" x14ac:dyDescent="0.35">
      <c r="A4878" t="s">
        <v>4321</v>
      </c>
      <c r="B4878" t="s">
        <v>4382</v>
      </c>
      <c r="C4878">
        <v>254</v>
      </c>
      <c r="D4878">
        <v>166</v>
      </c>
      <c r="E4878" t="s">
        <v>9</v>
      </c>
      <c r="F4878">
        <f>tbl_AQI[[#This Row],[Most AQI Reached]]-tbl_AQI[[#This Row],[Current AQI]]</f>
        <v>88</v>
      </c>
      <c r="G48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78">
        <f>RANK(tbl_AQI[[#This Row],[Current AQI]], tbl_AQI[Current AQI], 0)</f>
        <v>2007</v>
      </c>
    </row>
    <row r="4879" spans="1:8" x14ac:dyDescent="0.35">
      <c r="A4879" t="s">
        <v>4321</v>
      </c>
      <c r="B4879" t="s">
        <v>4383</v>
      </c>
      <c r="C4879">
        <v>141</v>
      </c>
      <c r="D4879">
        <v>75</v>
      </c>
      <c r="E4879" t="s">
        <v>17</v>
      </c>
      <c r="F4879">
        <f>tbl_AQI[[#This Row],[Most AQI Reached]]-tbl_AQI[[#This Row],[Current AQI]]</f>
        <v>66</v>
      </c>
      <c r="G48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79">
        <f>RANK(tbl_AQI[[#This Row],[Current AQI]], tbl_AQI[Current AQI], 0)</f>
        <v>4041</v>
      </c>
    </row>
    <row r="4880" spans="1:8" x14ac:dyDescent="0.35">
      <c r="A4880" t="s">
        <v>4321</v>
      </c>
      <c r="B4880" t="s">
        <v>4384</v>
      </c>
      <c r="C4880">
        <v>292</v>
      </c>
      <c r="D4880">
        <v>180</v>
      </c>
      <c r="E4880" t="s">
        <v>33</v>
      </c>
      <c r="F4880">
        <f>tbl_AQI[[#This Row],[Most AQI Reached]]-tbl_AQI[[#This Row],[Current AQI]]</f>
        <v>112</v>
      </c>
      <c r="G48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80">
        <f>RANK(tbl_AQI[[#This Row],[Current AQI]], tbl_AQI[Current AQI], 0)</f>
        <v>1635</v>
      </c>
    </row>
    <row r="4881" spans="1:8" x14ac:dyDescent="0.35">
      <c r="A4881" t="s">
        <v>4321</v>
      </c>
      <c r="B4881" t="s">
        <v>4385</v>
      </c>
      <c r="C4881">
        <v>263</v>
      </c>
      <c r="D4881">
        <v>32</v>
      </c>
      <c r="E4881" t="s">
        <v>33</v>
      </c>
      <c r="F4881">
        <f>tbl_AQI[[#This Row],[Most AQI Reached]]-tbl_AQI[[#This Row],[Current AQI]]</f>
        <v>231</v>
      </c>
      <c r="G48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881">
        <f>RANK(tbl_AQI[[#This Row],[Current AQI]], tbl_AQI[Current AQI], 0)</f>
        <v>4983</v>
      </c>
    </row>
    <row r="4882" spans="1:8" x14ac:dyDescent="0.35">
      <c r="A4882" t="s">
        <v>4321</v>
      </c>
      <c r="B4882" t="s">
        <v>4386</v>
      </c>
      <c r="C4882">
        <v>187</v>
      </c>
      <c r="D4882">
        <v>122</v>
      </c>
      <c r="E4882" t="s">
        <v>17</v>
      </c>
      <c r="F4882">
        <f>tbl_AQI[[#This Row],[Most AQI Reached]]-tbl_AQI[[#This Row],[Current AQI]]</f>
        <v>65</v>
      </c>
      <c r="G48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82">
        <f>RANK(tbl_AQI[[#This Row],[Current AQI]], tbl_AQI[Current AQI], 0)</f>
        <v>3013</v>
      </c>
    </row>
    <row r="4883" spans="1:8" x14ac:dyDescent="0.35">
      <c r="A4883" t="s">
        <v>4321</v>
      </c>
      <c r="B4883" t="s">
        <v>4387</v>
      </c>
      <c r="C4883">
        <v>118</v>
      </c>
      <c r="D4883">
        <v>94</v>
      </c>
      <c r="E4883" t="s">
        <v>21</v>
      </c>
      <c r="F4883">
        <f>tbl_AQI[[#This Row],[Most AQI Reached]]-tbl_AQI[[#This Row],[Current AQI]]</f>
        <v>24</v>
      </c>
      <c r="G48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83">
        <f>RANK(tbl_AQI[[#This Row],[Current AQI]], tbl_AQI[Current AQI], 0)</f>
        <v>3654</v>
      </c>
    </row>
    <row r="4884" spans="1:8" x14ac:dyDescent="0.35">
      <c r="A4884" t="s">
        <v>4321</v>
      </c>
      <c r="B4884" t="s">
        <v>4388</v>
      </c>
      <c r="C4884">
        <v>177</v>
      </c>
      <c r="D4884">
        <v>89</v>
      </c>
      <c r="E4884" t="s">
        <v>7</v>
      </c>
      <c r="F4884">
        <f>tbl_AQI[[#This Row],[Most AQI Reached]]-tbl_AQI[[#This Row],[Current AQI]]</f>
        <v>88</v>
      </c>
      <c r="G48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84">
        <f>RANK(tbl_AQI[[#This Row],[Current AQI]], tbl_AQI[Current AQI], 0)</f>
        <v>3772</v>
      </c>
    </row>
    <row r="4885" spans="1:8" x14ac:dyDescent="0.35">
      <c r="A4885" t="s">
        <v>4321</v>
      </c>
      <c r="B4885" t="s">
        <v>4389</v>
      </c>
      <c r="C4885">
        <v>155</v>
      </c>
      <c r="D4885">
        <v>146</v>
      </c>
      <c r="E4885" t="s">
        <v>15</v>
      </c>
      <c r="F4885">
        <f>tbl_AQI[[#This Row],[Most AQI Reached]]-tbl_AQI[[#This Row],[Current AQI]]</f>
        <v>9</v>
      </c>
      <c r="G48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85">
        <f>RANK(tbl_AQI[[#This Row],[Current AQI]], tbl_AQI[Current AQI], 0)</f>
        <v>2499</v>
      </c>
    </row>
    <row r="4886" spans="1:8" x14ac:dyDescent="0.35">
      <c r="A4886" t="s">
        <v>4321</v>
      </c>
      <c r="B4886" t="s">
        <v>4390</v>
      </c>
      <c r="C4886">
        <v>211</v>
      </c>
      <c r="D4886">
        <v>64</v>
      </c>
      <c r="E4886" t="s">
        <v>21</v>
      </c>
      <c r="F4886">
        <f>tbl_AQI[[#This Row],[Most AQI Reached]]-tbl_AQI[[#This Row],[Current AQI]]</f>
        <v>147</v>
      </c>
      <c r="G48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86">
        <f>RANK(tbl_AQI[[#This Row],[Current AQI]], tbl_AQI[Current AQI], 0)</f>
        <v>4293</v>
      </c>
    </row>
    <row r="4887" spans="1:8" x14ac:dyDescent="0.35">
      <c r="A4887" t="s">
        <v>4321</v>
      </c>
      <c r="B4887" t="s">
        <v>4391</v>
      </c>
      <c r="C4887">
        <v>212</v>
      </c>
      <c r="D4887">
        <v>131</v>
      </c>
      <c r="E4887" t="s">
        <v>21</v>
      </c>
      <c r="F4887">
        <f>tbl_AQI[[#This Row],[Most AQI Reached]]-tbl_AQI[[#This Row],[Current AQI]]</f>
        <v>81</v>
      </c>
      <c r="G48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87">
        <f>RANK(tbl_AQI[[#This Row],[Current AQI]], tbl_AQI[Current AQI], 0)</f>
        <v>2815</v>
      </c>
    </row>
    <row r="4888" spans="1:8" x14ac:dyDescent="0.35">
      <c r="A4888" t="s">
        <v>4321</v>
      </c>
      <c r="B4888" t="s">
        <v>4392</v>
      </c>
      <c r="C4888">
        <v>151</v>
      </c>
      <c r="D4888">
        <v>105</v>
      </c>
      <c r="E4888" t="s">
        <v>11</v>
      </c>
      <c r="F4888">
        <f>tbl_AQI[[#This Row],[Most AQI Reached]]-tbl_AQI[[#This Row],[Current AQI]]</f>
        <v>46</v>
      </c>
      <c r="G48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88">
        <f>RANK(tbl_AQI[[#This Row],[Current AQI]], tbl_AQI[Current AQI], 0)</f>
        <v>3436</v>
      </c>
    </row>
    <row r="4889" spans="1:8" x14ac:dyDescent="0.35">
      <c r="A4889" t="s">
        <v>4321</v>
      </c>
      <c r="B4889" t="s">
        <v>4393</v>
      </c>
      <c r="C4889">
        <v>273</v>
      </c>
      <c r="D4889">
        <v>182</v>
      </c>
      <c r="E4889" t="s">
        <v>33</v>
      </c>
      <c r="F4889">
        <f>tbl_AQI[[#This Row],[Most AQI Reached]]-tbl_AQI[[#This Row],[Current AQI]]</f>
        <v>91</v>
      </c>
      <c r="G48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89">
        <f>RANK(tbl_AQI[[#This Row],[Current AQI]], tbl_AQI[Current AQI], 0)</f>
        <v>1593</v>
      </c>
    </row>
    <row r="4890" spans="1:8" x14ac:dyDescent="0.35">
      <c r="A4890" t="s">
        <v>4321</v>
      </c>
      <c r="B4890" t="s">
        <v>4394</v>
      </c>
      <c r="C4890">
        <v>173</v>
      </c>
      <c r="D4890">
        <v>150</v>
      </c>
      <c r="E4890" t="s">
        <v>11</v>
      </c>
      <c r="F4890">
        <f>tbl_AQI[[#This Row],[Most AQI Reached]]-tbl_AQI[[#This Row],[Current AQI]]</f>
        <v>23</v>
      </c>
      <c r="G48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90">
        <f>RANK(tbl_AQI[[#This Row],[Current AQI]], tbl_AQI[Current AQI], 0)</f>
        <v>2400</v>
      </c>
    </row>
    <row r="4891" spans="1:8" x14ac:dyDescent="0.35">
      <c r="A4891" t="s">
        <v>4321</v>
      </c>
      <c r="B4891" t="s">
        <v>4395</v>
      </c>
      <c r="C4891">
        <v>276</v>
      </c>
      <c r="D4891">
        <v>177</v>
      </c>
      <c r="E4891" t="s">
        <v>7</v>
      </c>
      <c r="F4891">
        <f>tbl_AQI[[#This Row],[Most AQI Reached]]-tbl_AQI[[#This Row],[Current AQI]]</f>
        <v>99</v>
      </c>
      <c r="G48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91">
        <f>RANK(tbl_AQI[[#This Row],[Current AQI]], tbl_AQI[Current AQI], 0)</f>
        <v>1733</v>
      </c>
    </row>
    <row r="4892" spans="1:8" x14ac:dyDescent="0.35">
      <c r="A4892" t="s">
        <v>4321</v>
      </c>
      <c r="B4892" t="s">
        <v>4396</v>
      </c>
      <c r="C4892">
        <v>320</v>
      </c>
      <c r="D4892">
        <v>172</v>
      </c>
      <c r="E4892" t="s">
        <v>9</v>
      </c>
      <c r="F4892">
        <f>tbl_AQI[[#This Row],[Most AQI Reached]]-tbl_AQI[[#This Row],[Current AQI]]</f>
        <v>148</v>
      </c>
      <c r="G48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92">
        <f>RANK(tbl_AQI[[#This Row],[Current AQI]], tbl_AQI[Current AQI], 0)</f>
        <v>1852</v>
      </c>
    </row>
    <row r="4893" spans="1:8" x14ac:dyDescent="0.35">
      <c r="A4893" t="s">
        <v>4321</v>
      </c>
      <c r="B4893" t="s">
        <v>4397</v>
      </c>
      <c r="C4893">
        <v>276</v>
      </c>
      <c r="D4893">
        <v>178</v>
      </c>
      <c r="E4893" t="s">
        <v>21</v>
      </c>
      <c r="F4893">
        <f>tbl_AQI[[#This Row],[Most AQI Reached]]-tbl_AQI[[#This Row],[Current AQI]]</f>
        <v>98</v>
      </c>
      <c r="G48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93">
        <f>RANK(tbl_AQI[[#This Row],[Current AQI]], tbl_AQI[Current AQI], 0)</f>
        <v>1702</v>
      </c>
    </row>
    <row r="4894" spans="1:8" x14ac:dyDescent="0.35">
      <c r="A4894" t="s">
        <v>4321</v>
      </c>
      <c r="B4894" t="s">
        <v>4398</v>
      </c>
      <c r="C4894">
        <v>193</v>
      </c>
      <c r="D4894">
        <v>94</v>
      </c>
      <c r="E4894" t="s">
        <v>15</v>
      </c>
      <c r="F4894">
        <f>tbl_AQI[[#This Row],[Most AQI Reached]]-tbl_AQI[[#This Row],[Current AQI]]</f>
        <v>99</v>
      </c>
      <c r="G48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94">
        <f>RANK(tbl_AQI[[#This Row],[Current AQI]], tbl_AQI[Current AQI], 0)</f>
        <v>3654</v>
      </c>
    </row>
    <row r="4895" spans="1:8" x14ac:dyDescent="0.35">
      <c r="A4895" t="s">
        <v>4321</v>
      </c>
      <c r="B4895" t="s">
        <v>4399</v>
      </c>
      <c r="C4895">
        <v>125</v>
      </c>
      <c r="D4895">
        <v>91</v>
      </c>
      <c r="E4895" t="s">
        <v>9</v>
      </c>
      <c r="F4895">
        <f>tbl_AQI[[#This Row],[Most AQI Reached]]-tbl_AQI[[#This Row],[Current AQI]]</f>
        <v>34</v>
      </c>
      <c r="G48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95">
        <f>RANK(tbl_AQI[[#This Row],[Current AQI]], tbl_AQI[Current AQI], 0)</f>
        <v>3726</v>
      </c>
    </row>
    <row r="4896" spans="1:8" x14ac:dyDescent="0.35">
      <c r="A4896" t="s">
        <v>4321</v>
      </c>
      <c r="B4896" t="s">
        <v>4400</v>
      </c>
      <c r="C4896">
        <v>199</v>
      </c>
      <c r="D4896">
        <v>133</v>
      </c>
      <c r="E4896" t="s">
        <v>7</v>
      </c>
      <c r="F4896">
        <f>tbl_AQI[[#This Row],[Most AQI Reached]]-tbl_AQI[[#This Row],[Current AQI]]</f>
        <v>66</v>
      </c>
      <c r="G48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96">
        <f>RANK(tbl_AQI[[#This Row],[Current AQI]], tbl_AQI[Current AQI], 0)</f>
        <v>2758</v>
      </c>
    </row>
    <row r="4897" spans="1:8" x14ac:dyDescent="0.35">
      <c r="A4897" t="s">
        <v>4321</v>
      </c>
      <c r="B4897" t="s">
        <v>4401</v>
      </c>
      <c r="C4897">
        <v>267</v>
      </c>
      <c r="D4897">
        <v>72</v>
      </c>
      <c r="E4897" t="s">
        <v>17</v>
      </c>
      <c r="F4897">
        <f>tbl_AQI[[#This Row],[Most AQI Reached]]-tbl_AQI[[#This Row],[Current AQI]]</f>
        <v>195</v>
      </c>
      <c r="G48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97">
        <f>RANK(tbl_AQI[[#This Row],[Current AQI]], tbl_AQI[Current AQI], 0)</f>
        <v>4100</v>
      </c>
    </row>
    <row r="4898" spans="1:8" x14ac:dyDescent="0.35">
      <c r="A4898" t="s">
        <v>4321</v>
      </c>
      <c r="B4898" t="s">
        <v>4402</v>
      </c>
      <c r="C4898">
        <v>271</v>
      </c>
      <c r="D4898">
        <v>118</v>
      </c>
      <c r="E4898" t="s">
        <v>21</v>
      </c>
      <c r="F4898">
        <f>tbl_AQI[[#This Row],[Most AQI Reached]]-tbl_AQI[[#This Row],[Current AQI]]</f>
        <v>153</v>
      </c>
      <c r="G48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898">
        <f>RANK(tbl_AQI[[#This Row],[Current AQI]], tbl_AQI[Current AQI], 0)</f>
        <v>3122</v>
      </c>
    </row>
    <row r="4899" spans="1:8" x14ac:dyDescent="0.35">
      <c r="A4899" t="s">
        <v>4321</v>
      </c>
      <c r="B4899" t="s">
        <v>4403</v>
      </c>
      <c r="C4899">
        <v>296</v>
      </c>
      <c r="D4899">
        <v>56</v>
      </c>
      <c r="E4899" t="s">
        <v>11</v>
      </c>
      <c r="F4899">
        <f>tbl_AQI[[#This Row],[Most AQI Reached]]-tbl_AQI[[#This Row],[Current AQI]]</f>
        <v>240</v>
      </c>
      <c r="G48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899">
        <f>RANK(tbl_AQI[[#This Row],[Current AQI]], tbl_AQI[Current AQI], 0)</f>
        <v>4474</v>
      </c>
    </row>
    <row r="4900" spans="1:8" x14ac:dyDescent="0.35">
      <c r="A4900" t="s">
        <v>4321</v>
      </c>
      <c r="B4900" t="s">
        <v>4404</v>
      </c>
      <c r="C4900">
        <v>146</v>
      </c>
      <c r="D4900">
        <v>136</v>
      </c>
      <c r="E4900" t="s">
        <v>33</v>
      </c>
      <c r="F4900">
        <f>tbl_AQI[[#This Row],[Most AQI Reached]]-tbl_AQI[[#This Row],[Current AQI]]</f>
        <v>10</v>
      </c>
      <c r="G49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00">
        <f>RANK(tbl_AQI[[#This Row],[Current AQI]], tbl_AQI[Current AQI], 0)</f>
        <v>2692</v>
      </c>
    </row>
    <row r="4901" spans="1:8" x14ac:dyDescent="0.35">
      <c r="A4901" t="s">
        <v>4321</v>
      </c>
      <c r="B4901" t="s">
        <v>4405</v>
      </c>
      <c r="C4901">
        <v>194</v>
      </c>
      <c r="D4901">
        <v>35</v>
      </c>
      <c r="E4901" t="s">
        <v>9</v>
      </c>
      <c r="F4901">
        <f>tbl_AQI[[#This Row],[Most AQI Reached]]-tbl_AQI[[#This Row],[Current AQI]]</f>
        <v>159</v>
      </c>
      <c r="G49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01">
        <f>RANK(tbl_AQI[[#This Row],[Current AQI]], tbl_AQI[Current AQI], 0)</f>
        <v>4916</v>
      </c>
    </row>
    <row r="4902" spans="1:8" x14ac:dyDescent="0.35">
      <c r="A4902" t="s">
        <v>4321</v>
      </c>
      <c r="B4902" t="s">
        <v>4406</v>
      </c>
      <c r="C4902">
        <v>298</v>
      </c>
      <c r="D4902">
        <v>150</v>
      </c>
      <c r="E4902" t="s">
        <v>17</v>
      </c>
      <c r="F4902">
        <f>tbl_AQI[[#This Row],[Most AQI Reached]]-tbl_AQI[[#This Row],[Current AQI]]</f>
        <v>148</v>
      </c>
      <c r="G49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02">
        <f>RANK(tbl_AQI[[#This Row],[Current AQI]], tbl_AQI[Current AQI], 0)</f>
        <v>2400</v>
      </c>
    </row>
    <row r="4903" spans="1:8" x14ac:dyDescent="0.35">
      <c r="A4903" t="s">
        <v>4321</v>
      </c>
      <c r="B4903" t="s">
        <v>4407</v>
      </c>
      <c r="C4903">
        <v>221</v>
      </c>
      <c r="D4903">
        <v>161</v>
      </c>
      <c r="E4903" t="s">
        <v>7</v>
      </c>
      <c r="F4903">
        <f>tbl_AQI[[#This Row],[Most AQI Reached]]-tbl_AQI[[#This Row],[Current AQI]]</f>
        <v>60</v>
      </c>
      <c r="G49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03">
        <f>RANK(tbl_AQI[[#This Row],[Current AQI]], tbl_AQI[Current AQI], 0)</f>
        <v>2129</v>
      </c>
    </row>
    <row r="4904" spans="1:8" x14ac:dyDescent="0.35">
      <c r="A4904" t="s">
        <v>4321</v>
      </c>
      <c r="B4904" t="s">
        <v>4408</v>
      </c>
      <c r="C4904">
        <v>302</v>
      </c>
      <c r="D4904">
        <v>84</v>
      </c>
      <c r="E4904" t="s">
        <v>17</v>
      </c>
      <c r="F4904">
        <f>tbl_AQI[[#This Row],[Most AQI Reached]]-tbl_AQI[[#This Row],[Current AQI]]</f>
        <v>218</v>
      </c>
      <c r="G49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04">
        <f>RANK(tbl_AQI[[#This Row],[Current AQI]], tbl_AQI[Current AQI], 0)</f>
        <v>3872</v>
      </c>
    </row>
    <row r="4905" spans="1:8" x14ac:dyDescent="0.35">
      <c r="A4905" t="s">
        <v>4321</v>
      </c>
      <c r="B4905" t="s">
        <v>4409</v>
      </c>
      <c r="C4905">
        <v>223</v>
      </c>
      <c r="D4905">
        <v>152</v>
      </c>
      <c r="E4905" t="s">
        <v>21</v>
      </c>
      <c r="F4905">
        <f>tbl_AQI[[#This Row],[Most AQI Reached]]-tbl_AQI[[#This Row],[Current AQI]]</f>
        <v>71</v>
      </c>
      <c r="G49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05">
        <f>RANK(tbl_AQI[[#This Row],[Current AQI]], tbl_AQI[Current AQI], 0)</f>
        <v>2349</v>
      </c>
    </row>
    <row r="4906" spans="1:8" x14ac:dyDescent="0.35">
      <c r="A4906" t="s">
        <v>4321</v>
      </c>
      <c r="B4906" t="s">
        <v>4410</v>
      </c>
      <c r="C4906">
        <v>171</v>
      </c>
      <c r="D4906">
        <v>97</v>
      </c>
      <c r="E4906" t="s">
        <v>15</v>
      </c>
      <c r="F4906">
        <f>tbl_AQI[[#This Row],[Most AQI Reached]]-tbl_AQI[[#This Row],[Current AQI]]</f>
        <v>74</v>
      </c>
      <c r="G49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06">
        <f>RANK(tbl_AQI[[#This Row],[Current AQI]], tbl_AQI[Current AQI], 0)</f>
        <v>3593</v>
      </c>
    </row>
    <row r="4907" spans="1:8" x14ac:dyDescent="0.35">
      <c r="A4907" t="s">
        <v>4321</v>
      </c>
      <c r="B4907" t="s">
        <v>4411</v>
      </c>
      <c r="C4907">
        <v>154</v>
      </c>
      <c r="D4907">
        <v>107</v>
      </c>
      <c r="E4907" t="s">
        <v>11</v>
      </c>
      <c r="F4907">
        <f>tbl_AQI[[#This Row],[Most AQI Reached]]-tbl_AQI[[#This Row],[Current AQI]]</f>
        <v>47</v>
      </c>
      <c r="G49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07">
        <f>RANK(tbl_AQI[[#This Row],[Current AQI]], tbl_AQI[Current AQI], 0)</f>
        <v>3387</v>
      </c>
    </row>
    <row r="4908" spans="1:8" x14ac:dyDescent="0.35">
      <c r="A4908" t="s">
        <v>4321</v>
      </c>
      <c r="B4908" t="s">
        <v>4412</v>
      </c>
      <c r="C4908">
        <v>306</v>
      </c>
      <c r="D4908">
        <v>78</v>
      </c>
      <c r="E4908" t="s">
        <v>9</v>
      </c>
      <c r="F4908">
        <f>tbl_AQI[[#This Row],[Most AQI Reached]]-tbl_AQI[[#This Row],[Current AQI]]</f>
        <v>228</v>
      </c>
      <c r="G49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08">
        <f>RANK(tbl_AQI[[#This Row],[Current AQI]], tbl_AQI[Current AQI], 0)</f>
        <v>3989</v>
      </c>
    </row>
    <row r="4909" spans="1:8" x14ac:dyDescent="0.35">
      <c r="A4909" t="s">
        <v>4918</v>
      </c>
      <c r="B4909" t="s">
        <v>4919</v>
      </c>
      <c r="C4909">
        <v>185</v>
      </c>
      <c r="D4909">
        <v>44</v>
      </c>
      <c r="E4909" t="s">
        <v>17</v>
      </c>
      <c r="F4909">
        <f>tbl_AQI[[#This Row],[Most AQI Reached]]-tbl_AQI[[#This Row],[Current AQI]]</f>
        <v>141</v>
      </c>
      <c r="G49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09">
        <f>RANK(tbl_AQI[[#This Row],[Current AQI]], tbl_AQI[Current AQI], 0)</f>
        <v>4732</v>
      </c>
    </row>
    <row r="4910" spans="1:8" x14ac:dyDescent="0.35">
      <c r="A4910" t="s">
        <v>4918</v>
      </c>
      <c r="B4910" t="s">
        <v>4920</v>
      </c>
      <c r="C4910">
        <v>271</v>
      </c>
      <c r="D4910">
        <v>37</v>
      </c>
      <c r="E4910" t="s">
        <v>17</v>
      </c>
      <c r="F4910">
        <f>tbl_AQI[[#This Row],[Most AQI Reached]]-tbl_AQI[[#This Row],[Current AQI]]</f>
        <v>234</v>
      </c>
      <c r="G49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10">
        <f>RANK(tbl_AQI[[#This Row],[Current AQI]], tbl_AQI[Current AQI], 0)</f>
        <v>4863</v>
      </c>
    </row>
    <row r="4911" spans="1:8" x14ac:dyDescent="0.35">
      <c r="A4911" t="s">
        <v>4918</v>
      </c>
      <c r="B4911" t="s">
        <v>4921</v>
      </c>
      <c r="C4911">
        <v>241</v>
      </c>
      <c r="D4911">
        <v>116</v>
      </c>
      <c r="E4911" t="s">
        <v>11</v>
      </c>
      <c r="F4911">
        <f>tbl_AQI[[#This Row],[Most AQI Reached]]-tbl_AQI[[#This Row],[Current AQI]]</f>
        <v>125</v>
      </c>
      <c r="G49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11">
        <f>RANK(tbl_AQI[[#This Row],[Current AQI]], tbl_AQI[Current AQI], 0)</f>
        <v>3173</v>
      </c>
    </row>
    <row r="4912" spans="1:8" x14ac:dyDescent="0.35">
      <c r="A4912" t="s">
        <v>4918</v>
      </c>
      <c r="B4912" t="s">
        <v>4922</v>
      </c>
      <c r="C4912">
        <v>177</v>
      </c>
      <c r="D4912">
        <v>99</v>
      </c>
      <c r="E4912" t="s">
        <v>9</v>
      </c>
      <c r="F4912">
        <f>tbl_AQI[[#This Row],[Most AQI Reached]]-tbl_AQI[[#This Row],[Current AQI]]</f>
        <v>78</v>
      </c>
      <c r="G49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12">
        <f>RANK(tbl_AQI[[#This Row],[Current AQI]], tbl_AQI[Current AQI], 0)</f>
        <v>3553</v>
      </c>
    </row>
    <row r="4913" spans="1:8" x14ac:dyDescent="0.35">
      <c r="A4913" t="s">
        <v>4918</v>
      </c>
      <c r="B4913" t="s">
        <v>4923</v>
      </c>
      <c r="C4913">
        <v>243</v>
      </c>
      <c r="D4913">
        <v>135</v>
      </c>
      <c r="E4913" t="s">
        <v>33</v>
      </c>
      <c r="F4913">
        <f>tbl_AQI[[#This Row],[Most AQI Reached]]-tbl_AQI[[#This Row],[Current AQI]]</f>
        <v>108</v>
      </c>
      <c r="G49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13">
        <f>RANK(tbl_AQI[[#This Row],[Current AQI]], tbl_AQI[Current AQI], 0)</f>
        <v>2714</v>
      </c>
    </row>
    <row r="4914" spans="1:8" x14ac:dyDescent="0.35">
      <c r="A4914" t="s">
        <v>4918</v>
      </c>
      <c r="B4914" t="s">
        <v>4924</v>
      </c>
      <c r="C4914">
        <v>207</v>
      </c>
      <c r="D4914">
        <v>168</v>
      </c>
      <c r="E4914" t="s">
        <v>33</v>
      </c>
      <c r="F4914">
        <f>tbl_AQI[[#This Row],[Most AQI Reached]]-tbl_AQI[[#This Row],[Current AQI]]</f>
        <v>39</v>
      </c>
      <c r="G49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14">
        <f>RANK(tbl_AQI[[#This Row],[Current AQI]], tbl_AQI[Current AQI], 0)</f>
        <v>1954</v>
      </c>
    </row>
    <row r="4915" spans="1:8" x14ac:dyDescent="0.35">
      <c r="A4915" t="s">
        <v>4918</v>
      </c>
      <c r="B4915" t="s">
        <v>4925</v>
      </c>
      <c r="C4915">
        <v>272</v>
      </c>
      <c r="D4915">
        <v>132</v>
      </c>
      <c r="E4915" t="s">
        <v>7</v>
      </c>
      <c r="F4915">
        <f>tbl_AQI[[#This Row],[Most AQI Reached]]-tbl_AQI[[#This Row],[Current AQI]]</f>
        <v>140</v>
      </c>
      <c r="G49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15">
        <f>RANK(tbl_AQI[[#This Row],[Current AQI]], tbl_AQI[Current AQI], 0)</f>
        <v>2792</v>
      </c>
    </row>
    <row r="4916" spans="1:8" x14ac:dyDescent="0.35">
      <c r="A4916" t="s">
        <v>4918</v>
      </c>
      <c r="B4916" t="s">
        <v>4926</v>
      </c>
      <c r="C4916">
        <v>161</v>
      </c>
      <c r="D4916">
        <v>53</v>
      </c>
      <c r="E4916" t="s">
        <v>9</v>
      </c>
      <c r="F4916">
        <f>tbl_AQI[[#This Row],[Most AQI Reached]]-tbl_AQI[[#This Row],[Current AQI]]</f>
        <v>108</v>
      </c>
      <c r="G49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16">
        <f>RANK(tbl_AQI[[#This Row],[Current AQI]], tbl_AQI[Current AQI], 0)</f>
        <v>4544</v>
      </c>
    </row>
    <row r="4917" spans="1:8" x14ac:dyDescent="0.35">
      <c r="A4917" t="s">
        <v>4918</v>
      </c>
      <c r="B4917" t="s">
        <v>4927</v>
      </c>
      <c r="C4917">
        <v>161</v>
      </c>
      <c r="D4917">
        <v>143</v>
      </c>
      <c r="E4917" t="s">
        <v>33</v>
      </c>
      <c r="F4917">
        <f>tbl_AQI[[#This Row],[Most AQI Reached]]-tbl_AQI[[#This Row],[Current AQI]]</f>
        <v>18</v>
      </c>
      <c r="G49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17">
        <f>RANK(tbl_AQI[[#This Row],[Current AQI]], tbl_AQI[Current AQI], 0)</f>
        <v>2567</v>
      </c>
    </row>
    <row r="4918" spans="1:8" x14ac:dyDescent="0.35">
      <c r="A4918" t="s">
        <v>4918</v>
      </c>
      <c r="B4918" t="s">
        <v>4928</v>
      </c>
      <c r="C4918">
        <v>158</v>
      </c>
      <c r="D4918">
        <v>79</v>
      </c>
      <c r="E4918" t="s">
        <v>15</v>
      </c>
      <c r="F4918">
        <f>tbl_AQI[[#This Row],[Most AQI Reached]]-tbl_AQI[[#This Row],[Current AQI]]</f>
        <v>79</v>
      </c>
      <c r="G49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18">
        <f>RANK(tbl_AQI[[#This Row],[Current AQI]], tbl_AQI[Current AQI], 0)</f>
        <v>3967</v>
      </c>
    </row>
    <row r="4919" spans="1:8" x14ac:dyDescent="0.35">
      <c r="A4919" t="s">
        <v>4918</v>
      </c>
      <c r="B4919" t="s">
        <v>4929</v>
      </c>
      <c r="C4919">
        <v>158</v>
      </c>
      <c r="D4919">
        <v>125</v>
      </c>
      <c r="E4919" t="s">
        <v>21</v>
      </c>
      <c r="F4919">
        <f>tbl_AQI[[#This Row],[Most AQI Reached]]-tbl_AQI[[#This Row],[Current AQI]]</f>
        <v>33</v>
      </c>
      <c r="G49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19">
        <f>RANK(tbl_AQI[[#This Row],[Current AQI]], tbl_AQI[Current AQI], 0)</f>
        <v>2951</v>
      </c>
    </row>
    <row r="4920" spans="1:8" x14ac:dyDescent="0.35">
      <c r="A4920" t="s">
        <v>4918</v>
      </c>
      <c r="B4920" t="s">
        <v>4930</v>
      </c>
      <c r="C4920">
        <v>263</v>
      </c>
      <c r="D4920">
        <v>105</v>
      </c>
      <c r="E4920" t="s">
        <v>7</v>
      </c>
      <c r="F4920">
        <f>tbl_AQI[[#This Row],[Most AQI Reached]]-tbl_AQI[[#This Row],[Current AQI]]</f>
        <v>158</v>
      </c>
      <c r="G49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20">
        <f>RANK(tbl_AQI[[#This Row],[Current AQI]], tbl_AQI[Current AQI], 0)</f>
        <v>3436</v>
      </c>
    </row>
    <row r="4921" spans="1:8" x14ac:dyDescent="0.35">
      <c r="A4921" t="s">
        <v>4918</v>
      </c>
      <c r="B4921" t="s">
        <v>4931</v>
      </c>
      <c r="C4921">
        <v>187</v>
      </c>
      <c r="D4921">
        <v>102</v>
      </c>
      <c r="E4921" t="s">
        <v>17</v>
      </c>
      <c r="F4921">
        <f>tbl_AQI[[#This Row],[Most AQI Reached]]-tbl_AQI[[#This Row],[Current AQI]]</f>
        <v>85</v>
      </c>
      <c r="G49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21">
        <f>RANK(tbl_AQI[[#This Row],[Current AQI]], tbl_AQI[Current AQI], 0)</f>
        <v>3493</v>
      </c>
    </row>
    <row r="4922" spans="1:8" x14ac:dyDescent="0.35">
      <c r="A4922" t="s">
        <v>4918</v>
      </c>
      <c r="B4922" t="s">
        <v>4932</v>
      </c>
      <c r="C4922">
        <v>295</v>
      </c>
      <c r="D4922">
        <v>42</v>
      </c>
      <c r="E4922" t="s">
        <v>9</v>
      </c>
      <c r="F4922">
        <f>tbl_AQI[[#This Row],[Most AQI Reached]]-tbl_AQI[[#This Row],[Current AQI]]</f>
        <v>253</v>
      </c>
      <c r="G49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22">
        <f>RANK(tbl_AQI[[#This Row],[Current AQI]], tbl_AQI[Current AQI], 0)</f>
        <v>4776</v>
      </c>
    </row>
    <row r="4923" spans="1:8" x14ac:dyDescent="0.35">
      <c r="A4923" t="s">
        <v>4918</v>
      </c>
      <c r="B4923" t="s">
        <v>4933</v>
      </c>
      <c r="C4923">
        <v>242</v>
      </c>
      <c r="D4923">
        <v>180</v>
      </c>
      <c r="E4923" t="s">
        <v>7</v>
      </c>
      <c r="F4923">
        <f>tbl_AQI[[#This Row],[Most AQI Reached]]-tbl_AQI[[#This Row],[Current AQI]]</f>
        <v>62</v>
      </c>
      <c r="G49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23">
        <f>RANK(tbl_AQI[[#This Row],[Current AQI]], tbl_AQI[Current AQI], 0)</f>
        <v>1635</v>
      </c>
    </row>
    <row r="4924" spans="1:8" x14ac:dyDescent="0.35">
      <c r="A4924" t="s">
        <v>4918</v>
      </c>
      <c r="B4924" t="s">
        <v>4934</v>
      </c>
      <c r="C4924">
        <v>253</v>
      </c>
      <c r="D4924">
        <v>184</v>
      </c>
      <c r="E4924" t="s">
        <v>33</v>
      </c>
      <c r="F4924">
        <f>tbl_AQI[[#This Row],[Most AQI Reached]]-tbl_AQI[[#This Row],[Current AQI]]</f>
        <v>69</v>
      </c>
      <c r="G49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24">
        <f>RANK(tbl_AQI[[#This Row],[Current AQI]], tbl_AQI[Current AQI], 0)</f>
        <v>1544</v>
      </c>
    </row>
    <row r="4925" spans="1:8" x14ac:dyDescent="0.35">
      <c r="A4925" t="s">
        <v>4918</v>
      </c>
      <c r="B4925" t="s">
        <v>4935</v>
      </c>
      <c r="C4925">
        <v>307</v>
      </c>
      <c r="D4925">
        <v>184</v>
      </c>
      <c r="E4925" t="s">
        <v>21</v>
      </c>
      <c r="F4925">
        <f>tbl_AQI[[#This Row],[Most AQI Reached]]-tbl_AQI[[#This Row],[Current AQI]]</f>
        <v>123</v>
      </c>
      <c r="G49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25">
        <f>RANK(tbl_AQI[[#This Row],[Current AQI]], tbl_AQI[Current AQI], 0)</f>
        <v>1544</v>
      </c>
    </row>
    <row r="4926" spans="1:8" x14ac:dyDescent="0.35">
      <c r="A4926" t="s">
        <v>4918</v>
      </c>
      <c r="B4926" t="s">
        <v>4936</v>
      </c>
      <c r="C4926">
        <v>82</v>
      </c>
      <c r="D4926">
        <v>60</v>
      </c>
      <c r="E4926" t="s">
        <v>7</v>
      </c>
      <c r="F4926">
        <f>tbl_AQI[[#This Row],[Most AQI Reached]]-tbl_AQI[[#This Row],[Current AQI]]</f>
        <v>22</v>
      </c>
      <c r="G49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26">
        <f>RANK(tbl_AQI[[#This Row],[Current AQI]], tbl_AQI[Current AQI], 0)</f>
        <v>4390</v>
      </c>
    </row>
    <row r="4927" spans="1:8" x14ac:dyDescent="0.35">
      <c r="A4927" t="s">
        <v>4918</v>
      </c>
      <c r="B4927" t="s">
        <v>4937</v>
      </c>
      <c r="C4927">
        <v>253</v>
      </c>
      <c r="D4927">
        <v>68</v>
      </c>
      <c r="E4927" t="s">
        <v>11</v>
      </c>
      <c r="F4927">
        <f>tbl_AQI[[#This Row],[Most AQI Reached]]-tbl_AQI[[#This Row],[Current AQI]]</f>
        <v>185</v>
      </c>
      <c r="G49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27">
        <f>RANK(tbl_AQI[[#This Row],[Current AQI]], tbl_AQI[Current AQI], 0)</f>
        <v>4204</v>
      </c>
    </row>
    <row r="4928" spans="1:8" x14ac:dyDescent="0.35">
      <c r="A4928" t="s">
        <v>4918</v>
      </c>
      <c r="B4928" t="s">
        <v>4938</v>
      </c>
      <c r="C4928">
        <v>156</v>
      </c>
      <c r="D4928">
        <v>148</v>
      </c>
      <c r="E4928" t="s">
        <v>33</v>
      </c>
      <c r="F4928">
        <f>tbl_AQI[[#This Row],[Most AQI Reached]]-tbl_AQI[[#This Row],[Current AQI]]</f>
        <v>8</v>
      </c>
      <c r="G49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28">
        <f>RANK(tbl_AQI[[#This Row],[Current AQI]], tbl_AQI[Current AQI], 0)</f>
        <v>2446</v>
      </c>
    </row>
    <row r="4929" spans="1:8" x14ac:dyDescent="0.35">
      <c r="A4929" t="s">
        <v>4918</v>
      </c>
      <c r="B4929" t="s">
        <v>4939</v>
      </c>
      <c r="C4929">
        <v>265</v>
      </c>
      <c r="D4929">
        <v>140</v>
      </c>
      <c r="E4929" t="s">
        <v>33</v>
      </c>
      <c r="F4929">
        <f>tbl_AQI[[#This Row],[Most AQI Reached]]-tbl_AQI[[#This Row],[Current AQI]]</f>
        <v>125</v>
      </c>
      <c r="G49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29">
        <f>RANK(tbl_AQI[[#This Row],[Current AQI]], tbl_AQI[Current AQI], 0)</f>
        <v>2627</v>
      </c>
    </row>
    <row r="4930" spans="1:8" x14ac:dyDescent="0.35">
      <c r="A4930" t="s">
        <v>4918</v>
      </c>
      <c r="B4930" t="s">
        <v>4940</v>
      </c>
      <c r="C4930">
        <v>171</v>
      </c>
      <c r="D4930">
        <v>85</v>
      </c>
      <c r="E4930" t="s">
        <v>33</v>
      </c>
      <c r="F4930">
        <f>tbl_AQI[[#This Row],[Most AQI Reached]]-tbl_AQI[[#This Row],[Current AQI]]</f>
        <v>86</v>
      </c>
      <c r="G49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30">
        <f>RANK(tbl_AQI[[#This Row],[Current AQI]], tbl_AQI[Current AQI], 0)</f>
        <v>3852</v>
      </c>
    </row>
    <row r="4931" spans="1:8" x14ac:dyDescent="0.35">
      <c r="A4931" t="s">
        <v>4918</v>
      </c>
      <c r="B4931" t="s">
        <v>4941</v>
      </c>
      <c r="C4931">
        <v>305</v>
      </c>
      <c r="D4931">
        <v>68</v>
      </c>
      <c r="E4931" t="s">
        <v>15</v>
      </c>
      <c r="F4931">
        <f>tbl_AQI[[#This Row],[Most AQI Reached]]-tbl_AQI[[#This Row],[Current AQI]]</f>
        <v>237</v>
      </c>
      <c r="G49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31">
        <f>RANK(tbl_AQI[[#This Row],[Current AQI]], tbl_AQI[Current AQI], 0)</f>
        <v>4204</v>
      </c>
    </row>
    <row r="4932" spans="1:8" x14ac:dyDescent="0.35">
      <c r="A4932" t="s">
        <v>4918</v>
      </c>
      <c r="B4932" t="s">
        <v>4942</v>
      </c>
      <c r="C4932">
        <v>306</v>
      </c>
      <c r="D4932">
        <v>161</v>
      </c>
      <c r="E4932" t="s">
        <v>33</v>
      </c>
      <c r="F4932">
        <f>tbl_AQI[[#This Row],[Most AQI Reached]]-tbl_AQI[[#This Row],[Current AQI]]</f>
        <v>145</v>
      </c>
      <c r="G49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32">
        <f>RANK(tbl_AQI[[#This Row],[Current AQI]], tbl_AQI[Current AQI], 0)</f>
        <v>2129</v>
      </c>
    </row>
    <row r="4933" spans="1:8" x14ac:dyDescent="0.35">
      <c r="A4933" t="s">
        <v>4918</v>
      </c>
      <c r="B4933" t="s">
        <v>4943</v>
      </c>
      <c r="C4933">
        <v>158</v>
      </c>
      <c r="D4933">
        <v>125</v>
      </c>
      <c r="E4933" t="s">
        <v>21</v>
      </c>
      <c r="F4933">
        <f>tbl_AQI[[#This Row],[Most AQI Reached]]-tbl_AQI[[#This Row],[Current AQI]]</f>
        <v>33</v>
      </c>
      <c r="G49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33">
        <f>RANK(tbl_AQI[[#This Row],[Current AQI]], tbl_AQI[Current AQI], 0)</f>
        <v>2951</v>
      </c>
    </row>
    <row r="4934" spans="1:8" x14ac:dyDescent="0.35">
      <c r="A4934" t="s">
        <v>4918</v>
      </c>
      <c r="B4934" t="s">
        <v>4944</v>
      </c>
      <c r="C4934">
        <v>198</v>
      </c>
      <c r="D4934">
        <v>148</v>
      </c>
      <c r="E4934" t="s">
        <v>9</v>
      </c>
      <c r="F4934">
        <f>tbl_AQI[[#This Row],[Most AQI Reached]]-tbl_AQI[[#This Row],[Current AQI]]</f>
        <v>50</v>
      </c>
      <c r="G49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34">
        <f>RANK(tbl_AQI[[#This Row],[Current AQI]], tbl_AQI[Current AQI], 0)</f>
        <v>2446</v>
      </c>
    </row>
    <row r="4935" spans="1:8" x14ac:dyDescent="0.35">
      <c r="A4935" t="s">
        <v>4918</v>
      </c>
      <c r="B4935" t="s">
        <v>4945</v>
      </c>
      <c r="C4935">
        <v>298</v>
      </c>
      <c r="D4935">
        <v>143</v>
      </c>
      <c r="E4935" t="s">
        <v>7</v>
      </c>
      <c r="F4935">
        <f>tbl_AQI[[#This Row],[Most AQI Reached]]-tbl_AQI[[#This Row],[Current AQI]]</f>
        <v>155</v>
      </c>
      <c r="G49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35">
        <f>RANK(tbl_AQI[[#This Row],[Current AQI]], tbl_AQI[Current AQI], 0)</f>
        <v>2567</v>
      </c>
    </row>
    <row r="4936" spans="1:8" x14ac:dyDescent="0.35">
      <c r="A4936" t="s">
        <v>4918</v>
      </c>
      <c r="B4936" t="s">
        <v>4946</v>
      </c>
      <c r="C4936">
        <v>127</v>
      </c>
      <c r="D4936">
        <v>53</v>
      </c>
      <c r="E4936" t="s">
        <v>11</v>
      </c>
      <c r="F4936">
        <f>tbl_AQI[[#This Row],[Most AQI Reached]]-tbl_AQI[[#This Row],[Current AQI]]</f>
        <v>74</v>
      </c>
      <c r="G49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36">
        <f>RANK(tbl_AQI[[#This Row],[Current AQI]], tbl_AQI[Current AQI], 0)</f>
        <v>4544</v>
      </c>
    </row>
    <row r="4937" spans="1:8" x14ac:dyDescent="0.35">
      <c r="A4937" t="s">
        <v>4918</v>
      </c>
      <c r="B4937" t="s">
        <v>4947</v>
      </c>
      <c r="C4937">
        <v>224</v>
      </c>
      <c r="D4937">
        <v>110</v>
      </c>
      <c r="E4937" t="s">
        <v>15</v>
      </c>
      <c r="F4937">
        <f>tbl_AQI[[#This Row],[Most AQI Reached]]-tbl_AQI[[#This Row],[Current AQI]]</f>
        <v>114</v>
      </c>
      <c r="G49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37">
        <f>RANK(tbl_AQI[[#This Row],[Current AQI]], tbl_AQI[Current AQI], 0)</f>
        <v>3302</v>
      </c>
    </row>
    <row r="4938" spans="1:8" x14ac:dyDescent="0.35">
      <c r="A4938" t="s">
        <v>4918</v>
      </c>
      <c r="B4938" t="s">
        <v>4948</v>
      </c>
      <c r="C4938">
        <v>166</v>
      </c>
      <c r="D4938">
        <v>141</v>
      </c>
      <c r="E4938" t="s">
        <v>7</v>
      </c>
      <c r="F4938">
        <f>tbl_AQI[[#This Row],[Most AQI Reached]]-tbl_AQI[[#This Row],[Current AQI]]</f>
        <v>25</v>
      </c>
      <c r="G49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38">
        <f>RANK(tbl_AQI[[#This Row],[Current AQI]], tbl_AQI[Current AQI], 0)</f>
        <v>2609</v>
      </c>
    </row>
    <row r="4939" spans="1:8" x14ac:dyDescent="0.35">
      <c r="A4939" t="s">
        <v>4918</v>
      </c>
      <c r="B4939" t="s">
        <v>4949</v>
      </c>
      <c r="C4939">
        <v>309</v>
      </c>
      <c r="D4939">
        <v>184</v>
      </c>
      <c r="E4939" t="s">
        <v>21</v>
      </c>
      <c r="F4939">
        <f>tbl_AQI[[#This Row],[Most AQI Reached]]-tbl_AQI[[#This Row],[Current AQI]]</f>
        <v>125</v>
      </c>
      <c r="G49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39">
        <f>RANK(tbl_AQI[[#This Row],[Current AQI]], tbl_AQI[Current AQI], 0)</f>
        <v>1544</v>
      </c>
    </row>
    <row r="4940" spans="1:8" x14ac:dyDescent="0.35">
      <c r="A4940" t="s">
        <v>4918</v>
      </c>
      <c r="B4940" t="s">
        <v>4950</v>
      </c>
      <c r="C4940">
        <v>287</v>
      </c>
      <c r="D4940">
        <v>133</v>
      </c>
      <c r="E4940" t="s">
        <v>9</v>
      </c>
      <c r="F4940">
        <f>tbl_AQI[[#This Row],[Most AQI Reached]]-tbl_AQI[[#This Row],[Current AQI]]</f>
        <v>154</v>
      </c>
      <c r="G49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40">
        <f>RANK(tbl_AQI[[#This Row],[Current AQI]], tbl_AQI[Current AQI], 0)</f>
        <v>2758</v>
      </c>
    </row>
    <row r="4941" spans="1:8" x14ac:dyDescent="0.35">
      <c r="A4941" t="s">
        <v>4918</v>
      </c>
      <c r="B4941" t="s">
        <v>4951</v>
      </c>
      <c r="C4941">
        <v>124</v>
      </c>
      <c r="D4941">
        <v>80</v>
      </c>
      <c r="E4941" t="s">
        <v>17</v>
      </c>
      <c r="F4941">
        <f>tbl_AQI[[#This Row],[Most AQI Reached]]-tbl_AQI[[#This Row],[Current AQI]]</f>
        <v>44</v>
      </c>
      <c r="G49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41">
        <f>RANK(tbl_AQI[[#This Row],[Current AQI]], tbl_AQI[Current AQI], 0)</f>
        <v>3948</v>
      </c>
    </row>
    <row r="4942" spans="1:8" x14ac:dyDescent="0.35">
      <c r="A4942" t="s">
        <v>4918</v>
      </c>
      <c r="B4942" t="s">
        <v>4952</v>
      </c>
      <c r="C4942">
        <v>270</v>
      </c>
      <c r="D4942">
        <v>143</v>
      </c>
      <c r="E4942" t="s">
        <v>7</v>
      </c>
      <c r="F4942">
        <f>tbl_AQI[[#This Row],[Most AQI Reached]]-tbl_AQI[[#This Row],[Current AQI]]</f>
        <v>127</v>
      </c>
      <c r="G49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42">
        <f>RANK(tbl_AQI[[#This Row],[Current AQI]], tbl_AQI[Current AQI], 0)</f>
        <v>2567</v>
      </c>
    </row>
    <row r="4943" spans="1:8" x14ac:dyDescent="0.35">
      <c r="A4943" t="s">
        <v>4918</v>
      </c>
      <c r="B4943" t="s">
        <v>4953</v>
      </c>
      <c r="C4943">
        <v>238</v>
      </c>
      <c r="D4943">
        <v>103</v>
      </c>
      <c r="E4943" t="s">
        <v>15</v>
      </c>
      <c r="F4943">
        <f>tbl_AQI[[#This Row],[Most AQI Reached]]-tbl_AQI[[#This Row],[Current AQI]]</f>
        <v>135</v>
      </c>
      <c r="G49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43">
        <f>RANK(tbl_AQI[[#This Row],[Current AQI]], tbl_AQI[Current AQI], 0)</f>
        <v>3474</v>
      </c>
    </row>
    <row r="4944" spans="1:8" x14ac:dyDescent="0.35">
      <c r="A4944" t="s">
        <v>4918</v>
      </c>
      <c r="B4944" t="s">
        <v>4954</v>
      </c>
      <c r="C4944">
        <v>193</v>
      </c>
      <c r="D4944">
        <v>128</v>
      </c>
      <c r="E4944" t="s">
        <v>15</v>
      </c>
      <c r="F4944">
        <f>tbl_AQI[[#This Row],[Most AQI Reached]]-tbl_AQI[[#This Row],[Current AQI]]</f>
        <v>65</v>
      </c>
      <c r="G49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44">
        <f>RANK(tbl_AQI[[#This Row],[Current AQI]], tbl_AQI[Current AQI], 0)</f>
        <v>2872</v>
      </c>
    </row>
    <row r="4945" spans="1:8" x14ac:dyDescent="0.35">
      <c r="A4945" t="s">
        <v>4918</v>
      </c>
      <c r="B4945" t="s">
        <v>4955</v>
      </c>
      <c r="C4945">
        <v>182</v>
      </c>
      <c r="D4945">
        <v>141</v>
      </c>
      <c r="E4945" t="s">
        <v>9</v>
      </c>
      <c r="F4945">
        <f>tbl_AQI[[#This Row],[Most AQI Reached]]-tbl_AQI[[#This Row],[Current AQI]]</f>
        <v>41</v>
      </c>
      <c r="G49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45">
        <f>RANK(tbl_AQI[[#This Row],[Current AQI]], tbl_AQI[Current AQI], 0)</f>
        <v>2609</v>
      </c>
    </row>
    <row r="4946" spans="1:8" x14ac:dyDescent="0.35">
      <c r="A4946" t="s">
        <v>4918</v>
      </c>
      <c r="B4946" t="s">
        <v>4956</v>
      </c>
      <c r="C4946">
        <v>144</v>
      </c>
      <c r="D4946">
        <v>128</v>
      </c>
      <c r="E4946" t="s">
        <v>15</v>
      </c>
      <c r="F4946">
        <f>tbl_AQI[[#This Row],[Most AQI Reached]]-tbl_AQI[[#This Row],[Current AQI]]</f>
        <v>16</v>
      </c>
      <c r="G49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46">
        <f>RANK(tbl_AQI[[#This Row],[Current AQI]], tbl_AQI[Current AQI], 0)</f>
        <v>2872</v>
      </c>
    </row>
    <row r="4947" spans="1:8" x14ac:dyDescent="0.35">
      <c r="A4947" t="s">
        <v>4918</v>
      </c>
      <c r="B4947" t="s">
        <v>4957</v>
      </c>
      <c r="C4947">
        <v>149</v>
      </c>
      <c r="D4947">
        <v>119</v>
      </c>
      <c r="E4947" t="s">
        <v>9</v>
      </c>
      <c r="F4947">
        <f>tbl_AQI[[#This Row],[Most AQI Reached]]-tbl_AQI[[#This Row],[Current AQI]]</f>
        <v>30</v>
      </c>
      <c r="G49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47">
        <f>RANK(tbl_AQI[[#This Row],[Current AQI]], tbl_AQI[Current AQI], 0)</f>
        <v>3093</v>
      </c>
    </row>
    <row r="4948" spans="1:8" x14ac:dyDescent="0.35">
      <c r="A4948" t="s">
        <v>4918</v>
      </c>
      <c r="B4948" t="s">
        <v>4958</v>
      </c>
      <c r="C4948">
        <v>284</v>
      </c>
      <c r="D4948">
        <v>68</v>
      </c>
      <c r="E4948" t="s">
        <v>15</v>
      </c>
      <c r="F4948">
        <f>tbl_AQI[[#This Row],[Most AQI Reached]]-tbl_AQI[[#This Row],[Current AQI]]</f>
        <v>216</v>
      </c>
      <c r="G49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48">
        <f>RANK(tbl_AQI[[#This Row],[Current AQI]], tbl_AQI[Current AQI], 0)</f>
        <v>4204</v>
      </c>
    </row>
    <row r="4949" spans="1:8" x14ac:dyDescent="0.35">
      <c r="A4949" t="s">
        <v>4918</v>
      </c>
      <c r="B4949" t="s">
        <v>4959</v>
      </c>
      <c r="C4949">
        <v>186</v>
      </c>
      <c r="D4949">
        <v>98</v>
      </c>
      <c r="E4949" t="s">
        <v>11</v>
      </c>
      <c r="F4949">
        <f>tbl_AQI[[#This Row],[Most AQI Reached]]-tbl_AQI[[#This Row],[Current AQI]]</f>
        <v>88</v>
      </c>
      <c r="G49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49">
        <f>RANK(tbl_AQI[[#This Row],[Current AQI]], tbl_AQI[Current AQI], 0)</f>
        <v>3574</v>
      </c>
    </row>
    <row r="4950" spans="1:8" x14ac:dyDescent="0.35">
      <c r="A4950" t="s">
        <v>4918</v>
      </c>
      <c r="B4950" t="s">
        <v>4960</v>
      </c>
      <c r="C4950">
        <v>254</v>
      </c>
      <c r="D4950">
        <v>179</v>
      </c>
      <c r="E4950" t="s">
        <v>33</v>
      </c>
      <c r="F4950">
        <f>tbl_AQI[[#This Row],[Most AQI Reached]]-tbl_AQI[[#This Row],[Current AQI]]</f>
        <v>75</v>
      </c>
      <c r="G49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50">
        <f>RANK(tbl_AQI[[#This Row],[Current AQI]], tbl_AQI[Current AQI], 0)</f>
        <v>1667</v>
      </c>
    </row>
    <row r="4951" spans="1:8" x14ac:dyDescent="0.35">
      <c r="A4951" t="s">
        <v>4918</v>
      </c>
      <c r="B4951" t="s">
        <v>4961</v>
      </c>
      <c r="C4951">
        <v>130</v>
      </c>
      <c r="D4951">
        <v>95</v>
      </c>
      <c r="E4951" t="s">
        <v>17</v>
      </c>
      <c r="F4951">
        <f>tbl_AQI[[#This Row],[Most AQI Reached]]-tbl_AQI[[#This Row],[Current AQI]]</f>
        <v>35</v>
      </c>
      <c r="G49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51">
        <f>RANK(tbl_AQI[[#This Row],[Current AQI]], tbl_AQI[Current AQI], 0)</f>
        <v>3634</v>
      </c>
    </row>
    <row r="4952" spans="1:8" x14ac:dyDescent="0.35">
      <c r="A4952" t="s">
        <v>4918</v>
      </c>
      <c r="B4952" t="s">
        <v>4962</v>
      </c>
      <c r="C4952">
        <v>265</v>
      </c>
      <c r="D4952">
        <v>190</v>
      </c>
      <c r="E4952" t="s">
        <v>33</v>
      </c>
      <c r="F4952">
        <f>tbl_AQI[[#This Row],[Most AQI Reached]]-tbl_AQI[[#This Row],[Current AQI]]</f>
        <v>75</v>
      </c>
      <c r="G49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52">
        <f>RANK(tbl_AQI[[#This Row],[Current AQI]], tbl_AQI[Current AQI], 0)</f>
        <v>1355</v>
      </c>
    </row>
    <row r="4953" spans="1:8" x14ac:dyDescent="0.35">
      <c r="A4953" t="s">
        <v>4918</v>
      </c>
      <c r="B4953" t="s">
        <v>4963</v>
      </c>
      <c r="C4953">
        <v>147</v>
      </c>
      <c r="D4953">
        <v>73</v>
      </c>
      <c r="E4953" t="s">
        <v>9</v>
      </c>
      <c r="F4953">
        <f>tbl_AQI[[#This Row],[Most AQI Reached]]-tbl_AQI[[#This Row],[Current AQI]]</f>
        <v>74</v>
      </c>
      <c r="G49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53">
        <f>RANK(tbl_AQI[[#This Row],[Current AQI]], tbl_AQI[Current AQI], 0)</f>
        <v>4083</v>
      </c>
    </row>
    <row r="4954" spans="1:8" x14ac:dyDescent="0.35">
      <c r="A4954" t="s">
        <v>4918</v>
      </c>
      <c r="B4954" t="s">
        <v>4964</v>
      </c>
      <c r="C4954">
        <v>109</v>
      </c>
      <c r="D4954">
        <v>90</v>
      </c>
      <c r="E4954" t="s">
        <v>21</v>
      </c>
      <c r="F4954">
        <f>tbl_AQI[[#This Row],[Most AQI Reached]]-tbl_AQI[[#This Row],[Current AQI]]</f>
        <v>19</v>
      </c>
      <c r="G49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54">
        <f>RANK(tbl_AQI[[#This Row],[Current AQI]], tbl_AQI[Current AQI], 0)</f>
        <v>3750</v>
      </c>
    </row>
    <row r="4955" spans="1:8" x14ac:dyDescent="0.35">
      <c r="A4955" t="s">
        <v>4918</v>
      </c>
      <c r="B4955" t="s">
        <v>4965</v>
      </c>
      <c r="C4955">
        <v>135</v>
      </c>
      <c r="D4955">
        <v>93</v>
      </c>
      <c r="E4955" t="s">
        <v>17</v>
      </c>
      <c r="F4955">
        <f>tbl_AQI[[#This Row],[Most AQI Reached]]-tbl_AQI[[#This Row],[Current AQI]]</f>
        <v>42</v>
      </c>
      <c r="G49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55">
        <f>RANK(tbl_AQI[[#This Row],[Current AQI]], tbl_AQI[Current AQI], 0)</f>
        <v>3678</v>
      </c>
    </row>
    <row r="4956" spans="1:8" x14ac:dyDescent="0.35">
      <c r="A4956" t="s">
        <v>4918</v>
      </c>
      <c r="B4956" t="s">
        <v>4966</v>
      </c>
      <c r="C4956">
        <v>264</v>
      </c>
      <c r="D4956">
        <v>163</v>
      </c>
      <c r="E4956" t="s">
        <v>15</v>
      </c>
      <c r="F4956">
        <f>tbl_AQI[[#This Row],[Most AQI Reached]]-tbl_AQI[[#This Row],[Current AQI]]</f>
        <v>101</v>
      </c>
      <c r="G495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56">
        <f>RANK(tbl_AQI[[#This Row],[Current AQI]], tbl_AQI[Current AQI], 0)</f>
        <v>2075</v>
      </c>
    </row>
    <row r="4957" spans="1:8" x14ac:dyDescent="0.35">
      <c r="A4957" t="s">
        <v>4918</v>
      </c>
      <c r="B4957" t="s">
        <v>4967</v>
      </c>
      <c r="C4957">
        <v>292</v>
      </c>
      <c r="D4957">
        <v>63</v>
      </c>
      <c r="E4957" t="s">
        <v>15</v>
      </c>
      <c r="F4957">
        <f>tbl_AQI[[#This Row],[Most AQI Reached]]-tbl_AQI[[#This Row],[Current AQI]]</f>
        <v>229</v>
      </c>
      <c r="G495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57">
        <f>RANK(tbl_AQI[[#This Row],[Current AQI]], tbl_AQI[Current AQI], 0)</f>
        <v>4322</v>
      </c>
    </row>
    <row r="4958" spans="1:8" x14ac:dyDescent="0.35">
      <c r="A4958" t="s">
        <v>4918</v>
      </c>
      <c r="B4958" t="s">
        <v>4968</v>
      </c>
      <c r="C4958">
        <v>253</v>
      </c>
      <c r="D4958">
        <v>182</v>
      </c>
      <c r="E4958" t="s">
        <v>7</v>
      </c>
      <c r="F4958">
        <f>tbl_AQI[[#This Row],[Most AQI Reached]]-tbl_AQI[[#This Row],[Current AQI]]</f>
        <v>71</v>
      </c>
      <c r="G495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58">
        <f>RANK(tbl_AQI[[#This Row],[Current AQI]], tbl_AQI[Current AQI], 0)</f>
        <v>1593</v>
      </c>
    </row>
    <row r="4959" spans="1:8" x14ac:dyDescent="0.35">
      <c r="A4959" t="s">
        <v>4918</v>
      </c>
      <c r="B4959" t="s">
        <v>4969</v>
      </c>
      <c r="C4959">
        <v>146</v>
      </c>
      <c r="D4959">
        <v>99</v>
      </c>
      <c r="E4959" t="s">
        <v>15</v>
      </c>
      <c r="F4959">
        <f>tbl_AQI[[#This Row],[Most AQI Reached]]-tbl_AQI[[#This Row],[Current AQI]]</f>
        <v>47</v>
      </c>
      <c r="G495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59">
        <f>RANK(tbl_AQI[[#This Row],[Current AQI]], tbl_AQI[Current AQI], 0)</f>
        <v>3553</v>
      </c>
    </row>
    <row r="4960" spans="1:8" x14ac:dyDescent="0.35">
      <c r="A4960" t="s">
        <v>4918</v>
      </c>
      <c r="B4960" t="s">
        <v>4970</v>
      </c>
      <c r="C4960">
        <v>247</v>
      </c>
      <c r="D4960">
        <v>114</v>
      </c>
      <c r="E4960" t="s">
        <v>21</v>
      </c>
      <c r="F4960">
        <f>tbl_AQI[[#This Row],[Most AQI Reached]]-tbl_AQI[[#This Row],[Current AQI]]</f>
        <v>133</v>
      </c>
      <c r="G496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60">
        <f>RANK(tbl_AQI[[#This Row],[Current AQI]], tbl_AQI[Current AQI], 0)</f>
        <v>3226</v>
      </c>
    </row>
    <row r="4961" spans="1:8" x14ac:dyDescent="0.35">
      <c r="A4961" t="s">
        <v>4918</v>
      </c>
      <c r="B4961" t="s">
        <v>4971</v>
      </c>
      <c r="C4961">
        <v>132</v>
      </c>
      <c r="D4961">
        <v>93</v>
      </c>
      <c r="E4961" t="s">
        <v>21</v>
      </c>
      <c r="F4961">
        <f>tbl_AQI[[#This Row],[Most AQI Reached]]-tbl_AQI[[#This Row],[Current AQI]]</f>
        <v>39</v>
      </c>
      <c r="G496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61">
        <f>RANK(tbl_AQI[[#This Row],[Current AQI]], tbl_AQI[Current AQI], 0)</f>
        <v>3678</v>
      </c>
    </row>
    <row r="4962" spans="1:8" x14ac:dyDescent="0.35">
      <c r="A4962" t="s">
        <v>4918</v>
      </c>
      <c r="B4962" t="s">
        <v>4972</v>
      </c>
      <c r="C4962">
        <v>149</v>
      </c>
      <c r="D4962">
        <v>55</v>
      </c>
      <c r="E4962" t="s">
        <v>17</v>
      </c>
      <c r="F4962">
        <f>tbl_AQI[[#This Row],[Most AQI Reached]]-tbl_AQI[[#This Row],[Current AQI]]</f>
        <v>94</v>
      </c>
      <c r="G496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62">
        <f>RANK(tbl_AQI[[#This Row],[Current AQI]], tbl_AQI[Current AQI], 0)</f>
        <v>4497</v>
      </c>
    </row>
    <row r="4963" spans="1:8" x14ac:dyDescent="0.35">
      <c r="A4963" t="s">
        <v>4918</v>
      </c>
      <c r="B4963" t="s">
        <v>4973</v>
      </c>
      <c r="C4963">
        <v>196</v>
      </c>
      <c r="D4963">
        <v>166</v>
      </c>
      <c r="E4963" t="s">
        <v>11</v>
      </c>
      <c r="F4963">
        <f>tbl_AQI[[#This Row],[Most AQI Reached]]-tbl_AQI[[#This Row],[Current AQI]]</f>
        <v>30</v>
      </c>
      <c r="G496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63">
        <f>RANK(tbl_AQI[[#This Row],[Current AQI]], tbl_AQI[Current AQI], 0)</f>
        <v>2007</v>
      </c>
    </row>
    <row r="4964" spans="1:8" x14ac:dyDescent="0.35">
      <c r="A4964" t="s">
        <v>4918</v>
      </c>
      <c r="B4964" t="s">
        <v>4974</v>
      </c>
      <c r="C4964">
        <v>221</v>
      </c>
      <c r="D4964">
        <v>62</v>
      </c>
      <c r="E4964" t="s">
        <v>7</v>
      </c>
      <c r="F4964">
        <f>tbl_AQI[[#This Row],[Most AQI Reached]]-tbl_AQI[[#This Row],[Current AQI]]</f>
        <v>159</v>
      </c>
      <c r="G496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64">
        <f>RANK(tbl_AQI[[#This Row],[Current AQI]], tbl_AQI[Current AQI], 0)</f>
        <v>4343</v>
      </c>
    </row>
    <row r="4965" spans="1:8" x14ac:dyDescent="0.35">
      <c r="A4965" t="s">
        <v>4918</v>
      </c>
      <c r="B4965" t="s">
        <v>4975</v>
      </c>
      <c r="C4965">
        <v>253</v>
      </c>
      <c r="D4965">
        <v>110</v>
      </c>
      <c r="E4965" t="s">
        <v>21</v>
      </c>
      <c r="F4965">
        <f>tbl_AQI[[#This Row],[Most AQI Reached]]-tbl_AQI[[#This Row],[Current AQI]]</f>
        <v>143</v>
      </c>
      <c r="G496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65">
        <f>RANK(tbl_AQI[[#This Row],[Current AQI]], tbl_AQI[Current AQI], 0)</f>
        <v>3302</v>
      </c>
    </row>
    <row r="4966" spans="1:8" x14ac:dyDescent="0.35">
      <c r="A4966" t="s">
        <v>4918</v>
      </c>
      <c r="B4966" t="s">
        <v>4976</v>
      </c>
      <c r="C4966">
        <v>206</v>
      </c>
      <c r="D4966">
        <v>150</v>
      </c>
      <c r="E4966" t="s">
        <v>7</v>
      </c>
      <c r="F4966">
        <f>tbl_AQI[[#This Row],[Most AQI Reached]]-tbl_AQI[[#This Row],[Current AQI]]</f>
        <v>56</v>
      </c>
      <c r="G496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66">
        <f>RANK(tbl_AQI[[#This Row],[Current AQI]], tbl_AQI[Current AQI], 0)</f>
        <v>2400</v>
      </c>
    </row>
    <row r="4967" spans="1:8" x14ac:dyDescent="0.35">
      <c r="A4967" t="s">
        <v>4918</v>
      </c>
      <c r="B4967" t="s">
        <v>4977</v>
      </c>
      <c r="C4967">
        <v>171</v>
      </c>
      <c r="D4967">
        <v>85</v>
      </c>
      <c r="E4967" t="s">
        <v>9</v>
      </c>
      <c r="F4967">
        <f>tbl_AQI[[#This Row],[Most AQI Reached]]-tbl_AQI[[#This Row],[Current AQI]]</f>
        <v>86</v>
      </c>
      <c r="G496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67">
        <f>RANK(tbl_AQI[[#This Row],[Current AQI]], tbl_AQI[Current AQI], 0)</f>
        <v>3852</v>
      </c>
    </row>
    <row r="4968" spans="1:8" x14ac:dyDescent="0.35">
      <c r="A4968" t="s">
        <v>4918</v>
      </c>
      <c r="B4968" t="s">
        <v>4978</v>
      </c>
      <c r="C4968">
        <v>139</v>
      </c>
      <c r="D4968">
        <v>106</v>
      </c>
      <c r="E4968" t="s">
        <v>17</v>
      </c>
      <c r="F4968">
        <f>tbl_AQI[[#This Row],[Most AQI Reached]]-tbl_AQI[[#This Row],[Current AQI]]</f>
        <v>33</v>
      </c>
      <c r="G496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68">
        <f>RANK(tbl_AQI[[#This Row],[Current AQI]], tbl_AQI[Current AQI], 0)</f>
        <v>3413</v>
      </c>
    </row>
    <row r="4969" spans="1:8" x14ac:dyDescent="0.35">
      <c r="A4969" t="s">
        <v>4918</v>
      </c>
      <c r="B4969" t="s">
        <v>4979</v>
      </c>
      <c r="C4969">
        <v>313</v>
      </c>
      <c r="D4969">
        <v>180</v>
      </c>
      <c r="E4969" t="s">
        <v>9</v>
      </c>
      <c r="F4969">
        <f>tbl_AQI[[#This Row],[Most AQI Reached]]-tbl_AQI[[#This Row],[Current AQI]]</f>
        <v>133</v>
      </c>
      <c r="G496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69">
        <f>RANK(tbl_AQI[[#This Row],[Current AQI]], tbl_AQI[Current AQI], 0)</f>
        <v>1635</v>
      </c>
    </row>
    <row r="4970" spans="1:8" x14ac:dyDescent="0.35">
      <c r="A4970" t="s">
        <v>4918</v>
      </c>
      <c r="B4970" t="s">
        <v>4980</v>
      </c>
      <c r="C4970">
        <v>259</v>
      </c>
      <c r="D4970">
        <v>152</v>
      </c>
      <c r="E4970" t="s">
        <v>11</v>
      </c>
      <c r="F4970">
        <f>tbl_AQI[[#This Row],[Most AQI Reached]]-tbl_AQI[[#This Row],[Current AQI]]</f>
        <v>107</v>
      </c>
      <c r="G497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70">
        <f>RANK(tbl_AQI[[#This Row],[Current AQI]], tbl_AQI[Current AQI], 0)</f>
        <v>2349</v>
      </c>
    </row>
    <row r="4971" spans="1:8" x14ac:dyDescent="0.35">
      <c r="A4971" t="s">
        <v>4918</v>
      </c>
      <c r="B4971" t="s">
        <v>4981</v>
      </c>
      <c r="C4971">
        <v>293</v>
      </c>
      <c r="D4971">
        <v>188</v>
      </c>
      <c r="E4971" t="s">
        <v>9</v>
      </c>
      <c r="F4971">
        <f>tbl_AQI[[#This Row],[Most AQI Reached]]-tbl_AQI[[#This Row],[Current AQI]]</f>
        <v>105</v>
      </c>
      <c r="G497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71">
        <f>RANK(tbl_AQI[[#This Row],[Current AQI]], tbl_AQI[Current AQI], 0)</f>
        <v>1423</v>
      </c>
    </row>
    <row r="4972" spans="1:8" x14ac:dyDescent="0.35">
      <c r="A4972" t="s">
        <v>4918</v>
      </c>
      <c r="B4972" t="s">
        <v>4982</v>
      </c>
      <c r="C4972">
        <v>207</v>
      </c>
      <c r="D4972">
        <v>177</v>
      </c>
      <c r="E4972" t="s">
        <v>17</v>
      </c>
      <c r="F4972">
        <f>tbl_AQI[[#This Row],[Most AQI Reached]]-tbl_AQI[[#This Row],[Current AQI]]</f>
        <v>30</v>
      </c>
      <c r="G497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72">
        <f>RANK(tbl_AQI[[#This Row],[Current AQI]], tbl_AQI[Current AQI], 0)</f>
        <v>1733</v>
      </c>
    </row>
    <row r="4973" spans="1:8" x14ac:dyDescent="0.35">
      <c r="A4973" t="s">
        <v>4918</v>
      </c>
      <c r="B4973" t="s">
        <v>4983</v>
      </c>
      <c r="C4973">
        <v>231</v>
      </c>
      <c r="D4973">
        <v>78</v>
      </c>
      <c r="E4973" t="s">
        <v>11</v>
      </c>
      <c r="F4973">
        <f>tbl_AQI[[#This Row],[Most AQI Reached]]-tbl_AQI[[#This Row],[Current AQI]]</f>
        <v>153</v>
      </c>
      <c r="G497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73">
        <f>RANK(tbl_AQI[[#This Row],[Current AQI]], tbl_AQI[Current AQI], 0)</f>
        <v>3989</v>
      </c>
    </row>
    <row r="4974" spans="1:8" x14ac:dyDescent="0.35">
      <c r="A4974" t="s">
        <v>4918</v>
      </c>
      <c r="B4974" t="s">
        <v>4984</v>
      </c>
      <c r="C4974">
        <v>283</v>
      </c>
      <c r="D4974">
        <v>48</v>
      </c>
      <c r="E4974" t="s">
        <v>15</v>
      </c>
      <c r="F4974">
        <f>tbl_AQI[[#This Row],[Most AQI Reached]]-tbl_AQI[[#This Row],[Current AQI]]</f>
        <v>235</v>
      </c>
      <c r="G497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74">
        <f>RANK(tbl_AQI[[#This Row],[Current AQI]], tbl_AQI[Current AQI], 0)</f>
        <v>4638</v>
      </c>
    </row>
    <row r="4975" spans="1:8" x14ac:dyDescent="0.35">
      <c r="A4975" t="s">
        <v>4918</v>
      </c>
      <c r="B4975" t="s">
        <v>4985</v>
      </c>
      <c r="C4975">
        <v>246</v>
      </c>
      <c r="D4975">
        <v>154</v>
      </c>
      <c r="E4975" t="s">
        <v>21</v>
      </c>
      <c r="F4975">
        <f>tbl_AQI[[#This Row],[Most AQI Reached]]-tbl_AQI[[#This Row],[Current AQI]]</f>
        <v>92</v>
      </c>
      <c r="G497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75">
        <f>RANK(tbl_AQI[[#This Row],[Current AQI]], tbl_AQI[Current AQI], 0)</f>
        <v>2307</v>
      </c>
    </row>
    <row r="4976" spans="1:8" x14ac:dyDescent="0.35">
      <c r="A4976" t="s">
        <v>4918</v>
      </c>
      <c r="B4976" t="s">
        <v>4986</v>
      </c>
      <c r="C4976">
        <v>193</v>
      </c>
      <c r="D4976">
        <v>72</v>
      </c>
      <c r="E4976" t="s">
        <v>7</v>
      </c>
      <c r="F4976">
        <f>tbl_AQI[[#This Row],[Most AQI Reached]]-tbl_AQI[[#This Row],[Current AQI]]</f>
        <v>121</v>
      </c>
      <c r="G497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76">
        <f>RANK(tbl_AQI[[#This Row],[Current AQI]], tbl_AQI[Current AQI], 0)</f>
        <v>4100</v>
      </c>
    </row>
    <row r="4977" spans="1:8" x14ac:dyDescent="0.35">
      <c r="A4977" t="s">
        <v>4918</v>
      </c>
      <c r="B4977" t="s">
        <v>4987</v>
      </c>
      <c r="C4977">
        <v>293</v>
      </c>
      <c r="D4977">
        <v>69</v>
      </c>
      <c r="E4977" t="s">
        <v>9</v>
      </c>
      <c r="F4977">
        <f>tbl_AQI[[#This Row],[Most AQI Reached]]-tbl_AQI[[#This Row],[Current AQI]]</f>
        <v>224</v>
      </c>
      <c r="G497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77">
        <f>RANK(tbl_AQI[[#This Row],[Current AQI]], tbl_AQI[Current AQI], 0)</f>
        <v>4186</v>
      </c>
    </row>
    <row r="4978" spans="1:8" x14ac:dyDescent="0.35">
      <c r="A4978" t="s">
        <v>4918</v>
      </c>
      <c r="B4978" t="s">
        <v>4988</v>
      </c>
      <c r="C4978">
        <v>182</v>
      </c>
      <c r="D4978">
        <v>158</v>
      </c>
      <c r="E4978" t="s">
        <v>21</v>
      </c>
      <c r="F4978">
        <f>tbl_AQI[[#This Row],[Most AQI Reached]]-tbl_AQI[[#This Row],[Current AQI]]</f>
        <v>24</v>
      </c>
      <c r="G497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78">
        <f>RANK(tbl_AQI[[#This Row],[Current AQI]], tbl_AQI[Current AQI], 0)</f>
        <v>2207</v>
      </c>
    </row>
    <row r="4979" spans="1:8" x14ac:dyDescent="0.35">
      <c r="A4979" t="s">
        <v>4918</v>
      </c>
      <c r="B4979" t="s">
        <v>4989</v>
      </c>
      <c r="C4979">
        <v>316</v>
      </c>
      <c r="D4979">
        <v>67</v>
      </c>
      <c r="E4979" t="s">
        <v>15</v>
      </c>
      <c r="F4979">
        <f>tbl_AQI[[#This Row],[Most AQI Reached]]-tbl_AQI[[#This Row],[Current AQI]]</f>
        <v>249</v>
      </c>
      <c r="G497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79">
        <f>RANK(tbl_AQI[[#This Row],[Current AQI]], tbl_AQI[Current AQI], 0)</f>
        <v>4225</v>
      </c>
    </row>
    <row r="4980" spans="1:8" x14ac:dyDescent="0.35">
      <c r="A4980" t="s">
        <v>4918</v>
      </c>
      <c r="B4980" t="s">
        <v>4990</v>
      </c>
      <c r="C4980">
        <v>178</v>
      </c>
      <c r="D4980">
        <v>32</v>
      </c>
      <c r="E4980" t="s">
        <v>11</v>
      </c>
      <c r="F4980">
        <f>tbl_AQI[[#This Row],[Most AQI Reached]]-tbl_AQI[[#This Row],[Current AQI]]</f>
        <v>146</v>
      </c>
      <c r="G498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80">
        <f>RANK(tbl_AQI[[#This Row],[Current AQI]], tbl_AQI[Current AQI], 0)</f>
        <v>4983</v>
      </c>
    </row>
    <row r="4981" spans="1:8" x14ac:dyDescent="0.35">
      <c r="A4981" t="s">
        <v>4918</v>
      </c>
      <c r="B4981" t="s">
        <v>4991</v>
      </c>
      <c r="C4981">
        <v>229</v>
      </c>
      <c r="D4981">
        <v>35</v>
      </c>
      <c r="E4981" t="s">
        <v>21</v>
      </c>
      <c r="F4981">
        <f>tbl_AQI[[#This Row],[Most AQI Reached]]-tbl_AQI[[#This Row],[Current AQI]]</f>
        <v>194</v>
      </c>
      <c r="G498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81">
        <f>RANK(tbl_AQI[[#This Row],[Current AQI]], tbl_AQI[Current AQI], 0)</f>
        <v>4916</v>
      </c>
    </row>
    <row r="4982" spans="1:8" x14ac:dyDescent="0.35">
      <c r="A4982" t="s">
        <v>4918</v>
      </c>
      <c r="B4982" t="s">
        <v>4992</v>
      </c>
      <c r="C4982">
        <v>292</v>
      </c>
      <c r="D4982">
        <v>49</v>
      </c>
      <c r="E4982" t="s">
        <v>33</v>
      </c>
      <c r="F4982">
        <f>tbl_AQI[[#This Row],[Most AQI Reached]]-tbl_AQI[[#This Row],[Current AQI]]</f>
        <v>243</v>
      </c>
      <c r="G498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82">
        <f>RANK(tbl_AQI[[#This Row],[Current AQI]], tbl_AQI[Current AQI], 0)</f>
        <v>4614</v>
      </c>
    </row>
    <row r="4983" spans="1:8" x14ac:dyDescent="0.35">
      <c r="A4983" t="s">
        <v>4918</v>
      </c>
      <c r="B4983" t="s">
        <v>4993</v>
      </c>
      <c r="C4983">
        <v>194</v>
      </c>
      <c r="D4983">
        <v>183</v>
      </c>
      <c r="E4983" t="s">
        <v>11</v>
      </c>
      <c r="F4983">
        <f>tbl_AQI[[#This Row],[Most AQI Reached]]-tbl_AQI[[#This Row],[Current AQI]]</f>
        <v>11</v>
      </c>
      <c r="G498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83">
        <f>RANK(tbl_AQI[[#This Row],[Current AQI]], tbl_AQI[Current AQI], 0)</f>
        <v>1572</v>
      </c>
    </row>
    <row r="4984" spans="1:8" x14ac:dyDescent="0.35">
      <c r="A4984" t="s">
        <v>4918</v>
      </c>
      <c r="B4984" t="s">
        <v>4994</v>
      </c>
      <c r="C4984">
        <v>276</v>
      </c>
      <c r="D4984">
        <v>110</v>
      </c>
      <c r="E4984" t="s">
        <v>33</v>
      </c>
      <c r="F4984">
        <f>tbl_AQI[[#This Row],[Most AQI Reached]]-tbl_AQI[[#This Row],[Current AQI]]</f>
        <v>166</v>
      </c>
      <c r="G498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84">
        <f>RANK(tbl_AQI[[#This Row],[Current AQI]], tbl_AQI[Current AQI], 0)</f>
        <v>3302</v>
      </c>
    </row>
    <row r="4985" spans="1:8" x14ac:dyDescent="0.35">
      <c r="A4985" t="s">
        <v>4918</v>
      </c>
      <c r="B4985" t="s">
        <v>4995</v>
      </c>
      <c r="C4985">
        <v>149</v>
      </c>
      <c r="D4985">
        <v>133</v>
      </c>
      <c r="E4985" t="s">
        <v>15</v>
      </c>
      <c r="F4985">
        <f>tbl_AQI[[#This Row],[Most AQI Reached]]-tbl_AQI[[#This Row],[Current AQI]]</f>
        <v>16</v>
      </c>
      <c r="G498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85">
        <f>RANK(tbl_AQI[[#This Row],[Current AQI]], tbl_AQI[Current AQI], 0)</f>
        <v>2758</v>
      </c>
    </row>
    <row r="4986" spans="1:8" x14ac:dyDescent="0.35">
      <c r="A4986" t="s">
        <v>4918</v>
      </c>
      <c r="B4986" t="s">
        <v>4996</v>
      </c>
      <c r="C4986">
        <v>302</v>
      </c>
      <c r="D4986">
        <v>96</v>
      </c>
      <c r="E4986" t="s">
        <v>15</v>
      </c>
      <c r="F4986">
        <f>tbl_AQI[[#This Row],[Most AQI Reached]]-tbl_AQI[[#This Row],[Current AQI]]</f>
        <v>206</v>
      </c>
      <c r="G498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86">
        <f>RANK(tbl_AQI[[#This Row],[Current AQI]], tbl_AQI[Current AQI], 0)</f>
        <v>3616</v>
      </c>
    </row>
    <row r="4987" spans="1:8" x14ac:dyDescent="0.35">
      <c r="A4987" t="s">
        <v>4918</v>
      </c>
      <c r="B4987" t="s">
        <v>4997</v>
      </c>
      <c r="C4987">
        <v>297</v>
      </c>
      <c r="D4987">
        <v>180</v>
      </c>
      <c r="E4987" t="s">
        <v>11</v>
      </c>
      <c r="F4987">
        <f>tbl_AQI[[#This Row],[Most AQI Reached]]-tbl_AQI[[#This Row],[Current AQI]]</f>
        <v>117</v>
      </c>
      <c r="G498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87">
        <f>RANK(tbl_AQI[[#This Row],[Current AQI]], tbl_AQI[Current AQI], 0)</f>
        <v>1635</v>
      </c>
    </row>
    <row r="4988" spans="1:8" x14ac:dyDescent="0.35">
      <c r="A4988" t="s">
        <v>4918</v>
      </c>
      <c r="B4988" t="s">
        <v>4998</v>
      </c>
      <c r="C4988">
        <v>103</v>
      </c>
      <c r="D4988">
        <v>81</v>
      </c>
      <c r="E4988" t="s">
        <v>11</v>
      </c>
      <c r="F4988">
        <f>tbl_AQI[[#This Row],[Most AQI Reached]]-tbl_AQI[[#This Row],[Current AQI]]</f>
        <v>22</v>
      </c>
      <c r="G498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88">
        <f>RANK(tbl_AQI[[#This Row],[Current AQI]], tbl_AQI[Current AQI], 0)</f>
        <v>3923</v>
      </c>
    </row>
    <row r="4989" spans="1:8" x14ac:dyDescent="0.35">
      <c r="A4989" t="s">
        <v>4918</v>
      </c>
      <c r="B4989" t="s">
        <v>4999</v>
      </c>
      <c r="C4989">
        <v>251</v>
      </c>
      <c r="D4989">
        <v>69</v>
      </c>
      <c r="E4989" t="s">
        <v>15</v>
      </c>
      <c r="F4989">
        <f>tbl_AQI[[#This Row],[Most AQI Reached]]-tbl_AQI[[#This Row],[Current AQI]]</f>
        <v>182</v>
      </c>
      <c r="G498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89">
        <f>RANK(tbl_AQI[[#This Row],[Current AQI]], tbl_AQI[Current AQI], 0)</f>
        <v>4186</v>
      </c>
    </row>
    <row r="4990" spans="1:8" x14ac:dyDescent="0.35">
      <c r="A4990" t="s">
        <v>4918</v>
      </c>
      <c r="B4990" t="s">
        <v>5000</v>
      </c>
      <c r="C4990">
        <v>245</v>
      </c>
      <c r="D4990">
        <v>117</v>
      </c>
      <c r="E4990" t="s">
        <v>9</v>
      </c>
      <c r="F4990">
        <f>tbl_AQI[[#This Row],[Most AQI Reached]]-tbl_AQI[[#This Row],[Current AQI]]</f>
        <v>128</v>
      </c>
      <c r="G499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90">
        <f>RANK(tbl_AQI[[#This Row],[Current AQI]], tbl_AQI[Current AQI], 0)</f>
        <v>3144</v>
      </c>
    </row>
    <row r="4991" spans="1:8" x14ac:dyDescent="0.35">
      <c r="A4991" t="s">
        <v>4918</v>
      </c>
      <c r="B4991" t="s">
        <v>5001</v>
      </c>
      <c r="C4991">
        <v>248</v>
      </c>
      <c r="D4991">
        <v>179</v>
      </c>
      <c r="E4991" t="s">
        <v>7</v>
      </c>
      <c r="F4991">
        <f>tbl_AQI[[#This Row],[Most AQI Reached]]-tbl_AQI[[#This Row],[Current AQI]]</f>
        <v>69</v>
      </c>
      <c r="G499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91">
        <f>RANK(tbl_AQI[[#This Row],[Current AQI]], tbl_AQI[Current AQI], 0)</f>
        <v>1667</v>
      </c>
    </row>
    <row r="4992" spans="1:8" x14ac:dyDescent="0.35">
      <c r="A4992" t="s">
        <v>4918</v>
      </c>
      <c r="B4992" t="s">
        <v>5002</v>
      </c>
      <c r="C4992">
        <v>184</v>
      </c>
      <c r="D4992">
        <v>39</v>
      </c>
      <c r="E4992" t="s">
        <v>17</v>
      </c>
      <c r="F4992">
        <f>tbl_AQI[[#This Row],[Most AQI Reached]]-tbl_AQI[[#This Row],[Current AQI]]</f>
        <v>145</v>
      </c>
      <c r="G499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4992">
        <f>RANK(tbl_AQI[[#This Row],[Current AQI]], tbl_AQI[Current AQI], 0)</f>
        <v>4829</v>
      </c>
    </row>
    <row r="4993" spans="1:8" x14ac:dyDescent="0.35">
      <c r="A4993" t="s">
        <v>4918</v>
      </c>
      <c r="B4993" t="s">
        <v>5003</v>
      </c>
      <c r="C4993">
        <v>109</v>
      </c>
      <c r="D4993">
        <v>59</v>
      </c>
      <c r="E4993" t="s">
        <v>21</v>
      </c>
      <c r="F4993">
        <f>tbl_AQI[[#This Row],[Most AQI Reached]]-tbl_AQI[[#This Row],[Current AQI]]</f>
        <v>50</v>
      </c>
      <c r="G499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93">
        <f>RANK(tbl_AQI[[#This Row],[Current AQI]], tbl_AQI[Current AQI], 0)</f>
        <v>4416</v>
      </c>
    </row>
    <row r="4994" spans="1:8" x14ac:dyDescent="0.35">
      <c r="A4994" t="s">
        <v>4918</v>
      </c>
      <c r="B4994" t="s">
        <v>5004</v>
      </c>
      <c r="C4994">
        <v>226</v>
      </c>
      <c r="D4994">
        <v>70</v>
      </c>
      <c r="E4994" t="s">
        <v>33</v>
      </c>
      <c r="F4994">
        <f>tbl_AQI[[#This Row],[Most AQI Reached]]-tbl_AQI[[#This Row],[Current AQI]]</f>
        <v>156</v>
      </c>
      <c r="G499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94">
        <f>RANK(tbl_AQI[[#This Row],[Current AQI]], tbl_AQI[Current AQI], 0)</f>
        <v>4153</v>
      </c>
    </row>
    <row r="4995" spans="1:8" x14ac:dyDescent="0.35">
      <c r="A4995" t="s">
        <v>4918</v>
      </c>
      <c r="B4995" t="s">
        <v>5005</v>
      </c>
      <c r="C4995">
        <v>311</v>
      </c>
      <c r="D4995">
        <v>118</v>
      </c>
      <c r="E4995" t="s">
        <v>7</v>
      </c>
      <c r="F4995">
        <f>tbl_AQI[[#This Row],[Most AQI Reached]]-tbl_AQI[[#This Row],[Current AQI]]</f>
        <v>193</v>
      </c>
      <c r="G499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95">
        <f>RANK(tbl_AQI[[#This Row],[Current AQI]], tbl_AQI[Current AQI], 0)</f>
        <v>3122</v>
      </c>
    </row>
    <row r="4996" spans="1:8" x14ac:dyDescent="0.35">
      <c r="A4996" t="s">
        <v>4918</v>
      </c>
      <c r="B4996" t="s">
        <v>5006</v>
      </c>
      <c r="C4996">
        <v>274</v>
      </c>
      <c r="D4996">
        <v>91</v>
      </c>
      <c r="E4996" t="s">
        <v>21</v>
      </c>
      <c r="F4996">
        <f>tbl_AQI[[#This Row],[Most AQI Reached]]-tbl_AQI[[#This Row],[Current AQI]]</f>
        <v>183</v>
      </c>
      <c r="G499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96">
        <f>RANK(tbl_AQI[[#This Row],[Current AQI]], tbl_AQI[Current AQI], 0)</f>
        <v>3726</v>
      </c>
    </row>
    <row r="4997" spans="1:8" x14ac:dyDescent="0.35">
      <c r="A4997" t="s">
        <v>4918</v>
      </c>
      <c r="B4997" t="s">
        <v>5007</v>
      </c>
      <c r="C4997">
        <v>308</v>
      </c>
      <c r="D4997">
        <v>161</v>
      </c>
      <c r="E4997" t="s">
        <v>33</v>
      </c>
      <c r="F4997">
        <f>tbl_AQI[[#This Row],[Most AQI Reached]]-tbl_AQI[[#This Row],[Current AQI]]</f>
        <v>147</v>
      </c>
      <c r="G499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97">
        <f>RANK(tbl_AQI[[#This Row],[Current AQI]], tbl_AQI[Current AQI], 0)</f>
        <v>2129</v>
      </c>
    </row>
    <row r="4998" spans="1:8" x14ac:dyDescent="0.35">
      <c r="A4998" t="s">
        <v>4918</v>
      </c>
      <c r="B4998" t="s">
        <v>5008</v>
      </c>
      <c r="C4998">
        <v>315</v>
      </c>
      <c r="D4998">
        <v>99</v>
      </c>
      <c r="E4998" t="s">
        <v>15</v>
      </c>
      <c r="F4998">
        <f>tbl_AQI[[#This Row],[Most AQI Reached]]-tbl_AQI[[#This Row],[Current AQI]]</f>
        <v>216</v>
      </c>
      <c r="G499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4998">
        <f>RANK(tbl_AQI[[#This Row],[Current AQI]], tbl_AQI[Current AQI], 0)</f>
        <v>3553</v>
      </c>
    </row>
    <row r="4999" spans="1:8" x14ac:dyDescent="0.35">
      <c r="A4999" t="s">
        <v>4918</v>
      </c>
      <c r="B4999" t="s">
        <v>5009</v>
      </c>
      <c r="C4999">
        <v>223</v>
      </c>
      <c r="D4999">
        <v>162</v>
      </c>
      <c r="E4999" t="s">
        <v>15</v>
      </c>
      <c r="F4999">
        <f>tbl_AQI[[#This Row],[Most AQI Reached]]-tbl_AQI[[#This Row],[Current AQI]]</f>
        <v>61</v>
      </c>
      <c r="G499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4999">
        <f>RANK(tbl_AQI[[#This Row],[Current AQI]], tbl_AQI[Current AQI], 0)</f>
        <v>2106</v>
      </c>
    </row>
    <row r="5000" spans="1:8" x14ac:dyDescent="0.35">
      <c r="A5000" t="s">
        <v>4918</v>
      </c>
      <c r="B5000" t="s">
        <v>5010</v>
      </c>
      <c r="C5000">
        <v>210</v>
      </c>
      <c r="D5000">
        <v>130</v>
      </c>
      <c r="E5000" t="s">
        <v>9</v>
      </c>
      <c r="F5000">
        <f>tbl_AQI[[#This Row],[Most AQI Reached]]-tbl_AQI[[#This Row],[Current AQI]]</f>
        <v>80</v>
      </c>
      <c r="G500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00">
        <f>RANK(tbl_AQI[[#This Row],[Current AQI]], tbl_AQI[Current AQI], 0)</f>
        <v>2832</v>
      </c>
    </row>
    <row r="5001" spans="1:8" x14ac:dyDescent="0.35">
      <c r="A5001" t="s">
        <v>4918</v>
      </c>
      <c r="B5001" t="s">
        <v>5011</v>
      </c>
      <c r="C5001">
        <v>207</v>
      </c>
      <c r="D5001">
        <v>99</v>
      </c>
      <c r="E5001" t="s">
        <v>11</v>
      </c>
      <c r="F5001">
        <f>tbl_AQI[[#This Row],[Most AQI Reached]]-tbl_AQI[[#This Row],[Current AQI]]</f>
        <v>108</v>
      </c>
      <c r="G500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01">
        <f>RANK(tbl_AQI[[#This Row],[Current AQI]], tbl_AQI[Current AQI], 0)</f>
        <v>3553</v>
      </c>
    </row>
    <row r="5002" spans="1:8" x14ac:dyDescent="0.35">
      <c r="A5002" t="s">
        <v>4918</v>
      </c>
      <c r="B5002" t="s">
        <v>5012</v>
      </c>
      <c r="C5002">
        <v>161</v>
      </c>
      <c r="D5002">
        <v>36</v>
      </c>
      <c r="E5002" t="s">
        <v>7</v>
      </c>
      <c r="F5002">
        <f>tbl_AQI[[#This Row],[Most AQI Reached]]-tbl_AQI[[#This Row],[Current AQI]]</f>
        <v>125</v>
      </c>
      <c r="G500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02">
        <f>RANK(tbl_AQI[[#This Row],[Current AQI]], tbl_AQI[Current AQI], 0)</f>
        <v>4893</v>
      </c>
    </row>
    <row r="5003" spans="1:8" x14ac:dyDescent="0.35">
      <c r="A5003" t="s">
        <v>4918</v>
      </c>
      <c r="B5003" t="s">
        <v>5013</v>
      </c>
      <c r="C5003">
        <v>309</v>
      </c>
      <c r="D5003">
        <v>143</v>
      </c>
      <c r="E5003" t="s">
        <v>9</v>
      </c>
      <c r="F5003">
        <f>tbl_AQI[[#This Row],[Most AQI Reached]]-tbl_AQI[[#This Row],[Current AQI]]</f>
        <v>166</v>
      </c>
      <c r="G500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03">
        <f>RANK(tbl_AQI[[#This Row],[Current AQI]], tbl_AQI[Current AQI], 0)</f>
        <v>2567</v>
      </c>
    </row>
    <row r="5004" spans="1:8" x14ac:dyDescent="0.35">
      <c r="A5004" t="s">
        <v>4918</v>
      </c>
      <c r="B5004" t="s">
        <v>5014</v>
      </c>
      <c r="C5004">
        <v>203</v>
      </c>
      <c r="D5004">
        <v>88</v>
      </c>
      <c r="E5004" t="s">
        <v>11</v>
      </c>
      <c r="F5004">
        <f>tbl_AQI[[#This Row],[Most AQI Reached]]-tbl_AQI[[#This Row],[Current AQI]]</f>
        <v>115</v>
      </c>
      <c r="G500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04">
        <f>RANK(tbl_AQI[[#This Row],[Current AQI]], tbl_AQI[Current AQI], 0)</f>
        <v>3792</v>
      </c>
    </row>
    <row r="5005" spans="1:8" x14ac:dyDescent="0.35">
      <c r="A5005" t="s">
        <v>4918</v>
      </c>
      <c r="B5005" t="s">
        <v>5015</v>
      </c>
      <c r="C5005">
        <v>305</v>
      </c>
      <c r="D5005">
        <v>168</v>
      </c>
      <c r="E5005" t="s">
        <v>15</v>
      </c>
      <c r="F5005">
        <f>tbl_AQI[[#This Row],[Most AQI Reached]]-tbl_AQI[[#This Row],[Current AQI]]</f>
        <v>137</v>
      </c>
      <c r="G500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05">
        <f>RANK(tbl_AQI[[#This Row],[Current AQI]], tbl_AQI[Current AQI], 0)</f>
        <v>1954</v>
      </c>
    </row>
    <row r="5006" spans="1:8" x14ac:dyDescent="0.35">
      <c r="A5006" t="s">
        <v>4918</v>
      </c>
      <c r="B5006" t="s">
        <v>5016</v>
      </c>
      <c r="C5006">
        <v>255</v>
      </c>
      <c r="D5006">
        <v>189</v>
      </c>
      <c r="E5006" t="s">
        <v>21</v>
      </c>
      <c r="F5006">
        <f>tbl_AQI[[#This Row],[Most AQI Reached]]-tbl_AQI[[#This Row],[Current AQI]]</f>
        <v>66</v>
      </c>
      <c r="G500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06">
        <f>RANK(tbl_AQI[[#This Row],[Current AQI]], tbl_AQI[Current AQI], 0)</f>
        <v>1395</v>
      </c>
    </row>
    <row r="5007" spans="1:8" x14ac:dyDescent="0.35">
      <c r="A5007" t="s">
        <v>4918</v>
      </c>
      <c r="B5007" t="s">
        <v>5017</v>
      </c>
      <c r="C5007">
        <v>203</v>
      </c>
      <c r="D5007">
        <v>146</v>
      </c>
      <c r="E5007" t="s">
        <v>15</v>
      </c>
      <c r="F5007">
        <f>tbl_AQI[[#This Row],[Most AQI Reached]]-tbl_AQI[[#This Row],[Current AQI]]</f>
        <v>57</v>
      </c>
      <c r="G500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07">
        <f>RANK(tbl_AQI[[#This Row],[Current AQI]], tbl_AQI[Current AQI], 0)</f>
        <v>2499</v>
      </c>
    </row>
    <row r="5008" spans="1:8" x14ac:dyDescent="0.35">
      <c r="A5008" t="s">
        <v>4918</v>
      </c>
      <c r="B5008" t="s">
        <v>5018</v>
      </c>
      <c r="C5008">
        <v>219</v>
      </c>
      <c r="D5008">
        <v>129</v>
      </c>
      <c r="E5008" t="s">
        <v>7</v>
      </c>
      <c r="F5008">
        <f>tbl_AQI[[#This Row],[Most AQI Reached]]-tbl_AQI[[#This Row],[Current AQI]]</f>
        <v>90</v>
      </c>
      <c r="G500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08">
        <f>RANK(tbl_AQI[[#This Row],[Current AQI]], tbl_AQI[Current AQI], 0)</f>
        <v>2852</v>
      </c>
    </row>
    <row r="5009" spans="1:8" x14ac:dyDescent="0.35">
      <c r="A5009" t="s">
        <v>4918</v>
      </c>
      <c r="B5009" t="s">
        <v>5019</v>
      </c>
      <c r="C5009">
        <v>281</v>
      </c>
      <c r="D5009">
        <v>43</v>
      </c>
      <c r="E5009" t="s">
        <v>17</v>
      </c>
      <c r="F5009">
        <f>tbl_AQI[[#This Row],[Most AQI Reached]]-tbl_AQI[[#This Row],[Current AQI]]</f>
        <v>238</v>
      </c>
      <c r="G500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09">
        <f>RANK(tbl_AQI[[#This Row],[Current AQI]], tbl_AQI[Current AQI], 0)</f>
        <v>4752</v>
      </c>
    </row>
    <row r="5010" spans="1:8" x14ac:dyDescent="0.35">
      <c r="A5010" t="s">
        <v>4918</v>
      </c>
      <c r="B5010" t="s">
        <v>5020</v>
      </c>
      <c r="C5010">
        <v>180</v>
      </c>
      <c r="D5010">
        <v>154</v>
      </c>
      <c r="E5010" t="s">
        <v>9</v>
      </c>
      <c r="F5010">
        <f>tbl_AQI[[#This Row],[Most AQI Reached]]-tbl_AQI[[#This Row],[Current AQI]]</f>
        <v>26</v>
      </c>
      <c r="G501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10">
        <f>RANK(tbl_AQI[[#This Row],[Current AQI]], tbl_AQI[Current AQI], 0)</f>
        <v>2307</v>
      </c>
    </row>
    <row r="5011" spans="1:8" x14ac:dyDescent="0.35">
      <c r="A5011" t="s">
        <v>4918</v>
      </c>
      <c r="B5011" t="s">
        <v>5021</v>
      </c>
      <c r="C5011">
        <v>159</v>
      </c>
      <c r="D5011">
        <v>130</v>
      </c>
      <c r="E5011" t="s">
        <v>17</v>
      </c>
      <c r="F5011">
        <f>tbl_AQI[[#This Row],[Most AQI Reached]]-tbl_AQI[[#This Row],[Current AQI]]</f>
        <v>29</v>
      </c>
      <c r="G501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11">
        <f>RANK(tbl_AQI[[#This Row],[Current AQI]], tbl_AQI[Current AQI], 0)</f>
        <v>2832</v>
      </c>
    </row>
    <row r="5012" spans="1:8" x14ac:dyDescent="0.35">
      <c r="A5012" t="s">
        <v>4918</v>
      </c>
      <c r="B5012" t="s">
        <v>5022</v>
      </c>
      <c r="C5012">
        <v>154</v>
      </c>
      <c r="D5012">
        <v>148</v>
      </c>
      <c r="E5012" t="s">
        <v>17</v>
      </c>
      <c r="F5012">
        <f>tbl_AQI[[#This Row],[Most AQI Reached]]-tbl_AQI[[#This Row],[Current AQI]]</f>
        <v>6</v>
      </c>
      <c r="G501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12">
        <f>RANK(tbl_AQI[[#This Row],[Current AQI]], tbl_AQI[Current AQI], 0)</f>
        <v>2446</v>
      </c>
    </row>
    <row r="5013" spans="1:8" x14ac:dyDescent="0.35">
      <c r="A5013" t="s">
        <v>4918</v>
      </c>
      <c r="B5013" t="s">
        <v>5023</v>
      </c>
      <c r="C5013">
        <v>122</v>
      </c>
      <c r="D5013">
        <v>40</v>
      </c>
      <c r="E5013" t="s">
        <v>11</v>
      </c>
      <c r="F5013">
        <f>tbl_AQI[[#This Row],[Most AQI Reached]]-tbl_AQI[[#This Row],[Current AQI]]</f>
        <v>82</v>
      </c>
      <c r="G501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13">
        <f>RANK(tbl_AQI[[#This Row],[Current AQI]], tbl_AQI[Current AQI], 0)</f>
        <v>4808</v>
      </c>
    </row>
    <row r="5014" spans="1:8" x14ac:dyDescent="0.35">
      <c r="A5014" t="s">
        <v>4918</v>
      </c>
      <c r="B5014" t="s">
        <v>5024</v>
      </c>
      <c r="C5014">
        <v>262</v>
      </c>
      <c r="D5014">
        <v>180</v>
      </c>
      <c r="E5014" t="s">
        <v>15</v>
      </c>
      <c r="F5014">
        <f>tbl_AQI[[#This Row],[Most AQI Reached]]-tbl_AQI[[#This Row],[Current AQI]]</f>
        <v>82</v>
      </c>
      <c r="G501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14">
        <f>RANK(tbl_AQI[[#This Row],[Current AQI]], tbl_AQI[Current AQI], 0)</f>
        <v>1635</v>
      </c>
    </row>
    <row r="5015" spans="1:8" x14ac:dyDescent="0.35">
      <c r="A5015" t="s">
        <v>4918</v>
      </c>
      <c r="B5015" t="s">
        <v>5025</v>
      </c>
      <c r="C5015">
        <v>91</v>
      </c>
      <c r="D5015">
        <v>36</v>
      </c>
      <c r="E5015" t="s">
        <v>11</v>
      </c>
      <c r="F5015">
        <f>tbl_AQI[[#This Row],[Most AQI Reached]]-tbl_AQI[[#This Row],[Current AQI]]</f>
        <v>55</v>
      </c>
      <c r="G501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15">
        <f>RANK(tbl_AQI[[#This Row],[Current AQI]], tbl_AQI[Current AQI], 0)</f>
        <v>4893</v>
      </c>
    </row>
    <row r="5016" spans="1:8" x14ac:dyDescent="0.35">
      <c r="A5016" t="s">
        <v>4918</v>
      </c>
      <c r="B5016" t="s">
        <v>5026</v>
      </c>
      <c r="C5016">
        <v>192</v>
      </c>
      <c r="D5016">
        <v>188</v>
      </c>
      <c r="E5016" t="s">
        <v>9</v>
      </c>
      <c r="F5016">
        <f>tbl_AQI[[#This Row],[Most AQI Reached]]-tbl_AQI[[#This Row],[Current AQI]]</f>
        <v>4</v>
      </c>
      <c r="G501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16">
        <f>RANK(tbl_AQI[[#This Row],[Current AQI]], tbl_AQI[Current AQI], 0)</f>
        <v>1423</v>
      </c>
    </row>
    <row r="5017" spans="1:8" x14ac:dyDescent="0.35">
      <c r="A5017" t="s">
        <v>4918</v>
      </c>
      <c r="B5017" t="s">
        <v>5027</v>
      </c>
      <c r="C5017">
        <v>162</v>
      </c>
      <c r="D5017">
        <v>115</v>
      </c>
      <c r="E5017" t="s">
        <v>9</v>
      </c>
      <c r="F5017">
        <f>tbl_AQI[[#This Row],[Most AQI Reached]]-tbl_AQI[[#This Row],[Current AQI]]</f>
        <v>47</v>
      </c>
      <c r="G501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17">
        <f>RANK(tbl_AQI[[#This Row],[Current AQI]], tbl_AQI[Current AQI], 0)</f>
        <v>3206</v>
      </c>
    </row>
    <row r="5018" spans="1:8" x14ac:dyDescent="0.35">
      <c r="A5018" t="s">
        <v>4918</v>
      </c>
      <c r="B5018" t="s">
        <v>5028</v>
      </c>
      <c r="C5018">
        <v>303</v>
      </c>
      <c r="D5018">
        <v>90</v>
      </c>
      <c r="E5018" t="s">
        <v>33</v>
      </c>
      <c r="F5018">
        <f>tbl_AQI[[#This Row],[Most AQI Reached]]-tbl_AQI[[#This Row],[Current AQI]]</f>
        <v>213</v>
      </c>
      <c r="G501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18">
        <f>RANK(tbl_AQI[[#This Row],[Current AQI]], tbl_AQI[Current AQI], 0)</f>
        <v>3750</v>
      </c>
    </row>
    <row r="5019" spans="1:8" x14ac:dyDescent="0.35">
      <c r="A5019" t="s">
        <v>4918</v>
      </c>
      <c r="B5019" t="s">
        <v>5029</v>
      </c>
      <c r="C5019">
        <v>143</v>
      </c>
      <c r="D5019">
        <v>62</v>
      </c>
      <c r="E5019" t="s">
        <v>15</v>
      </c>
      <c r="F5019">
        <f>tbl_AQI[[#This Row],[Most AQI Reached]]-tbl_AQI[[#This Row],[Current AQI]]</f>
        <v>81</v>
      </c>
      <c r="G501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19">
        <f>RANK(tbl_AQI[[#This Row],[Current AQI]], tbl_AQI[Current AQI], 0)</f>
        <v>4343</v>
      </c>
    </row>
    <row r="5020" spans="1:8" x14ac:dyDescent="0.35">
      <c r="A5020" t="s">
        <v>4918</v>
      </c>
      <c r="B5020" t="s">
        <v>5030</v>
      </c>
      <c r="C5020">
        <v>129</v>
      </c>
      <c r="D5020">
        <v>94</v>
      </c>
      <c r="E5020" t="s">
        <v>33</v>
      </c>
      <c r="F5020">
        <f>tbl_AQI[[#This Row],[Most AQI Reached]]-tbl_AQI[[#This Row],[Current AQI]]</f>
        <v>35</v>
      </c>
      <c r="G502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20">
        <f>RANK(tbl_AQI[[#This Row],[Current AQI]], tbl_AQI[Current AQI], 0)</f>
        <v>3654</v>
      </c>
    </row>
    <row r="5021" spans="1:8" x14ac:dyDescent="0.35">
      <c r="A5021" t="s">
        <v>4918</v>
      </c>
      <c r="B5021" t="s">
        <v>5031</v>
      </c>
      <c r="C5021">
        <v>262</v>
      </c>
      <c r="D5021">
        <v>187</v>
      </c>
      <c r="E5021" t="s">
        <v>7</v>
      </c>
      <c r="F5021">
        <f>tbl_AQI[[#This Row],[Most AQI Reached]]-tbl_AQI[[#This Row],[Current AQI]]</f>
        <v>75</v>
      </c>
      <c r="G502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21">
        <f>RANK(tbl_AQI[[#This Row],[Current AQI]], tbl_AQI[Current AQI], 0)</f>
        <v>1455</v>
      </c>
    </row>
    <row r="5022" spans="1:8" x14ac:dyDescent="0.35">
      <c r="A5022" t="s">
        <v>4918</v>
      </c>
      <c r="B5022" t="s">
        <v>5032</v>
      </c>
      <c r="C5022">
        <v>311</v>
      </c>
      <c r="D5022">
        <v>181</v>
      </c>
      <c r="E5022" t="s">
        <v>7</v>
      </c>
      <c r="F5022">
        <f>tbl_AQI[[#This Row],[Most AQI Reached]]-tbl_AQI[[#This Row],[Current AQI]]</f>
        <v>130</v>
      </c>
      <c r="G502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22">
        <f>RANK(tbl_AQI[[#This Row],[Current AQI]], tbl_AQI[Current AQI], 0)</f>
        <v>1609</v>
      </c>
    </row>
    <row r="5023" spans="1:8" x14ac:dyDescent="0.35">
      <c r="A5023" t="s">
        <v>4918</v>
      </c>
      <c r="B5023" t="s">
        <v>5033</v>
      </c>
      <c r="C5023">
        <v>255</v>
      </c>
      <c r="D5023">
        <v>155</v>
      </c>
      <c r="E5023" t="s">
        <v>7</v>
      </c>
      <c r="F5023">
        <f>tbl_AQI[[#This Row],[Most AQI Reached]]-tbl_AQI[[#This Row],[Current AQI]]</f>
        <v>100</v>
      </c>
      <c r="G502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23">
        <f>RANK(tbl_AQI[[#This Row],[Current AQI]], tbl_AQI[Current AQI], 0)</f>
        <v>2275</v>
      </c>
    </row>
    <row r="5024" spans="1:8" x14ac:dyDescent="0.35">
      <c r="A5024" t="s">
        <v>4918</v>
      </c>
      <c r="B5024" t="s">
        <v>5034</v>
      </c>
      <c r="C5024">
        <v>190</v>
      </c>
      <c r="D5024">
        <v>54</v>
      </c>
      <c r="E5024" t="s">
        <v>11</v>
      </c>
      <c r="F5024">
        <f>tbl_AQI[[#This Row],[Most AQI Reached]]-tbl_AQI[[#This Row],[Current AQI]]</f>
        <v>136</v>
      </c>
      <c r="G502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24">
        <f>RANK(tbl_AQI[[#This Row],[Current AQI]], tbl_AQI[Current AQI], 0)</f>
        <v>4523</v>
      </c>
    </row>
    <row r="5025" spans="1:8" x14ac:dyDescent="0.35">
      <c r="A5025" t="s">
        <v>4918</v>
      </c>
      <c r="B5025" t="s">
        <v>5035</v>
      </c>
      <c r="C5025">
        <v>170</v>
      </c>
      <c r="D5025">
        <v>36</v>
      </c>
      <c r="E5025" t="s">
        <v>21</v>
      </c>
      <c r="F5025">
        <f>tbl_AQI[[#This Row],[Most AQI Reached]]-tbl_AQI[[#This Row],[Current AQI]]</f>
        <v>134</v>
      </c>
      <c r="G502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25">
        <f>RANK(tbl_AQI[[#This Row],[Current AQI]], tbl_AQI[Current AQI], 0)</f>
        <v>4893</v>
      </c>
    </row>
    <row r="5026" spans="1:8" x14ac:dyDescent="0.35">
      <c r="A5026" t="s">
        <v>4918</v>
      </c>
      <c r="B5026" t="s">
        <v>5036</v>
      </c>
      <c r="C5026">
        <v>313</v>
      </c>
      <c r="D5026">
        <v>130</v>
      </c>
      <c r="E5026" t="s">
        <v>11</v>
      </c>
      <c r="F5026">
        <f>tbl_AQI[[#This Row],[Most AQI Reached]]-tbl_AQI[[#This Row],[Current AQI]]</f>
        <v>183</v>
      </c>
      <c r="G502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26">
        <f>RANK(tbl_AQI[[#This Row],[Current AQI]], tbl_AQI[Current AQI], 0)</f>
        <v>2832</v>
      </c>
    </row>
    <row r="5027" spans="1:8" x14ac:dyDescent="0.35">
      <c r="A5027" t="s">
        <v>4918</v>
      </c>
      <c r="B5027" t="s">
        <v>5037</v>
      </c>
      <c r="C5027">
        <v>185</v>
      </c>
      <c r="D5027">
        <v>115</v>
      </c>
      <c r="E5027" t="s">
        <v>7</v>
      </c>
      <c r="F5027">
        <f>tbl_AQI[[#This Row],[Most AQI Reached]]-tbl_AQI[[#This Row],[Current AQI]]</f>
        <v>70</v>
      </c>
      <c r="G502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27">
        <f>RANK(tbl_AQI[[#This Row],[Current AQI]], tbl_AQI[Current AQI], 0)</f>
        <v>3206</v>
      </c>
    </row>
    <row r="5028" spans="1:8" x14ac:dyDescent="0.35">
      <c r="A5028" t="s">
        <v>4918</v>
      </c>
      <c r="B5028" t="s">
        <v>5038</v>
      </c>
      <c r="C5028">
        <v>296</v>
      </c>
      <c r="D5028">
        <v>188</v>
      </c>
      <c r="E5028" t="s">
        <v>15</v>
      </c>
      <c r="F5028">
        <f>tbl_AQI[[#This Row],[Most AQI Reached]]-tbl_AQI[[#This Row],[Current AQI]]</f>
        <v>108</v>
      </c>
      <c r="G502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28">
        <f>RANK(tbl_AQI[[#This Row],[Current AQI]], tbl_AQI[Current AQI], 0)</f>
        <v>1423</v>
      </c>
    </row>
    <row r="5029" spans="1:8" x14ac:dyDescent="0.35">
      <c r="A5029" t="s">
        <v>4918</v>
      </c>
      <c r="B5029" t="s">
        <v>5039</v>
      </c>
      <c r="C5029">
        <v>201</v>
      </c>
      <c r="D5029">
        <v>150</v>
      </c>
      <c r="E5029" t="s">
        <v>7</v>
      </c>
      <c r="F5029">
        <f>tbl_AQI[[#This Row],[Most AQI Reached]]-tbl_AQI[[#This Row],[Current AQI]]</f>
        <v>51</v>
      </c>
      <c r="G502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29">
        <f>RANK(tbl_AQI[[#This Row],[Current AQI]], tbl_AQI[Current AQI], 0)</f>
        <v>2400</v>
      </c>
    </row>
    <row r="5030" spans="1:8" x14ac:dyDescent="0.35">
      <c r="A5030" t="s">
        <v>4918</v>
      </c>
      <c r="B5030" t="s">
        <v>5040</v>
      </c>
      <c r="C5030">
        <v>110</v>
      </c>
      <c r="D5030">
        <v>42</v>
      </c>
      <c r="E5030" t="s">
        <v>17</v>
      </c>
      <c r="F5030">
        <f>tbl_AQI[[#This Row],[Most AQI Reached]]-tbl_AQI[[#This Row],[Current AQI]]</f>
        <v>68</v>
      </c>
      <c r="G503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30">
        <f>RANK(tbl_AQI[[#This Row],[Current AQI]], tbl_AQI[Current AQI], 0)</f>
        <v>4776</v>
      </c>
    </row>
    <row r="5031" spans="1:8" x14ac:dyDescent="0.35">
      <c r="A5031" t="s">
        <v>4918</v>
      </c>
      <c r="B5031" t="s">
        <v>5041</v>
      </c>
      <c r="C5031">
        <v>154</v>
      </c>
      <c r="D5031">
        <v>149</v>
      </c>
      <c r="E5031" t="s">
        <v>11</v>
      </c>
      <c r="F5031">
        <f>tbl_AQI[[#This Row],[Most AQI Reached]]-tbl_AQI[[#This Row],[Current AQI]]</f>
        <v>5</v>
      </c>
      <c r="G503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31">
        <f>RANK(tbl_AQI[[#This Row],[Current AQI]], tbl_AQI[Current AQI], 0)</f>
        <v>2426</v>
      </c>
    </row>
    <row r="5032" spans="1:8" x14ac:dyDescent="0.35">
      <c r="A5032" t="s">
        <v>4918</v>
      </c>
      <c r="B5032" t="s">
        <v>5042</v>
      </c>
      <c r="C5032">
        <v>83</v>
      </c>
      <c r="D5032">
        <v>37</v>
      </c>
      <c r="E5032" t="s">
        <v>17</v>
      </c>
      <c r="F5032">
        <f>tbl_AQI[[#This Row],[Most AQI Reached]]-tbl_AQI[[#This Row],[Current AQI]]</f>
        <v>46</v>
      </c>
      <c r="G503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32">
        <f>RANK(tbl_AQI[[#This Row],[Current AQI]], tbl_AQI[Current AQI], 0)</f>
        <v>4863</v>
      </c>
    </row>
    <row r="5033" spans="1:8" x14ac:dyDescent="0.35">
      <c r="A5033" t="s">
        <v>4918</v>
      </c>
      <c r="B5033" t="s">
        <v>5043</v>
      </c>
      <c r="C5033">
        <v>269</v>
      </c>
      <c r="D5033">
        <v>145</v>
      </c>
      <c r="E5033" t="s">
        <v>9</v>
      </c>
      <c r="F5033">
        <f>tbl_AQI[[#This Row],[Most AQI Reached]]-tbl_AQI[[#This Row],[Current AQI]]</f>
        <v>124</v>
      </c>
      <c r="G503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33">
        <f>RANK(tbl_AQI[[#This Row],[Current AQI]], tbl_AQI[Current AQI], 0)</f>
        <v>2526</v>
      </c>
    </row>
    <row r="5034" spans="1:8" x14ac:dyDescent="0.35">
      <c r="A5034" t="s">
        <v>4918</v>
      </c>
      <c r="B5034" t="s">
        <v>5044</v>
      </c>
      <c r="C5034">
        <v>102</v>
      </c>
      <c r="D5034">
        <v>65</v>
      </c>
      <c r="E5034" t="s">
        <v>15</v>
      </c>
      <c r="F5034">
        <f>tbl_AQI[[#This Row],[Most AQI Reached]]-tbl_AQI[[#This Row],[Current AQI]]</f>
        <v>37</v>
      </c>
      <c r="G503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34">
        <f>RANK(tbl_AQI[[#This Row],[Current AQI]], tbl_AQI[Current AQI], 0)</f>
        <v>4267</v>
      </c>
    </row>
    <row r="5035" spans="1:8" x14ac:dyDescent="0.35">
      <c r="A5035" t="s">
        <v>4918</v>
      </c>
      <c r="B5035" t="s">
        <v>5045</v>
      </c>
      <c r="C5035">
        <v>160</v>
      </c>
      <c r="D5035">
        <v>43</v>
      </c>
      <c r="E5035" t="s">
        <v>21</v>
      </c>
      <c r="F5035">
        <f>tbl_AQI[[#This Row],[Most AQI Reached]]-tbl_AQI[[#This Row],[Current AQI]]</f>
        <v>117</v>
      </c>
      <c r="G503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35">
        <f>RANK(tbl_AQI[[#This Row],[Current AQI]], tbl_AQI[Current AQI], 0)</f>
        <v>4752</v>
      </c>
    </row>
    <row r="5036" spans="1:8" x14ac:dyDescent="0.35">
      <c r="A5036" t="s">
        <v>4918</v>
      </c>
      <c r="B5036" t="s">
        <v>5046</v>
      </c>
      <c r="C5036">
        <v>165</v>
      </c>
      <c r="D5036">
        <v>69</v>
      </c>
      <c r="E5036" t="s">
        <v>11</v>
      </c>
      <c r="F5036">
        <f>tbl_AQI[[#This Row],[Most AQI Reached]]-tbl_AQI[[#This Row],[Current AQI]]</f>
        <v>96</v>
      </c>
      <c r="G503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36">
        <f>RANK(tbl_AQI[[#This Row],[Current AQI]], tbl_AQI[Current AQI], 0)</f>
        <v>4186</v>
      </c>
    </row>
    <row r="5037" spans="1:8" x14ac:dyDescent="0.35">
      <c r="A5037" t="s">
        <v>4918</v>
      </c>
      <c r="B5037" t="s">
        <v>5047</v>
      </c>
      <c r="C5037">
        <v>227</v>
      </c>
      <c r="D5037">
        <v>125</v>
      </c>
      <c r="E5037" t="s">
        <v>17</v>
      </c>
      <c r="F5037">
        <f>tbl_AQI[[#This Row],[Most AQI Reached]]-tbl_AQI[[#This Row],[Current AQI]]</f>
        <v>102</v>
      </c>
      <c r="G503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37">
        <f>RANK(tbl_AQI[[#This Row],[Current AQI]], tbl_AQI[Current AQI], 0)</f>
        <v>2951</v>
      </c>
    </row>
    <row r="5038" spans="1:8" x14ac:dyDescent="0.35">
      <c r="A5038" t="s">
        <v>4918</v>
      </c>
      <c r="B5038" t="s">
        <v>5048</v>
      </c>
      <c r="C5038">
        <v>72</v>
      </c>
      <c r="D5038">
        <v>35</v>
      </c>
      <c r="E5038" t="s">
        <v>21</v>
      </c>
      <c r="F5038">
        <f>tbl_AQI[[#This Row],[Most AQI Reached]]-tbl_AQI[[#This Row],[Current AQI]]</f>
        <v>37</v>
      </c>
      <c r="G503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38">
        <f>RANK(tbl_AQI[[#This Row],[Current AQI]], tbl_AQI[Current AQI], 0)</f>
        <v>4916</v>
      </c>
    </row>
    <row r="5039" spans="1:8" x14ac:dyDescent="0.35">
      <c r="A5039" t="s">
        <v>4918</v>
      </c>
      <c r="B5039" t="s">
        <v>5049</v>
      </c>
      <c r="C5039">
        <v>179</v>
      </c>
      <c r="D5039">
        <v>44</v>
      </c>
      <c r="E5039" t="s">
        <v>9</v>
      </c>
      <c r="F5039">
        <f>tbl_AQI[[#This Row],[Most AQI Reached]]-tbl_AQI[[#This Row],[Current AQI]]</f>
        <v>135</v>
      </c>
      <c r="G503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39">
        <f>RANK(tbl_AQI[[#This Row],[Current AQI]], tbl_AQI[Current AQI], 0)</f>
        <v>4732</v>
      </c>
    </row>
    <row r="5040" spans="1:8" x14ac:dyDescent="0.35">
      <c r="A5040" t="s">
        <v>4918</v>
      </c>
      <c r="B5040" t="s">
        <v>5050</v>
      </c>
      <c r="C5040">
        <v>300</v>
      </c>
      <c r="D5040">
        <v>52</v>
      </c>
      <c r="E5040" t="s">
        <v>17</v>
      </c>
      <c r="F5040">
        <f>tbl_AQI[[#This Row],[Most AQI Reached]]-tbl_AQI[[#This Row],[Current AQI]]</f>
        <v>248</v>
      </c>
      <c r="G504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40">
        <f>RANK(tbl_AQI[[#This Row],[Current AQI]], tbl_AQI[Current AQI], 0)</f>
        <v>4564</v>
      </c>
    </row>
    <row r="5041" spans="1:17" x14ac:dyDescent="0.35">
      <c r="A5041" t="s">
        <v>4918</v>
      </c>
      <c r="B5041" t="s">
        <v>5051</v>
      </c>
      <c r="C5041">
        <v>312</v>
      </c>
      <c r="D5041">
        <v>77</v>
      </c>
      <c r="E5041" t="s">
        <v>15</v>
      </c>
      <c r="F5041">
        <f>tbl_AQI[[#This Row],[Most AQI Reached]]-tbl_AQI[[#This Row],[Current AQI]]</f>
        <v>235</v>
      </c>
      <c r="G504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41">
        <f>RANK(tbl_AQI[[#This Row],[Current AQI]], tbl_AQI[Current AQI], 0)</f>
        <v>4006</v>
      </c>
    </row>
    <row r="5042" spans="1:17" x14ac:dyDescent="0.35">
      <c r="A5042" t="s">
        <v>4918</v>
      </c>
      <c r="B5042" t="s">
        <v>5052</v>
      </c>
      <c r="C5042">
        <v>291</v>
      </c>
      <c r="D5042">
        <v>49</v>
      </c>
      <c r="E5042" t="s">
        <v>15</v>
      </c>
      <c r="F5042">
        <f>tbl_AQI[[#This Row],[Most AQI Reached]]-tbl_AQI[[#This Row],[Current AQI]]</f>
        <v>242</v>
      </c>
      <c r="G504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42">
        <f>RANK(tbl_AQI[[#This Row],[Current AQI]], tbl_AQI[Current AQI], 0)</f>
        <v>4614</v>
      </c>
    </row>
    <row r="5043" spans="1:17" x14ac:dyDescent="0.35">
      <c r="A5043" t="s">
        <v>4918</v>
      </c>
      <c r="B5043" t="s">
        <v>5053</v>
      </c>
      <c r="C5043">
        <v>221</v>
      </c>
      <c r="D5043">
        <v>175</v>
      </c>
      <c r="E5043" t="s">
        <v>17</v>
      </c>
      <c r="F5043">
        <f>tbl_AQI[[#This Row],[Most AQI Reached]]-tbl_AQI[[#This Row],[Current AQI]]</f>
        <v>46</v>
      </c>
      <c r="G504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3">
        <f>RANK(tbl_AQI[[#This Row],[Current AQI]], tbl_AQI[Current AQI], 0)</f>
        <v>1780</v>
      </c>
    </row>
    <row r="5044" spans="1:17" x14ac:dyDescent="0.35">
      <c r="A5044" t="s">
        <v>4918</v>
      </c>
      <c r="B5044" t="s">
        <v>5054</v>
      </c>
      <c r="C5044">
        <v>248</v>
      </c>
      <c r="D5044">
        <v>128</v>
      </c>
      <c r="E5044" t="s">
        <v>9</v>
      </c>
      <c r="F5044">
        <f>tbl_AQI[[#This Row],[Most AQI Reached]]-tbl_AQI[[#This Row],[Current AQI]]</f>
        <v>120</v>
      </c>
      <c r="G504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4">
        <f>RANK(tbl_AQI[[#This Row],[Current AQI]], tbl_AQI[Current AQI], 0)</f>
        <v>2872</v>
      </c>
    </row>
    <row r="5045" spans="1:17" x14ac:dyDescent="0.35">
      <c r="A5045" t="s">
        <v>4918</v>
      </c>
      <c r="B5045" t="s">
        <v>5055</v>
      </c>
      <c r="C5045">
        <v>305</v>
      </c>
      <c r="D5045">
        <v>186</v>
      </c>
      <c r="E5045" t="s">
        <v>9</v>
      </c>
      <c r="F5045">
        <f>tbl_AQI[[#This Row],[Most AQI Reached]]-tbl_AQI[[#This Row],[Current AQI]]</f>
        <v>119</v>
      </c>
      <c r="G504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5">
        <f>RANK(tbl_AQI[[#This Row],[Current AQI]], tbl_AQI[Current AQI], 0)</f>
        <v>1478</v>
      </c>
    </row>
    <row r="5046" spans="1:17" x14ac:dyDescent="0.35">
      <c r="A5046" t="s">
        <v>4918</v>
      </c>
      <c r="B5046" t="s">
        <v>5056</v>
      </c>
      <c r="C5046">
        <v>251</v>
      </c>
      <c r="D5046">
        <v>173</v>
      </c>
      <c r="E5046" t="s">
        <v>7</v>
      </c>
      <c r="F5046">
        <f>tbl_AQI[[#This Row],[Most AQI Reached]]-tbl_AQI[[#This Row],[Current AQI]]</f>
        <v>78</v>
      </c>
      <c r="G5046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6">
        <f>RANK(tbl_AQI[[#This Row],[Current AQI]], tbl_AQI[Current AQI], 0)</f>
        <v>1826</v>
      </c>
    </row>
    <row r="5047" spans="1:17" x14ac:dyDescent="0.35">
      <c r="A5047" t="s">
        <v>4918</v>
      </c>
      <c r="B5047" t="s">
        <v>5057</v>
      </c>
      <c r="C5047">
        <v>274</v>
      </c>
      <c r="D5047">
        <v>158</v>
      </c>
      <c r="E5047" t="s">
        <v>21</v>
      </c>
      <c r="F5047">
        <f>tbl_AQI[[#This Row],[Most AQI Reached]]-tbl_AQI[[#This Row],[Current AQI]]</f>
        <v>116</v>
      </c>
      <c r="G5047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7">
        <f>RANK(tbl_AQI[[#This Row],[Current AQI]], tbl_AQI[Current AQI], 0)</f>
        <v>2207</v>
      </c>
    </row>
    <row r="5048" spans="1:17" x14ac:dyDescent="0.35">
      <c r="A5048" t="s">
        <v>4918</v>
      </c>
      <c r="B5048" t="s">
        <v>5058</v>
      </c>
      <c r="C5048">
        <v>207</v>
      </c>
      <c r="D5048">
        <v>156</v>
      </c>
      <c r="E5048" t="s">
        <v>33</v>
      </c>
      <c r="F5048">
        <f>tbl_AQI[[#This Row],[Most AQI Reached]]-tbl_AQI[[#This Row],[Current AQI]]</f>
        <v>51</v>
      </c>
      <c r="G5048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8">
        <f>RANK(tbl_AQI[[#This Row],[Current AQI]], tbl_AQI[Current AQI], 0)</f>
        <v>2251</v>
      </c>
    </row>
    <row r="5049" spans="1:17" x14ac:dyDescent="0.35">
      <c r="A5049" t="s">
        <v>4918</v>
      </c>
      <c r="B5049" t="s">
        <v>5059</v>
      </c>
      <c r="C5049">
        <v>207</v>
      </c>
      <c r="D5049">
        <v>123</v>
      </c>
      <c r="E5049" t="s">
        <v>7</v>
      </c>
      <c r="F5049">
        <f>tbl_AQI[[#This Row],[Most AQI Reached]]-tbl_AQI[[#This Row],[Current AQI]]</f>
        <v>84</v>
      </c>
      <c r="G5049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49">
        <f>RANK(tbl_AQI[[#This Row],[Current AQI]], tbl_AQI[Current AQI], 0)</f>
        <v>2983</v>
      </c>
    </row>
    <row r="5050" spans="1:17" x14ac:dyDescent="0.35">
      <c r="A5050" t="s">
        <v>4918</v>
      </c>
      <c r="B5050" t="s">
        <v>5060</v>
      </c>
      <c r="C5050">
        <v>298</v>
      </c>
      <c r="D5050">
        <v>37</v>
      </c>
      <c r="E5050" t="s">
        <v>33</v>
      </c>
      <c r="F5050">
        <f>tbl_AQI[[#This Row],[Most AQI Reached]]-tbl_AQI[[#This Row],[Current AQI]]</f>
        <v>261</v>
      </c>
      <c r="G5050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Good</v>
      </c>
      <c r="H5050">
        <f>RANK(tbl_AQI[[#This Row],[Current AQI]], tbl_AQI[Current AQI], 0)</f>
        <v>4863</v>
      </c>
    </row>
    <row r="5051" spans="1:17" x14ac:dyDescent="0.35">
      <c r="A5051" t="s">
        <v>4918</v>
      </c>
      <c r="B5051" t="s">
        <v>5061</v>
      </c>
      <c r="C5051">
        <v>241</v>
      </c>
      <c r="D5051">
        <v>122</v>
      </c>
      <c r="E5051" t="s">
        <v>15</v>
      </c>
      <c r="F5051">
        <f>tbl_AQI[[#This Row],[Most AQI Reached]]-tbl_AQI[[#This Row],[Current AQI]]</f>
        <v>119</v>
      </c>
      <c r="G5051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51">
        <f>RANK(tbl_AQI[[#This Row],[Current AQI]], tbl_AQI[Current AQI], 0)</f>
        <v>3013</v>
      </c>
    </row>
    <row r="5052" spans="1:17" x14ac:dyDescent="0.35">
      <c r="A5052" t="s">
        <v>4918</v>
      </c>
      <c r="B5052" t="s">
        <v>5062</v>
      </c>
      <c r="C5052">
        <v>265</v>
      </c>
      <c r="D5052">
        <v>168</v>
      </c>
      <c r="E5052" t="s">
        <v>7</v>
      </c>
      <c r="F5052">
        <f>tbl_AQI[[#This Row],[Most AQI Reached]]-tbl_AQI[[#This Row],[Current AQI]]</f>
        <v>97</v>
      </c>
      <c r="G5052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52">
        <f>RANK(tbl_AQI[[#This Row],[Current AQI]], tbl_AQI[Current AQI], 0)</f>
        <v>1954</v>
      </c>
    </row>
    <row r="5053" spans="1:17" x14ac:dyDescent="0.35">
      <c r="A5053" t="s">
        <v>4918</v>
      </c>
      <c r="B5053" t="s">
        <v>5063</v>
      </c>
      <c r="C5053">
        <v>218</v>
      </c>
      <c r="D5053">
        <v>64</v>
      </c>
      <c r="E5053" t="s">
        <v>15</v>
      </c>
      <c r="F5053">
        <f>tbl_AQI[[#This Row],[Most AQI Reached]]-tbl_AQI[[#This Row],[Current AQI]]</f>
        <v>154</v>
      </c>
      <c r="G5053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53">
        <f>RANK(tbl_AQI[[#This Row],[Current AQI]], tbl_AQI[Current AQI], 0)</f>
        <v>4293</v>
      </c>
    </row>
    <row r="5054" spans="1:17" x14ac:dyDescent="0.35">
      <c r="A5054" t="s">
        <v>4918</v>
      </c>
      <c r="B5054" t="s">
        <v>5064</v>
      </c>
      <c r="C5054">
        <v>145</v>
      </c>
      <c r="D5054">
        <v>101</v>
      </c>
      <c r="E5054" t="s">
        <v>17</v>
      </c>
      <c r="F5054">
        <f>tbl_AQI[[#This Row],[Most AQI Reached]]-tbl_AQI[[#This Row],[Current AQI]]</f>
        <v>44</v>
      </c>
      <c r="G5054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Moderate</v>
      </c>
      <c r="H5054">
        <f>RANK(tbl_AQI[[#This Row],[Current AQI]], tbl_AQI[Current AQI], 0)</f>
        <v>3515</v>
      </c>
    </row>
    <row r="5055" spans="1:17" x14ac:dyDescent="0.35">
      <c r="A5055" t="s">
        <v>4918</v>
      </c>
      <c r="B5055" t="s">
        <v>5065</v>
      </c>
      <c r="C5055">
        <v>308</v>
      </c>
      <c r="D5055">
        <v>87</v>
      </c>
      <c r="E5055" t="s">
        <v>7</v>
      </c>
      <c r="F5055">
        <f>tbl_AQI[[#This Row],[Most AQI Reached]]-tbl_AQI[[#This Row],[Current AQI]]</f>
        <v>221</v>
      </c>
      <c r="G5055" t="str">
        <f>_xlfn.IFS(tbl_AQI[[#This Row],[Current AQI]]&lt;=50, "Good", tbl_AQI[[#This Row],[Current AQI]]&lt;=100, "Satisfactory", tbl_AQI[[#This Row],[Current AQI]]&lt;=200, "Moderate", tbl_AQI[[#This Row],[Current AQI]]&lt;=300, "Poor", tbl_AQI[[#This Row],[Current AQI]]&lt;=400, "Very Poor", tbl_AQI[[#This Row],[Current AQI]]&gt;400, "Severe")</f>
        <v>Satisfactory</v>
      </c>
      <c r="H5055">
        <f>RANK(tbl_AQI[[#This Row],[Current AQI]], tbl_AQI[Current AQI], 0)</f>
        <v>3813</v>
      </c>
    </row>
    <row r="5056" spans="1:17" x14ac:dyDescent="0.35">
      <c r="P5056" s="2"/>
      <c r="Q5056" s="1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BEF7-BAEE-4140-AC5C-8C247D172CD8}">
  <sheetPr codeName="Sheet1"/>
  <dimension ref="A1:S38"/>
  <sheetViews>
    <sheetView showGridLines="0" zoomScale="84" workbookViewId="0">
      <selection activeCell="G8" sqref="G8"/>
    </sheetView>
  </sheetViews>
  <sheetFormatPr defaultRowHeight="14.5" x14ac:dyDescent="0.35"/>
  <cols>
    <col min="1" max="1" width="24.7265625" bestFit="1" customWidth="1"/>
    <col min="2" max="2" width="8.1796875" bestFit="1" customWidth="1"/>
    <col min="3" max="3" width="8.81640625" bestFit="1" customWidth="1"/>
    <col min="4" max="4" width="11.08984375" bestFit="1" customWidth="1"/>
    <col min="5" max="5" width="15" bestFit="1" customWidth="1"/>
    <col min="6" max="6" width="14.26953125" bestFit="1" customWidth="1"/>
    <col min="7" max="7" width="5.453125" bestFit="1" customWidth="1"/>
    <col min="8" max="8" width="5.453125" customWidth="1"/>
    <col min="9" max="9" width="23.1796875" bestFit="1" customWidth="1"/>
    <col min="11" max="11" width="18.1796875" bestFit="1" customWidth="1"/>
    <col min="12" max="12" width="24.7265625" bestFit="1" customWidth="1"/>
    <col min="13" max="13" width="13.1796875" bestFit="1" customWidth="1"/>
    <col min="14" max="14" width="16.26953125" bestFit="1" customWidth="1"/>
    <col min="15" max="15" width="12.7265625" bestFit="1" customWidth="1"/>
    <col min="16" max="16" width="11.26953125" bestFit="1" customWidth="1"/>
    <col min="17" max="17" width="11.26953125" customWidth="1"/>
    <col min="18" max="18" width="19.54296875" bestFit="1" customWidth="1"/>
    <col min="19" max="19" width="20.36328125" bestFit="1" customWidth="1"/>
    <col min="21" max="21" width="19.54296875" bestFit="1" customWidth="1"/>
  </cols>
  <sheetData>
    <row r="1" spans="1:19" ht="18.5" x14ac:dyDescent="0.45">
      <c r="A1" s="3" t="s">
        <v>5074</v>
      </c>
      <c r="K1" s="3" t="s">
        <v>5121</v>
      </c>
      <c r="N1" s="36" t="s">
        <v>5122</v>
      </c>
      <c r="O1" s="36"/>
      <c r="R1" s="35" t="s">
        <v>5117</v>
      </c>
      <c r="S1" s="35"/>
    </row>
    <row r="2" spans="1:19" ht="15" thickBot="1" x14ac:dyDescent="0.4"/>
    <row r="3" spans="1:19" ht="19" thickBot="1" x14ac:dyDescent="0.4">
      <c r="A3" s="4" t="s">
        <v>0</v>
      </c>
      <c r="B3" s="4" t="s">
        <v>5073</v>
      </c>
      <c r="C3" s="4" t="s">
        <v>5075</v>
      </c>
      <c r="D3" s="4" t="s">
        <v>5092</v>
      </c>
      <c r="E3" s="4" t="s">
        <v>5093</v>
      </c>
      <c r="F3" s="4" t="s">
        <v>5114</v>
      </c>
      <c r="G3" s="4" t="s">
        <v>5094</v>
      </c>
      <c r="H3" s="8"/>
      <c r="J3" s="20"/>
      <c r="K3" s="21" t="s">
        <v>5106</v>
      </c>
      <c r="L3" s="27" t="str">
        <f>Table19[Selected State/UT]</f>
        <v>Andhra Pradesh</v>
      </c>
      <c r="N3" s="21" t="s">
        <v>5123</v>
      </c>
      <c r="O3" s="27">
        <f>AVERAGE(Sate_Analysis[Avg AQI])</f>
        <v>152.34861998911168</v>
      </c>
      <c r="R3" s="10" t="s">
        <v>1</v>
      </c>
      <c r="S3" s="10" t="s">
        <v>5115</v>
      </c>
    </row>
    <row r="4" spans="1:19" ht="16" thickBot="1" x14ac:dyDescent="0.4">
      <c r="A4" t="s">
        <v>5</v>
      </c>
      <c r="B4" s="13">
        <f>AVERAGEIF(tbl_AQI[State], Sate_Analysis[[#This Row],[State]], tbl_AQI[Current AQI])</f>
        <v>107.09890109890109</v>
      </c>
      <c r="C4" s="12">
        <f>_xlfn.MAXIFS(tbl_AQI[Current AQI], tbl_AQI[State], Sate_Analysis[[#This Row],[State]])</f>
        <v>190</v>
      </c>
      <c r="D4" s="12">
        <f>COUNTIF(tbl_AQI[State], Sate_Analysis[[#This Row],[State]])</f>
        <v>91</v>
      </c>
      <c r="E4" s="14">
        <f>COUNTIFS(tbl_AQI[State], Sate_Analysis[[#This Row],[State]], tbl_AQI[Category], "Severe" )/COUNTIF(tbl_AQI[State], Sate_Analysis[[#This Row],[State]])</f>
        <v>0</v>
      </c>
      <c r="F4" s="19">
        <f>Sate_Analysis[[#This Row],[Avg AQI]]/MAX(Sate_Analysis[Avg AQI])</f>
        <v>0.33039324457593688</v>
      </c>
      <c r="G4" s="12">
        <f>RANK(Sate_Analysis[Avg AQI], Sate_Analysis[Avg AQI], 0)</f>
        <v>27</v>
      </c>
      <c r="I4" s="9" t="s">
        <v>5105</v>
      </c>
      <c r="J4" s="20"/>
      <c r="K4" s="22" t="s">
        <v>5094</v>
      </c>
      <c r="L4" s="25">
        <f>INDEX(Sate_Analysis[Rank], MATCH($L$3, Sate_Analysis[State], 0))</f>
        <v>27</v>
      </c>
      <c r="N4" s="22" t="s">
        <v>5124</v>
      </c>
      <c r="O4" s="25">
        <f>MAX(Sate_Analysis[Max AQI])</f>
        <v>480</v>
      </c>
      <c r="R4" t="str">
        <f t="array" ref="R4">INDEX(tbl_AQI[District], SMALL(IF((tbl_AQI[State]=Table19[Selected State/UT])*(tbl_AQI[Current AQI]=S4), ROW(tbl_AQI[District])-MIN(ROW(tbl_AQI[District]))+1), COUNTIF(Calculations!$S$4:S4, S4)))</f>
        <v>Nellore (Area 4)</v>
      </c>
      <c r="S4" s="12">
        <f t="array" ref="S4">SMALL(IF(tbl_AQI[State]=Table19[Selected State/UT], tbl_AQI[Current AQI]), ROW(A1))</f>
        <v>32</v>
      </c>
    </row>
    <row r="5" spans="1:19" ht="15" thickBot="1" x14ac:dyDescent="0.4">
      <c r="A5" t="s">
        <v>104</v>
      </c>
      <c r="B5" s="13">
        <f>AVERAGEIF(tbl_AQI[State], Sate_Analysis[[#This Row],[State]], tbl_AQI[Current AQI])</f>
        <v>111.12244897959184</v>
      </c>
      <c r="C5" s="12">
        <f>_xlfn.MAXIFS(tbl_AQI[Current AQI], tbl_AQI[State], Sate_Analysis[[#This Row],[State]])</f>
        <v>190</v>
      </c>
      <c r="D5" s="12">
        <f>COUNTIF(tbl_AQI[State], Sate_Analysis[[#This Row],[State]])</f>
        <v>147</v>
      </c>
      <c r="E5" s="14">
        <f>COUNTIFS(tbl_AQI[State], Sate_Analysis[[#This Row],[State]], tbl_AQI[Category], "Severe" )/COUNTIF(tbl_AQI[State], Sate_Analysis[[#This Row],[State]])</f>
        <v>0</v>
      </c>
      <c r="F5" s="19">
        <f>Sate_Analysis[[#This Row],[Avg AQI]]/MAX(Sate_Analysis[Avg AQI])</f>
        <v>0.3428056318681319</v>
      </c>
      <c r="G5" s="12">
        <f>RANK(Sate_Analysis[Avg AQI], Sate_Analysis[Avg AQI], 0)</f>
        <v>18</v>
      </c>
      <c r="I5" s="5" t="str">
        <f>INDEX(Sate_Analysis[State], $I$8)</f>
        <v>Andhra Pradesh</v>
      </c>
      <c r="J5" s="20"/>
      <c r="K5" s="23" t="s">
        <v>5101</v>
      </c>
      <c r="L5" s="26">
        <f>COUNTIF(tbl_AQI[State], Calculations!$I$5)</f>
        <v>91</v>
      </c>
      <c r="N5" s="23" t="s">
        <v>5125</v>
      </c>
      <c r="O5" s="26" t="str">
        <f>INDEX(Sate_Analysis[State], MATCH(MIN(Sate_Analysis[Avg AQI]), Sate_Analysis[Avg AQI], 0))</f>
        <v>Meghalaya</v>
      </c>
      <c r="R5" t="str">
        <f t="array" ref="R5">INDEX(tbl_AQI[District], SMALL(IF((tbl_AQI[State]=Table19[Selected State/UT])*(tbl_AQI[Current AQI]=S5), ROW(tbl_AQI[District])-MIN(ROW(tbl_AQI[District]))+1), COUNTIF(Calculations!$S$4:S5, S5)))</f>
        <v>Anantapur (Area 6)</v>
      </c>
      <c r="S5" s="12">
        <f t="array" ref="S5">SMALL(IF(tbl_AQI[State]=Table19[Selected State/UT], tbl_AQI[Current AQI]), ROW(A2))</f>
        <v>34</v>
      </c>
    </row>
    <row r="6" spans="1:19" ht="30" customHeight="1" thickBot="1" x14ac:dyDescent="0.4">
      <c r="A6" t="s">
        <v>252</v>
      </c>
      <c r="B6" s="13">
        <f>AVERAGEIF(tbl_AQI[State], Sate_Analysis[[#This Row],[State]], tbl_AQI[Current AQI])</f>
        <v>105.67532467532467</v>
      </c>
      <c r="C6" s="12">
        <f>_xlfn.MAXIFS(tbl_AQI[Current AQI], tbl_AQI[State], Sate_Analysis[[#This Row],[State]])</f>
        <v>189</v>
      </c>
      <c r="D6" s="12">
        <f>COUNTIF(tbl_AQI[State], Sate_Analysis[[#This Row],[State]])</f>
        <v>231</v>
      </c>
      <c r="E6" s="14">
        <f>COUNTIFS(tbl_AQI[State], Sate_Analysis[[#This Row],[State]], tbl_AQI[Category], "Severe" )/COUNTIF(tbl_AQI[State], Sate_Analysis[[#This Row],[State]])</f>
        <v>0</v>
      </c>
      <c r="F6" s="19">
        <f>Sate_Analysis[[#This Row],[Avg AQI]]/MAX(Sate_Analysis[Avg AQI])</f>
        <v>0.3260016025641026</v>
      </c>
      <c r="G6" s="12">
        <f>RANK(Sate_Analysis[Avg AQI], Sate_Analysis[Avg AQI], 0)</f>
        <v>32</v>
      </c>
      <c r="I6" s="5"/>
      <c r="J6" s="20"/>
      <c r="K6" s="23" t="s">
        <v>5068</v>
      </c>
      <c r="L6" s="27">
        <f>INDEX(Sate_Analysis[Avg AQI], MATCH($L$3, Sate_Analysis[State], 0))</f>
        <v>107.09890109890109</v>
      </c>
      <c r="N6" s="24" t="s">
        <v>5126</v>
      </c>
      <c r="O6" s="27" t="str">
        <f>INDEX(Sate_Analysis[State], MATCH(MAX(Sate_Analysis[Avg AQI]), Sate_Analysis[Avg AQI], 0))</f>
        <v>Punjab</v>
      </c>
      <c r="R6" t="str">
        <f t="array" ref="R6">INDEX(tbl_AQI[District], SMALL(IF((tbl_AQI[State]=Table19[Selected State/UT])*(tbl_AQI[Current AQI]=S6), ROW(tbl_AQI[District])-MIN(ROW(tbl_AQI[District]))+1), COUNTIF(Calculations!$S$4:S6, S6)))</f>
        <v>Krishna (Area 4)</v>
      </c>
      <c r="S6" s="12">
        <f t="array" ref="S6">SMALL(IF(tbl_AQI[State]=Table19[Selected State/UT], tbl_AQI[Current AQI]), ROW(A3))</f>
        <v>38</v>
      </c>
    </row>
    <row r="7" spans="1:19" ht="29.5" thickBot="1" x14ac:dyDescent="0.4">
      <c r="A7" t="s">
        <v>484</v>
      </c>
      <c r="B7" s="13">
        <f>AVERAGEIF(tbl_AQI[State], Sate_Analysis[[#This Row],[State]], tbl_AQI[Current AQI])</f>
        <v>314.38345864661653</v>
      </c>
      <c r="C7" s="12">
        <f>_xlfn.MAXIFS(tbl_AQI[Current AQI], tbl_AQI[State], Sate_Analysis[[#This Row],[State]])</f>
        <v>478</v>
      </c>
      <c r="D7" s="12">
        <f>COUNTIF(tbl_AQI[State], Sate_Analysis[[#This Row],[State]])</f>
        <v>266</v>
      </c>
      <c r="E7" s="14">
        <f>COUNTIFS(tbl_AQI[State], Sate_Analysis[[#This Row],[State]], tbl_AQI[Category], "Severe" )/COUNTIF(tbl_AQI[State], Sate_Analysis[[#This Row],[State]])</f>
        <v>0.24812030075187969</v>
      </c>
      <c r="F7" s="19">
        <f>Sate_Analysis[[#This Row],[Avg AQI]]/MAX(Sate_Analysis[Avg AQI])</f>
        <v>0.9698528171390014</v>
      </c>
      <c r="G7" s="12">
        <f>RANK(Sate_Analysis[Avg AQI], Sate_Analysis[Avg AQI], 0)</f>
        <v>5</v>
      </c>
      <c r="I7" s="9" t="s">
        <v>5111</v>
      </c>
      <c r="J7" s="20"/>
      <c r="K7" s="23" t="s">
        <v>5069</v>
      </c>
      <c r="L7" s="26">
        <f>INDEX(Sate_Analysis[Max AQI], MATCH($L$3, Sate_Analysis[State], 0))</f>
        <v>190</v>
      </c>
      <c r="N7" s="24" t="s">
        <v>5070</v>
      </c>
      <c r="O7" s="57" t="str">
        <f>INDEX(tbl_AQI[Major Source of Pollution], MODE(MATCH(tbl_AQI[Major Source of Pollution], tbl_AQI[Major Source of Pollution], 0)))</f>
        <v>Industrial Emissions</v>
      </c>
      <c r="R7" t="str">
        <f t="array" ref="R7">INDEX(tbl_AQI[District], SMALL(IF((tbl_AQI[State]=Table19[Selected State/UT])*(tbl_AQI[Current AQI]=S7), ROW(tbl_AQI[District])-MIN(ROW(tbl_AQI[District]))+1), COUNTIF(Calculations!$S$4:S7, S7)))</f>
        <v>Nellore (Area 3)</v>
      </c>
      <c r="S7" s="12">
        <f t="array" ref="S7">SMALL(IF(tbl_AQI[State]=Table19[Selected State/UT], tbl_AQI[Current AQI]), ROW(A4))</f>
        <v>38</v>
      </c>
    </row>
    <row r="8" spans="1:19" ht="30" customHeight="1" thickBot="1" x14ac:dyDescent="0.4">
      <c r="A8" t="s">
        <v>751</v>
      </c>
      <c r="B8" s="13">
        <f>AVERAGEIF(tbl_AQI[State], Sate_Analysis[[#This Row],[State]], tbl_AQI[Current AQI])</f>
        <v>134</v>
      </c>
      <c r="C8" s="12">
        <f>_xlfn.MAXIFS(tbl_AQI[Current AQI], tbl_AQI[State], Sate_Analysis[[#This Row],[State]])</f>
        <v>189</v>
      </c>
      <c r="D8" s="12">
        <f>COUNTIF(tbl_AQI[State], Sate_Analysis[[#This Row],[State]])</f>
        <v>7</v>
      </c>
      <c r="E8" s="14">
        <f>COUNTIFS(tbl_AQI[State], Sate_Analysis[[#This Row],[State]], tbl_AQI[Category], "Severe" )/COUNTIF(tbl_AQI[State], Sate_Analysis[[#This Row],[State]])</f>
        <v>0</v>
      </c>
      <c r="F8" s="19">
        <f>Sate_Analysis[[#This Row],[Avg AQI]]/MAX(Sate_Analysis[Avg AQI])</f>
        <v>0.41338141025641029</v>
      </c>
      <c r="G8" s="12">
        <f>RANK(Sate_Analysis[Avg AQI], Sate_Analysis[Avg AQI], 0)</f>
        <v>8</v>
      </c>
      <c r="I8" s="5">
        <v>1</v>
      </c>
      <c r="J8" s="20"/>
      <c r="K8" s="24" t="s">
        <v>5070</v>
      </c>
      <c r="L8" s="26" t="str">
        <f>INDEX(Pollution_Source[Pollution Source], MATCH(MAX(Pollution_Source[Impact Score]), Pollution_Source[Impact Score], 0))</f>
        <v>Vehicle</v>
      </c>
      <c r="R8" t="str">
        <f t="array" ref="R8">INDEX(tbl_AQI[District], SMALL(IF((tbl_AQI[State]=Table19[Selected State/UT])*(tbl_AQI[Current AQI]=S8), ROW(tbl_AQI[District])-MIN(ROW(tbl_AQI[District]))+1), COUNTIF(Calculations!$S$4:S8, S8)))</f>
        <v>Anantapur (Area 5)</v>
      </c>
      <c r="S8" s="12">
        <f t="array" ref="S8">SMALL(IF(tbl_AQI[State]=Table19[Selected State/UT], tbl_AQI[Current AQI]), ROW(A5))</f>
        <v>39</v>
      </c>
    </row>
    <row r="9" spans="1:19" ht="15" thickBot="1" x14ac:dyDescent="0.4">
      <c r="A9" t="s">
        <v>759</v>
      </c>
      <c r="B9" s="13">
        <f>AVERAGEIF(tbl_AQI[State], Sate_Analysis[[#This Row],[State]], tbl_AQI[Current AQI])</f>
        <v>107.71957671957672</v>
      </c>
      <c r="C9" s="12">
        <f>_xlfn.MAXIFS(tbl_AQI[Current AQI], tbl_AQI[State], Sate_Analysis[[#This Row],[State]])</f>
        <v>190</v>
      </c>
      <c r="D9" s="12">
        <f>COUNTIF(tbl_AQI[State], Sate_Analysis[[#This Row],[State]])</f>
        <v>189</v>
      </c>
      <c r="E9" s="14">
        <f>COUNTIFS(tbl_AQI[State], Sate_Analysis[[#This Row],[State]], tbl_AQI[Category], "Severe" )/COUNTIF(tbl_AQI[State], Sate_Analysis[[#This Row],[State]])</f>
        <v>0</v>
      </c>
      <c r="F9" s="19">
        <f>Sate_Analysis[[#This Row],[Avg AQI]]/MAX(Sate_Analysis[Avg AQI])</f>
        <v>0.33230798907882242</v>
      </c>
      <c r="G9" s="12">
        <f>RANK(Sate_Analysis[Avg AQI], Sate_Analysis[Avg AQI], 0)</f>
        <v>26</v>
      </c>
      <c r="J9" s="20"/>
      <c r="K9" s="23" t="s">
        <v>5093</v>
      </c>
      <c r="L9" s="26">
        <f>COUNTIFS(tbl_AQI[State], Calculations!$L$3, tbl_AQI[Category], "Severe")/$L$5</f>
        <v>0</v>
      </c>
      <c r="R9" t="str">
        <f t="array" ref="R9">INDEX(tbl_AQI[District], SMALL(IF((tbl_AQI[State]=Table19[Selected State/UT])*(tbl_AQI[Current AQI]=S9), ROW(tbl_AQI[District])-MIN(ROW(tbl_AQI[District]))+1), COUNTIF(Calculations!$S$4:S9, S9)))</f>
        <v>Visakhapatnam (Area 4)</v>
      </c>
      <c r="S9" s="12">
        <f t="array" ref="S9">SMALL(IF(tbl_AQI[State]=Table19[Selected State/UT], tbl_AQI[Current AQI]), ROW(A6))</f>
        <v>39</v>
      </c>
    </row>
    <row r="10" spans="1:19" ht="15" thickBot="1" x14ac:dyDescent="0.4">
      <c r="A10" t="s">
        <v>949</v>
      </c>
      <c r="B10" s="13">
        <f>AVERAGEIF(tbl_AQI[State], Sate_Analysis[[#This Row],[State]], tbl_AQI[Current AQI])</f>
        <v>127</v>
      </c>
      <c r="C10" s="12">
        <f>_xlfn.MAXIFS(tbl_AQI[Current AQI], tbl_AQI[State], Sate_Analysis[[#This Row],[State]])</f>
        <v>183</v>
      </c>
      <c r="D10" s="12">
        <f>COUNTIF(tbl_AQI[State], Sate_Analysis[[#This Row],[State]])</f>
        <v>7</v>
      </c>
      <c r="E10" s="14">
        <f>COUNTIFS(tbl_AQI[State], Sate_Analysis[[#This Row],[State]], tbl_AQI[Category], "Severe" )/COUNTIF(tbl_AQI[State], Sate_Analysis[[#This Row],[State]])</f>
        <v>0</v>
      </c>
      <c r="F10" s="19">
        <f>Sate_Analysis[[#This Row],[Avg AQI]]/MAX(Sate_Analysis[Avg AQI])</f>
        <v>0.391786858974359</v>
      </c>
      <c r="G10" s="12">
        <f>RANK(Sate_Analysis[Avg AQI], Sate_Analysis[Avg AQI], 0)</f>
        <v>9</v>
      </c>
      <c r="J10" s="20"/>
      <c r="K10" s="23" t="s">
        <v>5096</v>
      </c>
      <c r="L10" s="28">
        <f>COUNTIFS(tbl_AQI[State], Table19[Selected State/UT], tbl_AQI[Category], "Good")/Calculations!$L$5</f>
        <v>0.15384615384615385</v>
      </c>
      <c r="R10" t="str">
        <f t="array" ref="R10">INDEX(tbl_AQI[District], SMALL(IF((tbl_AQI[State]=Table19[Selected State/UT])*(tbl_AQI[Current AQI]=S10), ROW(tbl_AQI[District])-MIN(ROW(tbl_AQI[District]))+1), COUNTIF(Calculations!$S$4:S10, S10)))</f>
        <v>Visakhapatnam</v>
      </c>
      <c r="S10" s="12">
        <f t="array" ref="S10">SMALL(IF(tbl_AQI[State]=Table19[Selected State/UT], tbl_AQI[Current AQI]), ROW(A7))</f>
        <v>40</v>
      </c>
    </row>
    <row r="11" spans="1:19" ht="15" thickBot="1" x14ac:dyDescent="0.4">
      <c r="A11" t="s">
        <v>957</v>
      </c>
      <c r="B11" s="13">
        <f>AVERAGEIF(tbl_AQI[State], Sate_Analysis[[#This Row],[State]], tbl_AQI[Current AQI])</f>
        <v>112.42857142857143</v>
      </c>
      <c r="C11" s="12">
        <f>_xlfn.MAXIFS(tbl_AQI[Current AQI], tbl_AQI[State], Sate_Analysis[[#This Row],[State]])</f>
        <v>179</v>
      </c>
      <c r="D11" s="12">
        <f>COUNTIF(tbl_AQI[State], Sate_Analysis[[#This Row],[State]])</f>
        <v>14</v>
      </c>
      <c r="E11" s="14">
        <f>COUNTIFS(tbl_AQI[State], Sate_Analysis[[#This Row],[State]], tbl_AQI[Category], "Severe" )/COUNTIF(tbl_AQI[State], Sate_Analysis[[#This Row],[State]])</f>
        <v>0</v>
      </c>
      <c r="F11" s="19">
        <f>Sate_Analysis[[#This Row],[Avg AQI]]/MAX(Sate_Analysis[Avg AQI])</f>
        <v>0.34683493589743591</v>
      </c>
      <c r="G11" s="12">
        <f>RANK(Sate_Analysis[Avg AQI], Sate_Analysis[Avg AQI], 0)</f>
        <v>15</v>
      </c>
      <c r="J11" s="20"/>
      <c r="K11" s="23" t="s">
        <v>5107</v>
      </c>
      <c r="L11" s="26" t="str">
        <f>R5</f>
        <v>Anantapur (Area 6)</v>
      </c>
      <c r="R11" t="str">
        <f t="array" ref="R11">INDEX(tbl_AQI[District], SMALL(IF((tbl_AQI[State]=Table19[Selected State/UT])*(tbl_AQI[Current AQI]=S11), ROW(tbl_AQI[District])-MIN(ROW(tbl_AQI[District]))+1), COUNTIF(Calculations!$S$4:S11, S11)))</f>
        <v>Vizianagaram (Area 3)</v>
      </c>
      <c r="S11" s="12">
        <f t="array" ref="S11">SMALL(IF(tbl_AQI[State]=Table19[Selected State/UT], tbl_AQI[Current AQI]), ROW(A8))</f>
        <v>41</v>
      </c>
    </row>
    <row r="12" spans="1:19" ht="15" thickBot="1" x14ac:dyDescent="0.4">
      <c r="A12" t="s">
        <v>972</v>
      </c>
      <c r="B12" s="13">
        <f>AVERAGEIF(tbl_AQI[State], Sate_Analysis[[#This Row],[State]], tbl_AQI[Current AQI])</f>
        <v>313.24675324675326</v>
      </c>
      <c r="C12" s="12">
        <f>_xlfn.MAXIFS(tbl_AQI[Current AQI], tbl_AQI[State], Sate_Analysis[[#This Row],[State]])</f>
        <v>480</v>
      </c>
      <c r="D12" s="12">
        <f>COUNTIF(tbl_AQI[State], Sate_Analysis[[#This Row],[State]])</f>
        <v>77</v>
      </c>
      <c r="E12" s="14">
        <f>COUNTIFS(tbl_AQI[State], Sate_Analysis[[#This Row],[State]], tbl_AQI[Category], "Severe" )/COUNTIF(tbl_AQI[State], Sate_Analysis[[#This Row],[State]])</f>
        <v>0.22077922077922077</v>
      </c>
      <c r="F12" s="19">
        <f>Sate_Analysis[[#This Row],[Avg AQI]]/MAX(Sate_Analysis[Avg AQI])</f>
        <v>0.96634615384615397</v>
      </c>
      <c r="G12" s="12">
        <f>RANK(Sate_Analysis[Avg AQI], Sate_Analysis[Avg AQI], 0)</f>
        <v>6</v>
      </c>
      <c r="J12" s="20"/>
      <c r="K12" s="23" t="s">
        <v>5108</v>
      </c>
      <c r="L12" s="26" t="str">
        <f>N5</f>
        <v>Cleanest State</v>
      </c>
      <c r="R12" t="str">
        <f t="array" ref="R12">INDEX(tbl_AQI[District], SMALL(IF((tbl_AQI[State]=Table19[Selected State/UT])*(tbl_AQI[Current AQI]=S12), ROW(tbl_AQI[District])-MIN(ROW(tbl_AQI[District]))+1), COUNTIF(Calculations!$S$4:S12, S12)))</f>
        <v>East Godavari (Area 2)</v>
      </c>
      <c r="S12" s="12">
        <f t="array" ref="S12">SMALL(IF(tbl_AQI[State]=Table19[Selected State/UT], tbl_AQI[Current AQI]), ROW(A9))</f>
        <v>45</v>
      </c>
    </row>
    <row r="13" spans="1:19" ht="15" thickBot="1" x14ac:dyDescent="0.4">
      <c r="A13" t="s">
        <v>1050</v>
      </c>
      <c r="B13" s="13">
        <f>AVERAGEIF(tbl_AQI[State], Sate_Analysis[[#This Row],[State]], tbl_AQI[Current AQI])</f>
        <v>99.857142857142861</v>
      </c>
      <c r="C13" s="12">
        <f>_xlfn.MAXIFS(tbl_AQI[Current AQI], tbl_AQI[State], Sate_Analysis[[#This Row],[State]])</f>
        <v>159</v>
      </c>
      <c r="D13" s="12">
        <f>COUNTIF(tbl_AQI[State], Sate_Analysis[[#This Row],[State]])</f>
        <v>14</v>
      </c>
      <c r="E13" s="14">
        <f>COUNTIFS(tbl_AQI[State], Sate_Analysis[[#This Row],[State]], tbl_AQI[Category], "Severe" )/COUNTIF(tbl_AQI[State], Sate_Analysis[[#This Row],[State]])</f>
        <v>0</v>
      </c>
      <c r="F13" s="19">
        <f>Sate_Analysis[[#This Row],[Avg AQI]]/MAX(Sate_Analysis[Avg AQI])</f>
        <v>0.30805288461538466</v>
      </c>
      <c r="G13" s="12">
        <f>RANK(Sate_Analysis[Avg AQI], Sate_Analysis[Avg AQI], 0)</f>
        <v>34</v>
      </c>
      <c r="J13" s="20"/>
      <c r="K13" s="23" t="s">
        <v>5114</v>
      </c>
      <c r="L13" s="28">
        <f>INDEX(Sate_Analysis[Intensity Ratio], MATCH(Table19[Selected State/UT], Sate_Analysis[State], 0))</f>
        <v>0.33039324457593688</v>
      </c>
      <c r="R13" t="str">
        <f t="array" ref="R13">INDEX(tbl_AQI[District], SMALL(IF((tbl_AQI[State]=Table19[Selected State/UT])*(tbl_AQI[Current AQI]=S13), ROW(tbl_AQI[District])-MIN(ROW(tbl_AQI[District]))+1), COUNTIF(Calculations!$S$4:S13, S13)))</f>
        <v>Guntur (Area 4)</v>
      </c>
      <c r="S13" s="12">
        <f t="array" ref="S13">SMALL(IF(tbl_AQI[State]=Table19[Selected State/UT], tbl_AQI[Current AQI]), ROW(A10))</f>
        <v>47</v>
      </c>
    </row>
    <row r="14" spans="1:19" x14ac:dyDescent="0.35">
      <c r="A14" t="s">
        <v>1065</v>
      </c>
      <c r="B14" s="13">
        <f>AVERAGEIF(tbl_AQI[State], Sate_Analysis[[#This Row],[State]], tbl_AQI[Current AQI])</f>
        <v>110.86580086580086</v>
      </c>
      <c r="C14" s="12">
        <f>_xlfn.MAXIFS(tbl_AQI[Current AQI], tbl_AQI[State], Sate_Analysis[[#This Row],[State]])</f>
        <v>190</v>
      </c>
      <c r="D14" s="12">
        <f>COUNTIF(tbl_AQI[State], Sate_Analysis[[#This Row],[State]])</f>
        <v>231</v>
      </c>
      <c r="E14" s="14">
        <f>COUNTIFS(tbl_AQI[State], Sate_Analysis[[#This Row],[State]], tbl_AQI[Category], "Severe" )/COUNTIF(tbl_AQI[State], Sate_Analysis[[#This Row],[State]])</f>
        <v>0</v>
      </c>
      <c r="F14" s="19">
        <f>Sate_Analysis[[#This Row],[Avg AQI]]/MAX(Sate_Analysis[Avg AQI])</f>
        <v>0.3420138888888889</v>
      </c>
      <c r="G14" s="12">
        <f>RANK(Sate_Analysis[Avg AQI], Sate_Analysis[Avg AQI], 0)</f>
        <v>19</v>
      </c>
    </row>
    <row r="15" spans="1:19" x14ac:dyDescent="0.35">
      <c r="A15" t="s">
        <v>1297</v>
      </c>
      <c r="B15" s="13">
        <f>AVERAGEIF(tbl_AQI[State], Sate_Analysis[[#This Row],[State]], tbl_AQI[Current AQI])</f>
        <v>317.37012987012986</v>
      </c>
      <c r="C15" s="12">
        <f>_xlfn.MAXIFS(tbl_AQI[Current AQI], tbl_AQI[State], Sate_Analysis[[#This Row],[State]])</f>
        <v>479</v>
      </c>
      <c r="D15" s="12">
        <f>COUNTIF(tbl_AQI[State], Sate_Analysis[[#This Row],[State]])</f>
        <v>154</v>
      </c>
      <c r="E15" s="14">
        <f>COUNTIFS(tbl_AQI[State], Sate_Analysis[[#This Row],[State]], tbl_AQI[Category], "Severe" )/COUNTIF(tbl_AQI[State], Sate_Analysis[[#This Row],[State]])</f>
        <v>0.25324675324675322</v>
      </c>
      <c r="F15" s="19">
        <f>Sate_Analysis[[#This Row],[Avg AQI]]/MAX(Sate_Analysis[Avg AQI])</f>
        <v>0.97906650641025639</v>
      </c>
      <c r="G15" s="12">
        <f>RANK(Sate_Analysis[Avg AQI], Sate_Analysis[Avg AQI], 0)</f>
        <v>4</v>
      </c>
    </row>
    <row r="16" spans="1:19" ht="18.5" x14ac:dyDescent="0.45">
      <c r="A16" t="s">
        <v>1452</v>
      </c>
      <c r="B16" s="13">
        <f>AVERAGEIF(tbl_AQI[State], Sate_Analysis[[#This Row],[State]], tbl_AQI[Current AQI])</f>
        <v>113.16666666666667</v>
      </c>
      <c r="C16" s="12">
        <f>_xlfn.MAXIFS(tbl_AQI[Current AQI], tbl_AQI[State], Sate_Analysis[[#This Row],[State]])</f>
        <v>190</v>
      </c>
      <c r="D16" s="12">
        <f>COUNTIF(tbl_AQI[State], Sate_Analysis[[#This Row],[State]])</f>
        <v>84</v>
      </c>
      <c r="E16" s="14">
        <f>COUNTIFS(tbl_AQI[State], Sate_Analysis[[#This Row],[State]], tbl_AQI[Category], "Severe" )/COUNTIF(tbl_AQI[State], Sate_Analysis[[#This Row],[State]])</f>
        <v>0</v>
      </c>
      <c r="F16" s="19">
        <f>Sate_Analysis[[#This Row],[Avg AQI]]/MAX(Sate_Analysis[Avg AQI])</f>
        <v>0.34911191239316242</v>
      </c>
      <c r="G16" s="12">
        <f>RANK(Sate_Analysis[Avg AQI], Sate_Analysis[Avg AQI], 0)</f>
        <v>14</v>
      </c>
      <c r="K16" s="3" t="s">
        <v>5071</v>
      </c>
      <c r="R16" s="35" t="s">
        <v>5116</v>
      </c>
      <c r="S16" s="35"/>
    </row>
    <row r="17" spans="1:19" x14ac:dyDescent="0.35">
      <c r="A17" t="s">
        <v>1530</v>
      </c>
      <c r="B17" s="13">
        <f>AVERAGEIF(tbl_AQI[State], Sate_Analysis[[#This Row],[State]], tbl_AQI[Current AQI])</f>
        <v>320.79220779220782</v>
      </c>
      <c r="C17" s="12">
        <f>_xlfn.MAXIFS(tbl_AQI[Current AQI], tbl_AQI[State], Sate_Analysis[[#This Row],[State]])</f>
        <v>480</v>
      </c>
      <c r="D17" s="12">
        <f>COUNTIF(tbl_AQI[State], Sate_Analysis[[#This Row],[State]])</f>
        <v>154</v>
      </c>
      <c r="E17" s="14">
        <f>COUNTIFS(tbl_AQI[State], Sate_Analysis[[#This Row],[State]], tbl_AQI[Category], "Severe" )/COUNTIF(tbl_AQI[State], Sate_Analysis[[#This Row],[State]])</f>
        <v>0.29220779220779219</v>
      </c>
      <c r="F17" s="19">
        <f>Sate_Analysis[[#This Row],[Avg AQI]]/MAX(Sate_Analysis[Avg AQI])</f>
        <v>0.98962339743589756</v>
      </c>
      <c r="G17" s="12">
        <f>RANK(Sate_Analysis[Avg AQI], Sate_Analysis[Avg AQI], 0)</f>
        <v>2</v>
      </c>
    </row>
    <row r="18" spans="1:19" ht="18.5" x14ac:dyDescent="0.35">
      <c r="A18" t="s">
        <v>1685</v>
      </c>
      <c r="B18" s="13">
        <f>AVERAGEIF(tbl_AQI[State], Sate_Analysis[[#This Row],[State]], tbl_AQI[Current AQI])</f>
        <v>115.95833333333333</v>
      </c>
      <c r="C18" s="12">
        <f>_xlfn.MAXIFS(tbl_AQI[Current AQI], tbl_AQI[State], Sate_Analysis[[#This Row],[State]])</f>
        <v>190</v>
      </c>
      <c r="D18" s="12">
        <f>COUNTIF(tbl_AQI[State], Sate_Analysis[[#This Row],[State]])</f>
        <v>168</v>
      </c>
      <c r="E18" s="14">
        <f>COUNTIFS(tbl_AQI[State], Sate_Analysis[[#This Row],[State]], tbl_AQI[Category], "Severe" )/COUNTIF(tbl_AQI[State], Sate_Analysis[[#This Row],[State]])</f>
        <v>0</v>
      </c>
      <c r="F18" s="19">
        <f>Sate_Analysis[[#This Row],[Avg AQI]]/MAX(Sate_Analysis[Avg AQI])</f>
        <v>0.3577240251068376</v>
      </c>
      <c r="G18" s="12">
        <f>RANK(Sate_Analysis[Avg AQI], Sate_Analysis[Avg AQI], 0)</f>
        <v>12</v>
      </c>
      <c r="K18" s="11" t="s">
        <v>5072</v>
      </c>
      <c r="L18" s="11" t="s">
        <v>5092</v>
      </c>
      <c r="M18" s="11" t="s">
        <v>5073</v>
      </c>
      <c r="N18" s="11" t="s">
        <v>5097</v>
      </c>
      <c r="O18" s="11" t="s">
        <v>5098</v>
      </c>
      <c r="P18" s="11" t="s">
        <v>5094</v>
      </c>
      <c r="R18" s="10" t="s">
        <v>1</v>
      </c>
      <c r="S18" s="10" t="s">
        <v>5115</v>
      </c>
    </row>
    <row r="19" spans="1:19" x14ac:dyDescent="0.35">
      <c r="A19" t="s">
        <v>1854</v>
      </c>
      <c r="B19" s="13">
        <f>AVERAGEIF(tbl_AQI[State], Sate_Analysis[[#This Row],[State]], tbl_AQI[Current AQI])</f>
        <v>108.96666666666667</v>
      </c>
      <c r="C19" s="12">
        <f>_xlfn.MAXIFS(tbl_AQI[Current AQI], tbl_AQI[State], Sate_Analysis[[#This Row],[State]])</f>
        <v>190</v>
      </c>
      <c r="D19" s="12">
        <f>COUNTIF(tbl_AQI[State], Sate_Analysis[[#This Row],[State]])</f>
        <v>210</v>
      </c>
      <c r="E19" s="14">
        <f>COUNTIFS(tbl_AQI[State], Sate_Analysis[[#This Row],[State]], tbl_AQI[Category], "Severe" )/COUNTIF(tbl_AQI[State], Sate_Analysis[[#This Row],[State]])</f>
        <v>0</v>
      </c>
      <c r="F19" s="19">
        <f>Sate_Analysis[[#This Row],[Avg AQI]]/MAX(Sate_Analysis[Avg AQI])</f>
        <v>0.33615518162393165</v>
      </c>
      <c r="G19" s="12">
        <f>RANK(Sate_Analysis[Avg AQI], Sate_Analysis[Avg AQI], 0)</f>
        <v>22</v>
      </c>
      <c r="K19" s="16" t="s">
        <v>21</v>
      </c>
      <c r="L19" s="12">
        <f>COUNTIFS(tbl_AQI[Major Source of Pollution], Pollution_Source[[#This Row],[Pollution Source]], tbl_AQI[State], Calculations!$L$3)</f>
        <v>15</v>
      </c>
      <c r="M19" s="15">
        <f>IFERROR(AVERAGEIFS(tbl_AQI[Current AQI], tbl_AQI[State], Calculations!$L$3, tbl_AQI[Major Source of Pollution], Pollution_Source[[#This Row],[Pollution Source]]), 0)</f>
        <v>119.6</v>
      </c>
      <c r="N19" s="34">
        <f>COUNTIFS(tbl_AQI[State], Calculations!$L$3, tbl_AQI[Major Source of Pollution], Pollution_Source[[#This Row],[Pollution Source]])/COUNTIF(tbl_AQI[State], Calculations!$L$3)</f>
        <v>0.16483516483516483</v>
      </c>
      <c r="O19" s="15">
        <f>Pollution_Source[[#This Row],[Avg AQI]]*Pollution_Source[[#This Row],[% Areas Effected]]</f>
        <v>19.714285714285712</v>
      </c>
      <c r="P19" s="13">
        <f>RANK(Pollution_Source[Impact Score], Pollution_Source[Impact Score], 0)</f>
        <v>3</v>
      </c>
      <c r="Q19" s="13"/>
      <c r="R19" t="str">
        <f t="array" ref="R19">INDEX(tbl_AQI[District], SMALL(IF((tbl_AQI[State]=Table19[Selected State/UT])*(tbl_AQI[Current AQI]=Calculations!S19), ROW(tbl_AQI[District])-MIN(ROW(tbl_AQI[District]))+1), COUNTIF(Calculations!$S$19:S19, S19)))</f>
        <v>Anantapur</v>
      </c>
      <c r="S19" s="12">
        <f t="array" ref="S19">LARGE(IF(tbl_AQI[State]=Table19[Selected State/UT], tbl_AQI[Current AQI]), ROW(A1))</f>
        <v>190</v>
      </c>
    </row>
    <row r="20" spans="1:19" x14ac:dyDescent="0.35">
      <c r="A20" t="s">
        <v>2065</v>
      </c>
      <c r="B20" s="13">
        <f>AVERAGEIF(tbl_AQI[State], Sate_Analysis[[#This Row],[State]], tbl_AQI[Current AQI])</f>
        <v>107.86734693877551</v>
      </c>
      <c r="C20" s="12">
        <f>_xlfn.MAXIFS(tbl_AQI[Current AQI], tbl_AQI[State], Sate_Analysis[[#This Row],[State]])</f>
        <v>190</v>
      </c>
      <c r="D20" s="12">
        <f>COUNTIF(tbl_AQI[State], Sate_Analysis[[#This Row],[State]])</f>
        <v>98</v>
      </c>
      <c r="E20" s="14">
        <f>COUNTIFS(tbl_AQI[State], Sate_Analysis[[#This Row],[State]], tbl_AQI[Category], "Severe" )/COUNTIF(tbl_AQI[State], Sate_Analysis[[#This Row],[State]])</f>
        <v>0</v>
      </c>
      <c r="F20" s="19">
        <f>Sate_Analysis[[#This Row],[Avg AQI]]/MAX(Sate_Analysis[Avg AQI])</f>
        <v>0.33276385073260079</v>
      </c>
      <c r="G20" s="12">
        <f>RANK(Sate_Analysis[Avg AQI], Sate_Analysis[Avg AQI], 0)</f>
        <v>24</v>
      </c>
      <c r="K20" s="16" t="s">
        <v>17</v>
      </c>
      <c r="L20" s="12">
        <f>COUNTIFS(tbl_AQI[Major Source of Pollution], Pollution_Source[[#This Row],[Pollution Source]], tbl_AQI[State], Calculations!$L$3)</f>
        <v>19</v>
      </c>
      <c r="M20" s="15">
        <f>IFERROR(AVERAGEIFS(tbl_AQI[Current AQI], tbl_AQI[State], Calculations!$L$3, tbl_AQI[Major Source of Pollution], Pollution_Source[[#This Row],[Pollution Source]]), 0)</f>
        <v>102.47368421052632</v>
      </c>
      <c r="N20" s="34">
        <f>COUNTIFS(tbl_AQI[State], Calculations!$L$3, tbl_AQI[Major Source of Pollution], Pollution_Source[[#This Row],[Pollution Source]])/COUNTIF(tbl_AQI[State], Calculations!$L$3)</f>
        <v>0.2087912087912088</v>
      </c>
      <c r="O20" s="15">
        <f>Pollution_Source[[#This Row],[Avg AQI]]*Pollution_Source[[#This Row],[% Areas Effected]]</f>
        <v>21.395604395604398</v>
      </c>
      <c r="P20" s="13">
        <f>RANK(Pollution_Source[Impact Score], Pollution_Source[Impact Score], 0)</f>
        <v>2</v>
      </c>
      <c r="Q20" s="13"/>
      <c r="R20" t="str">
        <f t="array" ref="R20">INDEX(tbl_AQI[District], SMALL(IF((tbl_AQI[State]=Table19[Selected State/UT])*(tbl_AQI[Current AQI]=Calculations!S20), ROW(tbl_AQI[District])-MIN(ROW(tbl_AQI[District]))+1), COUNTIF(Calculations!$S$19:S20, S20)))</f>
        <v>West Godavari (Area 3)</v>
      </c>
      <c r="S20" s="12">
        <f t="array" ref="S20">LARGE(IF(tbl_AQI[State]=Table19[Selected State/UT], tbl_AQI[Current AQI]), ROW(A2))</f>
        <v>189</v>
      </c>
    </row>
    <row r="21" spans="1:19" x14ac:dyDescent="0.35">
      <c r="A21" t="s">
        <v>2164</v>
      </c>
      <c r="B21" s="13">
        <f>AVERAGEIF(tbl_AQI[State], Sate_Analysis[[#This Row],[State]], tbl_AQI[Current AQI])</f>
        <v>123.87142857142857</v>
      </c>
      <c r="C21" s="12">
        <f>_xlfn.MAXIFS(tbl_AQI[Current AQI], tbl_AQI[State], Sate_Analysis[[#This Row],[State]])</f>
        <v>188</v>
      </c>
      <c r="D21" s="12">
        <f>COUNTIF(tbl_AQI[State], Sate_Analysis[[#This Row],[State]])</f>
        <v>70</v>
      </c>
      <c r="E21" s="14">
        <f>COUNTIFS(tbl_AQI[State], Sate_Analysis[[#This Row],[State]], tbl_AQI[Category], "Severe" )/COUNTIF(tbl_AQI[State], Sate_Analysis[[#This Row],[State]])</f>
        <v>0</v>
      </c>
      <c r="F21" s="19">
        <f>Sate_Analysis[[#This Row],[Avg AQI]]/MAX(Sate_Analysis[Avg AQI])</f>
        <v>0.38213541666666667</v>
      </c>
      <c r="G21" s="12">
        <f>RANK(Sate_Analysis[Avg AQI], Sate_Analysis[Avg AQI], 0)</f>
        <v>11</v>
      </c>
      <c r="K21" s="16" t="s">
        <v>15</v>
      </c>
      <c r="L21" s="12">
        <f>COUNTIFS(tbl_AQI[Major Source of Pollution], Pollution_Source[[#This Row],[Pollution Source]], tbl_AQI[State], Calculations!$L$3)</f>
        <v>17</v>
      </c>
      <c r="M21" s="15">
        <f>IFERROR(AVERAGEIFS(tbl_AQI[Current AQI], tbl_AQI[State], Calculations!$L$3, tbl_AQI[Major Source of Pollution], Pollution_Source[[#This Row],[Pollution Source]]), 0)</f>
        <v>91.411764705882348</v>
      </c>
      <c r="N21" s="34">
        <f>COUNTIFS(tbl_AQI[State], Calculations!$L$3, tbl_AQI[Major Source of Pollution], Pollution_Source[[#This Row],[Pollution Source]])/COUNTIF(tbl_AQI[State], Calculations!$L$3)</f>
        <v>0.18681318681318682</v>
      </c>
      <c r="O21" s="15">
        <f>Pollution_Source[[#This Row],[Avg AQI]]*Pollution_Source[[#This Row],[% Areas Effected]]</f>
        <v>17.076923076923077</v>
      </c>
      <c r="P21" s="13">
        <f>RANK(Pollution_Source[Impact Score], Pollution_Source[Impact Score], 0)</f>
        <v>4</v>
      </c>
      <c r="Q21" s="13"/>
      <c r="R21" t="str">
        <f t="array" ref="R21">INDEX(tbl_AQI[District], SMALL(IF((tbl_AQI[State]=Table19[Selected State/UT])*(tbl_AQI[Current AQI]=Calculations!S21), ROW(tbl_AQI[District])-MIN(ROW(tbl_AQI[District]))+1), COUNTIF(Calculations!$S$19:S21, S21)))</f>
        <v>Nellore (Area 5)</v>
      </c>
      <c r="S21" s="12">
        <f t="array" ref="S21">LARGE(IF(tbl_AQI[State]=Table19[Selected State/UT], tbl_AQI[Current AQI]), ROW(A3))</f>
        <v>188</v>
      </c>
    </row>
    <row r="22" spans="1:19" x14ac:dyDescent="0.35">
      <c r="A22" t="s">
        <v>2235</v>
      </c>
      <c r="B22" s="13">
        <f>AVERAGEIF(tbl_AQI[State], Sate_Analysis[[#This Row],[State]], tbl_AQI[Current AQI])</f>
        <v>111.92717086834733</v>
      </c>
      <c r="C22" s="12">
        <f>_xlfn.MAXIFS(tbl_AQI[Current AQI], tbl_AQI[State], Sate_Analysis[[#This Row],[State]])</f>
        <v>190</v>
      </c>
      <c r="D22" s="12">
        <f>COUNTIF(tbl_AQI[State], Sate_Analysis[[#This Row],[State]])</f>
        <v>357</v>
      </c>
      <c r="E22" s="14">
        <f>COUNTIFS(tbl_AQI[State], Sate_Analysis[[#This Row],[State]], tbl_AQI[Category], "Severe" )/COUNTIF(tbl_AQI[State], Sate_Analysis[[#This Row],[State]])</f>
        <v>0</v>
      </c>
      <c r="F22" s="19">
        <f>Sate_Analysis[[#This Row],[Avg AQI]]/MAX(Sate_Analysis[Avg AQI])</f>
        <v>0.34528814731020613</v>
      </c>
      <c r="G22" s="12">
        <f>RANK(Sate_Analysis[Avg AQI], Sate_Analysis[Avg AQI], 0)</f>
        <v>17</v>
      </c>
      <c r="K22" s="17" t="s">
        <v>9</v>
      </c>
      <c r="L22" s="12">
        <f>COUNTIFS(tbl_AQI[Major Source of Pollution], Pollution_Source[[#This Row],[Pollution Source]], tbl_AQI[State], Calculations!$L$3)</f>
        <v>11</v>
      </c>
      <c r="M22" s="15">
        <f>IFERROR(AVERAGEIFS(tbl_AQI[Current AQI], tbl_AQI[State], Calculations!$L$3, tbl_AQI[Major Source of Pollution], Pollution_Source[[#This Row],[Pollution Source]]), 0)</f>
        <v>103.27272727272727</v>
      </c>
      <c r="N22" s="34">
        <f>COUNTIFS(tbl_AQI[State], Calculations!$L$3, tbl_AQI[Major Source of Pollution], Pollution_Source[[#This Row],[Pollution Source]])/COUNTIF(tbl_AQI[State], Calculations!$L$3)</f>
        <v>0.12087912087912088</v>
      </c>
      <c r="O22" s="15">
        <f>Pollution_Source[[#This Row],[Avg AQI]]*Pollution_Source[[#This Row],[% Areas Effected]]</f>
        <v>12.483516483516484</v>
      </c>
      <c r="P22" s="13">
        <f>RANK(Pollution_Source[Impact Score], Pollution_Source[Impact Score], 0)</f>
        <v>5</v>
      </c>
      <c r="Q22" s="13"/>
      <c r="R22" t="str">
        <f t="array" ref="R22">INDEX(tbl_AQI[District], SMALL(IF((tbl_AQI[State]=Table19[Selected State/UT])*(tbl_AQI[Current AQI]=Calculations!S22), ROW(tbl_AQI[District])-MIN(ROW(tbl_AQI[District]))+1), COUNTIF(Calculations!$S$19:S22, S22)))</f>
        <v>Krishna (Area 1)</v>
      </c>
      <c r="S22" s="12">
        <f t="array" ref="S22">LARGE(IF(tbl_AQI[State]=Table19[Selected State/UT], tbl_AQI[Current AQI]), ROW(A4))</f>
        <v>183</v>
      </c>
    </row>
    <row r="23" spans="1:19" x14ac:dyDescent="0.35">
      <c r="A23" t="s">
        <v>2593</v>
      </c>
      <c r="B23" s="13">
        <f>AVERAGEIF(tbl_AQI[State], Sate_Analysis[[#This Row],[State]], tbl_AQI[Current AQI])</f>
        <v>108.00396825396825</v>
      </c>
      <c r="C23" s="12">
        <f>_xlfn.MAXIFS(tbl_AQI[Current AQI], tbl_AQI[State], Sate_Analysis[[#This Row],[State]])</f>
        <v>190</v>
      </c>
      <c r="D23" s="12">
        <f>COUNTIF(tbl_AQI[State], Sate_Analysis[[#This Row],[State]])</f>
        <v>252</v>
      </c>
      <c r="E23" s="14">
        <f>COUNTIFS(tbl_AQI[State], Sate_Analysis[[#This Row],[State]], tbl_AQI[Category], "Severe" )/COUNTIF(tbl_AQI[State], Sate_Analysis[[#This Row],[State]])</f>
        <v>0</v>
      </c>
      <c r="F23" s="19">
        <f>Sate_Analysis[[#This Row],[Avg AQI]]/MAX(Sate_Analysis[Avg AQI])</f>
        <v>0.33318531873219376</v>
      </c>
      <c r="G23" s="12">
        <f>RANK(Sate_Analysis[Avg AQI], Sate_Analysis[Avg AQI], 0)</f>
        <v>23</v>
      </c>
      <c r="K23" s="16" t="s">
        <v>11</v>
      </c>
      <c r="L23" s="12">
        <f>COUNTIFS(tbl_AQI[Major Source of Pollution], Pollution_Source[[#This Row],[Pollution Source]], tbl_AQI[State], Calculations!$L$3)</f>
        <v>9</v>
      </c>
      <c r="M23" s="15">
        <f>IFERROR(AVERAGEIFS(tbl_AQI[Current AQI], tbl_AQI[State], Calculations!$L$3, tbl_AQI[Major Source of Pollution], Pollution_Source[[#This Row],[Pollution Source]]), 0)</f>
        <v>94</v>
      </c>
      <c r="N23" s="34">
        <f>COUNTIFS(tbl_AQI[State], Calculations!$L$3, tbl_AQI[Major Source of Pollution], Pollution_Source[[#This Row],[Pollution Source]])/COUNTIF(tbl_AQI[State], Calculations!$L$3)</f>
        <v>9.8901098901098897E-2</v>
      </c>
      <c r="O23" s="15">
        <f>Pollution_Source[[#This Row],[Avg AQI]]*Pollution_Source[[#This Row],[% Areas Effected]]</f>
        <v>9.2967032967032956</v>
      </c>
      <c r="P23" s="13">
        <f>RANK(Pollution_Source[Impact Score], Pollution_Source[Impact Score], 0)</f>
        <v>6</v>
      </c>
      <c r="Q23" s="13"/>
      <c r="R23" t="str">
        <f t="array" ref="R23">INDEX(tbl_AQI[District], SMALL(IF((tbl_AQI[State]=Table19[Selected State/UT])*(tbl_AQI[Current AQI]=Calculations!S23), ROW(tbl_AQI[District])-MIN(ROW(tbl_AQI[District]))+1), COUNTIF(Calculations!$S$19:S23, S23)))</f>
        <v>Krishna (Area 6)</v>
      </c>
      <c r="S23" s="12">
        <f t="array" ref="S23">LARGE(IF(tbl_AQI[State]=Table19[Selected State/UT], tbl_AQI[Current AQI]), ROW(A5))</f>
        <v>182</v>
      </c>
    </row>
    <row r="24" spans="1:19" x14ac:dyDescent="0.35">
      <c r="A24" t="s">
        <v>2839</v>
      </c>
      <c r="B24" s="13">
        <f>AVERAGEIF(tbl_AQI[State], Sate_Analysis[[#This Row],[State]], tbl_AQI[Current AQI])</f>
        <v>113.42857142857143</v>
      </c>
      <c r="C24" s="12">
        <f>_xlfn.MAXIFS(tbl_AQI[Current AQI], tbl_AQI[State], Sate_Analysis[[#This Row],[State]])</f>
        <v>190</v>
      </c>
      <c r="D24" s="12">
        <f>COUNTIF(tbl_AQI[State], Sate_Analysis[[#This Row],[State]])</f>
        <v>112</v>
      </c>
      <c r="E24" s="14">
        <f>COUNTIFS(tbl_AQI[State], Sate_Analysis[[#This Row],[State]], tbl_AQI[Category], "Severe" )/COUNTIF(tbl_AQI[State], Sate_Analysis[[#This Row],[State]])</f>
        <v>0</v>
      </c>
      <c r="F24" s="19">
        <f>Sate_Analysis[[#This Row],[Avg AQI]]/MAX(Sate_Analysis[Avg AQI])</f>
        <v>0.34991987179487183</v>
      </c>
      <c r="G24" s="12">
        <f>RANK(Sate_Analysis[Avg AQI], Sate_Analysis[Avg AQI], 0)</f>
        <v>13</v>
      </c>
      <c r="K24" s="16" t="s">
        <v>7</v>
      </c>
      <c r="L24" s="12">
        <f>COUNTIFS(tbl_AQI[Major Source of Pollution], Pollution_Source[[#This Row],[Pollution Source]], tbl_AQI[State], Calculations!$L$3)</f>
        <v>15</v>
      </c>
      <c r="M24" s="15">
        <f>IFERROR(AVERAGEIFS(tbl_AQI[Current AQI], tbl_AQI[State], Calculations!$L$3, tbl_AQI[Major Source of Pollution], Pollution_Source[[#This Row],[Pollution Source]]), 0)</f>
        <v>133.93333333333334</v>
      </c>
      <c r="N24" s="34">
        <f>COUNTIFS(tbl_AQI[State], Calculations!$L$3, tbl_AQI[Major Source of Pollution], Pollution_Source[[#This Row],[Pollution Source]])/COUNTIF(tbl_AQI[State], Calculations!$L$3)</f>
        <v>0.16483516483516483</v>
      </c>
      <c r="O24" s="15">
        <f>Pollution_Source[[#This Row],[Avg AQI]]*Pollution_Source[[#This Row],[% Areas Effected]]</f>
        <v>22.076923076923077</v>
      </c>
      <c r="P24" s="13">
        <f>RANK(Pollution_Source[Impact Score], Pollution_Source[Impact Score], 0)</f>
        <v>1</v>
      </c>
      <c r="Q24" s="13"/>
      <c r="R24" t="str">
        <f t="array" ref="R24">INDEX(tbl_AQI[District], SMALL(IF((tbl_AQI[State]=Table19[Selected State/UT])*(tbl_AQI[Current AQI]=Calculations!S24), ROW(tbl_AQI[District])-MIN(ROW(tbl_AQI[District]))+1), COUNTIF(Calculations!$S$19:S24, S24)))</f>
        <v>East Godavari (Area 3)</v>
      </c>
      <c r="S24" s="12">
        <f t="array" ref="S24">LARGE(IF(tbl_AQI[State]=Table19[Selected State/UT], tbl_AQI[Current AQI]), ROW(A6))</f>
        <v>181</v>
      </c>
    </row>
    <row r="25" spans="1:19" x14ac:dyDescent="0.35">
      <c r="A25" t="s">
        <v>2952</v>
      </c>
      <c r="B25" s="13">
        <f>AVERAGEIF(tbl_AQI[State], Sate_Analysis[[#This Row],[State]], tbl_AQI[Current AQI])</f>
        <v>98.103896103896105</v>
      </c>
      <c r="C25" s="12">
        <f>_xlfn.MAXIFS(tbl_AQI[Current AQI], tbl_AQI[State], Sate_Analysis[[#This Row],[State]])</f>
        <v>185</v>
      </c>
      <c r="D25" s="12">
        <f>COUNTIF(tbl_AQI[State], Sate_Analysis[[#This Row],[State]])</f>
        <v>77</v>
      </c>
      <c r="E25" s="14">
        <f>COUNTIFS(tbl_AQI[State], Sate_Analysis[[#This Row],[State]], tbl_AQI[Category], "Severe" )/COUNTIF(tbl_AQI[State], Sate_Analysis[[#This Row],[State]])</f>
        <v>0</v>
      </c>
      <c r="F25" s="19">
        <f>Sate_Analysis[[#This Row],[Avg AQI]]/MAX(Sate_Analysis[Avg AQI])</f>
        <v>0.3026442307692308</v>
      </c>
      <c r="G25" s="12">
        <f>RANK(Sate_Analysis[Avg AQI], Sate_Analysis[Avg AQI], 0)</f>
        <v>35</v>
      </c>
      <c r="K25" s="16" t="s">
        <v>33</v>
      </c>
      <c r="L25" s="12">
        <f>COUNTIFS(tbl_AQI[Major Source of Pollution], Pollution_Source[[#This Row],[Pollution Source]], tbl_AQI[State], Calculations!$L$3)</f>
        <v>5</v>
      </c>
      <c r="M25" s="15">
        <f>IFERROR(AVERAGEIFS(tbl_AQI[Current AQI], tbl_AQI[State], Calculations!$L$3, tbl_AQI[Major Source of Pollution], Pollution_Source[[#This Row],[Pollution Source]]), 0)</f>
        <v>92</v>
      </c>
      <c r="N25" s="34">
        <f>COUNTIFS(tbl_AQI[State], Calculations!$L$3, tbl_AQI[Major Source of Pollution], Pollution_Source[[#This Row],[Pollution Source]])/COUNTIF(tbl_AQI[State], Calculations!$L$3)</f>
        <v>5.4945054945054944E-2</v>
      </c>
      <c r="O25" s="15">
        <f>Pollution_Source[[#This Row],[Avg AQI]]*Pollution_Source[[#This Row],[% Areas Effected]]</f>
        <v>5.0549450549450547</v>
      </c>
      <c r="P25" s="13">
        <f>RANK(Pollution_Source[Impact Score], Pollution_Source[Impact Score], 0)</f>
        <v>7</v>
      </c>
      <c r="Q25" s="13"/>
      <c r="R25" t="str">
        <f t="array" ref="R25">INDEX(tbl_AQI[District], SMALL(IF((tbl_AQI[State]=Table19[Selected State/UT])*(tbl_AQI[Current AQI]=Calculations!S25), ROW(tbl_AQI[District])-MIN(ROW(tbl_AQI[District]))+1), COUNTIF(Calculations!$S$19:S25, S25)))</f>
        <v>YSR Kadapa (Area 4)</v>
      </c>
      <c r="S25" s="12">
        <f t="array" ref="S25">LARGE(IF(tbl_AQI[State]=Table19[Selected State/UT], tbl_AQI[Current AQI]), ROW(A7))</f>
        <v>179</v>
      </c>
    </row>
    <row r="26" spans="1:19" x14ac:dyDescent="0.35">
      <c r="A26" t="s">
        <v>3030</v>
      </c>
      <c r="B26" s="13">
        <f>AVERAGEIF(tbl_AQI[State], Sate_Analysis[[#This Row],[State]], tbl_AQI[Current AQI])</f>
        <v>126.78571428571429</v>
      </c>
      <c r="C26" s="12">
        <f>_xlfn.MAXIFS(tbl_AQI[Current AQI], tbl_AQI[State], Sate_Analysis[[#This Row],[State]])</f>
        <v>190</v>
      </c>
      <c r="D26" s="12">
        <f>COUNTIF(tbl_AQI[State], Sate_Analysis[[#This Row],[State]])</f>
        <v>56</v>
      </c>
      <c r="E26" s="14">
        <f>COUNTIFS(tbl_AQI[State], Sate_Analysis[[#This Row],[State]], tbl_AQI[Category], "Severe" )/COUNTIF(tbl_AQI[State], Sate_Analysis[[#This Row],[State]])</f>
        <v>0</v>
      </c>
      <c r="F26" s="19">
        <f>Sate_Analysis[[#This Row],[Avg AQI]]/MAX(Sate_Analysis[Avg AQI])</f>
        <v>0.39112580128205132</v>
      </c>
      <c r="G26" s="12">
        <f>RANK(Sate_Analysis[Avg AQI], Sate_Analysis[Avg AQI], 0)</f>
        <v>10</v>
      </c>
      <c r="R26" t="str">
        <f t="array" ref="R26">INDEX(tbl_AQI[District], SMALL(IF((tbl_AQI[State]=Table19[Selected State/UT])*(tbl_AQI[Current AQI]=Calculations!S26), ROW(tbl_AQI[District])-MIN(ROW(tbl_AQI[District]))+1), COUNTIF(Calculations!$S$19:S26, S26)))</f>
        <v>Kurnool</v>
      </c>
      <c r="S26" s="12">
        <f t="array" ref="S26">LARGE(IF(tbl_AQI[State]=Table19[Selected State/UT], tbl_AQI[Current AQI]), ROW(A8))</f>
        <v>176</v>
      </c>
    </row>
    <row r="27" spans="1:19" x14ac:dyDescent="0.35">
      <c r="A27" t="s">
        <v>3087</v>
      </c>
      <c r="B27" s="13">
        <f>AVERAGEIF(tbl_AQI[State], Sate_Analysis[[#This Row],[State]], tbl_AQI[Current AQI])</f>
        <v>107.02597402597402</v>
      </c>
      <c r="C27" s="12">
        <f>_xlfn.MAXIFS(tbl_AQI[Current AQI], tbl_AQI[State], Sate_Analysis[[#This Row],[State]])</f>
        <v>186</v>
      </c>
      <c r="D27" s="12">
        <f>COUNTIF(tbl_AQI[State], Sate_Analysis[[#This Row],[State]])</f>
        <v>77</v>
      </c>
      <c r="E27" s="14">
        <f>COUNTIFS(tbl_AQI[State], Sate_Analysis[[#This Row],[State]], tbl_AQI[Category], "Severe" )/COUNTIF(tbl_AQI[State], Sate_Analysis[[#This Row],[State]])</f>
        <v>0</v>
      </c>
      <c r="F27" s="19">
        <f>Sate_Analysis[[#This Row],[Avg AQI]]/MAX(Sate_Analysis[Avg AQI])</f>
        <v>0.33016826923076925</v>
      </c>
      <c r="G27" s="12">
        <f>RANK(Sate_Analysis[Avg AQI], Sate_Analysis[Avg AQI], 0)</f>
        <v>28</v>
      </c>
      <c r="R27" t="str">
        <f t="array" ref="R27">INDEX(tbl_AQI[District], SMALL(IF((tbl_AQI[State]=Table19[Selected State/UT])*(tbl_AQI[Current AQI]=Calculations!S27), ROW(tbl_AQI[District])-MIN(ROW(tbl_AQI[District]))+1), COUNTIF(Calculations!$S$19:S27, S27)))</f>
        <v>Vizianagaram (Area 1)</v>
      </c>
      <c r="S27" s="12">
        <f t="array" ref="S27">LARGE(IF(tbl_AQI[State]=Table19[Selected State/UT], tbl_AQI[Current AQI]), ROW(A9))</f>
        <v>175</v>
      </c>
    </row>
    <row r="28" spans="1:19" ht="18.5" x14ac:dyDescent="0.45">
      <c r="A28" t="s">
        <v>3165</v>
      </c>
      <c r="B28" s="13">
        <f>AVERAGEIF(tbl_AQI[State], Sate_Analysis[[#This Row],[State]], tbl_AQI[Current AQI])</f>
        <v>106.95714285714286</v>
      </c>
      <c r="C28" s="12">
        <f>_xlfn.MAXIFS(tbl_AQI[Current AQI], tbl_AQI[State], Sate_Analysis[[#This Row],[State]])</f>
        <v>189</v>
      </c>
      <c r="D28" s="12">
        <f>COUNTIF(tbl_AQI[State], Sate_Analysis[[#This Row],[State]])</f>
        <v>210</v>
      </c>
      <c r="E28" s="14">
        <f>COUNTIFS(tbl_AQI[State], Sate_Analysis[[#This Row],[State]], tbl_AQI[Category], "Severe" )/COUNTIF(tbl_AQI[State], Sate_Analysis[[#This Row],[State]])</f>
        <v>0</v>
      </c>
      <c r="F28" s="19">
        <f>Sate_Analysis[[#This Row],[Avg AQI]]/MAX(Sate_Analysis[Avg AQI])</f>
        <v>0.3299559294871795</v>
      </c>
      <c r="G28" s="12">
        <f>RANK(Sate_Analysis[Avg AQI], Sate_Analysis[Avg AQI], 0)</f>
        <v>29</v>
      </c>
      <c r="K28" s="3" t="s">
        <v>5076</v>
      </c>
      <c r="R28" t="str">
        <f t="array" ref="R28">INDEX(tbl_AQI[District], SMALL(IF((tbl_AQI[State]=Table19[Selected State/UT])*(tbl_AQI[Current AQI]=Calculations!S28), ROW(tbl_AQI[District])-MIN(ROW(tbl_AQI[District]))+1), COUNTIF(Calculations!$S$19:S28, S28)))</f>
        <v>West Godavari</v>
      </c>
      <c r="S28" s="12">
        <f t="array" ref="S28">LARGE(IF(tbl_AQI[State]=Table19[Selected State/UT], tbl_AQI[Current AQI]), ROW(A10))</f>
        <v>175</v>
      </c>
    </row>
    <row r="29" spans="1:19" x14ac:dyDescent="0.35">
      <c r="A29" t="s">
        <v>3376</v>
      </c>
      <c r="B29" s="13">
        <f>AVERAGEIF(tbl_AQI[State], Sate_Analysis[[#This Row],[State]], tbl_AQI[Current AQI])</f>
        <v>106.25</v>
      </c>
      <c r="C29" s="12">
        <f>_xlfn.MAXIFS(tbl_AQI[Current AQI], tbl_AQI[State], Sate_Analysis[[#This Row],[State]])</f>
        <v>190</v>
      </c>
      <c r="D29" s="12">
        <f>COUNTIF(tbl_AQI[State], Sate_Analysis[[#This Row],[State]])</f>
        <v>28</v>
      </c>
      <c r="E29" s="14">
        <f>COUNTIFS(tbl_AQI[State], Sate_Analysis[[#This Row],[State]], tbl_AQI[Category], "Severe" )/COUNTIF(tbl_AQI[State], Sate_Analysis[[#This Row],[State]])</f>
        <v>0</v>
      </c>
      <c r="F29" s="19">
        <f>Sate_Analysis[[#This Row],[Avg AQI]]/MAX(Sate_Analysis[Avg AQI])</f>
        <v>0.3277744391025641</v>
      </c>
      <c r="G29" s="12">
        <f>RANK(Sate_Analysis[Avg AQI], Sate_Analysis[Avg AQI], 0)</f>
        <v>30</v>
      </c>
    </row>
    <row r="30" spans="1:19" ht="15.5" x14ac:dyDescent="0.35">
      <c r="A30" t="s">
        <v>3405</v>
      </c>
      <c r="B30" s="13">
        <f>AVERAGEIF(tbl_AQI[State], Sate_Analysis[[#This Row],[State]], tbl_AQI[Current AQI])</f>
        <v>324.15584415584414</v>
      </c>
      <c r="C30" s="12">
        <f>_xlfn.MAXIFS(tbl_AQI[Current AQI], tbl_AQI[State], Sate_Analysis[[#This Row],[State]])</f>
        <v>478</v>
      </c>
      <c r="D30" s="12">
        <f>COUNTIF(tbl_AQI[State], Sate_Analysis[[#This Row],[State]])</f>
        <v>154</v>
      </c>
      <c r="E30" s="14">
        <f>COUNTIFS(tbl_AQI[State], Sate_Analysis[[#This Row],[State]], tbl_AQI[Category], "Severe" )/COUNTIF(tbl_AQI[State], Sate_Analysis[[#This Row],[State]])</f>
        <v>0.2857142857142857</v>
      </c>
      <c r="F30" s="19">
        <f>Sate_Analysis[[#This Row],[Avg AQI]]/MAX(Sate_Analysis[Avg AQI])</f>
        <v>1</v>
      </c>
      <c r="G30" s="12">
        <f>RANK(Sate_Analysis[Avg AQI], Sate_Analysis[Avg AQI], 0)</f>
        <v>1</v>
      </c>
      <c r="K30" s="4" t="s">
        <v>5067</v>
      </c>
      <c r="L30" s="4" t="s">
        <v>5085</v>
      </c>
      <c r="M30" s="4" t="s">
        <v>5077</v>
      </c>
      <c r="N30" s="4" t="s">
        <v>5078</v>
      </c>
      <c r="O30" s="4" t="s">
        <v>5095</v>
      </c>
      <c r="P30" s="4" t="s">
        <v>5099</v>
      </c>
    </row>
    <row r="31" spans="1:19" x14ac:dyDescent="0.35">
      <c r="A31" t="s">
        <v>3560</v>
      </c>
      <c r="B31" s="13">
        <f>AVERAGEIF(tbl_AQI[State], Sate_Analysis[[#This Row],[State]], tbl_AQI[Current AQI])</f>
        <v>310.88311688311688</v>
      </c>
      <c r="C31" s="12">
        <f>_xlfn.MAXIFS(tbl_AQI[Current AQI], tbl_AQI[State], Sate_Analysis[[#This Row],[State]])</f>
        <v>479</v>
      </c>
      <c r="D31" s="12">
        <f>COUNTIF(tbl_AQI[State], Sate_Analysis[[#This Row],[State]])</f>
        <v>231</v>
      </c>
      <c r="E31" s="14">
        <f>COUNTIFS(tbl_AQI[State], Sate_Analysis[[#This Row],[State]], tbl_AQI[Category], "Severe" )/COUNTIF(tbl_AQI[State], Sate_Analysis[[#This Row],[State]])</f>
        <v>0.24675324675324675</v>
      </c>
      <c r="F31" s="19">
        <f>Sate_Analysis[[#This Row],[Avg AQI]]/MAX(Sate_Analysis[Avg AQI])</f>
        <v>0.95905448717948727</v>
      </c>
      <c r="G31" s="12">
        <f>RANK(Sate_Analysis[Avg AQI], Sate_Analysis[Avg AQI], 0)</f>
        <v>7</v>
      </c>
      <c r="K31" s="16" t="s">
        <v>5079</v>
      </c>
      <c r="L31" s="12" t="s">
        <v>5086</v>
      </c>
      <c r="M31" s="12">
        <f>COUNTIFS(tbl_AQI[State], Calculations!$L$3, tbl_AQI[Category], Category_Distribution[[#This Row],[Category]])</f>
        <v>0</v>
      </c>
      <c r="N31" s="13" t="str">
        <f>IFERROR(AVERAGEIFS(tbl_AQI[Current AQI], tbl_AQI[State], Calculations!$L$3, tbl_AQI[Category], Category_Distribution[[#This Row],[Category]]), "N/A")</f>
        <v>N/A</v>
      </c>
      <c r="O31" s="14">
        <f>Category_Distribution[[#This Row],[District count]]/SUM(Category_Distribution[District count])</f>
        <v>0</v>
      </c>
      <c r="P31" s="18">
        <f>SUM($O$31:Category_Distribution[[#This Row],[% Areas]])</f>
        <v>0</v>
      </c>
      <c r="Q31" s="18"/>
    </row>
    <row r="32" spans="1:19" x14ac:dyDescent="0.35">
      <c r="A32" t="s">
        <v>3792</v>
      </c>
      <c r="B32" s="13">
        <f>AVERAGEIF(tbl_AQI[State], Sate_Analysis[[#This Row],[State]], tbl_AQI[Current AQI])</f>
        <v>102.96428571428571</v>
      </c>
      <c r="C32" s="12">
        <f>_xlfn.MAXIFS(tbl_AQI[Current AQI], tbl_AQI[State], Sate_Analysis[[#This Row],[State]])</f>
        <v>190</v>
      </c>
      <c r="D32" s="12">
        <f>COUNTIF(tbl_AQI[State], Sate_Analysis[[#This Row],[State]])</f>
        <v>28</v>
      </c>
      <c r="E32" s="14">
        <f>COUNTIFS(tbl_AQI[State], Sate_Analysis[[#This Row],[State]], tbl_AQI[Category], "Severe" )/COUNTIF(tbl_AQI[State], Sate_Analysis[[#This Row],[State]])</f>
        <v>0</v>
      </c>
      <c r="F32" s="19">
        <f>Sate_Analysis[[#This Row],[Avg AQI]]/MAX(Sate_Analysis[Avg AQI])</f>
        <v>0.31763822115384616</v>
      </c>
      <c r="G32" s="12">
        <f>RANK(Sate_Analysis[Avg AQI], Sate_Analysis[Avg AQI], 0)</f>
        <v>33</v>
      </c>
      <c r="K32" s="16" t="s">
        <v>5080</v>
      </c>
      <c r="L32" s="12" t="s">
        <v>5087</v>
      </c>
      <c r="M32" s="12">
        <f>COUNTIFS(tbl_AQI[State], Calculations!$L$3, tbl_AQI[Category], Category_Distribution[[#This Row],[Category]])</f>
        <v>0</v>
      </c>
      <c r="N32" s="13" t="str">
        <f>IFERROR(AVERAGEIFS(tbl_AQI[Current AQI], tbl_AQI[State], Calculations!$L$3, tbl_AQI[Category], Category_Distribution[[#This Row],[Category]]), "N/A")</f>
        <v>N/A</v>
      </c>
      <c r="O32" s="14">
        <f>Category_Distribution[[#This Row],[District count]]/SUM(Category_Distribution[District count])</f>
        <v>0</v>
      </c>
      <c r="P32" s="18">
        <f>SUM($O$31:Category_Distribution[[#This Row],[% Areas]])</f>
        <v>0</v>
      </c>
      <c r="Q32" s="18"/>
    </row>
    <row r="33" spans="1:17" x14ac:dyDescent="0.35">
      <c r="A33" t="s">
        <v>3821</v>
      </c>
      <c r="B33" s="13">
        <f>AVERAGEIF(tbl_AQI[State], Sate_Analysis[[#This Row],[State]], tbl_AQI[Current AQI])</f>
        <v>107.81696428571429</v>
      </c>
      <c r="C33" s="12">
        <f>_xlfn.MAXIFS(tbl_AQI[Current AQI], tbl_AQI[State], Sate_Analysis[[#This Row],[State]])</f>
        <v>190</v>
      </c>
      <c r="D33" s="12">
        <f>COUNTIF(tbl_AQI[State], Sate_Analysis[[#This Row],[State]])</f>
        <v>224</v>
      </c>
      <c r="E33" s="14">
        <f>COUNTIFS(tbl_AQI[State], Sate_Analysis[[#This Row],[State]], tbl_AQI[Category], "Severe" )/COUNTIF(tbl_AQI[State], Sate_Analysis[[#This Row],[State]])</f>
        <v>0</v>
      </c>
      <c r="F33" s="19">
        <f>Sate_Analysis[[#This Row],[Avg AQI]]/MAX(Sate_Analysis[Avg AQI])</f>
        <v>0.33260842347756414</v>
      </c>
      <c r="G33" s="12">
        <f>RANK(Sate_Analysis[Avg AQI], Sate_Analysis[Avg AQI], 0)</f>
        <v>25</v>
      </c>
      <c r="K33" s="16" t="s">
        <v>5081</v>
      </c>
      <c r="L33" s="12" t="s">
        <v>5088</v>
      </c>
      <c r="M33" s="12">
        <f>COUNTIFS(tbl_AQI[State], Calculations!$L$3, tbl_AQI[Category], Category_Distribution[[#This Row],[Category]])</f>
        <v>0</v>
      </c>
      <c r="N33" s="13" t="str">
        <f>IFERROR(AVERAGEIFS(tbl_AQI[Current AQI], tbl_AQI[State], Calculations!$L$3, tbl_AQI[Category], Category_Distribution[[#This Row],[Category]]), "N/A")</f>
        <v>N/A</v>
      </c>
      <c r="O33" s="14">
        <f>Category_Distribution[[#This Row],[District count]]/SUM(Category_Distribution[District count])</f>
        <v>0</v>
      </c>
      <c r="P33" s="18">
        <f>SUM($O$31:Category_Distribution[[#This Row],[% Areas]])</f>
        <v>0</v>
      </c>
      <c r="Q33" s="18"/>
    </row>
    <row r="34" spans="1:17" x14ac:dyDescent="0.35">
      <c r="A34" t="s">
        <v>4046</v>
      </c>
      <c r="B34" s="13">
        <f>AVERAGEIF(tbl_AQI[State], Sate_Analysis[[#This Row],[State]], tbl_AQI[Current AQI])</f>
        <v>109.92626728110599</v>
      </c>
      <c r="C34" s="12">
        <f>_xlfn.MAXIFS(tbl_AQI[Current AQI], tbl_AQI[State], Sate_Analysis[[#This Row],[State]])</f>
        <v>190</v>
      </c>
      <c r="D34" s="12">
        <f>COUNTIF(tbl_AQI[State], Sate_Analysis[[#This Row],[State]])</f>
        <v>217</v>
      </c>
      <c r="E34" s="14">
        <f>COUNTIFS(tbl_AQI[State], Sate_Analysis[[#This Row],[State]], tbl_AQI[Category], "Severe" )/COUNTIF(tbl_AQI[State], Sate_Analysis[[#This Row],[State]])</f>
        <v>0</v>
      </c>
      <c r="F34" s="19">
        <f>Sate_Analysis[[#This Row],[Avg AQI]]/MAX(Sate_Analysis[Avg AQI])</f>
        <v>0.33911548800661706</v>
      </c>
      <c r="G34" s="12">
        <f>RANK(Sate_Analysis[Avg AQI], Sate_Analysis[Avg AQI], 0)</f>
        <v>21</v>
      </c>
      <c r="K34" s="16" t="s">
        <v>5082</v>
      </c>
      <c r="L34" s="12" t="s">
        <v>5089</v>
      </c>
      <c r="M34" s="12">
        <f>COUNTIFS(tbl_AQI[State], Calculations!$L$3, tbl_AQI[Category], Category_Distribution[[#This Row],[Category]])</f>
        <v>48</v>
      </c>
      <c r="N34" s="13">
        <f>IFERROR(AVERAGEIFS(tbl_AQI[Current AQI], tbl_AQI[State], Calculations!$L$3, tbl_AQI[Category], Category_Distribution[[#This Row],[Category]]), "N/A")</f>
        <v>147.08333333333334</v>
      </c>
      <c r="O34" s="14">
        <f>Category_Distribution[[#This Row],[District count]]/SUM(Category_Distribution[District count])</f>
        <v>0.52747252747252749</v>
      </c>
      <c r="P34" s="18">
        <f>SUM($O$31:Category_Distribution[[#This Row],[% Areas]])</f>
        <v>0.52747252747252749</v>
      </c>
      <c r="Q34" s="18"/>
    </row>
    <row r="35" spans="1:17" x14ac:dyDescent="0.35">
      <c r="A35" t="s">
        <v>4264</v>
      </c>
      <c r="B35" s="13">
        <f>AVERAGEIF(tbl_AQI[State], Sate_Analysis[[#This Row],[State]], tbl_AQI[Current AQI])</f>
        <v>105.89285714285714</v>
      </c>
      <c r="C35" s="12">
        <f>_xlfn.MAXIFS(tbl_AQI[Current AQI], tbl_AQI[State], Sate_Analysis[[#This Row],[State]])</f>
        <v>190</v>
      </c>
      <c r="D35" s="12">
        <f>COUNTIF(tbl_AQI[State], Sate_Analysis[[#This Row],[State]])</f>
        <v>56</v>
      </c>
      <c r="E35" s="14">
        <f>COUNTIFS(tbl_AQI[State], Sate_Analysis[[#This Row],[State]], tbl_AQI[Category], "Severe" )/COUNTIF(tbl_AQI[State], Sate_Analysis[[#This Row],[State]])</f>
        <v>0</v>
      </c>
      <c r="F35" s="19">
        <f>Sate_Analysis[[#This Row],[Avg AQI]]/MAX(Sate_Analysis[Avg AQI])</f>
        <v>0.32667267628205127</v>
      </c>
      <c r="G35" s="12">
        <f>RANK(Sate_Analysis[Avg AQI], Sate_Analysis[Avg AQI], 0)</f>
        <v>31</v>
      </c>
      <c r="K35" s="16" t="s">
        <v>5083</v>
      </c>
      <c r="L35" s="12" t="s">
        <v>5090</v>
      </c>
      <c r="M35" s="12">
        <f>COUNTIFS(tbl_AQI[State], Calculations!$L$3, tbl_AQI[Category], Category_Distribution[[#This Row],[Category]])</f>
        <v>29</v>
      </c>
      <c r="N35" s="13">
        <f>IFERROR(AVERAGEIFS(tbl_AQI[Current AQI], tbl_AQI[State], Calculations!$L$3, tbl_AQI[Category], Category_Distribution[[#This Row],[Category]]), "N/A")</f>
        <v>72.34482758620689</v>
      </c>
      <c r="O35" s="14">
        <f>Category_Distribution[[#This Row],[District count]]/SUM(Category_Distribution[District count])</f>
        <v>0.31868131868131866</v>
      </c>
      <c r="P35" s="18">
        <f>SUM($O$31:Category_Distribution[[#This Row],[% Areas]])</f>
        <v>0.84615384615384615</v>
      </c>
      <c r="Q35" s="18"/>
    </row>
    <row r="36" spans="1:17" x14ac:dyDescent="0.35">
      <c r="A36" t="s">
        <v>4413</v>
      </c>
      <c r="B36" s="13">
        <f>AVERAGEIF(tbl_AQI[State], Sate_Analysis[[#This Row],[State]], tbl_AQI[Current AQI])</f>
        <v>318.14285714285717</v>
      </c>
      <c r="C36" s="12">
        <f>_xlfn.MAXIFS(tbl_AQI[Current AQI], tbl_AQI[State], Sate_Analysis[[#This Row],[State]])</f>
        <v>480</v>
      </c>
      <c r="D36" s="12">
        <f>COUNTIF(tbl_AQI[State], Sate_Analysis[[#This Row],[State]])</f>
        <v>525</v>
      </c>
      <c r="E36" s="14">
        <f>COUNTIFS(tbl_AQI[State], Sate_Analysis[[#This Row],[State]], tbl_AQI[Category], "Severe" )/COUNTIF(tbl_AQI[State], Sate_Analysis[[#This Row],[State]])</f>
        <v>0.23428571428571429</v>
      </c>
      <c r="F36" s="19">
        <f>Sate_Analysis[[#This Row],[Avg AQI]]/MAX(Sate_Analysis[Avg AQI])</f>
        <v>0.98145032051282066</v>
      </c>
      <c r="G36" s="12">
        <f>RANK(Sate_Analysis[Avg AQI], Sate_Analysis[Avg AQI], 0)</f>
        <v>3</v>
      </c>
      <c r="K36" s="16" t="s">
        <v>5084</v>
      </c>
      <c r="L36" s="12" t="s">
        <v>5091</v>
      </c>
      <c r="M36" s="12">
        <f>COUNTIFS(tbl_AQI[State], Calculations!$L$3, tbl_AQI[Category], Category_Distribution[[#This Row],[Category]])</f>
        <v>14</v>
      </c>
      <c r="N36" s="13">
        <f>IFERROR(AVERAGEIFS(tbl_AQI[Current AQI], tbl_AQI[State], Calculations!$L$3, tbl_AQI[Category], Category_Distribution[[#This Row],[Category]]), "N/A")</f>
        <v>42</v>
      </c>
      <c r="O36" s="14">
        <f>Category_Distribution[[#This Row],[District count]]/SUM(Category_Distribution[District count])</f>
        <v>0.15384615384615385</v>
      </c>
      <c r="P36" s="18">
        <f>SUM($O$31:Category_Distribution[[#This Row],[% Areas]])</f>
        <v>1</v>
      </c>
      <c r="Q36" s="18"/>
    </row>
    <row r="37" spans="1:17" x14ac:dyDescent="0.35">
      <c r="A37" t="s">
        <v>4321</v>
      </c>
      <c r="B37" s="13">
        <f>AVERAGEIF(tbl_AQI[State], Sate_Analysis[[#This Row],[State]], tbl_AQI[Current AQI])</f>
        <v>110.36263736263736</v>
      </c>
      <c r="C37" s="12">
        <f>_xlfn.MAXIFS(tbl_AQI[Current AQI], tbl_AQI[State], Sate_Analysis[[#This Row],[State]])</f>
        <v>183</v>
      </c>
      <c r="D37" s="12">
        <f>COUNTIF(tbl_AQI[State], Sate_Analysis[[#This Row],[State]])</f>
        <v>91</v>
      </c>
      <c r="E37" s="14">
        <f>COUNTIFS(tbl_AQI[State], Sate_Analysis[[#This Row],[State]], tbl_AQI[Category], "Severe" )/COUNTIF(tbl_AQI[State], Sate_Analysis[[#This Row],[State]])</f>
        <v>0</v>
      </c>
      <c r="F37" s="19">
        <f>Sate_Analysis[[#This Row],[Avg AQI]]/MAX(Sate_Analysis[Avg AQI])</f>
        <v>0.34046166173570019</v>
      </c>
      <c r="G37" s="12">
        <f>RANK(Sate_Analysis[Avg AQI], Sate_Analysis[Avg AQI], 0)</f>
        <v>20</v>
      </c>
    </row>
    <row r="38" spans="1:17" x14ac:dyDescent="0.35">
      <c r="A38" t="s">
        <v>4918</v>
      </c>
      <c r="B38" s="13">
        <f>AVERAGEIF(tbl_AQI[State], Sate_Analysis[[#This Row],[State]], tbl_AQI[Current AQI])</f>
        <v>112.18367346938776</v>
      </c>
      <c r="C38" s="12">
        <f>_xlfn.MAXIFS(tbl_AQI[Current AQI], tbl_AQI[State], Sate_Analysis[[#This Row],[State]])</f>
        <v>190</v>
      </c>
      <c r="D38" s="12">
        <f>COUNTIF(tbl_AQI[State], Sate_Analysis[[#This Row],[State]])</f>
        <v>147</v>
      </c>
      <c r="E38" s="14">
        <f>COUNTIFS(tbl_AQI[State], Sate_Analysis[[#This Row],[State]], tbl_AQI[Category], "Severe" )/COUNTIF(tbl_AQI[State], Sate_Analysis[[#This Row],[State]])</f>
        <v>0</v>
      </c>
      <c r="F38" s="19">
        <f>Sate_Analysis[[#This Row],[Avg AQI]]/MAX(Sate_Analysis[Avg AQI])</f>
        <v>0.34607944139194141</v>
      </c>
      <c r="G38" s="12">
        <f>RANK(Sate_Analysis[Avg AQI], Sate_Analysis[Avg AQI], 0)</f>
        <v>16</v>
      </c>
    </row>
  </sheetData>
  <mergeCells count="3">
    <mergeCell ref="R1:S1"/>
    <mergeCell ref="N1:O1"/>
    <mergeCell ref="R16:S16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C93F-0202-41ED-8A0A-59F3BFC2FFD4}">
  <dimension ref="A1:B11"/>
  <sheetViews>
    <sheetView showGridLines="0" workbookViewId="0">
      <selection activeCell="G15" sqref="G15"/>
    </sheetView>
  </sheetViews>
  <sheetFormatPr defaultRowHeight="14.5" x14ac:dyDescent="0.35"/>
  <cols>
    <col min="1" max="1" width="17.54296875" bestFit="1" customWidth="1"/>
    <col min="2" max="3" width="14.6328125" bestFit="1" customWidth="1"/>
    <col min="4" max="35" width="24.7265625" bestFit="1" customWidth="1"/>
    <col min="36" max="36" width="10.7265625" bestFit="1" customWidth="1"/>
  </cols>
  <sheetData>
    <row r="1" spans="1:2" x14ac:dyDescent="0.35">
      <c r="A1" s="6" t="s">
        <v>0</v>
      </c>
      <c r="B1" t="s">
        <v>5120</v>
      </c>
    </row>
    <row r="3" spans="1:2" x14ac:dyDescent="0.35">
      <c r="A3" s="6" t="s">
        <v>5102</v>
      </c>
      <c r="B3" t="s">
        <v>5104</v>
      </c>
    </row>
    <row r="4" spans="1:2" x14ac:dyDescent="0.35">
      <c r="A4" s="7" t="s">
        <v>21</v>
      </c>
      <c r="B4">
        <v>809</v>
      </c>
    </row>
    <row r="5" spans="1:2" x14ac:dyDescent="0.35">
      <c r="A5" s="7" t="s">
        <v>17</v>
      </c>
      <c r="B5">
        <v>757</v>
      </c>
    </row>
    <row r="6" spans="1:2" x14ac:dyDescent="0.35">
      <c r="A6" s="7" t="s">
        <v>15</v>
      </c>
      <c r="B6">
        <v>660</v>
      </c>
    </row>
    <row r="7" spans="1:2" x14ac:dyDescent="0.35">
      <c r="A7" s="7" t="s">
        <v>9</v>
      </c>
      <c r="B7">
        <v>842</v>
      </c>
    </row>
    <row r="8" spans="1:2" x14ac:dyDescent="0.35">
      <c r="A8" s="7" t="s">
        <v>11</v>
      </c>
      <c r="B8">
        <v>586</v>
      </c>
    </row>
    <row r="9" spans="1:2" x14ac:dyDescent="0.35">
      <c r="A9" s="7" t="s">
        <v>7</v>
      </c>
      <c r="B9">
        <v>769</v>
      </c>
    </row>
    <row r="10" spans="1:2" x14ac:dyDescent="0.35">
      <c r="A10" s="7" t="s">
        <v>33</v>
      </c>
      <c r="B10">
        <v>631</v>
      </c>
    </row>
    <row r="11" spans="1:2" x14ac:dyDescent="0.35">
      <c r="A11" s="7" t="s">
        <v>5103</v>
      </c>
      <c r="B11">
        <v>5054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491B-B707-40C3-8E9E-3355985DA648}">
  <dimension ref="A1:K10"/>
  <sheetViews>
    <sheetView showGridLines="0" workbookViewId="0">
      <selection activeCell="O13" sqref="O13"/>
    </sheetView>
  </sheetViews>
  <sheetFormatPr defaultRowHeight="14.5" x14ac:dyDescent="0.35"/>
  <cols>
    <col min="1" max="1" width="12.36328125" bestFit="1" customWidth="1"/>
    <col min="2" max="2" width="14.6328125" bestFit="1" customWidth="1"/>
    <col min="10" max="10" width="10.453125" bestFit="1" customWidth="1"/>
  </cols>
  <sheetData>
    <row r="1" spans="1:11" x14ac:dyDescent="0.35">
      <c r="A1" s="6" t="s">
        <v>0</v>
      </c>
      <c r="B1" t="s">
        <v>5120</v>
      </c>
    </row>
    <row r="2" spans="1:11" x14ac:dyDescent="0.35">
      <c r="J2" s="29" t="s">
        <v>5079</v>
      </c>
      <c r="K2">
        <f t="shared" ref="K2:K7" si="0">VLOOKUP(J2,A:B,2,0)</f>
        <v>391</v>
      </c>
    </row>
    <row r="3" spans="1:11" x14ac:dyDescent="0.35">
      <c r="A3" s="6" t="s">
        <v>5102</v>
      </c>
      <c r="B3" t="s">
        <v>5104</v>
      </c>
      <c r="J3" s="30" t="s">
        <v>5080</v>
      </c>
      <c r="K3">
        <f t="shared" si="0"/>
        <v>459</v>
      </c>
    </row>
    <row r="4" spans="1:11" x14ac:dyDescent="0.35">
      <c r="A4" s="7" t="s">
        <v>5082</v>
      </c>
      <c r="B4">
        <v>2224</v>
      </c>
      <c r="J4" s="29" t="s">
        <v>5081</v>
      </c>
      <c r="K4">
        <f t="shared" si="0"/>
        <v>460</v>
      </c>
    </row>
    <row r="5" spans="1:11" x14ac:dyDescent="0.35">
      <c r="A5" s="7" t="s">
        <v>5083</v>
      </c>
      <c r="B5">
        <v>1061</v>
      </c>
      <c r="J5" s="30" t="s">
        <v>5082</v>
      </c>
      <c r="K5">
        <f t="shared" si="0"/>
        <v>2224</v>
      </c>
    </row>
    <row r="6" spans="1:11" x14ac:dyDescent="0.35">
      <c r="A6" s="7" t="s">
        <v>5081</v>
      </c>
      <c r="B6">
        <v>460</v>
      </c>
      <c r="J6" s="29" t="s">
        <v>5083</v>
      </c>
      <c r="K6">
        <f t="shared" si="0"/>
        <v>1061</v>
      </c>
    </row>
    <row r="7" spans="1:11" x14ac:dyDescent="0.35">
      <c r="A7" s="7" t="s">
        <v>5084</v>
      </c>
      <c r="B7">
        <v>459</v>
      </c>
      <c r="J7" s="30" t="s">
        <v>5084</v>
      </c>
      <c r="K7">
        <f t="shared" si="0"/>
        <v>459</v>
      </c>
    </row>
    <row r="8" spans="1:11" x14ac:dyDescent="0.35">
      <c r="A8" s="7" t="s">
        <v>5080</v>
      </c>
      <c r="B8">
        <v>459</v>
      </c>
    </row>
    <row r="9" spans="1:11" x14ac:dyDescent="0.35">
      <c r="A9" s="7" t="s">
        <v>5079</v>
      </c>
      <c r="B9">
        <v>391</v>
      </c>
    </row>
    <row r="10" spans="1:11" x14ac:dyDescent="0.35">
      <c r="A10" s="7" t="s">
        <v>5103</v>
      </c>
      <c r="B10">
        <v>5054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EA8A-581F-4D8F-94C5-615D487644E4}">
  <sheetPr codeName="Sheet5"/>
  <dimension ref="A1:S46"/>
  <sheetViews>
    <sheetView showGridLines="0" tabSelected="1" zoomScale="60" workbookViewId="0">
      <selection activeCell="X15" sqref="X15"/>
    </sheetView>
  </sheetViews>
  <sheetFormatPr defaultRowHeight="14.5" x14ac:dyDescent="0.35"/>
  <cols>
    <col min="13" max="13" width="8.7265625" customWidth="1"/>
    <col min="14" max="14" width="8.6328125" customWidth="1"/>
    <col min="15" max="15" width="9.7265625" customWidth="1"/>
    <col min="16" max="17" width="8.6328125" customWidth="1"/>
  </cols>
  <sheetData>
    <row r="1" spans="1:19" ht="14.5" customHeight="1" x14ac:dyDescent="0.35">
      <c r="A1" s="37" t="s">
        <v>5100</v>
      </c>
      <c r="B1" s="37"/>
      <c r="C1" s="37"/>
      <c r="D1" s="37"/>
      <c r="E1" s="41" t="s">
        <v>5109</v>
      </c>
      <c r="F1" s="41"/>
      <c r="G1" s="41"/>
      <c r="H1" s="41" t="s">
        <v>5110</v>
      </c>
      <c r="I1" s="41"/>
      <c r="J1" s="41"/>
      <c r="K1" s="41" t="s">
        <v>5069</v>
      </c>
      <c r="L1" s="41"/>
      <c r="M1" s="41"/>
      <c r="N1" s="41" t="s">
        <v>5114</v>
      </c>
      <c r="O1" s="41"/>
      <c r="P1" s="41"/>
      <c r="Q1" s="41" t="s">
        <v>5130</v>
      </c>
      <c r="R1" s="41"/>
      <c r="S1" s="41"/>
    </row>
    <row r="2" spans="1:19" ht="14.5" customHeight="1" x14ac:dyDescent="0.35">
      <c r="A2" s="37"/>
      <c r="B2" s="37"/>
      <c r="C2" s="37"/>
      <c r="D2" s="37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19" ht="14.5" customHeight="1" x14ac:dyDescent="0.35">
      <c r="A3" s="37"/>
      <c r="B3" s="37"/>
      <c r="C3" s="37"/>
      <c r="D3" s="37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19" ht="14.5" customHeight="1" x14ac:dyDescent="0.35">
      <c r="A4" s="38"/>
      <c r="B4" s="38"/>
      <c r="C4" s="38"/>
      <c r="D4" s="38"/>
      <c r="E4" s="39" t="s">
        <v>4</v>
      </c>
      <c r="F4" s="39"/>
      <c r="G4" s="39"/>
      <c r="H4" s="40" t="str">
        <f>Calculations!$L$8</f>
        <v>Vehicle</v>
      </c>
      <c r="I4" s="40"/>
      <c r="J4" s="54" t="s">
        <v>5112</v>
      </c>
      <c r="K4" s="54"/>
      <c r="L4" s="54"/>
      <c r="M4" s="55" t="str">
        <f>Calculations!$L$12</f>
        <v>Cleanest State</v>
      </c>
      <c r="N4" s="55"/>
      <c r="O4" s="56" t="s">
        <v>5113</v>
      </c>
      <c r="P4" s="56"/>
      <c r="Q4" s="56"/>
      <c r="R4" s="55" t="str">
        <f>Calculations!$L$11</f>
        <v>Anantapur (Area 6)</v>
      </c>
      <c r="S4" s="55"/>
    </row>
    <row r="5" spans="1:19" ht="14.5" customHeight="1" x14ac:dyDescent="0.35">
      <c r="A5" s="38"/>
      <c r="B5" s="38"/>
      <c r="C5" s="38"/>
      <c r="D5" s="38"/>
      <c r="E5" s="39"/>
      <c r="F5" s="39"/>
      <c r="G5" s="39"/>
      <c r="H5" s="40"/>
      <c r="I5" s="40"/>
      <c r="J5" s="54"/>
      <c r="K5" s="54"/>
      <c r="L5" s="54"/>
      <c r="M5" s="55"/>
      <c r="N5" s="55"/>
      <c r="O5" s="56"/>
      <c r="P5" s="56"/>
      <c r="Q5" s="56"/>
      <c r="R5" s="55"/>
      <c r="S5" s="55"/>
    </row>
    <row r="7" spans="1:19" ht="18.5" x14ac:dyDescent="0.35">
      <c r="K7" s="45" t="s">
        <v>5118</v>
      </c>
      <c r="L7" s="45"/>
      <c r="M7" s="45"/>
      <c r="N7" s="45"/>
      <c r="P7" s="45" t="s">
        <v>5118</v>
      </c>
      <c r="Q7" s="45"/>
      <c r="R7" s="45"/>
      <c r="S7" s="45"/>
    </row>
    <row r="8" spans="1:19" ht="15" thickBot="1" x14ac:dyDescent="0.4"/>
    <row r="9" spans="1:19" ht="14.5" customHeight="1" thickBot="1" x14ac:dyDescent="0.4">
      <c r="K9" s="46" t="s">
        <v>5119</v>
      </c>
      <c r="L9" s="47"/>
      <c r="M9" s="43" t="s">
        <v>5115</v>
      </c>
      <c r="N9" s="43"/>
      <c r="P9" s="48" t="s">
        <v>5119</v>
      </c>
      <c r="Q9" s="48"/>
      <c r="R9" s="48" t="s">
        <v>5115</v>
      </c>
      <c r="S9" s="48"/>
    </row>
    <row r="10" spans="1:19" ht="15" customHeight="1" thickBot="1" x14ac:dyDescent="0.4">
      <c r="K10" s="44" t="str">
        <f>Calculations!R19</f>
        <v>Anantapur</v>
      </c>
      <c r="L10" s="44"/>
      <c r="M10" s="42">
        <f>Calculations!S19</f>
        <v>190</v>
      </c>
      <c r="N10" s="42"/>
      <c r="P10" s="49" t="str">
        <f>Calculations!R4</f>
        <v>Nellore (Area 4)</v>
      </c>
      <c r="Q10" s="49"/>
      <c r="R10" s="50">
        <f>Calculations!S4</f>
        <v>32</v>
      </c>
      <c r="S10" s="50"/>
    </row>
    <row r="11" spans="1:19" ht="14.5" customHeight="1" thickBot="1" x14ac:dyDescent="0.4">
      <c r="K11" s="44" t="str">
        <f>Calculations!R20</f>
        <v>West Godavari (Area 3)</v>
      </c>
      <c r="L11" s="44"/>
      <c r="M11" s="42">
        <f>Calculations!S20</f>
        <v>189</v>
      </c>
      <c r="N11" s="42"/>
      <c r="P11" s="49" t="str">
        <f>Calculations!R5</f>
        <v>Anantapur (Area 6)</v>
      </c>
      <c r="Q11" s="49"/>
      <c r="R11" s="50">
        <f>Calculations!S5</f>
        <v>34</v>
      </c>
      <c r="S11" s="50"/>
    </row>
    <row r="12" spans="1:19" ht="14.5" customHeight="1" thickBot="1" x14ac:dyDescent="0.4">
      <c r="K12" s="44" t="str">
        <f>Calculations!R21</f>
        <v>Nellore (Area 5)</v>
      </c>
      <c r="L12" s="44"/>
      <c r="M12" s="42">
        <f>Calculations!S21</f>
        <v>188</v>
      </c>
      <c r="N12" s="42"/>
      <c r="P12" s="49" t="str">
        <f>Calculations!R6</f>
        <v>Krishna (Area 4)</v>
      </c>
      <c r="Q12" s="49"/>
      <c r="R12" s="50">
        <f>Calculations!S6</f>
        <v>38</v>
      </c>
      <c r="S12" s="50"/>
    </row>
    <row r="13" spans="1:19" ht="14.5" customHeight="1" thickBot="1" x14ac:dyDescent="0.4">
      <c r="K13" s="44" t="str">
        <f>Calculations!R22</f>
        <v>Krishna (Area 1)</v>
      </c>
      <c r="L13" s="44"/>
      <c r="M13" s="42">
        <f>Calculations!S22</f>
        <v>183</v>
      </c>
      <c r="N13" s="42"/>
      <c r="P13" s="49" t="str">
        <f>Calculations!R7</f>
        <v>Nellore (Area 3)</v>
      </c>
      <c r="Q13" s="49"/>
      <c r="R13" s="50">
        <f>Calculations!S7</f>
        <v>38</v>
      </c>
      <c r="S13" s="50"/>
    </row>
    <row r="14" spans="1:19" ht="14.5" customHeight="1" thickBot="1" x14ac:dyDescent="0.4">
      <c r="K14" s="44" t="str">
        <f>Calculations!R23</f>
        <v>Krishna (Area 6)</v>
      </c>
      <c r="L14" s="44"/>
      <c r="M14" s="42">
        <f>Calculations!S23</f>
        <v>182</v>
      </c>
      <c r="N14" s="42"/>
      <c r="P14" s="49" t="str">
        <f>Calculations!R8</f>
        <v>Anantapur (Area 5)</v>
      </c>
      <c r="Q14" s="49"/>
      <c r="R14" s="50">
        <f>Calculations!S8</f>
        <v>39</v>
      </c>
      <c r="S14" s="50"/>
    </row>
    <row r="15" spans="1:19" ht="14.5" customHeight="1" thickBot="1" x14ac:dyDescent="0.4">
      <c r="K15" s="44" t="str">
        <f>Calculations!R24</f>
        <v>East Godavari (Area 3)</v>
      </c>
      <c r="L15" s="44"/>
      <c r="M15" s="42">
        <f>Calculations!S24</f>
        <v>181</v>
      </c>
      <c r="N15" s="42"/>
      <c r="P15" s="49" t="str">
        <f>Calculations!R9</f>
        <v>Visakhapatnam (Area 4)</v>
      </c>
      <c r="Q15" s="49"/>
      <c r="R15" s="50">
        <f>Calculations!S9</f>
        <v>39</v>
      </c>
      <c r="S15" s="50"/>
    </row>
    <row r="16" spans="1:19" ht="14.5" customHeight="1" thickBot="1" x14ac:dyDescent="0.4">
      <c r="K16" s="44" t="str">
        <f>Calculations!R25</f>
        <v>YSR Kadapa (Area 4)</v>
      </c>
      <c r="L16" s="44"/>
      <c r="M16" s="42">
        <f>Calculations!S25</f>
        <v>179</v>
      </c>
      <c r="N16" s="42"/>
      <c r="P16" s="49" t="str">
        <f>Calculations!R10</f>
        <v>Visakhapatnam</v>
      </c>
      <c r="Q16" s="49"/>
      <c r="R16" s="50">
        <f>Calculations!S10</f>
        <v>40</v>
      </c>
      <c r="S16" s="50"/>
    </row>
    <row r="17" spans="11:19" ht="14.5" customHeight="1" thickBot="1" x14ac:dyDescent="0.4">
      <c r="K17" s="44" t="str">
        <f>Calculations!R26</f>
        <v>Kurnool</v>
      </c>
      <c r="L17" s="44"/>
      <c r="M17" s="42">
        <f>Calculations!S26</f>
        <v>176</v>
      </c>
      <c r="N17" s="42"/>
      <c r="P17" s="49" t="str">
        <f>Calculations!R11</f>
        <v>Vizianagaram (Area 3)</v>
      </c>
      <c r="Q17" s="49"/>
      <c r="R17" s="50">
        <f>Calculations!S11</f>
        <v>41</v>
      </c>
      <c r="S17" s="50"/>
    </row>
    <row r="18" spans="11:19" ht="14.5" customHeight="1" thickBot="1" x14ac:dyDescent="0.4">
      <c r="K18" s="44" t="str">
        <f>Calculations!R27</f>
        <v>Vizianagaram (Area 1)</v>
      </c>
      <c r="L18" s="44"/>
      <c r="M18" s="42">
        <f>Calculations!S27</f>
        <v>175</v>
      </c>
      <c r="N18" s="42"/>
      <c r="P18" s="49" t="str">
        <f>Calculations!R12</f>
        <v>East Godavari (Area 2)</v>
      </c>
      <c r="Q18" s="49"/>
      <c r="R18" s="50">
        <f>Calculations!S12</f>
        <v>45</v>
      </c>
      <c r="S18" s="50"/>
    </row>
    <row r="19" spans="11:19" ht="14.5" customHeight="1" thickBot="1" x14ac:dyDescent="0.4">
      <c r="K19" s="44" t="str">
        <f>Calculations!R28</f>
        <v>West Godavari</v>
      </c>
      <c r="L19" s="44"/>
      <c r="M19" s="42">
        <f>Calculations!S28</f>
        <v>175</v>
      </c>
      <c r="N19" s="42"/>
      <c r="P19" s="49" t="str">
        <f>Calculations!R13</f>
        <v>Guntur (Area 4)</v>
      </c>
      <c r="Q19" s="49"/>
      <c r="R19" s="50">
        <f>Calculations!S13</f>
        <v>47</v>
      </c>
      <c r="S19" s="50"/>
    </row>
    <row r="20" spans="11:19" ht="14.5" customHeight="1" x14ac:dyDescent="0.35"/>
    <row r="21" spans="11:19" ht="14.5" customHeight="1" x14ac:dyDescent="0.35"/>
    <row r="22" spans="11:19" ht="14.5" customHeight="1" x14ac:dyDescent="0.35"/>
    <row r="23" spans="11:19" ht="15" customHeight="1" x14ac:dyDescent="0.35"/>
    <row r="44" spans="1:19" ht="14.5" customHeight="1" x14ac:dyDescent="0.35">
      <c r="A44" s="33"/>
      <c r="B44" s="33"/>
      <c r="C44" s="31"/>
      <c r="D44" s="53" t="s">
        <v>5127</v>
      </c>
      <c r="E44" s="53"/>
      <c r="F44" s="53"/>
      <c r="G44" s="31"/>
      <c r="H44" s="53" t="s">
        <v>5126</v>
      </c>
      <c r="I44" s="53"/>
      <c r="J44" s="53"/>
      <c r="K44" s="31"/>
      <c r="L44" s="53" t="s">
        <v>5129</v>
      </c>
      <c r="M44" s="53"/>
      <c r="N44" s="53"/>
      <c r="O44" s="32"/>
      <c r="P44" s="53" t="s">
        <v>5128</v>
      </c>
      <c r="Q44" s="53"/>
      <c r="R44" s="53"/>
      <c r="S44" s="31"/>
    </row>
    <row r="45" spans="1:19" ht="14.5" customHeight="1" x14ac:dyDescent="0.35">
      <c r="A45" s="33"/>
      <c r="B45" s="33"/>
      <c r="C45" s="31"/>
      <c r="D45" s="53"/>
      <c r="E45" s="53"/>
      <c r="F45" s="53"/>
      <c r="G45" s="31"/>
      <c r="H45" s="53"/>
      <c r="I45" s="53"/>
      <c r="J45" s="53"/>
      <c r="K45" s="31"/>
      <c r="L45" s="53"/>
      <c r="M45" s="53"/>
      <c r="N45" s="53"/>
      <c r="O45" s="32"/>
      <c r="P45" s="53"/>
      <c r="Q45" s="53"/>
      <c r="R45" s="53"/>
      <c r="S45" s="31"/>
    </row>
    <row r="46" spans="1:19" ht="15.5" x14ac:dyDescent="0.35">
      <c r="A46" s="31"/>
      <c r="B46" s="31"/>
      <c r="C46" s="31"/>
      <c r="D46" s="51">
        <f>Calculations!$O$3</f>
        <v>152.34861998911168</v>
      </c>
      <c r="E46" s="52"/>
      <c r="F46" s="52"/>
      <c r="G46" s="31"/>
      <c r="H46" s="51" t="str">
        <f>Calculations!$O$6</f>
        <v>Punjab</v>
      </c>
      <c r="I46" s="52"/>
      <c r="J46" s="52"/>
      <c r="K46" s="31"/>
      <c r="L46" s="51" t="str">
        <f>Calculations!$O$5</f>
        <v>Meghalaya</v>
      </c>
      <c r="M46" s="52"/>
      <c r="N46" s="52"/>
      <c r="O46" s="31"/>
      <c r="P46" s="51" t="str">
        <f>Calculations!$O$7</f>
        <v>Industrial Emissions</v>
      </c>
      <c r="Q46" s="52"/>
      <c r="R46" s="52"/>
      <c r="S46" s="31"/>
    </row>
  </sheetData>
  <mergeCells count="67">
    <mergeCell ref="J4:L5"/>
    <mergeCell ref="M4:N5"/>
    <mergeCell ref="O4:Q5"/>
    <mergeCell ref="R4:S5"/>
    <mergeCell ref="N1:P3"/>
    <mergeCell ref="Q1:S3"/>
    <mergeCell ref="K1:M3"/>
    <mergeCell ref="P46:R46"/>
    <mergeCell ref="H44:J45"/>
    <mergeCell ref="L44:N45"/>
    <mergeCell ref="P44:R45"/>
    <mergeCell ref="D44:F45"/>
    <mergeCell ref="D46:F46"/>
    <mergeCell ref="H46:J46"/>
    <mergeCell ref="L46:N46"/>
    <mergeCell ref="P17:Q17"/>
    <mergeCell ref="R17:S17"/>
    <mergeCell ref="P18:Q18"/>
    <mergeCell ref="R18:S18"/>
    <mergeCell ref="P19:Q19"/>
    <mergeCell ref="R19:S19"/>
    <mergeCell ref="P14:Q14"/>
    <mergeCell ref="R14:S14"/>
    <mergeCell ref="P15:Q15"/>
    <mergeCell ref="R15:S15"/>
    <mergeCell ref="P16:Q16"/>
    <mergeCell ref="R16:S16"/>
    <mergeCell ref="R11:S11"/>
    <mergeCell ref="P12:Q12"/>
    <mergeCell ref="R12:S12"/>
    <mergeCell ref="P13:Q13"/>
    <mergeCell ref="R13:S13"/>
    <mergeCell ref="P11:Q11"/>
    <mergeCell ref="P7:S7"/>
    <mergeCell ref="P9:Q9"/>
    <mergeCell ref="R9:S9"/>
    <mergeCell ref="P10:Q10"/>
    <mergeCell ref="R10:S10"/>
    <mergeCell ref="M17:N17"/>
    <mergeCell ref="M18:N18"/>
    <mergeCell ref="K7:N7"/>
    <mergeCell ref="K9:L9"/>
    <mergeCell ref="M11:N11"/>
    <mergeCell ref="M12:N12"/>
    <mergeCell ref="M13:N13"/>
    <mergeCell ref="M19:N19"/>
    <mergeCell ref="M9:N9"/>
    <mergeCell ref="K10:L10"/>
    <mergeCell ref="M10:N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M14:N14"/>
    <mergeCell ref="M15:N15"/>
    <mergeCell ref="M16:N16"/>
    <mergeCell ref="A1:D3"/>
    <mergeCell ref="A4:D5"/>
    <mergeCell ref="E4:G5"/>
    <mergeCell ref="H4:I5"/>
    <mergeCell ref="E1:G3"/>
    <mergeCell ref="H1:J3"/>
  </mergeCells>
  <conditionalFormatting sqref="M10:N19">
    <cfRule type="colorScale" priority="1">
      <colorScale>
        <cfvo type="min"/>
        <cfvo type="max"/>
        <color theme="5" tint="0.79998168889431442"/>
        <color theme="5" tint="-0.249977111117893"/>
      </colorScale>
    </cfRule>
    <cfRule type="colorScale" priority="2">
      <colorScale>
        <cfvo type="min"/>
        <cfvo type="max"/>
        <color theme="5" tint="0.79998168889431442"/>
        <color theme="5" tint="-0.499984740745262"/>
      </colorScale>
    </cfRule>
    <cfRule type="colorScale" priority="3">
      <colorScale>
        <cfvo type="min"/>
        <cfvo type="max"/>
        <color theme="5" tint="0.79998168889431442"/>
        <color theme="5" tint="-0.249977111117893"/>
      </colorScale>
    </cfRule>
    <cfRule type="colorScale" priority="5">
      <colorScale>
        <cfvo type="min"/>
        <cfvo type="max"/>
        <color rgb="FFFF9966"/>
        <color rgb="FFFF0000"/>
      </colorScale>
    </cfRule>
  </conditionalFormatting>
  <conditionalFormatting sqref="R10:S19">
    <cfRule type="colorScale" priority="4">
      <colorScale>
        <cfvo type="min"/>
        <cfvo type="max"/>
        <color theme="9" tint="-0.249977111117893"/>
        <color theme="9" tint="0.79998168889431442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3" name="Drop Down 2">
              <controlPr defaultSize="0" autoLine="0" autoPict="0">
                <anchor moveWithCells="1">
                  <from>
                    <xdr:col>0</xdr:col>
                    <xdr:colOff>552450</xdr:colOff>
                    <xdr:row>3</xdr:row>
                    <xdr:rowOff>69850</xdr:rowOff>
                  </from>
                  <to>
                    <xdr:col>3</xdr:col>
                    <xdr:colOff>19050</xdr:colOff>
                    <xdr:row>4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BF72FD-7BDC-4822-A1A5-9588C6360A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all_india_districts_aqi</vt:lpstr>
      <vt:lpstr>Transformed_data</vt:lpstr>
      <vt:lpstr>Calculations</vt:lpstr>
      <vt:lpstr>Chart-Source_Contribution</vt:lpstr>
      <vt:lpstr>Chart-Category_%Areas</vt:lpstr>
      <vt:lpstr>AQI_Analysis_Dashboard</vt:lpstr>
      <vt:lpstr>Transformed_data!Extract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Rapeti</dc:creator>
  <cp:lastModifiedBy>Harsha vardhan</cp:lastModifiedBy>
  <dcterms:created xsi:type="dcterms:W3CDTF">2026-02-16T03:58:58Z</dcterms:created>
  <dcterms:modified xsi:type="dcterms:W3CDTF">2026-03-11T07:25:56Z</dcterms:modified>
</cp:coreProperties>
</file>